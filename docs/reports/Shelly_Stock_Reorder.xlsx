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Notes" sheetId="7" state="visible" r:id="rId7"/>
  </sheets>
  <definedNames>
    <definedName name="in_lead">Assumptions!$C$6</definedName>
    <definedName name="in_review">Assumptions!$C$7</definedName>
    <definedName name="in_z">Assumptions!$C$8</definedName>
    <definedName name="SelCat">Dashboard!$B$6</definedName>
    <definedName name="CatCrit">IF(Dashboard!$B$6="All","*",Dashboard!$B$6)</definedName>
    <definedName name="_xlnm._FilterDatabase" localSheetId="1" hidden="1">'Model'!$B$7:$O$57</definedName>
  </definedNames>
  <calcPr calcId="124519" fullCalcOnLoad="1"/>
  <pivotCaches>
    <pivotCache cacheId="1" r:id="rId8"/>
  </pivotCaches>
</workbook>
</file>

<file path=xl/styles.xml><?xml version="1.0" encoding="utf-8"?>
<styleSheet xmlns="http://schemas.openxmlformats.org/spreadsheetml/2006/main">
  <numFmts count="4">
    <numFmt numFmtId="164" formatCode="#,##0.0;(#,##0.0);&quot;-&quot;"/>
    <numFmt numFmtId="165" formatCode="#,##0;(#,##0);&quot;-&quot;"/>
    <numFmt numFmtId="166" formatCode="$#,##0.00;($#,##0.00);&quot;-&quot;"/>
    <numFmt numFmtId="167" formatCode="$#,##0;($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i val="1"/>
      <color rgb="006B7686"/>
      <sz val="9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1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9" fillId="0" borderId="0" pivotButton="0" quotePrefix="0" xfId="0"/>
    <xf numFmtId="0" fontId="10" fillId="4" borderId="2" pivotButton="0" quotePrefix="0" xfId="0"/>
    <xf numFmtId="0" fontId="8" fillId="0" borderId="0" pivotButton="0" quotePrefix="0" xfId="0"/>
    <xf numFmtId="0" fontId="9" fillId="6" borderId="0" pivotButton="0" quotePrefix="0" xfId="0"/>
    <xf numFmtId="0" fontId="0" fillId="6" borderId="0" pivotButton="0" quotePrefix="0" xfId="0"/>
    <xf numFmtId="167" fontId="13" fillId="6" borderId="0" applyAlignment="1" pivotButton="0" quotePrefix="0" xfId="0">
      <alignment horizontal="left"/>
    </xf>
    <xf numFmtId="165" fontId="13" fillId="6" borderId="0" applyAlignment="1" pivotButton="0" quotePrefix="0" xfId="0">
      <alignment horizontal="left"/>
    </xf>
    <xf numFmtId="0" fontId="11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0" fontId="12" fillId="5" borderId="0" pivotButton="0" quotePrefix="0" xfId="0"/>
    <xf numFmtId="49" fontId="12" fillId="5" borderId="0" pivotButton="0" quotePrefix="0" xfId="0"/>
    <xf numFmtId="164" fontId="12" fillId="5" borderId="0" pivotButton="0" quotePrefix="0" xfId="0"/>
    <xf numFmtId="165" fontId="12" fillId="5" borderId="0" pivotButton="0" quotePrefix="0" xfId="0"/>
    <xf numFmtId="167" fontId="12" fillId="5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1" pivotButton="0" quotePrefix="0" xfId="0"/>
    <xf numFmtId="164" fontId="7" fillId="4" borderId="2" pivotButton="0" quotePrefix="0" xfId="0"/>
    <xf numFmtId="0" fontId="8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value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v>Order $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'Model'!$B$64:$B$79</f>
            </numRef>
          </cat>
          <val>
            <numRef>
              <f>'Model'!$C$64:$C$79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50" r:id="rId1">
  <cacheSource type="worksheet">
    <worksheetSource ref="A1:J51" sheet="Raw"/>
  </cacheSource>
  <cacheFields count="10">
    <cacheField name="SKU" uniqueList="1" numFmtId="0" sqlType="0" hierarchy="0" level="0" databaseField="1">
      <sharedItems count="50">
        <s v="BAK001"/>
        <s v="BAK002"/>
        <s v="BAK003"/>
        <s v="BBT001"/>
        <s v="BEV001"/>
        <s v="BEV002"/>
        <s v="BEV003"/>
        <s v="BEV004"/>
        <s v="BEV005"/>
        <s v="BEV006"/>
        <s v="DRY010"/>
        <s v="DRY011"/>
        <s v="DRY012"/>
        <s v="FRZ001"/>
        <s v="FRZ002"/>
        <s v="FRZ003"/>
        <s v="FRZ004"/>
        <s v="FTG001"/>
        <s v="FTG002"/>
        <s v="FTG003"/>
        <s v="FTG004"/>
        <s v="FTG005"/>
        <s v="GRO001"/>
        <s v="GRO002"/>
        <s v="GRO003"/>
        <s v="GRO004"/>
        <s v="GRO005"/>
        <s v="GRO006"/>
        <s v="GRO007"/>
        <s v="GRO008"/>
        <s v="HHD001"/>
        <s v="HHD002"/>
        <s v="HHD003"/>
        <s v="LIQ001"/>
        <s v="LIQ002"/>
        <s v="LIQ003"/>
        <s v="LIQ004"/>
        <s v="MLK001"/>
        <s v="MLK002"/>
        <s v="MLK003"/>
        <s v="PHM001"/>
        <s v="PHM002"/>
        <s v="PRD001"/>
        <s v="PRD002"/>
        <s v="PRD003"/>
        <s v="SNK001"/>
        <s v="SNK002"/>
        <s v="SNK003"/>
        <s v="SNK004"/>
        <s v="SNK005"/>
      </sharedItems>
    </cacheField>
    <cacheField name="Product" uniqueList="1" numFmtId="0" sqlType="0" hierarchy="0" level="0" databaseField="1">
      <sharedItems count="50">
        <s v="Avocado"/>
        <s v="Bananas (each)"/>
        <s v="Bottled Water 750ml"/>
        <s v="Bubble Tea Kit"/>
        <s v="Butter 500g"/>
        <s v="Canned Soup 500g"/>
        <s v="Cheese Block 1kg"/>
        <s v="Chicken Sandwich"/>
        <s v="Chocolate Block 200g"/>
        <s v="Coffee Beans 200g"/>
        <s v="Cola 1.5L"/>
        <s v="Corn Chips 230g"/>
        <s v="Craft Beer 6pk"/>
        <s v="Croissant 4pk"/>
        <s v="Dishwash Liquid"/>
        <s v="Eggs Free Range 12pk"/>
        <s v="Energy Drink 500ml"/>
        <s v="Filled Roll"/>
        <s v="Frozen Dumplings 1kg"/>
        <s v="Frozen Pizza"/>
        <s v="Greek Yoghurt 1kg"/>
        <s v="Hot Pie Mince &amp; Cheese"/>
        <s v="Ice Block Single"/>
        <s v="Ice Cream Tub 2L"/>
        <s v="Iced Coffee 500ml"/>
        <s v="Instant Noodles 5pk"/>
        <s v="Kombucha 330ml"/>
        <s v="Lollies Bag 200g"/>
        <s v="Milk Lite 2L"/>
        <s v="Milk Standard 2L"/>
        <s v="Muesli Bar 6pk"/>
        <s v="Oat Milk 1L"/>
        <s v="Paracetamol 20pk"/>
        <s v="Pasta 500g"/>
        <s v="Phone Charger Cable"/>
        <s v="Pinot Noir 750ml"/>
        <s v="Potato Chips 150g"/>
        <s v="RTD 4pk"/>
        <s v="Salad Bowl"/>
        <s v="Salsa 300g"/>
        <s v="Sauvignon Blanc 750ml"/>
        <s v="Simmer Sauce 485g"/>
        <s v="Sparkling Water 1L"/>
        <s v="Sunscreen SPF50"/>
        <s v="Sushi Pack 8pc"/>
        <s v="Taco Kit"/>
        <s v="Toast Bread White"/>
        <s v="Toilet Paper 6pk"/>
        <s v="Tomatoes 500g"/>
        <s v="Wholemeal Loaf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Supplier" uniqueList="1" numFmtId="0" sqlType="0" hierarchy="0" level="0" databaseField="1">
      <sharedItems count="16">
        <s v="Asia Imports"/>
        <s v="Auckland Bakehouse"/>
        <s v="Beverage Dist."/>
        <s v="Confectionery Ltd"/>
        <s v="Dairy Co-op"/>
        <s v="Farm Fresh"/>
        <s v="FreshKitchen"/>
        <s v="Frozen Foods NZ"/>
        <s v="Home Supplies"/>
        <s v="Latin Pantry"/>
        <s v="Liquor Dist."/>
        <s v="Pantry Brands"/>
        <s v="Pharma Dist."/>
        <s v="Plant Foods NZ"/>
        <s v="Produce Market"/>
        <s v="Snack Foods NZ"/>
      </sharedItems>
    </cacheField>
    <cacheField name="Daily demand" uniqueList="1" numFmtId="0" sqlType="0" hierarchy="0" level="0" databaseField="1">
      <sharedItems count="0" containsNumber="1" containsSemiMixedTypes="0" containsString="0" minValue="1.143" maxValue="34.393"/>
    </cacheField>
    <cacheField name="Demand sd" uniqueList="1" numFmtId="0" sqlType="0" hierarchy="0" level="0" databaseField="1">
      <sharedItems count="0" containsNumber="1" containsSemiMixedTypes="0" containsString="0" minValue="1.044" maxValue="19.56"/>
    </cacheField>
    <cacheField name="On hand" uniqueList="1" numFmtId="0" sqlType="0" hierarchy="0" level="0" databaseField="1">
      <sharedItems count="0" containsInteger="1" containsNumber="1" containsSemiMixedTypes="0" containsString="0" minValue="4" maxValue="344"/>
    </cacheField>
    <cacheField name="Shelf life days" uniqueList="1" numFmtId="0" sqlType="0" hierarchy="0" level="0" databaseField="1">
      <sharedItems count="0" containsInteger="1" containsNumber="1" containsSemiMixedTypes="0" containsString="0" minValue="1" maxValue="3650"/>
    </cacheField>
    <cacheField name="Unit cost" uniqueList="1" numFmtId="0" sqlType="0" hierarchy="0" level="0" databaseField="1">
      <sharedItems count="0" containsNumber="1" containsSemiMixedTypes="0" containsString="0" minValue="0.38" maxValue="15.3"/>
    </cacheField>
    <cacheField name="Blocked" uniqueList="1" numFmtId="0" sqlType="0" hierarchy="0" level="0" databaseField="1">
      <sharedItems count="0" containsInteger="1" containsNumber="1" containsSemiMixedTypes="0" containsString="0" minValue="0" maxValue="1"/>
    </cacheField>
  </cacheFields>
</pivotCacheDefinition>
</file>

<file path=xl/pivotCache/pivotCacheRecords1.xml><?xml version="1.0" encoding="utf-8"?>
<pivotCacheRecords xmlns="http://schemas.openxmlformats.org/spreadsheetml/2006/main" count="50">
  <r>
    <x v="32"/>
    <x v="34"/>
    <x v="8"/>
    <x v="8"/>
    <n v="1.143"/>
    <n v="1.044"/>
    <n v="4"/>
    <n v="3650"/>
    <n v="5.5"/>
    <n v="0"/>
  </r>
  <r>
    <x v="0"/>
    <x v="46"/>
    <x v="0"/>
    <x v="1"/>
    <n v="20.393"/>
    <n v="6.154"/>
    <n v="179"/>
    <n v="5"/>
    <n v="2.2"/>
    <n v="0"/>
  </r>
  <r>
    <x v="1"/>
    <x v="49"/>
    <x v="0"/>
    <x v="1"/>
    <n v="11.893"/>
    <n v="4.458"/>
    <n v="95"/>
    <n v="5"/>
    <n v="2.7"/>
    <n v="0"/>
  </r>
  <r>
    <x v="2"/>
    <x v="13"/>
    <x v="0"/>
    <x v="1"/>
    <n v="6.929"/>
    <n v="3.681"/>
    <n v="51"/>
    <n v="3"/>
    <n v="3.3"/>
    <n v="0"/>
  </r>
  <r>
    <x v="3"/>
    <x v="3"/>
    <x v="2"/>
    <x v="0"/>
    <n v="5.107"/>
    <n v="3.37"/>
    <n v="45"/>
    <n v="90"/>
    <n v="3.9"/>
    <n v="0"/>
  </r>
  <r>
    <x v="4"/>
    <x v="16"/>
    <x v="2"/>
    <x v="2"/>
    <n v="31.321"/>
    <n v="19.56"/>
    <n v="238"/>
    <n v="365"/>
    <n v="2.15"/>
    <n v="0"/>
  </r>
  <r>
    <x v="5"/>
    <x v="10"/>
    <x v="2"/>
    <x v="2"/>
    <n v="14.071"/>
    <n v="4.838"/>
    <n v="127"/>
    <n v="270"/>
    <n v="2.3"/>
    <n v="0"/>
  </r>
  <r>
    <x v="6"/>
    <x v="42"/>
    <x v="2"/>
    <x v="2"/>
    <n v="11.964"/>
    <n v="4.865"/>
    <n v="105"/>
    <n v="365"/>
    <n v="1.1"/>
    <n v="0"/>
  </r>
  <r>
    <x v="7"/>
    <x v="24"/>
    <x v="2"/>
    <x v="4"/>
    <n v="12.929"/>
    <n v="5.099"/>
    <n v="121"/>
    <n v="30"/>
    <n v="2.7"/>
    <n v="0"/>
  </r>
  <r>
    <x v="8"/>
    <x v="26"/>
    <x v="2"/>
    <x v="13"/>
    <n v="4.857"/>
    <n v="2.46"/>
    <n v="54"/>
    <n v="120"/>
    <n v="2.6"/>
    <n v="0"/>
  </r>
  <r>
    <x v="9"/>
    <x v="2"/>
    <x v="2"/>
    <x v="2"/>
    <n v="18.071"/>
    <n v="5.163"/>
    <n v="177"/>
    <n v="365"/>
    <n v="0.95"/>
    <n v="0"/>
  </r>
  <r>
    <x v="10"/>
    <x v="4"/>
    <x v="3"/>
    <x v="4"/>
    <n v="6.714"/>
    <n v="3.75"/>
    <n v="46"/>
    <n v="60"/>
    <n v="5.6"/>
    <n v="0"/>
  </r>
  <r>
    <x v="11"/>
    <x v="20"/>
    <x v="3"/>
    <x v="4"/>
    <n v="4.179"/>
    <n v="2.195"/>
    <n v="43"/>
    <n v="21"/>
    <n v="5.1"/>
    <n v="0"/>
  </r>
  <r>
    <x v="12"/>
    <x v="6"/>
    <x v="3"/>
    <x v="4"/>
    <n v="6"/>
    <n v="2.994"/>
    <n v="42"/>
    <n v="90"/>
    <n v="10.4"/>
    <n v="0"/>
  </r>
  <r>
    <x v="13"/>
    <x v="23"/>
    <x v="5"/>
    <x v="7"/>
    <n v="6.536"/>
    <n v="3.18"/>
    <n v="63"/>
    <n v="365"/>
    <n v="5.4"/>
    <n v="0"/>
  </r>
  <r>
    <x v="14"/>
    <x v="22"/>
    <x v="5"/>
    <x v="7"/>
    <n v="11.393"/>
    <n v="5.159"/>
    <n v="90"/>
    <n v="365"/>
    <n v="1.2"/>
    <n v="0"/>
  </r>
  <r>
    <x v="15"/>
    <x v="19"/>
    <x v="5"/>
    <x v="7"/>
    <n v="6.25"/>
    <n v="2.81"/>
    <n v="41"/>
    <n v="365"/>
    <n v="4.7"/>
    <n v="0"/>
  </r>
  <r>
    <x v="16"/>
    <x v="18"/>
    <x v="5"/>
    <x v="0"/>
    <n v="4.786"/>
    <n v="3.304"/>
    <n v="36"/>
    <n v="365"/>
    <n v="7.1"/>
    <n v="0"/>
  </r>
  <r>
    <x v="17"/>
    <x v="7"/>
    <x v="4"/>
    <x v="6"/>
    <n v="20.357"/>
    <n v="6.384"/>
    <n v="147"/>
    <n v="2"/>
    <n v="3.9"/>
    <n v="0"/>
  </r>
  <r>
    <x v="18"/>
    <x v="44"/>
    <x v="4"/>
    <x v="6"/>
    <n v="11.75"/>
    <n v="4.68"/>
    <n v="108"/>
    <n v="1"/>
    <n v="5.6"/>
    <n v="0"/>
  </r>
  <r>
    <x v="19"/>
    <x v="21"/>
    <x v="4"/>
    <x v="6"/>
    <n v="16.75"/>
    <n v="5.089"/>
    <n v="129"/>
    <n v="2"/>
    <n v="2.4"/>
    <n v="0"/>
  </r>
  <r>
    <x v="20"/>
    <x v="38"/>
    <x v="4"/>
    <x v="6"/>
    <n v="5.464"/>
    <n v="2.219"/>
    <n v="52"/>
    <n v="2"/>
    <n v="6.2"/>
    <n v="0"/>
  </r>
  <r>
    <x v="21"/>
    <x v="17"/>
    <x v="4"/>
    <x v="6"/>
    <n v="10.536"/>
    <n v="3.512"/>
    <n v="98"/>
    <n v="2"/>
    <n v="3.2"/>
    <n v="0"/>
  </r>
  <r>
    <x v="22"/>
    <x v="25"/>
    <x v="6"/>
    <x v="0"/>
    <n v="14.393"/>
    <n v="4.779"/>
    <n v="101"/>
    <n v="365"/>
    <n v="2.6"/>
    <n v="0"/>
  </r>
  <r>
    <x v="23"/>
    <x v="5"/>
    <x v="6"/>
    <x v="11"/>
    <n v="5.75"/>
    <n v="3.524"/>
    <n v="34"/>
    <n v="730"/>
    <n v="1.9"/>
    <n v="0"/>
  </r>
  <r>
    <x v="24"/>
    <x v="33"/>
    <x v="6"/>
    <x v="11"/>
    <n v="5.929"/>
    <n v="2.652"/>
    <n v="55"/>
    <n v="730"/>
    <n v="1.3"/>
    <n v="0"/>
  </r>
  <r>
    <x v="25"/>
    <x v="41"/>
    <x v="6"/>
    <x v="11"/>
    <n v="5.321"/>
    <n v="3.244"/>
    <n v="29"/>
    <n v="540"/>
    <n v="2.3"/>
    <n v="1"/>
  </r>
  <r>
    <x v="26"/>
    <x v="39"/>
    <x v="6"/>
    <x v="9"/>
    <n v="3.429"/>
    <n v="2.008"/>
    <n v="36"/>
    <n v="365"/>
    <n v="2.9"/>
    <n v="0"/>
  </r>
  <r>
    <x v="27"/>
    <x v="45"/>
    <x v="6"/>
    <x v="9"/>
    <n v="3.536"/>
    <n v="2.186"/>
    <n v="30"/>
    <n v="365"/>
    <n v="4"/>
    <n v="0"/>
  </r>
  <r>
    <x v="28"/>
    <x v="15"/>
    <x v="6"/>
    <x v="5"/>
    <n v="9.893000000000001"/>
    <n v="4.184"/>
    <n v="80"/>
    <n v="35"/>
    <n v="8.199999999999999"/>
    <n v="0"/>
  </r>
  <r>
    <x v="29"/>
    <x v="9"/>
    <x v="6"/>
    <x v="11"/>
    <n v="3"/>
    <n v="2.108"/>
    <n v="20"/>
    <n v="180"/>
    <n v="7.6"/>
    <n v="0"/>
  </r>
  <r>
    <x v="30"/>
    <x v="47"/>
    <x v="8"/>
    <x v="8"/>
    <n v="4.357"/>
    <n v="2.831"/>
    <n v="44"/>
    <n v="3650"/>
    <n v="5.9"/>
    <n v="0"/>
  </r>
  <r>
    <x v="31"/>
    <x v="14"/>
    <x v="8"/>
    <x v="8"/>
    <n v="3.536"/>
    <n v="2.027"/>
    <n v="32"/>
    <n v="1095"/>
    <n v="2.9"/>
    <n v="0"/>
  </r>
  <r>
    <x v="33"/>
    <x v="12"/>
    <x v="1"/>
    <x v="10"/>
    <n v="5.643"/>
    <n v="3.423"/>
    <n v="51"/>
    <n v="180"/>
    <n v="15.3"/>
    <n v="0"/>
  </r>
  <r>
    <x v="34"/>
    <x v="40"/>
    <x v="1"/>
    <x v="10"/>
    <n v="4.286"/>
    <n v="2.813"/>
    <n v="43"/>
    <n v="730"/>
    <n v="10.2"/>
    <n v="0"/>
  </r>
  <r>
    <x v="35"/>
    <x v="37"/>
    <x v="1"/>
    <x v="10"/>
    <n v="4.393"/>
    <n v="2.409"/>
    <n v="36"/>
    <n v="365"/>
    <n v="11.9"/>
    <n v="0"/>
  </r>
  <r>
    <x v="36"/>
    <x v="35"/>
    <x v="1"/>
    <x v="10"/>
    <n v="2.321"/>
    <n v="1.926"/>
    <n v="16"/>
    <n v="730"/>
    <n v="12.8"/>
    <n v="0"/>
  </r>
  <r>
    <x v="37"/>
    <x v="29"/>
    <x v="3"/>
    <x v="4"/>
    <n v="34.393"/>
    <n v="13.593"/>
    <n v="344"/>
    <n v="10"/>
    <n v="3.55"/>
    <n v="0"/>
  </r>
  <r>
    <x v="38"/>
    <x v="28"/>
    <x v="3"/>
    <x v="4"/>
    <n v="16.107"/>
    <n v="3.975"/>
    <n v="138"/>
    <n v="10"/>
    <n v="3.55"/>
    <n v="0"/>
  </r>
  <r>
    <x v="39"/>
    <x v="31"/>
    <x v="3"/>
    <x v="13"/>
    <n v="6.679"/>
    <n v="3.151"/>
    <n v="60"/>
    <n v="60"/>
    <n v="2.7"/>
    <n v="0"/>
  </r>
  <r>
    <x v="40"/>
    <x v="32"/>
    <x v="7"/>
    <x v="12"/>
    <n v="3.929"/>
    <n v="2.493"/>
    <n v="37"/>
    <n v="730"/>
    <n v="1.6"/>
    <n v="0"/>
  </r>
  <r>
    <x v="41"/>
    <x v="43"/>
    <x v="7"/>
    <x v="12"/>
    <n v="2.036"/>
    <n v="1.666"/>
    <n v="13"/>
    <n v="730"/>
    <n v="8.199999999999999"/>
    <n v="0"/>
  </r>
  <r>
    <x v="42"/>
    <x v="1"/>
    <x v="9"/>
    <x v="14"/>
    <n v="31.071"/>
    <n v="7.717"/>
    <n v="269"/>
    <n v="6"/>
    <n v="0.38"/>
    <n v="0"/>
  </r>
  <r>
    <x v="43"/>
    <x v="0"/>
    <x v="9"/>
    <x v="14"/>
    <n v="7.75"/>
    <n v="3.384"/>
    <n v="70"/>
    <n v="5"/>
    <n v="1.4"/>
    <n v="0"/>
  </r>
  <r>
    <x v="44"/>
    <x v="48"/>
    <x v="9"/>
    <x v="14"/>
    <n v="4.464"/>
    <n v="2.912"/>
    <n v="45"/>
    <n v="7"/>
    <n v="2.6"/>
    <n v="0"/>
  </r>
  <r>
    <x v="45"/>
    <x v="36"/>
    <x v="10"/>
    <x v="15"/>
    <n v="22.786"/>
    <n v="6.551"/>
    <n v="165"/>
    <n v="180"/>
    <n v="2.1"/>
    <n v="0"/>
  </r>
  <r>
    <x v="46"/>
    <x v="8"/>
    <x v="10"/>
    <x v="3"/>
    <n v="17.429"/>
    <n v="5.196"/>
    <n v="110"/>
    <n v="270"/>
    <n v="3.2"/>
    <n v="0"/>
  </r>
  <r>
    <x v="47"/>
    <x v="30"/>
    <x v="10"/>
    <x v="15"/>
    <n v="9.179"/>
    <n v="3.443"/>
    <n v="71"/>
    <n v="240"/>
    <n v="2.6"/>
    <n v="0"/>
  </r>
  <r>
    <x v="48"/>
    <x v="11"/>
    <x v="10"/>
    <x v="9"/>
    <n v="9.393000000000001"/>
    <n v="3.224"/>
    <n v="64"/>
    <n v="180"/>
    <n v="2.4"/>
    <n v="0"/>
  </r>
  <r>
    <x v="49"/>
    <x v="27"/>
    <x v="10"/>
    <x v="3"/>
    <n v="9.679"/>
    <n v="3.682"/>
    <n v="78"/>
    <n v="300"/>
    <n v="1.7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R19" firstHeaderRow="1" firstDataRow="2" firstDataCol="1"/>
  <pivotFields count="1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3"/>
  </colFields>
  <colItems count="1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grand" r="0" i="0">
      <x v="0"/>
    </i>
  </colItems>
  <dataFields count="1">
    <dataField name="On hand" fld="6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J51" headerRowCount="1">
  <autoFilter ref="A1:J51"/>
  <tableColumns count="10">
    <tableColumn id="1" name="SKU"/>
    <tableColumn id="2" name="Product"/>
    <tableColumn id="3" name="Category"/>
    <tableColumn id="4" name="Supplier"/>
    <tableColumn id="5" name="Daily demand"/>
    <tableColumn id="6" name="Demand sd"/>
    <tableColumn id="7" name="On hand"/>
    <tableColumn id="8" name="Shelf life days"/>
    <tableColumn id="9" name="Unit cost"/>
    <tableColumn id="10" name="Block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Stock &amp; reorder plan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Neighbourhood Store (Eden Terrace format) · stock position at 11 Oct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Category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ORDER VALUE</t>
        </is>
      </c>
      <c r="D9" s="9" t="n"/>
      <c r="E9" s="8" t="inlineStr">
        <is>
          <t>LINES TO ORDER</t>
        </is>
      </c>
      <c r="G9" s="9" t="n"/>
      <c r="H9" s="8" t="inlineStr">
        <is>
          <t>ORDER NOW</t>
        </is>
      </c>
      <c r="J9" s="9" t="n"/>
      <c r="K9" s="8" t="inlineStr">
        <is>
          <t>BLOCKED (RECALL)</t>
        </is>
      </c>
      <c r="M9" s="9" t="n"/>
    </row>
    <row r="10">
      <c r="B10" s="10">
        <f>SUMIFS(Model!$L$8:$L$57,Model!$O$8:$O$57,1)</f>
        <v>22</v>
      </c>
      <c r="D10" s="9" t="n"/>
      <c r="E10" s="11">
        <f>COUNTIFS(Model!$K$8:$K$57,"&gt;0",Model!$O$8:$O$57,1)</f>
        <v>1</v>
      </c>
      <c r="G10" s="9" t="n"/>
      <c r="H10" s="11">
        <f>COUNTIFS(Model!$N$8:$N$57,"Order now",Model!$O$8:$O$57,1)</f>
        <v>0</v>
      </c>
      <c r="J10" s="9" t="n"/>
      <c r="K10" s="11">
        <f>COUNTIFS(Model!$N$8:$N$57,"Blocked - recall",Model!$O$8:$O$57,1)</f>
        <v>1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</sheetData>
  <mergeCells count="12">
    <mergeCell ref="H11:I11"/>
    <mergeCell ref="K11:L11"/>
    <mergeCell ref="B11:C11"/>
    <mergeCell ref="E10:F10"/>
    <mergeCell ref="H10:I10"/>
    <mergeCell ref="B10:C10"/>
    <mergeCell ref="E11:F11"/>
    <mergeCell ref="K9:L9"/>
    <mergeCell ref="K10:L10"/>
    <mergeCell ref="B9:C9"/>
    <mergeCell ref="E9:F9"/>
    <mergeCell ref="H9:I9"/>
  </mergeCells>
  <dataValidations count="1">
    <dataValidation sqref="B6" showDropDown="0" showInputMessage="0" showErrorMessage="0" allowBlank="0" promptTitle="Category" prompt="Pick a category or All" type="list">
      <formula1>=Lookup!$M$6:$M$17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6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2" t="inlineStr">
        <is>
          <t>Reorder calculation (live)</t>
        </is>
      </c>
    </row>
    <row r="6">
      <c r="B6" s="7" t="inlineStr">
        <is>
          <t>Change lead time, review period or service level on Assumptions and every order recalculates.</t>
        </is>
      </c>
    </row>
    <row r="7" ht="28" customHeight="1">
      <c r="B7" s="13" t="inlineStr">
        <is>
          <t>SKU</t>
        </is>
      </c>
      <c r="C7" s="13" t="inlineStr">
        <is>
          <t>Product</t>
        </is>
      </c>
      <c r="D7" s="13" t="inlineStr">
        <is>
          <t>Category</t>
        </is>
      </c>
      <c r="E7" s="13" t="inlineStr">
        <is>
          <t>Supplier</t>
        </is>
      </c>
      <c r="F7" s="13" t="inlineStr">
        <is>
          <t>Daily demand</t>
        </is>
      </c>
      <c r="G7" s="13" t="inlineStr">
        <is>
          <t>On hand</t>
        </is>
      </c>
      <c r="H7" s="13" t="inlineStr">
        <is>
          <t>Safety stock</t>
        </is>
      </c>
      <c r="I7" s="13" t="inlineStr">
        <is>
          <t>Reorder point</t>
        </is>
      </c>
      <c r="J7" s="13" t="inlineStr">
        <is>
          <t>Order up to</t>
        </is>
      </c>
      <c r="K7" s="13" t="inlineStr">
        <is>
          <t>Order qty</t>
        </is>
      </c>
      <c r="L7" s="13" t="inlineStr">
        <is>
          <t>Order $</t>
        </is>
      </c>
      <c r="M7" s="13" t="inlineStr">
        <is>
          <t>Days cover</t>
        </is>
      </c>
      <c r="N7" s="13" t="inlineStr">
        <is>
          <t>Status</t>
        </is>
      </c>
      <c r="O7" s="13" t="inlineStr">
        <is>
          <t>In selection</t>
        </is>
      </c>
    </row>
    <row r="8">
      <c r="B8" s="14" t="inlineStr">
        <is>
          <t>BAK003</t>
        </is>
      </c>
      <c r="C8" s="14" t="str">
        <f>INDEX(Raw!$B$2:$B$51,MATCH($B8,Raw!$A$2:$A$51,0))</f>
        <v>Croissant 4pk</v>
      </c>
      <c r="D8" s="14" t="str">
        <f>INDEX(Raw!$C$2:$C$51,MATCH($B8,Raw!$A$2:$A$51,0))</f>
        <v>Bakery</v>
      </c>
      <c r="E8" s="14" t="str">
        <f>INDEX(Raw!$D$2:$D$51,MATCH($B8,Raw!$A$2:$A$51,0))</f>
        <v>Auckland Bakehouse</v>
      </c>
      <c r="F8" s="15">
        <f>INDEX(Raw!$E$2:$E$51,MATCH($B8,Raw!$A$2:$A$51,0))</f>
        <v>6.929</v>
      </c>
      <c r="G8" s="16">
        <f>INDEX(Raw!$G$2:$G$51,MATCH($B8,Raw!$A$2:$A$51,0))</f>
        <v>51</v>
      </c>
      <c r="H8" s="15">
        <f>Assumptions!$C$8*INDEX(Raw!$F$2:$F$51,MATCH($B8,Raw!$A$2:$A$51,0))*SQRT(Assumptions!$C$6+Assumptions!$C$7)</f>
        <v>10.5198703873907</v>
      </c>
      <c r="I8" s="15">
        <f>MIN(F8*(Assumptions!$C$6+Assumptions!$C$7)+H8,F8*MAX(1,INDEX(Raw!$H$2:$H$51,MATCH($B8,Raw!$A$2:$A$51,0))))</f>
        <v>20.787</v>
      </c>
      <c r="J8" s="15">
        <f>MIN(I8+F8*Assumptions!$C$7,F8*MAX(1,INDEX(Raw!$H$2:$H$51,MATCH($B8,Raw!$A$2:$A$51,0))))</f>
        <v>20.787</v>
      </c>
      <c r="K8" s="16">
        <f>IF(OR(INDEX(Raw!$J$2:$J$51,MATCH($B8,Raw!$A$2:$A$51,0))=1,G8&gt;I8),0,ROUNDUP(MAX(0,J8-G8),0))</f>
        <v>0</v>
      </c>
      <c r="L8" s="17">
        <f>K8*INDEX(Raw!$I$2:$I$51,MATCH($B8,Raw!$A$2:$A$51,0))</f>
        <v>0</v>
      </c>
      <c r="M8" s="15">
        <f>IFERROR(G8/F8,0)</f>
        <v>7.36036946168278</v>
      </c>
      <c r="N8" s="14" t="str">
        <f>IF(INDEX(Raw!$J$2:$J$51,MATCH($B8,Raw!$A$2:$A$51,0))=1,"Blocked - recall",IF(M8&lt;Assumptions!$C$6,"Order now",IF(K8&gt;0,"Order","OK")))</f>
        <v>OK</v>
      </c>
      <c r="O8" s="16">
        <f>IF(OR(SelCat="All",D8=SelCat),1,0)</f>
        <v>1</v>
      </c>
    </row>
    <row r="9">
      <c r="B9" s="14" t="inlineStr">
        <is>
          <t>BAK001</t>
        </is>
      </c>
      <c r="C9" s="14" t="str">
        <f>INDEX(Raw!$B$2:$B$51,MATCH($B9,Raw!$A$2:$A$51,0))</f>
        <v>Toast Bread White</v>
      </c>
      <c r="D9" s="14" t="str">
        <f>INDEX(Raw!$C$2:$C$51,MATCH($B9,Raw!$A$2:$A$51,0))</f>
        <v>Bakery</v>
      </c>
      <c r="E9" s="14" t="str">
        <f>INDEX(Raw!$D$2:$D$51,MATCH($B9,Raw!$A$2:$A$51,0))</f>
        <v>Auckland Bakehouse</v>
      </c>
      <c r="F9" s="15">
        <f>INDEX(Raw!$E$2:$E$51,MATCH($B9,Raw!$A$2:$A$51,0))</f>
        <v>20.393</v>
      </c>
      <c r="G9" s="16">
        <f>INDEX(Raw!$G$2:$G$51,MATCH($B9,Raw!$A$2:$A$51,0))</f>
        <v>179</v>
      </c>
      <c r="H9" s="15">
        <f>Assumptions!$C$8*INDEX(Raw!$F$2:$F$51,MATCH($B9,Raw!$A$2:$A$51,0))*SQRT(Assumptions!$C$6+Assumptions!$C$7)</f>
        <v>17.5874171051351</v>
      </c>
      <c r="I9" s="15">
        <f>MIN(F9*(Assumptions!$C$6+Assumptions!$C$7)+H9,F9*MAX(1,INDEX(Raw!$H$2:$H$51,MATCH($B9,Raw!$A$2:$A$51,0))))</f>
        <v>78.7664171051351</v>
      </c>
      <c r="J9" s="15">
        <f>MIN(I9+F9*Assumptions!$C$7,F9*MAX(1,INDEX(Raw!$H$2:$H$51,MATCH($B9,Raw!$A$2:$A$51,0))))</f>
        <v>99.1594171051351</v>
      </c>
      <c r="K9" s="16">
        <f>IF(OR(INDEX(Raw!$J$2:$J$51,MATCH($B9,Raw!$A$2:$A$51,0))=1,G9&gt;I9),0,ROUNDUP(MAX(0,J9-G9),0))</f>
        <v>0</v>
      </c>
      <c r="L9" s="17">
        <f>K9*INDEX(Raw!$I$2:$I$51,MATCH($B9,Raw!$A$2:$A$51,0))</f>
        <v>0</v>
      </c>
      <c r="M9" s="15">
        <f>IFERROR(G9/F9,0)</f>
        <v>8.77752169862208</v>
      </c>
      <c r="N9" s="14" t="str">
        <f>IF(INDEX(Raw!$J$2:$J$51,MATCH($B9,Raw!$A$2:$A$51,0))=1,"Blocked - recall",IF(M9&lt;Assumptions!$C$6,"Order now",IF(K9&gt;0,"Order","OK")))</f>
        <v>OK</v>
      </c>
      <c r="O9" s="16">
        <f>IF(OR(SelCat="All",D9=SelCat),1,0)</f>
        <v>1</v>
      </c>
    </row>
    <row r="10">
      <c r="B10" s="14" t="inlineStr">
        <is>
          <t>BAK002</t>
        </is>
      </c>
      <c r="C10" s="14" t="str">
        <f>INDEX(Raw!$B$2:$B$51,MATCH($B10,Raw!$A$2:$A$51,0))</f>
        <v>Wholemeal Loaf</v>
      </c>
      <c r="D10" s="14" t="str">
        <f>INDEX(Raw!$C$2:$C$51,MATCH($B10,Raw!$A$2:$A$51,0))</f>
        <v>Bakery</v>
      </c>
      <c r="E10" s="14" t="str">
        <f>INDEX(Raw!$D$2:$D$51,MATCH($B10,Raw!$A$2:$A$51,0))</f>
        <v>Auckland Bakehouse</v>
      </c>
      <c r="F10" s="15">
        <f>INDEX(Raw!$E$2:$E$51,MATCH($B10,Raw!$A$2:$A$51,0))</f>
        <v>11.893</v>
      </c>
      <c r="G10" s="16">
        <f>INDEX(Raw!$G$2:$G$51,MATCH($B10,Raw!$A$2:$A$51,0))</f>
        <v>95</v>
      </c>
      <c r="H10" s="15">
        <f>Assumptions!$C$8*INDEX(Raw!$F$2:$F$51,MATCH($B10,Raw!$A$2:$A$51,0))*SQRT(Assumptions!$C$6+Assumptions!$C$7)</f>
        <v>12.7404461252344</v>
      </c>
      <c r="I10" s="15">
        <f>MIN(F10*(Assumptions!$C$6+Assumptions!$C$7)+H10,F10*MAX(1,INDEX(Raw!$H$2:$H$51,MATCH($B10,Raw!$A$2:$A$51,0))))</f>
        <v>48.4194461252344</v>
      </c>
      <c r="J10" s="15">
        <f>MIN(I10+F10*Assumptions!$C$7,F10*MAX(1,INDEX(Raw!$H$2:$H$51,MATCH($B10,Raw!$A$2:$A$51,0))))</f>
        <v>59.465</v>
      </c>
      <c r="K10" s="16">
        <f>IF(OR(INDEX(Raw!$J$2:$J$51,MATCH($B10,Raw!$A$2:$A$51,0))=1,G10&gt;I10),0,ROUNDUP(MAX(0,J10-G10),0))</f>
        <v>0</v>
      </c>
      <c r="L10" s="17">
        <f>K10*INDEX(Raw!$I$2:$I$51,MATCH($B10,Raw!$A$2:$A$51,0))</f>
        <v>0</v>
      </c>
      <c r="M10" s="15">
        <f>IFERROR(G10/F10,0)</f>
        <v>7.98789203733289</v>
      </c>
      <c r="N10" s="14" t="str">
        <f>IF(INDEX(Raw!$J$2:$J$51,MATCH($B10,Raw!$A$2:$A$51,0))=1,"Blocked - recall",IF(M10&lt;Assumptions!$C$6,"Order now",IF(K10&gt;0,"Order","OK")))</f>
        <v>OK</v>
      </c>
      <c r="O10" s="16">
        <f>IF(OR(SelCat="All",D10=SelCat),1,0)</f>
        <v>1</v>
      </c>
    </row>
    <row r="11">
      <c r="B11" s="14" t="inlineStr">
        <is>
          <t>LIQ001</t>
        </is>
      </c>
      <c r="C11" s="14" t="str">
        <f>INDEX(Raw!$B$2:$B$51,MATCH($B11,Raw!$A$2:$A$51,0))</f>
        <v>Craft Beer 6pk</v>
      </c>
      <c r="D11" s="14" t="str">
        <f>INDEX(Raw!$C$2:$C$51,MATCH($B11,Raw!$A$2:$A$51,0))</f>
        <v>Beer &amp; Wine</v>
      </c>
      <c r="E11" s="14" t="str">
        <f>INDEX(Raw!$D$2:$D$51,MATCH($B11,Raw!$A$2:$A$51,0))</f>
        <v>Liquor Dist.</v>
      </c>
      <c r="F11" s="15">
        <f>INDEX(Raw!$E$2:$E$51,MATCH($B11,Raw!$A$2:$A$51,0))</f>
        <v>5.643</v>
      </c>
      <c r="G11" s="16">
        <f>INDEX(Raw!$G$2:$G$51,MATCH($B11,Raw!$A$2:$A$51,0))</f>
        <v>51</v>
      </c>
      <c r="H11" s="15">
        <f>Assumptions!$C$8*INDEX(Raw!$F$2:$F$51,MATCH($B11,Raw!$A$2:$A$51,0))*SQRT(Assumptions!$C$6+Assumptions!$C$7)</f>
        <v>9.78253635860864</v>
      </c>
      <c r="I11" s="15">
        <f>MIN(F11*(Assumptions!$C$6+Assumptions!$C$7)+H11,F11*MAX(1,INDEX(Raw!$H$2:$H$51,MATCH($B11,Raw!$A$2:$A$51,0))))</f>
        <v>26.7115363586086</v>
      </c>
      <c r="J11" s="15">
        <f>MIN(I11+F11*Assumptions!$C$7,F11*MAX(1,INDEX(Raw!$H$2:$H$51,MATCH($B11,Raw!$A$2:$A$51,0))))</f>
        <v>32.3545363586086</v>
      </c>
      <c r="K11" s="16">
        <f>IF(OR(INDEX(Raw!$J$2:$J$51,MATCH($B11,Raw!$A$2:$A$51,0))=1,G11&gt;I11),0,ROUNDUP(MAX(0,J11-G11),0))</f>
        <v>0</v>
      </c>
      <c r="L11" s="17">
        <f>K11*INDEX(Raw!$I$2:$I$51,MATCH($B11,Raw!$A$2:$A$51,0))</f>
        <v>0</v>
      </c>
      <c r="M11" s="15">
        <f>IFERROR(G11/F11,0)</f>
        <v>9.03774587985114</v>
      </c>
      <c r="N11" s="14" t="str">
        <f>IF(INDEX(Raw!$J$2:$J$51,MATCH($B11,Raw!$A$2:$A$51,0))=1,"Blocked - recall",IF(M11&lt;Assumptions!$C$6,"Order now",IF(K11&gt;0,"Order","OK")))</f>
        <v>OK</v>
      </c>
      <c r="O11" s="16">
        <f>IF(OR(SelCat="All",D11=SelCat),1,0)</f>
        <v>1</v>
      </c>
    </row>
    <row r="12">
      <c r="B12" s="14" t="inlineStr">
        <is>
          <t>LIQ004</t>
        </is>
      </c>
      <c r="C12" s="14" t="str">
        <f>INDEX(Raw!$B$2:$B$51,MATCH($B12,Raw!$A$2:$A$51,0))</f>
        <v>Pinot Noir 750ml</v>
      </c>
      <c r="D12" s="14" t="str">
        <f>INDEX(Raw!$C$2:$C$51,MATCH($B12,Raw!$A$2:$A$51,0))</f>
        <v>Beer &amp; Wine</v>
      </c>
      <c r="E12" s="14" t="str">
        <f>INDEX(Raw!$D$2:$D$51,MATCH($B12,Raw!$A$2:$A$51,0))</f>
        <v>Liquor Dist.</v>
      </c>
      <c r="F12" s="15">
        <f>INDEX(Raw!$E$2:$E$51,MATCH($B12,Raw!$A$2:$A$51,0))</f>
        <v>2.321</v>
      </c>
      <c r="G12" s="16">
        <f>INDEX(Raw!$G$2:$G$51,MATCH($B12,Raw!$A$2:$A$51,0))</f>
        <v>16</v>
      </c>
      <c r="H12" s="15">
        <f>Assumptions!$C$8*INDEX(Raw!$F$2:$F$51,MATCH($B12,Raw!$A$2:$A$51,0))*SQRT(Assumptions!$C$6+Assumptions!$C$7)</f>
        <v>5.50428426137313</v>
      </c>
      <c r="I12" s="15">
        <f>MIN(F12*(Assumptions!$C$6+Assumptions!$C$7)+H12,F12*MAX(1,INDEX(Raw!$H$2:$H$51,MATCH($B12,Raw!$A$2:$A$51,0))))</f>
        <v>12.4672842613731</v>
      </c>
      <c r="J12" s="15">
        <f>MIN(I12+F12*Assumptions!$C$7,F12*MAX(1,INDEX(Raw!$H$2:$H$51,MATCH($B12,Raw!$A$2:$A$51,0))))</f>
        <v>14.7882842613731</v>
      </c>
      <c r="K12" s="16">
        <f>IF(OR(INDEX(Raw!$J$2:$J$51,MATCH($B12,Raw!$A$2:$A$51,0))=1,G12&gt;I12),0,ROUNDUP(MAX(0,J12-G12),0))</f>
        <v>0</v>
      </c>
      <c r="L12" s="17">
        <f>K12*INDEX(Raw!$I$2:$I$51,MATCH($B12,Raw!$A$2:$A$51,0))</f>
        <v>0</v>
      </c>
      <c r="M12" s="15">
        <f>IFERROR(G12/F12,0)</f>
        <v>6.89358035329599</v>
      </c>
      <c r="N12" s="14" t="str">
        <f>IF(INDEX(Raw!$J$2:$J$51,MATCH($B12,Raw!$A$2:$A$51,0))=1,"Blocked - recall",IF(M12&lt;Assumptions!$C$6,"Order now",IF(K12&gt;0,"Order","OK")))</f>
        <v>OK</v>
      </c>
      <c r="O12" s="16">
        <f>IF(OR(SelCat="All",D12=SelCat),1,0)</f>
        <v>1</v>
      </c>
    </row>
    <row r="13">
      <c r="B13" s="14" t="inlineStr">
        <is>
          <t>LIQ003</t>
        </is>
      </c>
      <c r="C13" s="14" t="str">
        <f>INDEX(Raw!$B$2:$B$51,MATCH($B13,Raw!$A$2:$A$51,0))</f>
        <v>RTD 4pk</v>
      </c>
      <c r="D13" s="14" t="str">
        <f>INDEX(Raw!$C$2:$C$51,MATCH($B13,Raw!$A$2:$A$51,0))</f>
        <v>Beer &amp; Wine</v>
      </c>
      <c r="E13" s="14" t="str">
        <f>INDEX(Raw!$D$2:$D$51,MATCH($B13,Raw!$A$2:$A$51,0))</f>
        <v>Liquor Dist.</v>
      </c>
      <c r="F13" s="15">
        <f>INDEX(Raw!$E$2:$E$51,MATCH($B13,Raw!$A$2:$A$51,0))</f>
        <v>4.393</v>
      </c>
      <c r="G13" s="16">
        <f>INDEX(Raw!$G$2:$G$51,MATCH($B13,Raw!$A$2:$A$51,0))</f>
        <v>36</v>
      </c>
      <c r="H13" s="15">
        <f>Assumptions!$C$8*INDEX(Raw!$F$2:$F$51,MATCH($B13,Raw!$A$2:$A$51,0))*SQRT(Assumptions!$C$6+Assumptions!$C$7)</f>
        <v>6.88464215246515</v>
      </c>
      <c r="I13" s="15">
        <f>MIN(F13*(Assumptions!$C$6+Assumptions!$C$7)+H13,F13*MAX(1,INDEX(Raw!$H$2:$H$51,MATCH($B13,Raw!$A$2:$A$51,0))))</f>
        <v>20.0636421524652</v>
      </c>
      <c r="J13" s="15">
        <f>MIN(I13+F13*Assumptions!$C$7,F13*MAX(1,INDEX(Raw!$H$2:$H$51,MATCH($B13,Raw!$A$2:$A$51,0))))</f>
        <v>24.4566421524652</v>
      </c>
      <c r="K13" s="16">
        <f>IF(OR(INDEX(Raw!$J$2:$J$51,MATCH($B13,Raw!$A$2:$A$51,0))=1,G13&gt;I13),0,ROUNDUP(MAX(0,J13-G13),0))</f>
        <v>0</v>
      </c>
      <c r="L13" s="17">
        <f>K13*INDEX(Raw!$I$2:$I$51,MATCH($B13,Raw!$A$2:$A$51,0))</f>
        <v>0</v>
      </c>
      <c r="M13" s="15">
        <f>IFERROR(G13/F13,0)</f>
        <v>8.19485545185522</v>
      </c>
      <c r="N13" s="14" t="str">
        <f>IF(INDEX(Raw!$J$2:$J$51,MATCH($B13,Raw!$A$2:$A$51,0))=1,"Blocked - recall",IF(M13&lt;Assumptions!$C$6,"Order now",IF(K13&gt;0,"Order","OK")))</f>
        <v>OK</v>
      </c>
      <c r="O13" s="16">
        <f>IF(OR(SelCat="All",D13=SelCat),1,0)</f>
        <v>1</v>
      </c>
    </row>
    <row r="14">
      <c r="B14" s="14" t="inlineStr">
        <is>
          <t>LIQ002</t>
        </is>
      </c>
      <c r="C14" s="14" t="str">
        <f>INDEX(Raw!$B$2:$B$51,MATCH($B14,Raw!$A$2:$A$51,0))</f>
        <v>Sauvignon Blanc 750ml</v>
      </c>
      <c r="D14" s="14" t="str">
        <f>INDEX(Raw!$C$2:$C$51,MATCH($B14,Raw!$A$2:$A$51,0))</f>
        <v>Beer &amp; Wine</v>
      </c>
      <c r="E14" s="14" t="str">
        <f>INDEX(Raw!$D$2:$D$51,MATCH($B14,Raw!$A$2:$A$51,0))</f>
        <v>Liquor Dist.</v>
      </c>
      <c r="F14" s="15">
        <f>INDEX(Raw!$E$2:$E$51,MATCH($B14,Raw!$A$2:$A$51,0))</f>
        <v>4.286</v>
      </c>
      <c r="G14" s="16">
        <f>INDEX(Raw!$G$2:$G$51,MATCH($B14,Raw!$A$2:$A$51,0))</f>
        <v>43</v>
      </c>
      <c r="H14" s="15">
        <f>Assumptions!$C$8*INDEX(Raw!$F$2:$F$51,MATCH($B14,Raw!$A$2:$A$51,0))*SQRT(Assumptions!$C$6+Assumptions!$C$7)</f>
        <v>8.03922722079057</v>
      </c>
      <c r="I14" s="15">
        <f>MIN(F14*(Assumptions!$C$6+Assumptions!$C$7)+H14,F14*MAX(1,INDEX(Raw!$H$2:$H$51,MATCH($B14,Raw!$A$2:$A$51,0))))</f>
        <v>20.8972272207906</v>
      </c>
      <c r="J14" s="15">
        <f>MIN(I14+F14*Assumptions!$C$7,F14*MAX(1,INDEX(Raw!$H$2:$H$51,MATCH($B14,Raw!$A$2:$A$51,0))))</f>
        <v>25.1832272207906</v>
      </c>
      <c r="K14" s="16">
        <f>IF(OR(INDEX(Raw!$J$2:$J$51,MATCH($B14,Raw!$A$2:$A$51,0))=1,G14&gt;I14),0,ROUNDUP(MAX(0,J14-G14),0))</f>
        <v>0</v>
      </c>
      <c r="L14" s="17">
        <f>K14*INDEX(Raw!$I$2:$I$51,MATCH($B14,Raw!$A$2:$A$51,0))</f>
        <v>0</v>
      </c>
      <c r="M14" s="15">
        <f>IFERROR(G14/F14,0)</f>
        <v>10.0326644890341</v>
      </c>
      <c r="N14" s="14" t="str">
        <f>IF(INDEX(Raw!$J$2:$J$51,MATCH($B14,Raw!$A$2:$A$51,0))=1,"Blocked - recall",IF(M14&lt;Assumptions!$C$6,"Order now",IF(K14&gt;0,"Order","OK")))</f>
        <v>OK</v>
      </c>
      <c r="O14" s="16">
        <f>IF(OR(SelCat="All",D14=SelCat),1,0)</f>
        <v>1</v>
      </c>
    </row>
    <row r="15">
      <c r="B15" s="14" t="inlineStr">
        <is>
          <t>BEV006</t>
        </is>
      </c>
      <c r="C15" s="14" t="str">
        <f>INDEX(Raw!$B$2:$B$51,MATCH($B15,Raw!$A$2:$A$51,0))</f>
        <v>Bottled Water 750ml</v>
      </c>
      <c r="D15" s="14" t="str">
        <f>INDEX(Raw!$C$2:$C$51,MATCH($B15,Raw!$A$2:$A$51,0))</f>
        <v>Beverages</v>
      </c>
      <c r="E15" s="14" t="str">
        <f>INDEX(Raw!$D$2:$D$51,MATCH($B15,Raw!$A$2:$A$51,0))</f>
        <v>Beverage Dist.</v>
      </c>
      <c r="F15" s="15">
        <f>INDEX(Raw!$E$2:$E$51,MATCH($B15,Raw!$A$2:$A$51,0))</f>
        <v>18.071</v>
      </c>
      <c r="G15" s="16">
        <f>INDEX(Raw!$G$2:$G$51,MATCH($B15,Raw!$A$2:$A$51,0))</f>
        <v>177</v>
      </c>
      <c r="H15" s="15">
        <f>Assumptions!$C$8*INDEX(Raw!$F$2:$F$51,MATCH($B15,Raw!$A$2:$A$51,0))*SQRT(Assumptions!$C$6+Assumptions!$C$7)</f>
        <v>14.7552542271389</v>
      </c>
      <c r="I15" s="15">
        <f>MIN(F15*(Assumptions!$C$6+Assumptions!$C$7)+H15,F15*MAX(1,INDEX(Raw!$H$2:$H$51,MATCH($B15,Raw!$A$2:$A$51,0))))</f>
        <v>68.9682542271389</v>
      </c>
      <c r="J15" s="15">
        <f>MIN(I15+F15*Assumptions!$C$7,F15*MAX(1,INDEX(Raw!$H$2:$H$51,MATCH($B15,Raw!$A$2:$A$51,0))))</f>
        <v>87.0392542271389</v>
      </c>
      <c r="K15" s="16">
        <f>IF(OR(INDEX(Raw!$J$2:$J$51,MATCH($B15,Raw!$A$2:$A$51,0))=1,G15&gt;I15),0,ROUNDUP(MAX(0,J15-G15),0))</f>
        <v>0</v>
      </c>
      <c r="L15" s="17">
        <f>K15*INDEX(Raw!$I$2:$I$51,MATCH($B15,Raw!$A$2:$A$51,0))</f>
        <v>0</v>
      </c>
      <c r="M15" s="15">
        <f>IFERROR(G15/F15,0)</f>
        <v>9.79469868850645</v>
      </c>
      <c r="N15" s="14" t="str">
        <f>IF(INDEX(Raw!$J$2:$J$51,MATCH($B15,Raw!$A$2:$A$51,0))=1,"Blocked - recall",IF(M15&lt;Assumptions!$C$6,"Order now",IF(K15&gt;0,"Order","OK")))</f>
        <v>OK</v>
      </c>
      <c r="O15" s="16">
        <f>IF(OR(SelCat="All",D15=SelCat),1,0)</f>
        <v>1</v>
      </c>
    </row>
    <row r="16">
      <c r="B16" s="14" t="inlineStr">
        <is>
          <t>BBT001</t>
        </is>
      </c>
      <c r="C16" s="14" t="str">
        <f>INDEX(Raw!$B$2:$B$51,MATCH($B16,Raw!$A$2:$A$51,0))</f>
        <v>Bubble Tea Kit</v>
      </c>
      <c r="D16" s="14" t="str">
        <f>INDEX(Raw!$C$2:$C$51,MATCH($B16,Raw!$A$2:$A$51,0))</f>
        <v>Beverages</v>
      </c>
      <c r="E16" s="14" t="str">
        <f>INDEX(Raw!$D$2:$D$51,MATCH($B16,Raw!$A$2:$A$51,0))</f>
        <v>Asia Imports</v>
      </c>
      <c r="F16" s="15">
        <f>INDEX(Raw!$E$2:$E$51,MATCH($B16,Raw!$A$2:$A$51,0))</f>
        <v>5.107</v>
      </c>
      <c r="G16" s="16">
        <f>INDEX(Raw!$G$2:$G$51,MATCH($B16,Raw!$A$2:$A$51,0))</f>
        <v>45</v>
      </c>
      <c r="H16" s="15">
        <f>Assumptions!$C$8*INDEX(Raw!$F$2:$F$51,MATCH($B16,Raw!$A$2:$A$51,0))*SQRT(Assumptions!$C$6+Assumptions!$C$7)</f>
        <v>9.63106851548674</v>
      </c>
      <c r="I16" s="15">
        <f>MIN(F16*(Assumptions!$C$6+Assumptions!$C$7)+H16,F16*MAX(1,INDEX(Raw!$H$2:$H$51,MATCH($B16,Raw!$A$2:$A$51,0))))</f>
        <v>24.9520685154867</v>
      </c>
      <c r="J16" s="15">
        <f>MIN(I16+F16*Assumptions!$C$7,F16*MAX(1,INDEX(Raw!$H$2:$H$51,MATCH($B16,Raw!$A$2:$A$51,0))))</f>
        <v>30.0590685154867</v>
      </c>
      <c r="K16" s="16">
        <f>IF(OR(INDEX(Raw!$J$2:$J$51,MATCH($B16,Raw!$A$2:$A$51,0))=1,G16&gt;I16),0,ROUNDUP(MAX(0,J16-G16),0))</f>
        <v>0</v>
      </c>
      <c r="L16" s="17">
        <f>K16*INDEX(Raw!$I$2:$I$51,MATCH($B16,Raw!$A$2:$A$51,0))</f>
        <v>0</v>
      </c>
      <c r="M16" s="15">
        <f>IFERROR(G16/F16,0)</f>
        <v>8.81143528490307</v>
      </c>
      <c r="N16" s="14" t="str">
        <f>IF(INDEX(Raw!$J$2:$J$51,MATCH($B16,Raw!$A$2:$A$51,0))=1,"Blocked - recall",IF(M16&lt;Assumptions!$C$6,"Order now",IF(K16&gt;0,"Order","OK")))</f>
        <v>OK</v>
      </c>
      <c r="O16" s="16">
        <f>IF(OR(SelCat="All",D16=SelCat),1,0)</f>
        <v>1</v>
      </c>
    </row>
    <row r="17">
      <c r="B17" s="14" t="inlineStr">
        <is>
          <t>BEV002</t>
        </is>
      </c>
      <c r="C17" s="14" t="str">
        <f>INDEX(Raw!$B$2:$B$51,MATCH($B17,Raw!$A$2:$A$51,0))</f>
        <v>Cola 1.5L</v>
      </c>
      <c r="D17" s="14" t="str">
        <f>INDEX(Raw!$C$2:$C$51,MATCH($B17,Raw!$A$2:$A$51,0))</f>
        <v>Beverages</v>
      </c>
      <c r="E17" s="14" t="str">
        <f>INDEX(Raw!$D$2:$D$51,MATCH($B17,Raw!$A$2:$A$51,0))</f>
        <v>Beverage Dist.</v>
      </c>
      <c r="F17" s="15">
        <f>INDEX(Raw!$E$2:$E$51,MATCH($B17,Raw!$A$2:$A$51,0))</f>
        <v>14.071</v>
      </c>
      <c r="G17" s="16">
        <f>INDEX(Raw!$G$2:$G$51,MATCH($B17,Raw!$A$2:$A$51,0))</f>
        <v>127</v>
      </c>
      <c r="H17" s="15">
        <f>Assumptions!$C$8*INDEX(Raw!$F$2:$F$51,MATCH($B17,Raw!$A$2:$A$51,0))*SQRT(Assumptions!$C$6+Assumptions!$C$7)</f>
        <v>13.8264419815801</v>
      </c>
      <c r="I17" s="15">
        <f>MIN(F17*(Assumptions!$C$6+Assumptions!$C$7)+H17,F17*MAX(1,INDEX(Raw!$H$2:$H$51,MATCH($B17,Raw!$A$2:$A$51,0))))</f>
        <v>56.0394419815801</v>
      </c>
      <c r="J17" s="15">
        <f>MIN(I17+F17*Assumptions!$C$7,F17*MAX(1,INDEX(Raw!$H$2:$H$51,MATCH($B17,Raw!$A$2:$A$51,0))))</f>
        <v>70.1104419815801</v>
      </c>
      <c r="K17" s="16">
        <f>IF(OR(INDEX(Raw!$J$2:$J$51,MATCH($B17,Raw!$A$2:$A$51,0))=1,G17&gt;I17),0,ROUNDUP(MAX(0,J17-G17),0))</f>
        <v>0</v>
      </c>
      <c r="L17" s="17">
        <f>K17*INDEX(Raw!$I$2:$I$51,MATCH($B17,Raw!$A$2:$A$51,0))</f>
        <v>0</v>
      </c>
      <c r="M17" s="15">
        <f>IFERROR(G17/F17,0)</f>
        <v>9.02565560372397</v>
      </c>
      <c r="N17" s="14" t="str">
        <f>IF(INDEX(Raw!$J$2:$J$51,MATCH($B17,Raw!$A$2:$A$51,0))=1,"Blocked - recall",IF(M17&lt;Assumptions!$C$6,"Order now",IF(K17&gt;0,"Order","OK")))</f>
        <v>OK</v>
      </c>
      <c r="O17" s="16">
        <f>IF(OR(SelCat="All",D17=SelCat),1,0)</f>
        <v>1</v>
      </c>
    </row>
    <row r="18">
      <c r="B18" s="14" t="inlineStr">
        <is>
          <t>BEV001</t>
        </is>
      </c>
      <c r="C18" s="14" t="str">
        <f>INDEX(Raw!$B$2:$B$51,MATCH($B18,Raw!$A$2:$A$51,0))</f>
        <v>Energy Drink 500ml</v>
      </c>
      <c r="D18" s="14" t="str">
        <f>INDEX(Raw!$C$2:$C$51,MATCH($B18,Raw!$A$2:$A$51,0))</f>
        <v>Beverages</v>
      </c>
      <c r="E18" s="14" t="str">
        <f>INDEX(Raw!$D$2:$D$51,MATCH($B18,Raw!$A$2:$A$51,0))</f>
        <v>Beverage Dist.</v>
      </c>
      <c r="F18" s="15">
        <f>INDEX(Raw!$E$2:$E$51,MATCH($B18,Raw!$A$2:$A$51,0))</f>
        <v>31.321</v>
      </c>
      <c r="G18" s="16">
        <f>INDEX(Raw!$G$2:$G$51,MATCH($B18,Raw!$A$2:$A$51,0))</f>
        <v>238</v>
      </c>
      <c r="H18" s="15">
        <f>Assumptions!$C$8*INDEX(Raw!$F$2:$F$51,MATCH($B18,Raw!$A$2:$A$51,0))*SQRT(Assumptions!$C$6+Assumptions!$C$7)</f>
        <v>55.9002077634779</v>
      </c>
      <c r="I18" s="15">
        <f>MIN(F18*(Assumptions!$C$6+Assumptions!$C$7)+H18,F18*MAX(1,INDEX(Raw!$H$2:$H$51,MATCH($B18,Raw!$A$2:$A$51,0))))</f>
        <v>149.863207763478</v>
      </c>
      <c r="J18" s="15">
        <f>MIN(I18+F18*Assumptions!$C$7,F18*MAX(1,INDEX(Raw!$H$2:$H$51,MATCH($B18,Raw!$A$2:$A$51,0))))</f>
        <v>181.184207763478</v>
      </c>
      <c r="K18" s="16">
        <f>IF(OR(INDEX(Raw!$J$2:$J$51,MATCH($B18,Raw!$A$2:$A$51,0))=1,G18&gt;I18),0,ROUNDUP(MAX(0,J18-G18),0))</f>
        <v>0</v>
      </c>
      <c r="L18" s="17">
        <f>K18*INDEX(Raw!$I$2:$I$51,MATCH($B18,Raw!$A$2:$A$51,0))</f>
        <v>0</v>
      </c>
      <c r="M18" s="15">
        <f>IFERROR(G18/F18,0)</f>
        <v>7.59873567255196</v>
      </c>
      <c r="N18" s="14" t="str">
        <f>IF(INDEX(Raw!$J$2:$J$51,MATCH($B18,Raw!$A$2:$A$51,0))=1,"Blocked - recall",IF(M18&lt;Assumptions!$C$6,"Order now",IF(K18&gt;0,"Order","OK")))</f>
        <v>OK</v>
      </c>
      <c r="O18" s="16">
        <f>IF(OR(SelCat="All",D18=SelCat),1,0)</f>
        <v>1</v>
      </c>
    </row>
    <row r="19">
      <c r="B19" s="14" t="inlineStr">
        <is>
          <t>BEV004</t>
        </is>
      </c>
      <c r="C19" s="14" t="str">
        <f>INDEX(Raw!$B$2:$B$51,MATCH($B19,Raw!$A$2:$A$51,0))</f>
        <v>Iced Coffee 500ml</v>
      </c>
      <c r="D19" s="14" t="str">
        <f>INDEX(Raw!$C$2:$C$51,MATCH($B19,Raw!$A$2:$A$51,0))</f>
        <v>Beverages</v>
      </c>
      <c r="E19" s="14" t="str">
        <f>INDEX(Raw!$D$2:$D$51,MATCH($B19,Raw!$A$2:$A$51,0))</f>
        <v>Dairy Co-op</v>
      </c>
      <c r="F19" s="15">
        <f>INDEX(Raw!$E$2:$E$51,MATCH($B19,Raw!$A$2:$A$51,0))</f>
        <v>12.929</v>
      </c>
      <c r="G19" s="16">
        <f>INDEX(Raw!$G$2:$G$51,MATCH($B19,Raw!$A$2:$A$51,0))</f>
        <v>121</v>
      </c>
      <c r="H19" s="15">
        <f>Assumptions!$C$8*INDEX(Raw!$F$2:$F$51,MATCH($B19,Raw!$A$2:$A$51,0))*SQRT(Assumptions!$C$6+Assumptions!$C$7)</f>
        <v>14.5723496618596</v>
      </c>
      <c r="I19" s="15">
        <f>MIN(F19*(Assumptions!$C$6+Assumptions!$C$7)+H19,F19*MAX(1,INDEX(Raw!$H$2:$H$51,MATCH($B19,Raw!$A$2:$A$51,0))))</f>
        <v>53.3593496618596</v>
      </c>
      <c r="J19" s="15">
        <f>MIN(I19+F19*Assumptions!$C$7,F19*MAX(1,INDEX(Raw!$H$2:$H$51,MATCH($B19,Raw!$A$2:$A$51,0))))</f>
        <v>66.2883496618596</v>
      </c>
      <c r="K19" s="16">
        <f>IF(OR(INDEX(Raw!$J$2:$J$51,MATCH($B19,Raw!$A$2:$A$51,0))=1,G19&gt;I19),0,ROUNDUP(MAX(0,J19-G19),0))</f>
        <v>0</v>
      </c>
      <c r="L19" s="17">
        <f>K19*INDEX(Raw!$I$2:$I$51,MATCH($B19,Raw!$A$2:$A$51,0))</f>
        <v>0</v>
      </c>
      <c r="M19" s="15">
        <f>IFERROR(G19/F19,0)</f>
        <v>9.35880578544358</v>
      </c>
      <c r="N19" s="14" t="str">
        <f>IF(INDEX(Raw!$J$2:$J$51,MATCH($B19,Raw!$A$2:$A$51,0))=1,"Blocked - recall",IF(M19&lt;Assumptions!$C$6,"Order now",IF(K19&gt;0,"Order","OK")))</f>
        <v>OK</v>
      </c>
      <c r="O19" s="16">
        <f>IF(OR(SelCat="All",D19=SelCat),1,0)</f>
        <v>1</v>
      </c>
    </row>
    <row r="20">
      <c r="B20" s="14" t="inlineStr">
        <is>
          <t>BEV005</t>
        </is>
      </c>
      <c r="C20" s="14" t="str">
        <f>INDEX(Raw!$B$2:$B$51,MATCH($B20,Raw!$A$2:$A$51,0))</f>
        <v>Kombucha 330ml</v>
      </c>
      <c r="D20" s="14" t="str">
        <f>INDEX(Raw!$C$2:$C$51,MATCH($B20,Raw!$A$2:$A$51,0))</f>
        <v>Beverages</v>
      </c>
      <c r="E20" s="14" t="str">
        <f>INDEX(Raw!$D$2:$D$51,MATCH($B20,Raw!$A$2:$A$51,0))</f>
        <v>Plant Foods NZ</v>
      </c>
      <c r="F20" s="15">
        <f>INDEX(Raw!$E$2:$E$51,MATCH($B20,Raw!$A$2:$A$51,0))</f>
        <v>4.857</v>
      </c>
      <c r="G20" s="16">
        <f>INDEX(Raw!$G$2:$G$51,MATCH($B20,Raw!$A$2:$A$51,0))</f>
        <v>54</v>
      </c>
      <c r="H20" s="15">
        <f>Assumptions!$C$8*INDEX(Raw!$F$2:$F$51,MATCH($B20,Raw!$A$2:$A$51,0))*SQRT(Assumptions!$C$6+Assumptions!$C$7)</f>
        <v>7.03039422792207</v>
      </c>
      <c r="I20" s="15">
        <f>MIN(F20*(Assumptions!$C$6+Assumptions!$C$7)+H20,F20*MAX(1,INDEX(Raw!$H$2:$H$51,MATCH($B20,Raw!$A$2:$A$51,0))))</f>
        <v>21.6013942279221</v>
      </c>
      <c r="J20" s="15">
        <f>MIN(I20+F20*Assumptions!$C$7,F20*MAX(1,INDEX(Raw!$H$2:$H$51,MATCH($B20,Raw!$A$2:$A$51,0))))</f>
        <v>26.4583942279221</v>
      </c>
      <c r="K20" s="16">
        <f>IF(OR(INDEX(Raw!$J$2:$J$51,MATCH($B20,Raw!$A$2:$A$51,0))=1,G20&gt;I20),0,ROUNDUP(MAX(0,J20-G20),0))</f>
        <v>0</v>
      </c>
      <c r="L20" s="17">
        <f>K20*INDEX(Raw!$I$2:$I$51,MATCH($B20,Raw!$A$2:$A$51,0))</f>
        <v>0</v>
      </c>
      <c r="M20" s="15">
        <f>IFERROR(G20/F20,0)</f>
        <v>11.1179740580605</v>
      </c>
      <c r="N20" s="14" t="str">
        <f>IF(INDEX(Raw!$J$2:$J$51,MATCH($B20,Raw!$A$2:$A$51,0))=1,"Blocked - recall",IF(M20&lt;Assumptions!$C$6,"Order now",IF(K20&gt;0,"Order","OK")))</f>
        <v>OK</v>
      </c>
      <c r="O20" s="16">
        <f>IF(OR(SelCat="All",D20=SelCat),1,0)</f>
        <v>1</v>
      </c>
    </row>
    <row r="21">
      <c r="B21" s="14" t="inlineStr">
        <is>
          <t>BEV003</t>
        </is>
      </c>
      <c r="C21" s="14" t="str">
        <f>INDEX(Raw!$B$2:$B$51,MATCH($B21,Raw!$A$2:$A$51,0))</f>
        <v>Sparkling Water 1L</v>
      </c>
      <c r="D21" s="14" t="str">
        <f>INDEX(Raw!$C$2:$C$51,MATCH($B21,Raw!$A$2:$A$51,0))</f>
        <v>Beverages</v>
      </c>
      <c r="E21" s="14" t="str">
        <f>INDEX(Raw!$D$2:$D$51,MATCH($B21,Raw!$A$2:$A$51,0))</f>
        <v>Beverage Dist.</v>
      </c>
      <c r="F21" s="15">
        <f>INDEX(Raw!$E$2:$E$51,MATCH($B21,Raw!$A$2:$A$51,0))</f>
        <v>11.964</v>
      </c>
      <c r="G21" s="16">
        <f>INDEX(Raw!$G$2:$G$51,MATCH($B21,Raw!$A$2:$A$51,0))</f>
        <v>105</v>
      </c>
      <c r="H21" s="15">
        <f>Assumptions!$C$8*INDEX(Raw!$F$2:$F$51,MATCH($B21,Raw!$A$2:$A$51,0))*SQRT(Assumptions!$C$6+Assumptions!$C$7)</f>
        <v>13.9036048450573</v>
      </c>
      <c r="I21" s="15">
        <f>MIN(F21*(Assumptions!$C$6+Assumptions!$C$7)+H21,F21*MAX(1,INDEX(Raw!$H$2:$H$51,MATCH($B21,Raw!$A$2:$A$51,0))))</f>
        <v>49.7956048450573</v>
      </c>
      <c r="J21" s="15">
        <f>MIN(I21+F21*Assumptions!$C$7,F21*MAX(1,INDEX(Raw!$H$2:$H$51,MATCH($B21,Raw!$A$2:$A$51,0))))</f>
        <v>61.7596048450573</v>
      </c>
      <c r="K21" s="16">
        <f>IF(OR(INDEX(Raw!$J$2:$J$51,MATCH($B21,Raw!$A$2:$A$51,0))=1,G21&gt;I21),0,ROUNDUP(MAX(0,J21-G21),0))</f>
        <v>0</v>
      </c>
      <c r="L21" s="17">
        <f>K21*INDEX(Raw!$I$2:$I$51,MATCH($B21,Raw!$A$2:$A$51,0))</f>
        <v>0</v>
      </c>
      <c r="M21" s="15">
        <f>IFERROR(G21/F21,0)</f>
        <v>8.77632898696088</v>
      </c>
      <c r="N21" s="14" t="str">
        <f>IF(INDEX(Raw!$J$2:$J$51,MATCH($B21,Raw!$A$2:$A$51,0))=1,"Blocked - recall",IF(M21&lt;Assumptions!$C$6,"Order now",IF(K21&gt;0,"Order","OK")))</f>
        <v>OK</v>
      </c>
      <c r="O21" s="16">
        <f>IF(OR(SelCat="All",D21=SelCat),1,0)</f>
        <v>1</v>
      </c>
    </row>
    <row r="22">
      <c r="B22" s="14" t="inlineStr">
        <is>
          <t>DRY010</t>
        </is>
      </c>
      <c r="C22" s="14" t="str">
        <f>INDEX(Raw!$B$2:$B$51,MATCH($B22,Raw!$A$2:$A$51,0))</f>
        <v>Butter 500g</v>
      </c>
      <c r="D22" s="14" t="str">
        <f>INDEX(Raw!$C$2:$C$51,MATCH($B22,Raw!$A$2:$A$51,0))</f>
        <v>Dairy</v>
      </c>
      <c r="E22" s="14" t="str">
        <f>INDEX(Raw!$D$2:$D$51,MATCH($B22,Raw!$A$2:$A$51,0))</f>
        <v>Dairy Co-op</v>
      </c>
      <c r="F22" s="15">
        <f>INDEX(Raw!$E$2:$E$51,MATCH($B22,Raw!$A$2:$A$51,0))</f>
        <v>6.714</v>
      </c>
      <c r="G22" s="16">
        <f>INDEX(Raw!$G$2:$G$51,MATCH($B22,Raw!$A$2:$A$51,0))</f>
        <v>46</v>
      </c>
      <c r="H22" s="15">
        <f>Assumptions!$C$8*INDEX(Raw!$F$2:$F$51,MATCH($B22,Raw!$A$2:$A$51,0))*SQRT(Assumptions!$C$6+Assumptions!$C$7)</f>
        <v>10.7170643718324</v>
      </c>
      <c r="I22" s="15">
        <f>MIN(F22*(Assumptions!$C$6+Assumptions!$C$7)+H22,F22*MAX(1,INDEX(Raw!$H$2:$H$51,MATCH($B22,Raw!$A$2:$A$51,0))))</f>
        <v>30.8590643718324</v>
      </c>
      <c r="J22" s="15">
        <f>MIN(I22+F22*Assumptions!$C$7,F22*MAX(1,INDEX(Raw!$H$2:$H$51,MATCH($B22,Raw!$A$2:$A$51,0))))</f>
        <v>37.5730643718324</v>
      </c>
      <c r="K22" s="16">
        <f>IF(OR(INDEX(Raw!$J$2:$J$51,MATCH($B22,Raw!$A$2:$A$51,0))=1,G22&gt;I22),0,ROUNDUP(MAX(0,J22-G22),0))</f>
        <v>0</v>
      </c>
      <c r="L22" s="17">
        <f>K22*INDEX(Raw!$I$2:$I$51,MATCH($B22,Raw!$A$2:$A$51,0))</f>
        <v>0</v>
      </c>
      <c r="M22" s="15">
        <f>IFERROR(G22/F22,0)</f>
        <v>6.85135537682455</v>
      </c>
      <c r="N22" s="14" t="str">
        <f>IF(INDEX(Raw!$J$2:$J$51,MATCH($B22,Raw!$A$2:$A$51,0))=1,"Blocked - recall",IF(M22&lt;Assumptions!$C$6,"Order now",IF(K22&gt;0,"Order","OK")))</f>
        <v>OK</v>
      </c>
      <c r="O22" s="16">
        <f>IF(OR(SelCat="All",D22=SelCat),1,0)</f>
        <v>1</v>
      </c>
    </row>
    <row r="23">
      <c r="B23" s="14" t="inlineStr">
        <is>
          <t>DRY012</t>
        </is>
      </c>
      <c r="C23" s="14" t="str">
        <f>INDEX(Raw!$B$2:$B$51,MATCH($B23,Raw!$A$2:$A$51,0))</f>
        <v>Cheese Block 1kg</v>
      </c>
      <c r="D23" s="14" t="str">
        <f>INDEX(Raw!$C$2:$C$51,MATCH($B23,Raw!$A$2:$A$51,0))</f>
        <v>Dairy</v>
      </c>
      <c r="E23" s="14" t="str">
        <f>INDEX(Raw!$D$2:$D$51,MATCH($B23,Raw!$A$2:$A$51,0))</f>
        <v>Dairy Co-op</v>
      </c>
      <c r="F23" s="15">
        <f>INDEX(Raw!$E$2:$E$51,MATCH($B23,Raw!$A$2:$A$51,0))</f>
        <v>6</v>
      </c>
      <c r="G23" s="16">
        <f>INDEX(Raw!$G$2:$G$51,MATCH($B23,Raw!$A$2:$A$51,0))</f>
        <v>42</v>
      </c>
      <c r="H23" s="15">
        <f>Assumptions!$C$8*INDEX(Raw!$F$2:$F$51,MATCH($B23,Raw!$A$2:$A$51,0))*SQRT(Assumptions!$C$6+Assumptions!$C$7)</f>
        <v>8.55650419447101</v>
      </c>
      <c r="I23" s="15">
        <f>MIN(F23*(Assumptions!$C$6+Assumptions!$C$7)+H23,F23*MAX(1,INDEX(Raw!$H$2:$H$51,MATCH($B23,Raw!$A$2:$A$51,0))))</f>
        <v>26.556504194471</v>
      </c>
      <c r="J23" s="15">
        <f>MIN(I23+F23*Assumptions!$C$7,F23*MAX(1,INDEX(Raw!$H$2:$H$51,MATCH($B23,Raw!$A$2:$A$51,0))))</f>
        <v>32.556504194471</v>
      </c>
      <c r="K23" s="16">
        <f>IF(OR(INDEX(Raw!$J$2:$J$51,MATCH($B23,Raw!$A$2:$A$51,0))=1,G23&gt;I23),0,ROUNDUP(MAX(0,J23-G23),0))</f>
        <v>0</v>
      </c>
      <c r="L23" s="17">
        <f>K23*INDEX(Raw!$I$2:$I$51,MATCH($B23,Raw!$A$2:$A$51,0))</f>
        <v>0</v>
      </c>
      <c r="M23" s="15">
        <f>IFERROR(G23/F23,0)</f>
        <v>7</v>
      </c>
      <c r="N23" s="14" t="str">
        <f>IF(INDEX(Raw!$J$2:$J$51,MATCH($B23,Raw!$A$2:$A$51,0))=1,"Blocked - recall",IF(M23&lt;Assumptions!$C$6,"Order now",IF(K23&gt;0,"Order","OK")))</f>
        <v>OK</v>
      </c>
      <c r="O23" s="16">
        <f>IF(OR(SelCat="All",D23=SelCat),1,0)</f>
        <v>1</v>
      </c>
    </row>
    <row r="24">
      <c r="B24" s="14" t="inlineStr">
        <is>
          <t>DRY011</t>
        </is>
      </c>
      <c r="C24" s="14" t="str">
        <f>INDEX(Raw!$B$2:$B$51,MATCH($B24,Raw!$A$2:$A$51,0))</f>
        <v>Greek Yoghurt 1kg</v>
      </c>
      <c r="D24" s="14" t="str">
        <f>INDEX(Raw!$C$2:$C$51,MATCH($B24,Raw!$A$2:$A$51,0))</f>
        <v>Dairy</v>
      </c>
      <c r="E24" s="14" t="str">
        <f>INDEX(Raw!$D$2:$D$51,MATCH($B24,Raw!$A$2:$A$51,0))</f>
        <v>Dairy Co-op</v>
      </c>
      <c r="F24" s="15">
        <f>INDEX(Raw!$E$2:$E$51,MATCH($B24,Raw!$A$2:$A$51,0))</f>
        <v>4.179</v>
      </c>
      <c r="G24" s="16">
        <f>INDEX(Raw!$G$2:$G$51,MATCH($B24,Raw!$A$2:$A$51,0))</f>
        <v>43</v>
      </c>
      <c r="H24" s="15">
        <f>Assumptions!$C$8*INDEX(Raw!$F$2:$F$51,MATCH($B24,Raw!$A$2:$A$51,0))*SQRT(Assumptions!$C$6+Assumptions!$C$7)</f>
        <v>6.27305501231258</v>
      </c>
      <c r="I24" s="15">
        <f>MIN(F24*(Assumptions!$C$6+Assumptions!$C$7)+H24,F24*MAX(1,INDEX(Raw!$H$2:$H$51,MATCH($B24,Raw!$A$2:$A$51,0))))</f>
        <v>18.8100550123126</v>
      </c>
      <c r="J24" s="15">
        <f>MIN(I24+F24*Assumptions!$C$7,F24*MAX(1,INDEX(Raw!$H$2:$H$51,MATCH($B24,Raw!$A$2:$A$51,0))))</f>
        <v>22.9890550123126</v>
      </c>
      <c r="K24" s="16">
        <f>IF(OR(INDEX(Raw!$J$2:$J$51,MATCH($B24,Raw!$A$2:$A$51,0))=1,G24&gt;I24),0,ROUNDUP(MAX(0,J24-G24),0))</f>
        <v>0</v>
      </c>
      <c r="L24" s="17">
        <f>K24*INDEX(Raw!$I$2:$I$51,MATCH($B24,Raw!$A$2:$A$51,0))</f>
        <v>0</v>
      </c>
      <c r="M24" s="15">
        <f>IFERROR(G24/F24,0)</f>
        <v>10.2895429528595</v>
      </c>
      <c r="N24" s="14" t="str">
        <f>IF(INDEX(Raw!$J$2:$J$51,MATCH($B24,Raw!$A$2:$A$51,0))=1,"Blocked - recall",IF(M24&lt;Assumptions!$C$6,"Order now",IF(K24&gt;0,"Order","OK")))</f>
        <v>OK</v>
      </c>
      <c r="O24" s="16">
        <f>IF(OR(SelCat="All",D24=SelCat),1,0)</f>
        <v>1</v>
      </c>
    </row>
    <row r="25">
      <c r="B25" s="14" t="inlineStr">
        <is>
          <t>MLK002</t>
        </is>
      </c>
      <c r="C25" s="14" t="str">
        <f>INDEX(Raw!$B$2:$B$51,MATCH($B25,Raw!$A$2:$A$51,0))</f>
        <v>Milk Lite 2L</v>
      </c>
      <c r="D25" s="14" t="str">
        <f>INDEX(Raw!$C$2:$C$51,MATCH($B25,Raw!$A$2:$A$51,0))</f>
        <v>Dairy</v>
      </c>
      <c r="E25" s="14" t="str">
        <f>INDEX(Raw!$D$2:$D$51,MATCH($B25,Raw!$A$2:$A$51,0))</f>
        <v>Dairy Co-op</v>
      </c>
      <c r="F25" s="15">
        <f>INDEX(Raw!$E$2:$E$51,MATCH($B25,Raw!$A$2:$A$51,0))</f>
        <v>16.107</v>
      </c>
      <c r="G25" s="16">
        <f>INDEX(Raw!$G$2:$G$51,MATCH($B25,Raw!$A$2:$A$51,0))</f>
        <v>138</v>
      </c>
      <c r="H25" s="15">
        <f>Assumptions!$C$8*INDEX(Raw!$F$2:$F$51,MATCH($B25,Raw!$A$2:$A$51,0))*SQRT(Assumptions!$C$6+Assumptions!$C$7)</f>
        <v>11.3600882341424</v>
      </c>
      <c r="I25" s="15">
        <f>MIN(F25*(Assumptions!$C$6+Assumptions!$C$7)+H25,F25*MAX(1,INDEX(Raw!$H$2:$H$51,MATCH($B25,Raw!$A$2:$A$51,0))))</f>
        <v>59.6810882341424</v>
      </c>
      <c r="J25" s="15">
        <f>MIN(I25+F25*Assumptions!$C$7,F25*MAX(1,INDEX(Raw!$H$2:$H$51,MATCH($B25,Raw!$A$2:$A$51,0))))</f>
        <v>75.7880882341424</v>
      </c>
      <c r="K25" s="16">
        <f>IF(OR(INDEX(Raw!$J$2:$J$51,MATCH($B25,Raw!$A$2:$A$51,0))=1,G25&gt;I25),0,ROUNDUP(MAX(0,J25-G25),0))</f>
        <v>0</v>
      </c>
      <c r="L25" s="17">
        <f>K25*INDEX(Raw!$I$2:$I$51,MATCH($B25,Raw!$A$2:$A$51,0))</f>
        <v>0</v>
      </c>
      <c r="M25" s="15">
        <f>IFERROR(G25/F25,0)</f>
        <v>8.56770348295772</v>
      </c>
      <c r="N25" s="14" t="str">
        <f>IF(INDEX(Raw!$J$2:$J$51,MATCH($B25,Raw!$A$2:$A$51,0))=1,"Blocked - recall",IF(M25&lt;Assumptions!$C$6,"Order now",IF(K25&gt;0,"Order","OK")))</f>
        <v>OK</v>
      </c>
      <c r="O25" s="16">
        <f>IF(OR(SelCat="All",D25=SelCat),1,0)</f>
        <v>1</v>
      </c>
    </row>
    <row r="26">
      <c r="B26" s="14" t="inlineStr">
        <is>
          <t>MLK001</t>
        </is>
      </c>
      <c r="C26" s="14" t="str">
        <f>INDEX(Raw!$B$2:$B$51,MATCH($B26,Raw!$A$2:$A$51,0))</f>
        <v>Milk Standard 2L</v>
      </c>
      <c r="D26" s="14" t="str">
        <f>INDEX(Raw!$C$2:$C$51,MATCH($B26,Raw!$A$2:$A$51,0))</f>
        <v>Dairy</v>
      </c>
      <c r="E26" s="14" t="str">
        <f>INDEX(Raw!$D$2:$D$51,MATCH($B26,Raw!$A$2:$A$51,0))</f>
        <v>Dairy Co-op</v>
      </c>
      <c r="F26" s="15">
        <f>INDEX(Raw!$E$2:$E$51,MATCH($B26,Raw!$A$2:$A$51,0))</f>
        <v>34.393</v>
      </c>
      <c r="G26" s="16">
        <f>INDEX(Raw!$G$2:$G$51,MATCH($B26,Raw!$A$2:$A$51,0))</f>
        <v>344</v>
      </c>
      <c r="H26" s="15">
        <f>Assumptions!$C$8*INDEX(Raw!$F$2:$F$51,MATCH($B26,Raw!$A$2:$A$51,0))*SQRT(Assumptions!$C$6+Assumptions!$C$7)</f>
        <v>38.8472149350182</v>
      </c>
      <c r="I26" s="15">
        <f>MIN(F26*(Assumptions!$C$6+Assumptions!$C$7)+H26,F26*MAX(1,INDEX(Raw!$H$2:$H$51,MATCH($B26,Raw!$A$2:$A$51,0))))</f>
        <v>142.026214935018</v>
      </c>
      <c r="J26" s="15">
        <f>MIN(I26+F26*Assumptions!$C$7,F26*MAX(1,INDEX(Raw!$H$2:$H$51,MATCH($B26,Raw!$A$2:$A$51,0))))</f>
        <v>176.419214935018</v>
      </c>
      <c r="K26" s="16">
        <f>IF(OR(INDEX(Raw!$J$2:$J$51,MATCH($B26,Raw!$A$2:$A$51,0))=1,G26&gt;I26),0,ROUNDUP(MAX(0,J26-G26),0))</f>
        <v>0</v>
      </c>
      <c r="L26" s="17">
        <f>K26*INDEX(Raw!$I$2:$I$51,MATCH($B26,Raw!$A$2:$A$51,0))</f>
        <v>0</v>
      </c>
      <c r="M26" s="15">
        <f>IFERROR(G26/F26,0)</f>
        <v>10.0020352978804</v>
      </c>
      <c r="N26" s="14" t="str">
        <f>IF(INDEX(Raw!$J$2:$J$51,MATCH($B26,Raw!$A$2:$A$51,0))=1,"Blocked - recall",IF(M26&lt;Assumptions!$C$6,"Order now",IF(K26&gt;0,"Order","OK")))</f>
        <v>OK</v>
      </c>
      <c r="O26" s="16">
        <f>IF(OR(SelCat="All",D26=SelCat),1,0)</f>
        <v>1</v>
      </c>
    </row>
    <row r="27">
      <c r="B27" s="14" t="inlineStr">
        <is>
          <t>MLK003</t>
        </is>
      </c>
      <c r="C27" s="14" t="str">
        <f>INDEX(Raw!$B$2:$B$51,MATCH($B27,Raw!$A$2:$A$51,0))</f>
        <v>Oat Milk 1L</v>
      </c>
      <c r="D27" s="14" t="str">
        <f>INDEX(Raw!$C$2:$C$51,MATCH($B27,Raw!$A$2:$A$51,0))</f>
        <v>Dairy</v>
      </c>
      <c r="E27" s="14" t="str">
        <f>INDEX(Raw!$D$2:$D$51,MATCH($B27,Raw!$A$2:$A$51,0))</f>
        <v>Plant Foods NZ</v>
      </c>
      <c r="F27" s="15">
        <f>INDEX(Raw!$E$2:$E$51,MATCH($B27,Raw!$A$2:$A$51,0))</f>
        <v>6.679</v>
      </c>
      <c r="G27" s="16">
        <f>INDEX(Raw!$G$2:$G$51,MATCH($B27,Raw!$A$2:$A$51,0))</f>
        <v>60</v>
      </c>
      <c r="H27" s="15">
        <f>Assumptions!$C$8*INDEX(Raw!$F$2:$F$51,MATCH($B27,Raw!$A$2:$A$51,0))*SQRT(Assumptions!$C$6+Assumptions!$C$7)</f>
        <v>9.00519195617173</v>
      </c>
      <c r="I27" s="15">
        <f>MIN(F27*(Assumptions!$C$6+Assumptions!$C$7)+H27,F27*MAX(1,INDEX(Raw!$H$2:$H$51,MATCH($B27,Raw!$A$2:$A$51,0))))</f>
        <v>29.0421919561717</v>
      </c>
      <c r="J27" s="15">
        <f>MIN(I27+F27*Assumptions!$C$7,F27*MAX(1,INDEX(Raw!$H$2:$H$51,MATCH($B27,Raw!$A$2:$A$51,0))))</f>
        <v>35.7211919561717</v>
      </c>
      <c r="K27" s="16">
        <f>IF(OR(INDEX(Raw!$J$2:$J$51,MATCH($B27,Raw!$A$2:$A$51,0))=1,G27&gt;I27),0,ROUNDUP(MAX(0,J27-G27),0))</f>
        <v>0</v>
      </c>
      <c r="L27" s="17">
        <f>K27*INDEX(Raw!$I$2:$I$51,MATCH($B27,Raw!$A$2:$A$51,0))</f>
        <v>0</v>
      </c>
      <c r="M27" s="15">
        <f>IFERROR(G27/F27,0)</f>
        <v>8.9833807456206</v>
      </c>
      <c r="N27" s="14" t="str">
        <f>IF(INDEX(Raw!$J$2:$J$51,MATCH($B27,Raw!$A$2:$A$51,0))=1,"Blocked - recall",IF(M27&lt;Assumptions!$C$6,"Order now",IF(K27&gt;0,"Order","OK")))</f>
        <v>OK</v>
      </c>
      <c r="O27" s="16">
        <f>IF(OR(SelCat="All",D27=SelCat),1,0)</f>
        <v>1</v>
      </c>
    </row>
    <row r="28">
      <c r="B28" s="14" t="inlineStr">
        <is>
          <t>FTG001</t>
        </is>
      </c>
      <c r="C28" s="14" t="str">
        <f>INDEX(Raw!$B$2:$B$51,MATCH($B28,Raw!$A$2:$A$51,0))</f>
        <v>Chicken Sandwich</v>
      </c>
      <c r="D28" s="14" t="str">
        <f>INDEX(Raw!$C$2:$C$51,MATCH($B28,Raw!$A$2:$A$51,0))</f>
        <v>Food To Go</v>
      </c>
      <c r="E28" s="14" t="str">
        <f>INDEX(Raw!$D$2:$D$51,MATCH($B28,Raw!$A$2:$A$51,0))</f>
        <v>FreshKitchen</v>
      </c>
      <c r="F28" s="15">
        <f>INDEX(Raw!$E$2:$E$51,MATCH($B28,Raw!$A$2:$A$51,0))</f>
        <v>20.357</v>
      </c>
      <c r="G28" s="16">
        <f>INDEX(Raw!$G$2:$G$51,MATCH($B28,Raw!$A$2:$A$51,0))</f>
        <v>147</v>
      </c>
      <c r="H28" s="15">
        <f>Assumptions!$C$8*INDEX(Raw!$F$2:$F$51,MATCH($B28,Raw!$A$2:$A$51,0))*SQRT(Assumptions!$C$6+Assumptions!$C$7)</f>
        <v>18.2447303866075</v>
      </c>
      <c r="I28" s="15">
        <f>MIN(F28*(Assumptions!$C$6+Assumptions!$C$7)+H28,F28*MAX(1,INDEX(Raw!$H$2:$H$51,MATCH($B28,Raw!$A$2:$A$51,0))))</f>
        <v>40.714</v>
      </c>
      <c r="J28" s="15">
        <f>MIN(I28+F28*Assumptions!$C$7,F28*MAX(1,INDEX(Raw!$H$2:$H$51,MATCH($B28,Raw!$A$2:$A$51,0))))</f>
        <v>40.714</v>
      </c>
      <c r="K28" s="16">
        <f>IF(OR(INDEX(Raw!$J$2:$J$51,MATCH($B28,Raw!$A$2:$A$51,0))=1,G28&gt;I28),0,ROUNDUP(MAX(0,J28-G28),0))</f>
        <v>0</v>
      </c>
      <c r="L28" s="17">
        <f>K28*INDEX(Raw!$I$2:$I$51,MATCH($B28,Raw!$A$2:$A$51,0))</f>
        <v>0</v>
      </c>
      <c r="M28" s="15">
        <f>IFERROR(G28/F28,0)</f>
        <v>7.22110330598811</v>
      </c>
      <c r="N28" s="14" t="str">
        <f>IF(INDEX(Raw!$J$2:$J$51,MATCH($B28,Raw!$A$2:$A$51,0))=1,"Blocked - recall",IF(M28&lt;Assumptions!$C$6,"Order now",IF(K28&gt;0,"Order","OK")))</f>
        <v>OK</v>
      </c>
      <c r="O28" s="16">
        <f>IF(OR(SelCat="All",D28=SelCat),1,0)</f>
        <v>1</v>
      </c>
    </row>
    <row r="29">
      <c r="B29" s="14" t="inlineStr">
        <is>
          <t>FTG005</t>
        </is>
      </c>
      <c r="C29" s="14" t="str">
        <f>INDEX(Raw!$B$2:$B$51,MATCH($B29,Raw!$A$2:$A$51,0))</f>
        <v>Filled Roll</v>
      </c>
      <c r="D29" s="14" t="str">
        <f>INDEX(Raw!$C$2:$C$51,MATCH($B29,Raw!$A$2:$A$51,0))</f>
        <v>Food To Go</v>
      </c>
      <c r="E29" s="14" t="str">
        <f>INDEX(Raw!$D$2:$D$51,MATCH($B29,Raw!$A$2:$A$51,0))</f>
        <v>FreshKitchen</v>
      </c>
      <c r="F29" s="15">
        <f>INDEX(Raw!$E$2:$E$51,MATCH($B29,Raw!$A$2:$A$51,0))</f>
        <v>10.536</v>
      </c>
      <c r="G29" s="16">
        <f>INDEX(Raw!$G$2:$G$51,MATCH($B29,Raw!$A$2:$A$51,0))</f>
        <v>98</v>
      </c>
      <c r="H29" s="15">
        <f>Assumptions!$C$8*INDEX(Raw!$F$2:$F$51,MATCH($B29,Raw!$A$2:$A$51,0))*SQRT(Assumptions!$C$6+Assumptions!$C$7)</f>
        <v>10.0368880197001</v>
      </c>
      <c r="I29" s="15">
        <f>MIN(F29*(Assumptions!$C$6+Assumptions!$C$7)+H29,F29*MAX(1,INDEX(Raw!$H$2:$H$51,MATCH($B29,Raw!$A$2:$A$51,0))))</f>
        <v>21.072</v>
      </c>
      <c r="J29" s="15">
        <f>MIN(I29+F29*Assumptions!$C$7,F29*MAX(1,INDEX(Raw!$H$2:$H$51,MATCH($B29,Raw!$A$2:$A$51,0))))</f>
        <v>21.072</v>
      </c>
      <c r="K29" s="16">
        <f>IF(OR(INDEX(Raw!$J$2:$J$51,MATCH($B29,Raw!$A$2:$A$51,0))=1,G29&gt;I29),0,ROUNDUP(MAX(0,J29-G29),0))</f>
        <v>0</v>
      </c>
      <c r="L29" s="17">
        <f>K29*INDEX(Raw!$I$2:$I$51,MATCH($B29,Raw!$A$2:$A$51,0))</f>
        <v>0</v>
      </c>
      <c r="M29" s="15">
        <f>IFERROR(G29/F29,0)</f>
        <v>9.30144267274108</v>
      </c>
      <c r="N29" s="14" t="str">
        <f>IF(INDEX(Raw!$J$2:$J$51,MATCH($B29,Raw!$A$2:$A$51,0))=1,"Blocked - recall",IF(M29&lt;Assumptions!$C$6,"Order now",IF(K29&gt;0,"Order","OK")))</f>
        <v>OK</v>
      </c>
      <c r="O29" s="16">
        <f>IF(OR(SelCat="All",D29=SelCat),1,0)</f>
        <v>1</v>
      </c>
    </row>
    <row r="30">
      <c r="B30" s="14" t="inlineStr">
        <is>
          <t>FTG003</t>
        </is>
      </c>
      <c r="C30" s="14" t="str">
        <f>INDEX(Raw!$B$2:$B$51,MATCH($B30,Raw!$A$2:$A$51,0))</f>
        <v>Hot Pie Mince &amp; Cheese</v>
      </c>
      <c r="D30" s="14" t="str">
        <f>INDEX(Raw!$C$2:$C$51,MATCH($B30,Raw!$A$2:$A$51,0))</f>
        <v>Food To Go</v>
      </c>
      <c r="E30" s="14" t="str">
        <f>INDEX(Raw!$D$2:$D$51,MATCH($B30,Raw!$A$2:$A$51,0))</f>
        <v>FreshKitchen</v>
      </c>
      <c r="F30" s="15">
        <f>INDEX(Raw!$E$2:$E$51,MATCH($B30,Raw!$A$2:$A$51,0))</f>
        <v>16.75</v>
      </c>
      <c r="G30" s="16">
        <f>INDEX(Raw!$G$2:$G$51,MATCH($B30,Raw!$A$2:$A$51,0))</f>
        <v>129</v>
      </c>
      <c r="H30" s="15">
        <f>Assumptions!$C$8*INDEX(Raw!$F$2:$F$51,MATCH($B30,Raw!$A$2:$A$51,0))*SQRT(Assumptions!$C$6+Assumptions!$C$7)</f>
        <v>14.5437708235347</v>
      </c>
      <c r="I30" s="15">
        <f>MIN(F30*(Assumptions!$C$6+Assumptions!$C$7)+H30,F30*MAX(1,INDEX(Raw!$H$2:$H$51,MATCH($B30,Raw!$A$2:$A$51,0))))</f>
        <v>33.5</v>
      </c>
      <c r="J30" s="15">
        <f>MIN(I30+F30*Assumptions!$C$7,F30*MAX(1,INDEX(Raw!$H$2:$H$51,MATCH($B30,Raw!$A$2:$A$51,0))))</f>
        <v>33.5</v>
      </c>
      <c r="K30" s="16">
        <f>IF(OR(INDEX(Raw!$J$2:$J$51,MATCH($B30,Raw!$A$2:$A$51,0))=1,G30&gt;I30),0,ROUNDUP(MAX(0,J30-G30),0))</f>
        <v>0</v>
      </c>
      <c r="L30" s="17">
        <f>K30*INDEX(Raw!$I$2:$I$51,MATCH($B30,Raw!$A$2:$A$51,0))</f>
        <v>0</v>
      </c>
      <c r="M30" s="15">
        <f>IFERROR(G30/F30,0)</f>
        <v>7.70149253731343</v>
      </c>
      <c r="N30" s="14" t="str">
        <f>IF(INDEX(Raw!$J$2:$J$51,MATCH($B30,Raw!$A$2:$A$51,0))=1,"Blocked - recall",IF(M30&lt;Assumptions!$C$6,"Order now",IF(K30&gt;0,"Order","OK")))</f>
        <v>OK</v>
      </c>
      <c r="O30" s="16">
        <f>IF(OR(SelCat="All",D30=SelCat),1,0)</f>
        <v>1</v>
      </c>
    </row>
    <row r="31">
      <c r="B31" s="14" t="inlineStr">
        <is>
          <t>FTG004</t>
        </is>
      </c>
      <c r="C31" s="14" t="str">
        <f>INDEX(Raw!$B$2:$B$51,MATCH($B31,Raw!$A$2:$A$51,0))</f>
        <v>Salad Bowl</v>
      </c>
      <c r="D31" s="14" t="str">
        <f>INDEX(Raw!$C$2:$C$51,MATCH($B31,Raw!$A$2:$A$51,0))</f>
        <v>Food To Go</v>
      </c>
      <c r="E31" s="14" t="str">
        <f>INDEX(Raw!$D$2:$D$51,MATCH($B31,Raw!$A$2:$A$51,0))</f>
        <v>FreshKitchen</v>
      </c>
      <c r="F31" s="15">
        <f>INDEX(Raw!$E$2:$E$51,MATCH($B31,Raw!$A$2:$A$51,0))</f>
        <v>5.464</v>
      </c>
      <c r="G31" s="16">
        <f>INDEX(Raw!$G$2:$G$51,MATCH($B31,Raw!$A$2:$A$51,0))</f>
        <v>52</v>
      </c>
      <c r="H31" s="15">
        <f>Assumptions!$C$8*INDEX(Raw!$F$2:$F$51,MATCH($B31,Raw!$A$2:$A$51,0))*SQRT(Assumptions!$C$6+Assumptions!$C$7)</f>
        <v>6.34164422429231</v>
      </c>
      <c r="I31" s="15">
        <f>MIN(F31*(Assumptions!$C$6+Assumptions!$C$7)+H31,F31*MAX(1,INDEX(Raw!$H$2:$H$51,MATCH($B31,Raw!$A$2:$A$51,0))))</f>
        <v>10.928</v>
      </c>
      <c r="J31" s="15">
        <f>MIN(I31+F31*Assumptions!$C$7,F31*MAX(1,INDEX(Raw!$H$2:$H$51,MATCH($B31,Raw!$A$2:$A$51,0))))</f>
        <v>10.928</v>
      </c>
      <c r="K31" s="16">
        <f>IF(OR(INDEX(Raw!$J$2:$J$51,MATCH($B31,Raw!$A$2:$A$51,0))=1,G31&gt;I31),0,ROUNDUP(MAX(0,J31-G31),0))</f>
        <v>0</v>
      </c>
      <c r="L31" s="17">
        <f>K31*INDEX(Raw!$I$2:$I$51,MATCH($B31,Raw!$A$2:$A$51,0))</f>
        <v>0</v>
      </c>
      <c r="M31" s="15">
        <f>IFERROR(G31/F31,0)</f>
        <v>9.51683748169839</v>
      </c>
      <c r="N31" s="14" t="str">
        <f>IF(INDEX(Raw!$J$2:$J$51,MATCH($B31,Raw!$A$2:$A$51,0))=1,"Blocked - recall",IF(M31&lt;Assumptions!$C$6,"Order now",IF(K31&gt;0,"Order","OK")))</f>
        <v>OK</v>
      </c>
      <c r="O31" s="16">
        <f>IF(OR(SelCat="All",D31=SelCat),1,0)</f>
        <v>1</v>
      </c>
    </row>
    <row r="32">
      <c r="B32" s="14" t="inlineStr">
        <is>
          <t>FTG002</t>
        </is>
      </c>
      <c r="C32" s="14" t="str">
        <f>INDEX(Raw!$B$2:$B$51,MATCH($B32,Raw!$A$2:$A$51,0))</f>
        <v>Sushi Pack 8pc</v>
      </c>
      <c r="D32" s="14" t="str">
        <f>INDEX(Raw!$C$2:$C$51,MATCH($B32,Raw!$A$2:$A$51,0))</f>
        <v>Food To Go</v>
      </c>
      <c r="E32" s="14" t="str">
        <f>INDEX(Raw!$D$2:$D$51,MATCH($B32,Raw!$A$2:$A$51,0))</f>
        <v>FreshKitchen</v>
      </c>
      <c r="F32" s="15">
        <f>INDEX(Raw!$E$2:$E$51,MATCH($B32,Raw!$A$2:$A$51,0))</f>
        <v>11.75</v>
      </c>
      <c r="G32" s="16">
        <f>INDEX(Raw!$G$2:$G$51,MATCH($B32,Raw!$A$2:$A$51,0))</f>
        <v>108</v>
      </c>
      <c r="H32" s="15">
        <f>Assumptions!$C$8*INDEX(Raw!$F$2:$F$51,MATCH($B32,Raw!$A$2:$A$51,0))*SQRT(Assumptions!$C$6+Assumptions!$C$7)</f>
        <v>13.3748963360469</v>
      </c>
      <c r="I32" s="15">
        <f>MIN(F32*(Assumptions!$C$6+Assumptions!$C$7)+H32,F32*MAX(1,INDEX(Raw!$H$2:$H$51,MATCH($B32,Raw!$A$2:$A$51,0))))</f>
        <v>11.75</v>
      </c>
      <c r="J32" s="15">
        <f>MIN(I32+F32*Assumptions!$C$7,F32*MAX(1,INDEX(Raw!$H$2:$H$51,MATCH($B32,Raw!$A$2:$A$51,0))))</f>
        <v>11.75</v>
      </c>
      <c r="K32" s="16">
        <f>IF(OR(INDEX(Raw!$J$2:$J$51,MATCH($B32,Raw!$A$2:$A$51,0))=1,G32&gt;I32),0,ROUNDUP(MAX(0,J32-G32),0))</f>
        <v>0</v>
      </c>
      <c r="L32" s="17">
        <f>K32*INDEX(Raw!$I$2:$I$51,MATCH($B32,Raw!$A$2:$A$51,0))</f>
        <v>0</v>
      </c>
      <c r="M32" s="15">
        <f>IFERROR(G32/F32,0)</f>
        <v>9.19148936170213</v>
      </c>
      <c r="N32" s="14" t="str">
        <f>IF(INDEX(Raw!$J$2:$J$51,MATCH($B32,Raw!$A$2:$A$51,0))=1,"Blocked - recall",IF(M32&lt;Assumptions!$C$6,"Order now",IF(K32&gt;0,"Order","OK")))</f>
        <v>OK</v>
      </c>
      <c r="O32" s="16">
        <f>IF(OR(SelCat="All",D32=SelCat),1,0)</f>
        <v>1</v>
      </c>
    </row>
    <row r="33">
      <c r="B33" s="14" t="inlineStr">
        <is>
          <t>FRZ004</t>
        </is>
      </c>
      <c r="C33" s="14" t="str">
        <f>INDEX(Raw!$B$2:$B$51,MATCH($B33,Raw!$A$2:$A$51,0))</f>
        <v>Frozen Dumplings 1kg</v>
      </c>
      <c r="D33" s="14" t="str">
        <f>INDEX(Raw!$C$2:$C$51,MATCH($B33,Raw!$A$2:$A$51,0))</f>
        <v>Frozen</v>
      </c>
      <c r="E33" s="14" t="str">
        <f>INDEX(Raw!$D$2:$D$51,MATCH($B33,Raw!$A$2:$A$51,0))</f>
        <v>Asia Imports</v>
      </c>
      <c r="F33" s="15">
        <f>INDEX(Raw!$E$2:$E$51,MATCH($B33,Raw!$A$2:$A$51,0))</f>
        <v>4.786</v>
      </c>
      <c r="G33" s="16">
        <f>INDEX(Raw!$G$2:$G$51,MATCH($B33,Raw!$A$2:$A$51,0))</f>
        <v>36</v>
      </c>
      <c r="H33" s="15">
        <f>Assumptions!$C$8*INDEX(Raw!$F$2:$F$51,MATCH($B33,Raw!$A$2:$A$51,0))*SQRT(Assumptions!$C$6+Assumptions!$C$7)</f>
        <v>9.44244818254249</v>
      </c>
      <c r="I33" s="15">
        <f>MIN(F33*(Assumptions!$C$6+Assumptions!$C$7)+H33,F33*MAX(1,INDEX(Raw!$H$2:$H$51,MATCH($B33,Raw!$A$2:$A$51,0))))</f>
        <v>23.8004481825425</v>
      </c>
      <c r="J33" s="15">
        <f>MIN(I33+F33*Assumptions!$C$7,F33*MAX(1,INDEX(Raw!$H$2:$H$51,MATCH($B33,Raw!$A$2:$A$51,0))))</f>
        <v>28.5864481825425</v>
      </c>
      <c r="K33" s="16">
        <f>IF(OR(INDEX(Raw!$J$2:$J$51,MATCH($B33,Raw!$A$2:$A$51,0))=1,G33&gt;I33),0,ROUNDUP(MAX(0,J33-G33),0))</f>
        <v>0</v>
      </c>
      <c r="L33" s="17">
        <f>K33*INDEX(Raw!$I$2:$I$51,MATCH($B33,Raw!$A$2:$A$51,0))</f>
        <v>0</v>
      </c>
      <c r="M33" s="15">
        <f>IFERROR(G33/F33,0)</f>
        <v>7.52193898871709</v>
      </c>
      <c r="N33" s="14" t="str">
        <f>IF(INDEX(Raw!$J$2:$J$51,MATCH($B33,Raw!$A$2:$A$51,0))=1,"Blocked - recall",IF(M33&lt;Assumptions!$C$6,"Order now",IF(K33&gt;0,"Order","OK")))</f>
        <v>OK</v>
      </c>
      <c r="O33" s="16">
        <f>IF(OR(SelCat="All",D33=SelCat),1,0)</f>
        <v>1</v>
      </c>
    </row>
    <row r="34">
      <c r="B34" s="14" t="inlineStr">
        <is>
          <t>FRZ003</t>
        </is>
      </c>
      <c r="C34" s="14" t="str">
        <f>INDEX(Raw!$B$2:$B$51,MATCH($B34,Raw!$A$2:$A$51,0))</f>
        <v>Frozen Pizza</v>
      </c>
      <c r="D34" s="14" t="str">
        <f>INDEX(Raw!$C$2:$C$51,MATCH($B34,Raw!$A$2:$A$51,0))</f>
        <v>Frozen</v>
      </c>
      <c r="E34" s="14" t="str">
        <f>INDEX(Raw!$D$2:$D$51,MATCH($B34,Raw!$A$2:$A$51,0))</f>
        <v>Frozen Foods NZ</v>
      </c>
      <c r="F34" s="15">
        <f>INDEX(Raw!$E$2:$E$51,MATCH($B34,Raw!$A$2:$A$51,0))</f>
        <v>6.25</v>
      </c>
      <c r="G34" s="16">
        <f>INDEX(Raw!$G$2:$G$51,MATCH($B34,Raw!$A$2:$A$51,0))</f>
        <v>41</v>
      </c>
      <c r="H34" s="15">
        <f>Assumptions!$C$8*INDEX(Raw!$F$2:$F$51,MATCH($B34,Raw!$A$2:$A$51,0))*SQRT(Assumptions!$C$6+Assumptions!$C$7)</f>
        <v>8.0306535692931</v>
      </c>
      <c r="I34" s="15">
        <f>MIN(F34*(Assumptions!$C$6+Assumptions!$C$7)+H34,F34*MAX(1,INDEX(Raw!$H$2:$H$51,MATCH($B34,Raw!$A$2:$A$51,0))))</f>
        <v>26.7806535692931</v>
      </c>
      <c r="J34" s="15">
        <f>MIN(I34+F34*Assumptions!$C$7,F34*MAX(1,INDEX(Raw!$H$2:$H$51,MATCH($B34,Raw!$A$2:$A$51,0))))</f>
        <v>33.0306535692931</v>
      </c>
      <c r="K34" s="16">
        <f>IF(OR(INDEX(Raw!$J$2:$J$51,MATCH($B34,Raw!$A$2:$A$51,0))=1,G34&gt;I34),0,ROUNDUP(MAX(0,J34-G34),0))</f>
        <v>0</v>
      </c>
      <c r="L34" s="17">
        <f>K34*INDEX(Raw!$I$2:$I$51,MATCH($B34,Raw!$A$2:$A$51,0))</f>
        <v>0</v>
      </c>
      <c r="M34" s="15">
        <f>IFERROR(G34/F34,0)</f>
        <v>6.56</v>
      </c>
      <c r="N34" s="14" t="str">
        <f>IF(INDEX(Raw!$J$2:$J$51,MATCH($B34,Raw!$A$2:$A$51,0))=1,"Blocked - recall",IF(M34&lt;Assumptions!$C$6,"Order now",IF(K34&gt;0,"Order","OK")))</f>
        <v>OK</v>
      </c>
      <c r="O34" s="16">
        <f>IF(OR(SelCat="All",D34=SelCat),1,0)</f>
        <v>1</v>
      </c>
    </row>
    <row r="35">
      <c r="B35" s="14" t="inlineStr">
        <is>
          <t>FRZ002</t>
        </is>
      </c>
      <c r="C35" s="14" t="str">
        <f>INDEX(Raw!$B$2:$B$51,MATCH($B35,Raw!$A$2:$A$51,0))</f>
        <v>Ice Block Single</v>
      </c>
      <c r="D35" s="14" t="str">
        <f>INDEX(Raw!$C$2:$C$51,MATCH($B35,Raw!$A$2:$A$51,0))</f>
        <v>Frozen</v>
      </c>
      <c r="E35" s="14" t="str">
        <f>INDEX(Raw!$D$2:$D$51,MATCH($B35,Raw!$A$2:$A$51,0))</f>
        <v>Frozen Foods NZ</v>
      </c>
      <c r="F35" s="15">
        <f>INDEX(Raw!$E$2:$E$51,MATCH($B35,Raw!$A$2:$A$51,0))</f>
        <v>11.393</v>
      </c>
      <c r="G35" s="16">
        <f>INDEX(Raw!$G$2:$G$51,MATCH($B35,Raw!$A$2:$A$51,0))</f>
        <v>90</v>
      </c>
      <c r="H35" s="15">
        <f>Assumptions!$C$8*INDEX(Raw!$F$2:$F$51,MATCH($B35,Raw!$A$2:$A$51,0))*SQRT(Assumptions!$C$6+Assumptions!$C$7)</f>
        <v>14.7438226918089</v>
      </c>
      <c r="I35" s="15">
        <f>MIN(F35*(Assumptions!$C$6+Assumptions!$C$7)+H35,F35*MAX(1,INDEX(Raw!$H$2:$H$51,MATCH($B35,Raw!$A$2:$A$51,0))))</f>
        <v>48.9228226918089</v>
      </c>
      <c r="J35" s="15">
        <f>MIN(I35+F35*Assumptions!$C$7,F35*MAX(1,INDEX(Raw!$H$2:$H$51,MATCH($B35,Raw!$A$2:$A$51,0))))</f>
        <v>60.3158226918089</v>
      </c>
      <c r="K35" s="16">
        <f>IF(OR(INDEX(Raw!$J$2:$J$51,MATCH($B35,Raw!$A$2:$A$51,0))=1,G35&gt;I35),0,ROUNDUP(MAX(0,J35-G35),0))</f>
        <v>0</v>
      </c>
      <c r="L35" s="17">
        <f>K35*INDEX(Raw!$I$2:$I$51,MATCH($B35,Raw!$A$2:$A$51,0))</f>
        <v>0</v>
      </c>
      <c r="M35" s="15">
        <f>IFERROR(G35/F35,0)</f>
        <v>7.89958746598789</v>
      </c>
      <c r="N35" s="14" t="str">
        <f>IF(INDEX(Raw!$J$2:$J$51,MATCH($B35,Raw!$A$2:$A$51,0))=1,"Blocked - recall",IF(M35&lt;Assumptions!$C$6,"Order now",IF(K35&gt;0,"Order","OK")))</f>
        <v>OK</v>
      </c>
      <c r="O35" s="16">
        <f>IF(OR(SelCat="All",D35=SelCat),1,0)</f>
        <v>1</v>
      </c>
    </row>
    <row r="36">
      <c r="B36" s="14" t="inlineStr">
        <is>
          <t>FRZ001</t>
        </is>
      </c>
      <c r="C36" s="14" t="str">
        <f>INDEX(Raw!$B$2:$B$51,MATCH($B36,Raw!$A$2:$A$51,0))</f>
        <v>Ice Cream Tub 2L</v>
      </c>
      <c r="D36" s="14" t="str">
        <f>INDEX(Raw!$C$2:$C$51,MATCH($B36,Raw!$A$2:$A$51,0))</f>
        <v>Frozen</v>
      </c>
      <c r="E36" s="14" t="str">
        <f>INDEX(Raw!$D$2:$D$51,MATCH($B36,Raw!$A$2:$A$51,0))</f>
        <v>Frozen Foods NZ</v>
      </c>
      <c r="F36" s="15">
        <f>INDEX(Raw!$E$2:$E$51,MATCH($B36,Raw!$A$2:$A$51,0))</f>
        <v>6.536</v>
      </c>
      <c r="G36" s="16">
        <f>INDEX(Raw!$G$2:$G$51,MATCH($B36,Raw!$A$2:$A$51,0))</f>
        <v>63</v>
      </c>
      <c r="H36" s="15">
        <f>Assumptions!$C$8*INDEX(Raw!$F$2:$F$51,MATCH($B36,Raw!$A$2:$A$51,0))*SQRT(Assumptions!$C$6+Assumptions!$C$7)</f>
        <v>9.0880705873139</v>
      </c>
      <c r="I36" s="15">
        <f>MIN(F36*(Assumptions!$C$6+Assumptions!$C$7)+H36,F36*MAX(1,INDEX(Raw!$H$2:$H$51,MATCH($B36,Raw!$A$2:$A$51,0))))</f>
        <v>28.6960705873139</v>
      </c>
      <c r="J36" s="15">
        <f>MIN(I36+F36*Assumptions!$C$7,F36*MAX(1,INDEX(Raw!$H$2:$H$51,MATCH($B36,Raw!$A$2:$A$51,0))))</f>
        <v>35.2320705873139</v>
      </c>
      <c r="K36" s="16">
        <f>IF(OR(INDEX(Raw!$J$2:$J$51,MATCH($B36,Raw!$A$2:$A$51,0))=1,G36&gt;I36),0,ROUNDUP(MAX(0,J36-G36),0))</f>
        <v>0</v>
      </c>
      <c r="L36" s="17">
        <f>K36*INDEX(Raw!$I$2:$I$51,MATCH($B36,Raw!$A$2:$A$51,0))</f>
        <v>0</v>
      </c>
      <c r="M36" s="15">
        <f>IFERROR(G36/F36,0)</f>
        <v>9.63892288861689</v>
      </c>
      <c r="N36" s="14" t="str">
        <f>IF(INDEX(Raw!$J$2:$J$51,MATCH($B36,Raw!$A$2:$A$51,0))=1,"Blocked - recall",IF(M36&lt;Assumptions!$C$6,"Order now",IF(K36&gt;0,"Order","OK")))</f>
        <v>OK</v>
      </c>
      <c r="O36" s="16">
        <f>IF(OR(SelCat="All",D36=SelCat),1,0)</f>
        <v>1</v>
      </c>
    </row>
    <row r="37">
      <c r="B37" s="14" t="inlineStr">
        <is>
          <t>GRO002</t>
        </is>
      </c>
      <c r="C37" s="14" t="str">
        <f>INDEX(Raw!$B$2:$B$51,MATCH($B37,Raw!$A$2:$A$51,0))</f>
        <v>Canned Soup 500g</v>
      </c>
      <c r="D37" s="14" t="str">
        <f>INDEX(Raw!$C$2:$C$51,MATCH($B37,Raw!$A$2:$A$51,0))</f>
        <v>Grocery</v>
      </c>
      <c r="E37" s="14" t="str">
        <f>INDEX(Raw!$D$2:$D$51,MATCH($B37,Raw!$A$2:$A$51,0))</f>
        <v>Pantry Brands</v>
      </c>
      <c r="F37" s="15">
        <f>INDEX(Raw!$E$2:$E$51,MATCH($B37,Raw!$A$2:$A$51,0))</f>
        <v>5.75</v>
      </c>
      <c r="G37" s="16">
        <f>INDEX(Raw!$G$2:$G$51,MATCH($B37,Raw!$A$2:$A$51,0))</f>
        <v>34</v>
      </c>
      <c r="H37" s="15">
        <f>Assumptions!$C$8*INDEX(Raw!$F$2:$F$51,MATCH($B37,Raw!$A$2:$A$51,0))*SQRT(Assumptions!$C$6+Assumptions!$C$7)</f>
        <v>10.07118262569</v>
      </c>
      <c r="I37" s="15">
        <f>MIN(F37*(Assumptions!$C$6+Assumptions!$C$7)+H37,F37*MAX(1,INDEX(Raw!$H$2:$H$51,MATCH($B37,Raw!$A$2:$A$51,0))))</f>
        <v>27.32118262569</v>
      </c>
      <c r="J37" s="15">
        <f>MIN(I37+F37*Assumptions!$C$7,F37*MAX(1,INDEX(Raw!$H$2:$H$51,MATCH($B37,Raw!$A$2:$A$51,0))))</f>
        <v>33.07118262569</v>
      </c>
      <c r="K37" s="16">
        <f>IF(OR(INDEX(Raw!$J$2:$J$51,MATCH($B37,Raw!$A$2:$A$51,0))=1,G37&gt;I37),0,ROUNDUP(MAX(0,J37-G37),0))</f>
        <v>0</v>
      </c>
      <c r="L37" s="17">
        <f>K37*INDEX(Raw!$I$2:$I$51,MATCH($B37,Raw!$A$2:$A$51,0))</f>
        <v>0</v>
      </c>
      <c r="M37" s="15">
        <f>IFERROR(G37/F37,0)</f>
        <v>5.91304347826087</v>
      </c>
      <c r="N37" s="14" t="str">
        <f>IF(INDEX(Raw!$J$2:$J$51,MATCH($B37,Raw!$A$2:$A$51,0))=1,"Blocked - recall",IF(M37&lt;Assumptions!$C$6,"Order now",IF(K37&gt;0,"Order","OK")))</f>
        <v>OK</v>
      </c>
      <c r="O37" s="16">
        <f>IF(OR(SelCat="All",D37=SelCat),1,0)</f>
        <v>1</v>
      </c>
    </row>
    <row r="38">
      <c r="B38" s="14" t="inlineStr">
        <is>
          <t>GRO008</t>
        </is>
      </c>
      <c r="C38" s="14" t="str">
        <f>INDEX(Raw!$B$2:$B$51,MATCH($B38,Raw!$A$2:$A$51,0))</f>
        <v>Coffee Beans 200g</v>
      </c>
      <c r="D38" s="14" t="str">
        <f>INDEX(Raw!$C$2:$C$51,MATCH($B38,Raw!$A$2:$A$51,0))</f>
        <v>Grocery</v>
      </c>
      <c r="E38" s="14" t="str">
        <f>INDEX(Raw!$D$2:$D$51,MATCH($B38,Raw!$A$2:$A$51,0))</f>
        <v>Pantry Brands</v>
      </c>
      <c r="F38" s="15">
        <f>INDEX(Raw!$E$2:$E$51,MATCH($B38,Raw!$A$2:$A$51,0))</f>
        <v>3</v>
      </c>
      <c r="G38" s="16">
        <f>INDEX(Raw!$G$2:$G$51,MATCH($B38,Raw!$A$2:$A$51,0))</f>
        <v>20</v>
      </c>
      <c r="H38" s="15">
        <f>Assumptions!$C$8*INDEX(Raw!$F$2:$F$51,MATCH($B38,Raw!$A$2:$A$51,0))*SQRT(Assumptions!$C$6+Assumptions!$C$7)</f>
        <v>6.02441911888607</v>
      </c>
      <c r="I38" s="15">
        <f>MIN(F38*(Assumptions!$C$6+Assumptions!$C$7)+H38,F38*MAX(1,INDEX(Raw!$H$2:$H$51,MATCH($B38,Raw!$A$2:$A$51,0))))</f>
        <v>15.0244191188861</v>
      </c>
      <c r="J38" s="15">
        <f>MIN(I38+F38*Assumptions!$C$7,F38*MAX(1,INDEX(Raw!$H$2:$H$51,MATCH($B38,Raw!$A$2:$A$51,0))))</f>
        <v>18.0244191188861</v>
      </c>
      <c r="K38" s="16">
        <f>IF(OR(INDEX(Raw!$J$2:$J$51,MATCH($B38,Raw!$A$2:$A$51,0))=1,G38&gt;I38),0,ROUNDUP(MAX(0,J38-G38),0))</f>
        <v>0</v>
      </c>
      <c r="L38" s="17">
        <f>K38*INDEX(Raw!$I$2:$I$51,MATCH($B38,Raw!$A$2:$A$51,0))</f>
        <v>0</v>
      </c>
      <c r="M38" s="15">
        <f>IFERROR(G38/F38,0)</f>
        <v>6.66666666666667</v>
      </c>
      <c r="N38" s="14" t="str">
        <f>IF(INDEX(Raw!$J$2:$J$51,MATCH($B38,Raw!$A$2:$A$51,0))=1,"Blocked - recall",IF(M38&lt;Assumptions!$C$6,"Order now",IF(K38&gt;0,"Order","OK")))</f>
        <v>OK</v>
      </c>
      <c r="O38" s="16">
        <f>IF(OR(SelCat="All",D38=SelCat),1,0)</f>
        <v>1</v>
      </c>
    </row>
    <row r="39">
      <c r="B39" s="14" t="inlineStr">
        <is>
          <t>GRO007</t>
        </is>
      </c>
      <c r="C39" s="14" t="str">
        <f>INDEX(Raw!$B$2:$B$51,MATCH($B39,Raw!$A$2:$A$51,0))</f>
        <v>Eggs Free Range 12pk</v>
      </c>
      <c r="D39" s="14" t="str">
        <f>INDEX(Raw!$C$2:$C$51,MATCH($B39,Raw!$A$2:$A$51,0))</f>
        <v>Grocery</v>
      </c>
      <c r="E39" s="14" t="str">
        <f>INDEX(Raw!$D$2:$D$51,MATCH($B39,Raw!$A$2:$A$51,0))</f>
        <v>Farm Fresh</v>
      </c>
      <c r="F39" s="15">
        <f>INDEX(Raw!$E$2:$E$51,MATCH($B39,Raw!$A$2:$A$51,0))</f>
        <v>9.893</v>
      </c>
      <c r="G39" s="16">
        <f>INDEX(Raw!$G$2:$G$51,MATCH($B39,Raw!$A$2:$A$51,0))</f>
        <v>80</v>
      </c>
      <c r="H39" s="15">
        <f>Assumptions!$C$8*INDEX(Raw!$F$2:$F$51,MATCH($B39,Raw!$A$2:$A$51,0))*SQRT(Assumptions!$C$6+Assumptions!$C$7)</f>
        <v>11.9573859551325</v>
      </c>
      <c r="I39" s="15">
        <f>MIN(F39*(Assumptions!$C$6+Assumptions!$C$7)+H39,F39*MAX(1,INDEX(Raw!$H$2:$H$51,MATCH($B39,Raw!$A$2:$A$51,0))))</f>
        <v>41.6363859551325</v>
      </c>
      <c r="J39" s="15">
        <f>MIN(I39+F39*Assumptions!$C$7,F39*MAX(1,INDEX(Raw!$H$2:$H$51,MATCH($B39,Raw!$A$2:$A$51,0))))</f>
        <v>51.5293859551325</v>
      </c>
      <c r="K39" s="16">
        <f>IF(OR(INDEX(Raw!$J$2:$J$51,MATCH($B39,Raw!$A$2:$A$51,0))=1,G39&gt;I39),0,ROUNDUP(MAX(0,J39-G39),0))</f>
        <v>0</v>
      </c>
      <c r="L39" s="17">
        <f>K39*INDEX(Raw!$I$2:$I$51,MATCH($B39,Raw!$A$2:$A$51,0))</f>
        <v>0</v>
      </c>
      <c r="M39" s="15">
        <f>IFERROR(G39/F39,0)</f>
        <v>8.08652582634186</v>
      </c>
      <c r="N39" s="14" t="str">
        <f>IF(INDEX(Raw!$J$2:$J$51,MATCH($B39,Raw!$A$2:$A$51,0))=1,"Blocked - recall",IF(M39&lt;Assumptions!$C$6,"Order now",IF(K39&gt;0,"Order","OK")))</f>
        <v>OK</v>
      </c>
      <c r="O39" s="16">
        <f>IF(OR(SelCat="All",D39=SelCat),1,0)</f>
        <v>1</v>
      </c>
    </row>
    <row r="40">
      <c r="B40" s="14" t="inlineStr">
        <is>
          <t>GRO001</t>
        </is>
      </c>
      <c r="C40" s="14" t="str">
        <f>INDEX(Raw!$B$2:$B$51,MATCH($B40,Raw!$A$2:$A$51,0))</f>
        <v>Instant Noodles 5pk</v>
      </c>
      <c r="D40" s="14" t="str">
        <f>INDEX(Raw!$C$2:$C$51,MATCH($B40,Raw!$A$2:$A$51,0))</f>
        <v>Grocery</v>
      </c>
      <c r="E40" s="14" t="str">
        <f>INDEX(Raw!$D$2:$D$51,MATCH($B40,Raw!$A$2:$A$51,0))</f>
        <v>Asia Imports</v>
      </c>
      <c r="F40" s="15">
        <f>INDEX(Raw!$E$2:$E$51,MATCH($B40,Raw!$A$2:$A$51,0))</f>
        <v>14.393</v>
      </c>
      <c r="G40" s="16">
        <f>INDEX(Raw!$G$2:$G$51,MATCH($B40,Raw!$A$2:$A$51,0))</f>
        <v>101</v>
      </c>
      <c r="H40" s="15">
        <f>Assumptions!$C$8*INDEX(Raw!$F$2:$F$51,MATCH($B40,Raw!$A$2:$A$51,0))*SQRT(Assumptions!$C$6+Assumptions!$C$7)</f>
        <v>13.6578268354632</v>
      </c>
      <c r="I40" s="15">
        <f>MIN(F40*(Assumptions!$C$6+Assumptions!$C$7)+H40,F40*MAX(1,INDEX(Raw!$H$2:$H$51,MATCH($B40,Raw!$A$2:$A$51,0))))</f>
        <v>56.8368268354633</v>
      </c>
      <c r="J40" s="15">
        <f>MIN(I40+F40*Assumptions!$C$7,F40*MAX(1,INDEX(Raw!$H$2:$H$51,MATCH($B40,Raw!$A$2:$A$51,0))))</f>
        <v>71.2298268354633</v>
      </c>
      <c r="K40" s="16">
        <f>IF(OR(INDEX(Raw!$J$2:$J$51,MATCH($B40,Raw!$A$2:$A$51,0))=1,G40&gt;I40),0,ROUNDUP(MAX(0,J40-G40),0))</f>
        <v>0</v>
      </c>
      <c r="L40" s="17">
        <f>K40*INDEX(Raw!$I$2:$I$51,MATCH($B40,Raw!$A$2:$A$51,0))</f>
        <v>0</v>
      </c>
      <c r="M40" s="15">
        <f>IFERROR(G40/F40,0)</f>
        <v>7.01730007642604</v>
      </c>
      <c r="N40" s="14" t="str">
        <f>IF(INDEX(Raw!$J$2:$J$51,MATCH($B40,Raw!$A$2:$A$51,0))=1,"Blocked - recall",IF(M40&lt;Assumptions!$C$6,"Order now",IF(K40&gt;0,"Order","OK")))</f>
        <v>OK</v>
      </c>
      <c r="O40" s="16">
        <f>IF(OR(SelCat="All",D40=SelCat),1,0)</f>
        <v>1</v>
      </c>
    </row>
    <row r="41">
      <c r="B41" s="14" t="inlineStr">
        <is>
          <t>GRO003</t>
        </is>
      </c>
      <c r="C41" s="14" t="str">
        <f>INDEX(Raw!$B$2:$B$51,MATCH($B41,Raw!$A$2:$A$51,0))</f>
        <v>Pasta 500g</v>
      </c>
      <c r="D41" s="14" t="str">
        <f>INDEX(Raw!$C$2:$C$51,MATCH($B41,Raw!$A$2:$A$51,0))</f>
        <v>Grocery</v>
      </c>
      <c r="E41" s="14" t="str">
        <f>INDEX(Raw!$D$2:$D$51,MATCH($B41,Raw!$A$2:$A$51,0))</f>
        <v>Pantry Brands</v>
      </c>
      <c r="F41" s="15">
        <f>INDEX(Raw!$E$2:$E$51,MATCH($B41,Raw!$A$2:$A$51,0))</f>
        <v>5.929</v>
      </c>
      <c r="G41" s="16">
        <f>INDEX(Raw!$G$2:$G$51,MATCH($B41,Raw!$A$2:$A$51,0))</f>
        <v>55</v>
      </c>
      <c r="H41" s="15">
        <f>Assumptions!$C$8*INDEX(Raw!$F$2:$F$51,MATCH($B41,Raw!$A$2:$A$51,0))*SQRT(Assumptions!$C$6+Assumptions!$C$7)</f>
        <v>7.57910792375989</v>
      </c>
      <c r="I41" s="15">
        <f>MIN(F41*(Assumptions!$C$6+Assumptions!$C$7)+H41,F41*MAX(1,INDEX(Raw!$H$2:$H$51,MATCH($B41,Raw!$A$2:$A$51,0))))</f>
        <v>25.3661079237599</v>
      </c>
      <c r="J41" s="15">
        <f>MIN(I41+F41*Assumptions!$C$7,F41*MAX(1,INDEX(Raw!$H$2:$H$51,MATCH($B41,Raw!$A$2:$A$51,0))))</f>
        <v>31.2951079237599</v>
      </c>
      <c r="K41" s="16">
        <f>IF(OR(INDEX(Raw!$J$2:$J$51,MATCH($B41,Raw!$A$2:$A$51,0))=1,G41&gt;I41),0,ROUNDUP(MAX(0,J41-G41),0))</f>
        <v>0</v>
      </c>
      <c r="L41" s="17">
        <f>K41*INDEX(Raw!$I$2:$I$51,MATCH($B41,Raw!$A$2:$A$51,0))</f>
        <v>0</v>
      </c>
      <c r="M41" s="15">
        <f>IFERROR(G41/F41,0)</f>
        <v>9.27643784786642</v>
      </c>
      <c r="N41" s="14" t="str">
        <f>IF(INDEX(Raw!$J$2:$J$51,MATCH($B41,Raw!$A$2:$A$51,0))=1,"Blocked - recall",IF(M41&lt;Assumptions!$C$6,"Order now",IF(K41&gt;0,"Order","OK")))</f>
        <v>OK</v>
      </c>
      <c r="O41" s="16">
        <f>IF(OR(SelCat="All",D41=SelCat),1,0)</f>
        <v>1</v>
      </c>
    </row>
    <row r="42">
      <c r="B42" s="14" t="inlineStr">
        <is>
          <t>GRO005</t>
        </is>
      </c>
      <c r="C42" s="14" t="str">
        <f>INDEX(Raw!$B$2:$B$51,MATCH($B42,Raw!$A$2:$A$51,0))</f>
        <v>Salsa 300g</v>
      </c>
      <c r="D42" s="14" t="str">
        <f>INDEX(Raw!$C$2:$C$51,MATCH($B42,Raw!$A$2:$A$51,0))</f>
        <v>Grocery</v>
      </c>
      <c r="E42" s="14" t="str">
        <f>INDEX(Raw!$D$2:$D$51,MATCH($B42,Raw!$A$2:$A$51,0))</f>
        <v>Latin Pantry</v>
      </c>
      <c r="F42" s="15">
        <f>INDEX(Raw!$E$2:$E$51,MATCH($B42,Raw!$A$2:$A$51,0))</f>
        <v>3.429</v>
      </c>
      <c r="G42" s="16">
        <f>INDEX(Raw!$G$2:$G$51,MATCH($B42,Raw!$A$2:$A$51,0))</f>
        <v>36</v>
      </c>
      <c r="H42" s="15">
        <f>Assumptions!$C$8*INDEX(Raw!$F$2:$F$51,MATCH($B42,Raw!$A$2:$A$51,0))*SQRT(Assumptions!$C$6+Assumptions!$C$7)</f>
        <v>5.7386307356372</v>
      </c>
      <c r="I42" s="15">
        <f>MIN(F42*(Assumptions!$C$6+Assumptions!$C$7)+H42,F42*MAX(1,INDEX(Raw!$H$2:$H$51,MATCH($B42,Raw!$A$2:$A$51,0))))</f>
        <v>16.0256307356372</v>
      </c>
      <c r="J42" s="15">
        <f>MIN(I42+F42*Assumptions!$C$7,F42*MAX(1,INDEX(Raw!$H$2:$H$51,MATCH($B42,Raw!$A$2:$A$51,0))))</f>
        <v>19.4546307356372</v>
      </c>
      <c r="K42" s="16">
        <f>IF(OR(INDEX(Raw!$J$2:$J$51,MATCH($B42,Raw!$A$2:$A$51,0))=1,G42&gt;I42),0,ROUNDUP(MAX(0,J42-G42),0))</f>
        <v>0</v>
      </c>
      <c r="L42" s="17">
        <f>K42*INDEX(Raw!$I$2:$I$51,MATCH($B42,Raw!$A$2:$A$51,0))</f>
        <v>0</v>
      </c>
      <c r="M42" s="15">
        <f>IFERROR(G42/F42,0)</f>
        <v>10.498687664042</v>
      </c>
      <c r="N42" s="14" t="str">
        <f>IF(INDEX(Raw!$J$2:$J$51,MATCH($B42,Raw!$A$2:$A$51,0))=1,"Blocked - recall",IF(M42&lt;Assumptions!$C$6,"Order now",IF(K42&gt;0,"Order","OK")))</f>
        <v>OK</v>
      </c>
      <c r="O42" s="16">
        <f>IF(OR(SelCat="All",D42=SelCat),1,0)</f>
        <v>1</v>
      </c>
    </row>
    <row r="43">
      <c r="B43" s="14" t="inlineStr">
        <is>
          <t>GRO004</t>
        </is>
      </c>
      <c r="C43" s="14" t="str">
        <f>INDEX(Raw!$B$2:$B$51,MATCH($B43,Raw!$A$2:$A$51,0))</f>
        <v>Simmer Sauce 485g</v>
      </c>
      <c r="D43" s="14" t="str">
        <f>INDEX(Raw!$C$2:$C$51,MATCH($B43,Raw!$A$2:$A$51,0))</f>
        <v>Grocery</v>
      </c>
      <c r="E43" s="14" t="str">
        <f>INDEX(Raw!$D$2:$D$51,MATCH($B43,Raw!$A$2:$A$51,0))</f>
        <v>Pantry Brands</v>
      </c>
      <c r="F43" s="15">
        <f>INDEX(Raw!$E$2:$E$51,MATCH($B43,Raw!$A$2:$A$51,0))</f>
        <v>5.321</v>
      </c>
      <c r="G43" s="16">
        <f>INDEX(Raw!$G$2:$G$51,MATCH($B43,Raw!$A$2:$A$51,0))</f>
        <v>29</v>
      </c>
      <c r="H43" s="15">
        <f>Assumptions!$C$8*INDEX(Raw!$F$2:$F$51,MATCH($B43,Raw!$A$2:$A$51,0))*SQRT(Assumptions!$C$6+Assumptions!$C$7)</f>
        <v>9.27097515259317</v>
      </c>
      <c r="I43" s="15">
        <f>MIN(F43*(Assumptions!$C$6+Assumptions!$C$7)+H43,F43*MAX(1,INDEX(Raw!$H$2:$H$51,MATCH($B43,Raw!$A$2:$A$51,0))))</f>
        <v>25.2339751525932</v>
      </c>
      <c r="J43" s="15">
        <f>MIN(I43+F43*Assumptions!$C$7,F43*MAX(1,INDEX(Raw!$H$2:$H$51,MATCH($B43,Raw!$A$2:$A$51,0))))</f>
        <v>30.5549751525932</v>
      </c>
      <c r="K43" s="16">
        <f>IF(OR(INDEX(Raw!$J$2:$J$51,MATCH($B43,Raw!$A$2:$A$51,0))=1,G43&gt;I43),0,ROUNDUP(MAX(0,J43-G43),0))</f>
        <v>0</v>
      </c>
      <c r="L43" s="17">
        <f>K43*INDEX(Raw!$I$2:$I$51,MATCH($B43,Raw!$A$2:$A$51,0))</f>
        <v>0</v>
      </c>
      <c r="M43" s="15">
        <f>IFERROR(G43/F43,0)</f>
        <v>5.45010336402932</v>
      </c>
      <c r="N43" s="14" t="str">
        <f>IF(INDEX(Raw!$J$2:$J$51,MATCH($B43,Raw!$A$2:$A$51,0))=1,"Blocked - recall",IF(M43&lt;Assumptions!$C$6,"Order now",IF(K43&gt;0,"Order","OK")))</f>
        <v>Blocked - recall</v>
      </c>
      <c r="O43" s="16">
        <f>IF(OR(SelCat="All",D43=SelCat),1,0)</f>
        <v>1</v>
      </c>
    </row>
    <row r="44">
      <c r="B44" s="14" t="inlineStr">
        <is>
          <t>GRO006</t>
        </is>
      </c>
      <c r="C44" s="14" t="str">
        <f>INDEX(Raw!$B$2:$B$51,MATCH($B44,Raw!$A$2:$A$51,0))</f>
        <v>Taco Kit</v>
      </c>
      <c r="D44" s="14" t="str">
        <f>INDEX(Raw!$C$2:$C$51,MATCH($B44,Raw!$A$2:$A$51,0))</f>
        <v>Grocery</v>
      </c>
      <c r="E44" s="14" t="str">
        <f>INDEX(Raw!$D$2:$D$51,MATCH($B44,Raw!$A$2:$A$51,0))</f>
        <v>Latin Pantry</v>
      </c>
      <c r="F44" s="15">
        <f>INDEX(Raw!$E$2:$E$51,MATCH($B44,Raw!$A$2:$A$51,0))</f>
        <v>3.536</v>
      </c>
      <c r="G44" s="16">
        <f>INDEX(Raw!$G$2:$G$51,MATCH($B44,Raw!$A$2:$A$51,0))</f>
        <v>30</v>
      </c>
      <c r="H44" s="15">
        <f>Assumptions!$C$8*INDEX(Raw!$F$2:$F$51,MATCH($B44,Raw!$A$2:$A$51,0))*SQRT(Assumptions!$C$6+Assumptions!$C$7)</f>
        <v>6.24733405782018</v>
      </c>
      <c r="I44" s="15">
        <f>MIN(F44*(Assumptions!$C$6+Assumptions!$C$7)+H44,F44*MAX(1,INDEX(Raw!$H$2:$H$51,MATCH($B44,Raw!$A$2:$A$51,0))))</f>
        <v>16.8553340578202</v>
      </c>
      <c r="J44" s="15">
        <f>MIN(I44+F44*Assumptions!$C$7,F44*MAX(1,INDEX(Raw!$H$2:$H$51,MATCH($B44,Raw!$A$2:$A$51,0))))</f>
        <v>20.3913340578202</v>
      </c>
      <c r="K44" s="16">
        <f>IF(OR(INDEX(Raw!$J$2:$J$51,MATCH($B44,Raw!$A$2:$A$51,0))=1,G44&gt;I44),0,ROUNDUP(MAX(0,J44-G44),0))</f>
        <v>0</v>
      </c>
      <c r="L44" s="17">
        <f>K44*INDEX(Raw!$I$2:$I$51,MATCH($B44,Raw!$A$2:$A$51,0))</f>
        <v>0</v>
      </c>
      <c r="M44" s="15">
        <f>IFERROR(G44/F44,0)</f>
        <v>8.4841628959276</v>
      </c>
      <c r="N44" s="14" t="str">
        <f>IF(INDEX(Raw!$J$2:$J$51,MATCH($B44,Raw!$A$2:$A$51,0))=1,"Blocked - recall",IF(M44&lt;Assumptions!$C$6,"Order now",IF(K44&gt;0,"Order","OK")))</f>
        <v>OK</v>
      </c>
      <c r="O44" s="16">
        <f>IF(OR(SelCat="All",D44=SelCat),1,0)</f>
        <v>1</v>
      </c>
    </row>
    <row r="45">
      <c r="B45" s="14" t="inlineStr">
        <is>
          <t>PHM001</t>
        </is>
      </c>
      <c r="C45" s="14" t="str">
        <f>INDEX(Raw!$B$2:$B$51,MATCH($B45,Raw!$A$2:$A$51,0))</f>
        <v>Paracetamol 20pk</v>
      </c>
      <c r="D45" s="14" t="str">
        <f>INDEX(Raw!$C$2:$C$51,MATCH($B45,Raw!$A$2:$A$51,0))</f>
        <v>Health &amp; Beauty</v>
      </c>
      <c r="E45" s="14" t="str">
        <f>INDEX(Raw!$D$2:$D$51,MATCH($B45,Raw!$A$2:$A$51,0))</f>
        <v>Pharma Dist.</v>
      </c>
      <c r="F45" s="15">
        <f>INDEX(Raw!$E$2:$E$51,MATCH($B45,Raw!$A$2:$A$51,0))</f>
        <v>3.929</v>
      </c>
      <c r="G45" s="16">
        <f>INDEX(Raw!$G$2:$G$51,MATCH($B45,Raw!$A$2:$A$51,0))</f>
        <v>37</v>
      </c>
      <c r="H45" s="15">
        <f>Assumptions!$C$8*INDEX(Raw!$F$2:$F$51,MATCH($B45,Raw!$A$2:$A$51,0))*SQRT(Assumptions!$C$6+Assumptions!$C$7)</f>
        <v>7.1247043943942</v>
      </c>
      <c r="I45" s="15">
        <f>MIN(F45*(Assumptions!$C$6+Assumptions!$C$7)+H45,F45*MAX(1,INDEX(Raw!$H$2:$H$51,MATCH($B45,Raw!$A$2:$A$51,0))))</f>
        <v>18.9117043943942</v>
      </c>
      <c r="J45" s="15">
        <f>MIN(I45+F45*Assumptions!$C$7,F45*MAX(1,INDEX(Raw!$H$2:$H$51,MATCH($B45,Raw!$A$2:$A$51,0))))</f>
        <v>22.8407043943942</v>
      </c>
      <c r="K45" s="16">
        <f>IF(OR(INDEX(Raw!$J$2:$J$51,MATCH($B45,Raw!$A$2:$A$51,0))=1,G45&gt;I45),0,ROUNDUP(MAX(0,J45-G45),0))</f>
        <v>0</v>
      </c>
      <c r="L45" s="17">
        <f>K45*INDEX(Raw!$I$2:$I$51,MATCH($B45,Raw!$A$2:$A$51,0))</f>
        <v>0</v>
      </c>
      <c r="M45" s="15">
        <f>IFERROR(G45/F45,0)</f>
        <v>9.41715449223721</v>
      </c>
      <c r="N45" s="14" t="str">
        <f>IF(INDEX(Raw!$J$2:$J$51,MATCH($B45,Raw!$A$2:$A$51,0))=1,"Blocked - recall",IF(M45&lt;Assumptions!$C$6,"Order now",IF(K45&gt;0,"Order","OK")))</f>
        <v>OK</v>
      </c>
      <c r="O45" s="16">
        <f>IF(OR(SelCat="All",D45=SelCat),1,0)</f>
        <v>1</v>
      </c>
    </row>
    <row r="46">
      <c r="B46" s="14" t="inlineStr">
        <is>
          <t>PHM002</t>
        </is>
      </c>
      <c r="C46" s="14" t="str">
        <f>INDEX(Raw!$B$2:$B$51,MATCH($B46,Raw!$A$2:$A$51,0))</f>
        <v>Sunscreen SPF50</v>
      </c>
      <c r="D46" s="14" t="str">
        <f>INDEX(Raw!$C$2:$C$51,MATCH($B46,Raw!$A$2:$A$51,0))</f>
        <v>Health &amp; Beauty</v>
      </c>
      <c r="E46" s="14" t="str">
        <f>INDEX(Raw!$D$2:$D$51,MATCH($B46,Raw!$A$2:$A$51,0))</f>
        <v>Pharma Dist.</v>
      </c>
      <c r="F46" s="15">
        <f>INDEX(Raw!$E$2:$E$51,MATCH($B46,Raw!$A$2:$A$51,0))</f>
        <v>2.036</v>
      </c>
      <c r="G46" s="16">
        <f>INDEX(Raw!$G$2:$G$51,MATCH($B46,Raw!$A$2:$A$51,0))</f>
        <v>13</v>
      </c>
      <c r="H46" s="15">
        <f>Assumptions!$C$8*INDEX(Raw!$F$2:$F$51,MATCH($B46,Raw!$A$2:$A$51,0))*SQRT(Assumptions!$C$6+Assumptions!$C$7)</f>
        <v>4.76123446492609</v>
      </c>
      <c r="I46" s="15">
        <f>MIN(F46*(Assumptions!$C$6+Assumptions!$C$7)+H46,F46*MAX(1,INDEX(Raw!$H$2:$H$51,MATCH($B46,Raw!$A$2:$A$51,0))))</f>
        <v>10.8692344649261</v>
      </c>
      <c r="J46" s="15">
        <f>MIN(I46+F46*Assumptions!$C$7,F46*MAX(1,INDEX(Raw!$H$2:$H$51,MATCH($B46,Raw!$A$2:$A$51,0))))</f>
        <v>12.9052344649261</v>
      </c>
      <c r="K46" s="16">
        <f>IF(OR(INDEX(Raw!$J$2:$J$51,MATCH($B46,Raw!$A$2:$A$51,0))=1,G46&gt;I46),0,ROUNDUP(MAX(0,J46-G46),0))</f>
        <v>0</v>
      </c>
      <c r="L46" s="17">
        <f>K46*INDEX(Raw!$I$2:$I$51,MATCH($B46,Raw!$A$2:$A$51,0))</f>
        <v>0</v>
      </c>
      <c r="M46" s="15">
        <f>IFERROR(G46/F46,0)</f>
        <v>6.38506876227898</v>
      </c>
      <c r="N46" s="14" t="str">
        <f>IF(INDEX(Raw!$J$2:$J$51,MATCH($B46,Raw!$A$2:$A$51,0))=1,"Blocked - recall",IF(M46&lt;Assumptions!$C$6,"Order now",IF(K46&gt;0,"Order","OK")))</f>
        <v>OK</v>
      </c>
      <c r="O46" s="16">
        <f>IF(OR(SelCat="All",D46=SelCat),1,0)</f>
        <v>1</v>
      </c>
    </row>
    <row r="47">
      <c r="B47" s="14" t="inlineStr">
        <is>
          <t>HHD002</t>
        </is>
      </c>
      <c r="C47" s="14" t="str">
        <f>INDEX(Raw!$B$2:$B$51,MATCH($B47,Raw!$A$2:$A$51,0))</f>
        <v>Dishwash Liquid</v>
      </c>
      <c r="D47" s="14" t="str">
        <f>INDEX(Raw!$C$2:$C$51,MATCH($B47,Raw!$A$2:$A$51,0))</f>
        <v>Household</v>
      </c>
      <c r="E47" s="14" t="str">
        <f>INDEX(Raw!$D$2:$D$51,MATCH($B47,Raw!$A$2:$A$51,0))</f>
        <v>Home Supplies</v>
      </c>
      <c r="F47" s="15">
        <f>INDEX(Raw!$E$2:$E$51,MATCH($B47,Raw!$A$2:$A$51,0))</f>
        <v>3.536</v>
      </c>
      <c r="G47" s="16">
        <f>INDEX(Raw!$G$2:$G$51,MATCH($B47,Raw!$A$2:$A$51,0))</f>
        <v>32</v>
      </c>
      <c r="H47" s="15">
        <f>Assumptions!$C$8*INDEX(Raw!$F$2:$F$51,MATCH($B47,Raw!$A$2:$A$51,0))*SQRT(Assumptions!$C$6+Assumptions!$C$7)</f>
        <v>5.79293052845449</v>
      </c>
      <c r="I47" s="15">
        <f>MIN(F47*(Assumptions!$C$6+Assumptions!$C$7)+H47,F47*MAX(1,INDEX(Raw!$H$2:$H$51,MATCH($B47,Raw!$A$2:$A$51,0))))</f>
        <v>16.4009305284545</v>
      </c>
      <c r="J47" s="15">
        <f>MIN(I47+F47*Assumptions!$C$7,F47*MAX(1,INDEX(Raw!$H$2:$H$51,MATCH($B47,Raw!$A$2:$A$51,0))))</f>
        <v>19.9369305284545</v>
      </c>
      <c r="K47" s="16">
        <f>IF(OR(INDEX(Raw!$J$2:$J$51,MATCH($B47,Raw!$A$2:$A$51,0))=1,G47&gt;I47),0,ROUNDUP(MAX(0,J47-G47),0))</f>
        <v>0</v>
      </c>
      <c r="L47" s="17">
        <f>K47*INDEX(Raw!$I$2:$I$51,MATCH($B47,Raw!$A$2:$A$51,0))</f>
        <v>0</v>
      </c>
      <c r="M47" s="15">
        <f>IFERROR(G47/F47,0)</f>
        <v>9.04977375565611</v>
      </c>
      <c r="N47" s="14" t="str">
        <f>IF(INDEX(Raw!$J$2:$J$51,MATCH($B47,Raw!$A$2:$A$51,0))=1,"Blocked - recall",IF(M47&lt;Assumptions!$C$6,"Order now",IF(K47&gt;0,"Order","OK")))</f>
        <v>OK</v>
      </c>
      <c r="O47" s="16">
        <f>IF(OR(SelCat="All",D47=SelCat),1,0)</f>
        <v>1</v>
      </c>
    </row>
    <row r="48">
      <c r="B48" s="14" t="inlineStr">
        <is>
          <t>HHD003</t>
        </is>
      </c>
      <c r="C48" s="14" t="str">
        <f>INDEX(Raw!$B$2:$B$51,MATCH($B48,Raw!$A$2:$A$51,0))</f>
        <v>Phone Charger Cable</v>
      </c>
      <c r="D48" s="14" t="str">
        <f>INDEX(Raw!$C$2:$C$51,MATCH($B48,Raw!$A$2:$A$51,0))</f>
        <v>Household</v>
      </c>
      <c r="E48" s="14" t="str">
        <f>INDEX(Raw!$D$2:$D$51,MATCH($B48,Raw!$A$2:$A$51,0))</f>
        <v>Home Supplies</v>
      </c>
      <c r="F48" s="15">
        <f>INDEX(Raw!$E$2:$E$51,MATCH($B48,Raw!$A$2:$A$51,0))</f>
        <v>1.143</v>
      </c>
      <c r="G48" s="16">
        <f>INDEX(Raw!$G$2:$G$51,MATCH($B48,Raw!$A$2:$A$51,0))</f>
        <v>4</v>
      </c>
      <c r="H48" s="15">
        <f>Assumptions!$C$8*INDEX(Raw!$F$2:$F$51,MATCH($B48,Raw!$A$2:$A$51,0))*SQRT(Assumptions!$C$6+Assumptions!$C$7)</f>
        <v>2.98363072111815</v>
      </c>
      <c r="I48" s="15">
        <f>MIN(F48*(Assumptions!$C$6+Assumptions!$C$7)+H48,F48*MAX(1,INDEX(Raw!$H$2:$H$51,MATCH($B48,Raw!$A$2:$A$51,0))))</f>
        <v>6.41263072111815</v>
      </c>
      <c r="J48" s="15">
        <f>MIN(I48+F48*Assumptions!$C$7,F48*MAX(1,INDEX(Raw!$H$2:$H$51,MATCH($B48,Raw!$A$2:$A$51,0))))</f>
        <v>7.55563072111815</v>
      </c>
      <c r="K48" s="16">
        <f>IF(OR(INDEX(Raw!$J$2:$J$51,MATCH($B48,Raw!$A$2:$A$51,0))=1,G48&gt;I48),0,ROUNDUP(MAX(0,J48-G48),0))</f>
        <v>4</v>
      </c>
      <c r="L48" s="17">
        <f>K48*INDEX(Raw!$I$2:$I$51,MATCH($B48,Raw!$A$2:$A$51,0))</f>
        <v>22</v>
      </c>
      <c r="M48" s="15">
        <f>IFERROR(G48/F48,0)</f>
        <v>3.49956255468067</v>
      </c>
      <c r="N48" s="14" t="str">
        <f>IF(INDEX(Raw!$J$2:$J$51,MATCH($B48,Raw!$A$2:$A$51,0))=1,"Blocked - recall",IF(M48&lt;Assumptions!$C$6,"Order now",IF(K48&gt;0,"Order","OK")))</f>
        <v>Order</v>
      </c>
      <c r="O48" s="16">
        <f>IF(OR(SelCat="All",D48=SelCat),1,0)</f>
        <v>1</v>
      </c>
    </row>
    <row r="49">
      <c r="B49" s="14" t="inlineStr">
        <is>
          <t>HHD001</t>
        </is>
      </c>
      <c r="C49" s="14" t="str">
        <f>INDEX(Raw!$B$2:$B$51,MATCH($B49,Raw!$A$2:$A$51,0))</f>
        <v>Toilet Paper 6pk</v>
      </c>
      <c r="D49" s="14" t="str">
        <f>INDEX(Raw!$C$2:$C$51,MATCH($B49,Raw!$A$2:$A$51,0))</f>
        <v>Household</v>
      </c>
      <c r="E49" s="14" t="str">
        <f>INDEX(Raw!$D$2:$D$51,MATCH($B49,Raw!$A$2:$A$51,0))</f>
        <v>Home Supplies</v>
      </c>
      <c r="F49" s="15">
        <f>INDEX(Raw!$E$2:$E$51,MATCH($B49,Raw!$A$2:$A$51,0))</f>
        <v>4.357</v>
      </c>
      <c r="G49" s="16">
        <f>INDEX(Raw!$G$2:$G$51,MATCH($B49,Raw!$A$2:$A$51,0))</f>
        <v>44</v>
      </c>
      <c r="H49" s="15">
        <f>Assumptions!$C$8*INDEX(Raw!$F$2:$F$51,MATCH($B49,Raw!$A$2:$A$51,0))*SQRT(Assumptions!$C$6+Assumptions!$C$7)</f>
        <v>8.09066912977536</v>
      </c>
      <c r="I49" s="15">
        <f>MIN(F49*(Assumptions!$C$6+Assumptions!$C$7)+H49,F49*MAX(1,INDEX(Raw!$H$2:$H$51,MATCH($B49,Raw!$A$2:$A$51,0))))</f>
        <v>21.1616691297754</v>
      </c>
      <c r="J49" s="15">
        <f>MIN(I49+F49*Assumptions!$C$7,F49*MAX(1,INDEX(Raw!$H$2:$H$51,MATCH($B49,Raw!$A$2:$A$51,0))))</f>
        <v>25.5186691297754</v>
      </c>
      <c r="K49" s="16">
        <f>IF(OR(INDEX(Raw!$J$2:$J$51,MATCH($B49,Raw!$A$2:$A$51,0))=1,G49&gt;I49),0,ROUNDUP(MAX(0,J49-G49),0))</f>
        <v>0</v>
      </c>
      <c r="L49" s="17">
        <f>K49*INDEX(Raw!$I$2:$I$51,MATCH($B49,Raw!$A$2:$A$51,0))</f>
        <v>0</v>
      </c>
      <c r="M49" s="15">
        <f>IFERROR(G49/F49,0)</f>
        <v>10.0986917603856</v>
      </c>
      <c r="N49" s="14" t="str">
        <f>IF(INDEX(Raw!$J$2:$J$51,MATCH($B49,Raw!$A$2:$A$51,0))=1,"Blocked - recall",IF(M49&lt;Assumptions!$C$6,"Order now",IF(K49&gt;0,"Order","OK")))</f>
        <v>OK</v>
      </c>
      <c r="O49" s="16">
        <f>IF(OR(SelCat="All",D49=SelCat),1,0)</f>
        <v>1</v>
      </c>
    </row>
    <row r="50">
      <c r="B50" s="14" t="inlineStr">
        <is>
          <t>PRD002</t>
        </is>
      </c>
      <c r="C50" s="14" t="str">
        <f>INDEX(Raw!$B$2:$B$51,MATCH($B50,Raw!$A$2:$A$51,0))</f>
        <v>Avocado</v>
      </c>
      <c r="D50" s="14" t="str">
        <f>INDEX(Raw!$C$2:$C$51,MATCH($B50,Raw!$A$2:$A$51,0))</f>
        <v>Produce</v>
      </c>
      <c r="E50" s="14" t="str">
        <f>INDEX(Raw!$D$2:$D$51,MATCH($B50,Raw!$A$2:$A$51,0))</f>
        <v>Produce Market</v>
      </c>
      <c r="F50" s="15">
        <f>INDEX(Raw!$E$2:$E$51,MATCH($B50,Raw!$A$2:$A$51,0))</f>
        <v>7.75</v>
      </c>
      <c r="G50" s="16">
        <f>INDEX(Raw!$G$2:$G$51,MATCH($B50,Raw!$A$2:$A$51,0))</f>
        <v>70</v>
      </c>
      <c r="H50" s="15">
        <f>Assumptions!$C$8*INDEX(Raw!$F$2:$F$51,MATCH($B50,Raw!$A$2:$A$51,0))*SQRT(Assumptions!$C$6+Assumptions!$C$7)</f>
        <v>9.67107888914158</v>
      </c>
      <c r="I50" s="15">
        <f>MIN(F50*(Assumptions!$C$6+Assumptions!$C$7)+H50,F50*MAX(1,INDEX(Raw!$H$2:$H$51,MATCH($B50,Raw!$A$2:$A$51,0))))</f>
        <v>32.9210788891416</v>
      </c>
      <c r="J50" s="15">
        <f>MIN(I50+F50*Assumptions!$C$7,F50*MAX(1,INDEX(Raw!$H$2:$H$51,MATCH($B50,Raw!$A$2:$A$51,0))))</f>
        <v>38.75</v>
      </c>
      <c r="K50" s="16">
        <f>IF(OR(INDEX(Raw!$J$2:$J$51,MATCH($B50,Raw!$A$2:$A$51,0))=1,G50&gt;I50),0,ROUNDUP(MAX(0,J50-G50),0))</f>
        <v>0</v>
      </c>
      <c r="L50" s="17">
        <f>K50*INDEX(Raw!$I$2:$I$51,MATCH($B50,Raw!$A$2:$A$51,0))</f>
        <v>0</v>
      </c>
      <c r="M50" s="15">
        <f>IFERROR(G50/F50,0)</f>
        <v>9.03225806451613</v>
      </c>
      <c r="N50" s="14" t="str">
        <f>IF(INDEX(Raw!$J$2:$J$51,MATCH($B50,Raw!$A$2:$A$51,0))=1,"Blocked - recall",IF(M50&lt;Assumptions!$C$6,"Order now",IF(K50&gt;0,"Order","OK")))</f>
        <v>OK</v>
      </c>
      <c r="O50" s="16">
        <f>IF(OR(SelCat="All",D50=SelCat),1,0)</f>
        <v>1</v>
      </c>
    </row>
    <row r="51">
      <c r="B51" s="14" t="inlineStr">
        <is>
          <t>PRD001</t>
        </is>
      </c>
      <c r="C51" s="14" t="str">
        <f>INDEX(Raw!$B$2:$B$51,MATCH($B51,Raw!$A$2:$A$51,0))</f>
        <v>Bananas (each)</v>
      </c>
      <c r="D51" s="14" t="str">
        <f>INDEX(Raw!$C$2:$C$51,MATCH($B51,Raw!$A$2:$A$51,0))</f>
        <v>Produce</v>
      </c>
      <c r="E51" s="14" t="str">
        <f>INDEX(Raw!$D$2:$D$51,MATCH($B51,Raw!$A$2:$A$51,0))</f>
        <v>Produce Market</v>
      </c>
      <c r="F51" s="15">
        <f>INDEX(Raw!$E$2:$E$51,MATCH($B51,Raw!$A$2:$A$51,0))</f>
        <v>31.071</v>
      </c>
      <c r="G51" s="16">
        <f>INDEX(Raw!$G$2:$G$51,MATCH($B51,Raw!$A$2:$A$51,0))</f>
        <v>269</v>
      </c>
      <c r="H51" s="15">
        <f>Assumptions!$C$8*INDEX(Raw!$F$2:$F$51,MATCH($B51,Raw!$A$2:$A$51,0))*SQRT(Assumptions!$C$6+Assumptions!$C$7)</f>
        <v>22.0542895353149</v>
      </c>
      <c r="I51" s="15">
        <f>MIN(F51*(Assumptions!$C$6+Assumptions!$C$7)+H51,F51*MAX(1,INDEX(Raw!$H$2:$H$51,MATCH($B51,Raw!$A$2:$A$51,0))))</f>
        <v>115.267289535315</v>
      </c>
      <c r="J51" s="15">
        <f>MIN(I51+F51*Assumptions!$C$7,F51*MAX(1,INDEX(Raw!$H$2:$H$51,MATCH($B51,Raw!$A$2:$A$51,0))))</f>
        <v>146.338289535315</v>
      </c>
      <c r="K51" s="16">
        <f>IF(OR(INDEX(Raw!$J$2:$J$51,MATCH($B51,Raw!$A$2:$A$51,0))=1,G51&gt;I51),0,ROUNDUP(MAX(0,J51-G51),0))</f>
        <v>0</v>
      </c>
      <c r="L51" s="17">
        <f>K51*INDEX(Raw!$I$2:$I$51,MATCH($B51,Raw!$A$2:$A$51,0))</f>
        <v>0</v>
      </c>
      <c r="M51" s="15">
        <f>IFERROR(G51/F51,0)</f>
        <v>8.65759067941167</v>
      </c>
      <c r="N51" s="14" t="str">
        <f>IF(INDEX(Raw!$J$2:$J$51,MATCH($B51,Raw!$A$2:$A$51,0))=1,"Blocked - recall",IF(M51&lt;Assumptions!$C$6,"Order now",IF(K51&gt;0,"Order","OK")))</f>
        <v>OK</v>
      </c>
      <c r="O51" s="16">
        <f>IF(OR(SelCat="All",D51=SelCat),1,0)</f>
        <v>1</v>
      </c>
    </row>
    <row r="52">
      <c r="B52" s="14" t="inlineStr">
        <is>
          <t>PRD003</t>
        </is>
      </c>
      <c r="C52" s="14" t="str">
        <f>INDEX(Raw!$B$2:$B$51,MATCH($B52,Raw!$A$2:$A$51,0))</f>
        <v>Tomatoes 500g</v>
      </c>
      <c r="D52" s="14" t="str">
        <f>INDEX(Raw!$C$2:$C$51,MATCH($B52,Raw!$A$2:$A$51,0))</f>
        <v>Produce</v>
      </c>
      <c r="E52" s="14" t="str">
        <f>INDEX(Raw!$D$2:$D$51,MATCH($B52,Raw!$A$2:$A$51,0))</f>
        <v>Produce Market</v>
      </c>
      <c r="F52" s="15">
        <f>INDEX(Raw!$E$2:$E$51,MATCH($B52,Raw!$A$2:$A$51,0))</f>
        <v>4.464</v>
      </c>
      <c r="G52" s="16">
        <f>INDEX(Raw!$G$2:$G$51,MATCH($B52,Raw!$A$2:$A$51,0))</f>
        <v>45</v>
      </c>
      <c r="H52" s="15">
        <f>Assumptions!$C$8*INDEX(Raw!$F$2:$F$51,MATCH($B52,Raw!$A$2:$A$51,0))*SQRT(Assumptions!$C$6+Assumptions!$C$7)</f>
        <v>8.32215772020694</v>
      </c>
      <c r="I52" s="15">
        <f>MIN(F52*(Assumptions!$C$6+Assumptions!$C$7)+H52,F52*MAX(1,INDEX(Raw!$H$2:$H$51,MATCH($B52,Raw!$A$2:$A$51,0))))</f>
        <v>21.7141577202069</v>
      </c>
      <c r="J52" s="15">
        <f>MIN(I52+F52*Assumptions!$C$7,F52*MAX(1,INDEX(Raw!$H$2:$H$51,MATCH($B52,Raw!$A$2:$A$51,0))))</f>
        <v>26.1781577202069</v>
      </c>
      <c r="K52" s="16">
        <f>IF(OR(INDEX(Raw!$J$2:$J$51,MATCH($B52,Raw!$A$2:$A$51,0))=1,G52&gt;I52),0,ROUNDUP(MAX(0,J52-G52),0))</f>
        <v>0</v>
      </c>
      <c r="L52" s="17">
        <f>K52*INDEX(Raw!$I$2:$I$51,MATCH($B52,Raw!$A$2:$A$51,0))</f>
        <v>0</v>
      </c>
      <c r="M52" s="15">
        <f>IFERROR(G52/F52,0)</f>
        <v>10.0806451612903</v>
      </c>
      <c r="N52" s="14" t="str">
        <f>IF(INDEX(Raw!$J$2:$J$51,MATCH($B52,Raw!$A$2:$A$51,0))=1,"Blocked - recall",IF(M52&lt;Assumptions!$C$6,"Order now",IF(K52&gt;0,"Order","OK")))</f>
        <v>OK</v>
      </c>
      <c r="O52" s="16">
        <f>IF(OR(SelCat="All",D52=SelCat),1,0)</f>
        <v>1</v>
      </c>
    </row>
    <row r="53">
      <c r="B53" s="14" t="inlineStr">
        <is>
          <t>SNK002</t>
        </is>
      </c>
      <c r="C53" s="14" t="str">
        <f>INDEX(Raw!$B$2:$B$51,MATCH($B53,Raw!$A$2:$A$51,0))</f>
        <v>Chocolate Block 200g</v>
      </c>
      <c r="D53" s="14" t="str">
        <f>INDEX(Raw!$C$2:$C$51,MATCH($B53,Raw!$A$2:$A$51,0))</f>
        <v>Snacks &amp; Confectionery</v>
      </c>
      <c r="E53" s="14" t="str">
        <f>INDEX(Raw!$D$2:$D$51,MATCH($B53,Raw!$A$2:$A$51,0))</f>
        <v>Confectionery Ltd</v>
      </c>
      <c r="F53" s="15">
        <f>INDEX(Raw!$E$2:$E$51,MATCH($B53,Raw!$A$2:$A$51,0))</f>
        <v>17.429</v>
      </c>
      <c r="G53" s="16">
        <f>INDEX(Raw!$G$2:$G$51,MATCH($B53,Raw!$A$2:$A$51,0))</f>
        <v>110</v>
      </c>
      <c r="H53" s="15">
        <f>Assumptions!$C$8*INDEX(Raw!$F$2:$F$51,MATCH($B53,Raw!$A$2:$A$51,0))*SQRT(Assumptions!$C$6+Assumptions!$C$7)</f>
        <v>14.849564393611</v>
      </c>
      <c r="I53" s="15">
        <f>MIN(F53*(Assumptions!$C$6+Assumptions!$C$7)+H53,F53*MAX(1,INDEX(Raw!$H$2:$H$51,MATCH($B53,Raw!$A$2:$A$51,0))))</f>
        <v>67.136564393611</v>
      </c>
      <c r="J53" s="15">
        <f>MIN(I53+F53*Assumptions!$C$7,F53*MAX(1,INDEX(Raw!$H$2:$H$51,MATCH($B53,Raw!$A$2:$A$51,0))))</f>
        <v>84.565564393611</v>
      </c>
      <c r="K53" s="16">
        <f>IF(OR(INDEX(Raw!$J$2:$J$51,MATCH($B53,Raw!$A$2:$A$51,0))=1,G53&gt;I53),0,ROUNDUP(MAX(0,J53-G53),0))</f>
        <v>0</v>
      </c>
      <c r="L53" s="17">
        <f>K53*INDEX(Raw!$I$2:$I$51,MATCH($B53,Raw!$A$2:$A$51,0))</f>
        <v>0</v>
      </c>
      <c r="M53" s="15">
        <f>IFERROR(G53/F53,0)</f>
        <v>6.31132021343738</v>
      </c>
      <c r="N53" s="14" t="str">
        <f>IF(INDEX(Raw!$J$2:$J$51,MATCH($B53,Raw!$A$2:$A$51,0))=1,"Blocked - recall",IF(M53&lt;Assumptions!$C$6,"Order now",IF(K53&gt;0,"Order","OK")))</f>
        <v>OK</v>
      </c>
      <c r="O53" s="16">
        <f>IF(OR(SelCat="All",D53=SelCat),1,0)</f>
        <v>1</v>
      </c>
    </row>
    <row r="54">
      <c r="B54" s="14" t="inlineStr">
        <is>
          <t>SNK004</t>
        </is>
      </c>
      <c r="C54" s="14" t="str">
        <f>INDEX(Raw!$B$2:$B$51,MATCH($B54,Raw!$A$2:$A$51,0))</f>
        <v>Corn Chips 230g</v>
      </c>
      <c r="D54" s="14" t="str">
        <f>INDEX(Raw!$C$2:$C$51,MATCH($B54,Raw!$A$2:$A$51,0))</f>
        <v>Snacks &amp; Confectionery</v>
      </c>
      <c r="E54" s="14" t="str">
        <f>INDEX(Raw!$D$2:$D$51,MATCH($B54,Raw!$A$2:$A$51,0))</f>
        <v>Latin Pantry</v>
      </c>
      <c r="F54" s="15">
        <f>INDEX(Raw!$E$2:$E$51,MATCH($B54,Raw!$A$2:$A$51,0))</f>
        <v>9.393</v>
      </c>
      <c r="G54" s="16">
        <f>INDEX(Raw!$G$2:$G$51,MATCH($B54,Raw!$A$2:$A$51,0))</f>
        <v>64</v>
      </c>
      <c r="H54" s="15">
        <f>Assumptions!$C$8*INDEX(Raw!$F$2:$F$51,MATCH($B54,Raw!$A$2:$A$51,0))*SQRT(Assumptions!$C$6+Assumptions!$C$7)</f>
        <v>9.2138174759434</v>
      </c>
      <c r="I54" s="15">
        <f>MIN(F54*(Assumptions!$C$6+Assumptions!$C$7)+H54,F54*MAX(1,INDEX(Raw!$H$2:$H$51,MATCH($B54,Raw!$A$2:$A$51,0))))</f>
        <v>37.3928174759434</v>
      </c>
      <c r="J54" s="15">
        <f>MIN(I54+F54*Assumptions!$C$7,F54*MAX(1,INDEX(Raw!$H$2:$H$51,MATCH($B54,Raw!$A$2:$A$51,0))))</f>
        <v>46.7858174759434</v>
      </c>
      <c r="K54" s="16">
        <f>IF(OR(INDEX(Raw!$J$2:$J$51,MATCH($B54,Raw!$A$2:$A$51,0))=1,G54&gt;I54),0,ROUNDUP(MAX(0,J54-G54),0))</f>
        <v>0</v>
      </c>
      <c r="L54" s="17">
        <f>K54*INDEX(Raw!$I$2:$I$51,MATCH($B54,Raw!$A$2:$A$51,0))</f>
        <v>0</v>
      </c>
      <c r="M54" s="15">
        <f>IFERROR(G54/F54,0)</f>
        <v>6.81358458426488</v>
      </c>
      <c r="N54" s="14" t="str">
        <f>IF(INDEX(Raw!$J$2:$J$51,MATCH($B54,Raw!$A$2:$A$51,0))=1,"Blocked - recall",IF(M54&lt;Assumptions!$C$6,"Order now",IF(K54&gt;0,"Order","OK")))</f>
        <v>OK</v>
      </c>
      <c r="O54" s="16">
        <f>IF(OR(SelCat="All",D54=SelCat),1,0)</f>
        <v>1</v>
      </c>
    </row>
    <row r="55">
      <c r="B55" s="14" t="inlineStr">
        <is>
          <t>SNK005</t>
        </is>
      </c>
      <c r="C55" s="14" t="str">
        <f>INDEX(Raw!$B$2:$B$51,MATCH($B55,Raw!$A$2:$A$51,0))</f>
        <v>Lollies Bag 200g</v>
      </c>
      <c r="D55" s="14" t="str">
        <f>INDEX(Raw!$C$2:$C$51,MATCH($B55,Raw!$A$2:$A$51,0))</f>
        <v>Snacks &amp; Confectionery</v>
      </c>
      <c r="E55" s="14" t="str">
        <f>INDEX(Raw!$D$2:$D$51,MATCH($B55,Raw!$A$2:$A$51,0))</f>
        <v>Confectionery Ltd</v>
      </c>
      <c r="F55" s="15">
        <f>INDEX(Raw!$E$2:$E$51,MATCH($B55,Raw!$A$2:$A$51,0))</f>
        <v>9.679</v>
      </c>
      <c r="G55" s="16">
        <f>INDEX(Raw!$G$2:$G$51,MATCH($B55,Raw!$A$2:$A$51,0))</f>
        <v>78</v>
      </c>
      <c r="H55" s="15">
        <f>Assumptions!$C$8*INDEX(Raw!$F$2:$F$51,MATCH($B55,Raw!$A$2:$A$51,0))*SQRT(Assumptions!$C$6+Assumptions!$C$7)</f>
        <v>10.5227282712232</v>
      </c>
      <c r="I55" s="15">
        <f>MIN(F55*(Assumptions!$C$6+Assumptions!$C$7)+H55,F55*MAX(1,INDEX(Raw!$H$2:$H$51,MATCH($B55,Raw!$A$2:$A$51,0))))</f>
        <v>39.5597282712232</v>
      </c>
      <c r="J55" s="15">
        <f>MIN(I55+F55*Assumptions!$C$7,F55*MAX(1,INDEX(Raw!$H$2:$H$51,MATCH($B55,Raw!$A$2:$A$51,0))))</f>
        <v>49.2387282712232</v>
      </c>
      <c r="K55" s="16">
        <f>IF(OR(INDEX(Raw!$J$2:$J$51,MATCH($B55,Raw!$A$2:$A$51,0))=1,G55&gt;I55),0,ROUNDUP(MAX(0,J55-G55),0))</f>
        <v>0</v>
      </c>
      <c r="L55" s="17">
        <f>K55*INDEX(Raw!$I$2:$I$51,MATCH($B55,Raw!$A$2:$A$51,0))</f>
        <v>0</v>
      </c>
      <c r="M55" s="15">
        <f>IFERROR(G55/F55,0)</f>
        <v>8.05868374832111</v>
      </c>
      <c r="N55" s="14" t="str">
        <f>IF(INDEX(Raw!$J$2:$J$51,MATCH($B55,Raw!$A$2:$A$51,0))=1,"Blocked - recall",IF(M55&lt;Assumptions!$C$6,"Order now",IF(K55&gt;0,"Order","OK")))</f>
        <v>OK</v>
      </c>
      <c r="O55" s="16">
        <f>IF(OR(SelCat="All",D55=SelCat),1,0)</f>
        <v>1</v>
      </c>
    </row>
    <row r="56">
      <c r="B56" s="14" t="inlineStr">
        <is>
          <t>SNK003</t>
        </is>
      </c>
      <c r="C56" s="14" t="str">
        <f>INDEX(Raw!$B$2:$B$51,MATCH($B56,Raw!$A$2:$A$51,0))</f>
        <v>Muesli Bar 6pk</v>
      </c>
      <c r="D56" s="14" t="str">
        <f>INDEX(Raw!$C$2:$C$51,MATCH($B56,Raw!$A$2:$A$51,0))</f>
        <v>Snacks &amp; Confectionery</v>
      </c>
      <c r="E56" s="14" t="str">
        <f>INDEX(Raw!$D$2:$D$51,MATCH($B56,Raw!$A$2:$A$51,0))</f>
        <v>Snack Foods NZ</v>
      </c>
      <c r="F56" s="15">
        <f>INDEX(Raw!$E$2:$E$51,MATCH($B56,Raw!$A$2:$A$51,0))</f>
        <v>9.179</v>
      </c>
      <c r="G56" s="16">
        <f>INDEX(Raw!$G$2:$G$51,MATCH($B56,Raw!$A$2:$A$51,0))</f>
        <v>71</v>
      </c>
      <c r="H56" s="15">
        <f>Assumptions!$C$8*INDEX(Raw!$F$2:$F$51,MATCH($B56,Raw!$A$2:$A$51,0))*SQRT(Assumptions!$C$6+Assumptions!$C$7)</f>
        <v>9.83969403525841</v>
      </c>
      <c r="I56" s="15">
        <f>MIN(F56*(Assumptions!$C$6+Assumptions!$C$7)+H56,F56*MAX(1,INDEX(Raw!$H$2:$H$51,MATCH($B56,Raw!$A$2:$A$51,0))))</f>
        <v>37.3766940352584</v>
      </c>
      <c r="J56" s="15">
        <f>MIN(I56+F56*Assumptions!$C$7,F56*MAX(1,INDEX(Raw!$H$2:$H$51,MATCH($B56,Raw!$A$2:$A$51,0))))</f>
        <v>46.5556940352584</v>
      </c>
      <c r="K56" s="16">
        <f>IF(OR(INDEX(Raw!$J$2:$J$51,MATCH($B56,Raw!$A$2:$A$51,0))=1,G56&gt;I56),0,ROUNDUP(MAX(0,J56-G56),0))</f>
        <v>0</v>
      </c>
      <c r="L56" s="17">
        <f>K56*INDEX(Raw!$I$2:$I$51,MATCH($B56,Raw!$A$2:$A$51,0))</f>
        <v>0</v>
      </c>
      <c r="M56" s="15">
        <f>IFERROR(G56/F56,0)</f>
        <v>7.73504739078331</v>
      </c>
      <c r="N56" s="14" t="str">
        <f>IF(INDEX(Raw!$J$2:$J$51,MATCH($B56,Raw!$A$2:$A$51,0))=1,"Blocked - recall",IF(M56&lt;Assumptions!$C$6,"Order now",IF(K56&gt;0,"Order","OK")))</f>
        <v>OK</v>
      </c>
      <c r="O56" s="16">
        <f>IF(OR(SelCat="All",D56=SelCat),1,0)</f>
        <v>1</v>
      </c>
    </row>
    <row r="57">
      <c r="B57" s="14" t="inlineStr">
        <is>
          <t>SNK001</t>
        </is>
      </c>
      <c r="C57" s="14" t="str">
        <f>INDEX(Raw!$B$2:$B$51,MATCH($B57,Raw!$A$2:$A$51,0))</f>
        <v>Potato Chips 150g</v>
      </c>
      <c r="D57" s="14" t="str">
        <f>INDEX(Raw!$C$2:$C$51,MATCH($B57,Raw!$A$2:$A$51,0))</f>
        <v>Snacks &amp; Confectionery</v>
      </c>
      <c r="E57" s="14" t="str">
        <f>INDEX(Raw!$D$2:$D$51,MATCH($B57,Raw!$A$2:$A$51,0))</f>
        <v>Snack Foods NZ</v>
      </c>
      <c r="F57" s="15">
        <f>INDEX(Raw!$E$2:$E$51,MATCH($B57,Raw!$A$2:$A$51,0))</f>
        <v>22.786</v>
      </c>
      <c r="G57" s="16">
        <f>INDEX(Raw!$G$2:$G$51,MATCH($B57,Raw!$A$2:$A$51,0))</f>
        <v>165</v>
      </c>
      <c r="H57" s="15">
        <f>Assumptions!$C$8*INDEX(Raw!$F$2:$F$51,MATCH($B57,Raw!$A$2:$A$51,0))*SQRT(Assumptions!$C$6+Assumptions!$C$7)</f>
        <v>18.7219969866331</v>
      </c>
      <c r="I57" s="15">
        <f>MIN(F57*(Assumptions!$C$6+Assumptions!$C$7)+H57,F57*MAX(1,INDEX(Raw!$H$2:$H$51,MATCH($B57,Raw!$A$2:$A$51,0))))</f>
        <v>87.0799969866331</v>
      </c>
      <c r="J57" s="15">
        <f>MIN(I57+F57*Assumptions!$C$7,F57*MAX(1,INDEX(Raw!$H$2:$H$51,MATCH($B57,Raw!$A$2:$A$51,0))))</f>
        <v>109.865996986633</v>
      </c>
      <c r="K57" s="16">
        <f>IF(OR(INDEX(Raw!$J$2:$J$51,MATCH($B57,Raw!$A$2:$A$51,0))=1,G57&gt;I57),0,ROUNDUP(MAX(0,J57-G57),0))</f>
        <v>0</v>
      </c>
      <c r="L57" s="17">
        <f>K57*INDEX(Raw!$I$2:$I$51,MATCH($B57,Raw!$A$2:$A$51,0))</f>
        <v>0</v>
      </c>
      <c r="M57" s="15">
        <f>IFERROR(G57/F57,0)</f>
        <v>7.2412885104889</v>
      </c>
      <c r="N57" s="14" t="str">
        <f>IF(INDEX(Raw!$J$2:$J$51,MATCH($B57,Raw!$A$2:$A$51,0))=1,"Blocked - recall",IF(M57&lt;Assumptions!$C$6,"Order now",IF(K57&gt;0,"Order","OK")))</f>
        <v>OK</v>
      </c>
      <c r="O57" s="16">
        <f>IF(OR(SelCat="All",D57=SelCat),1,0)</f>
        <v>1</v>
      </c>
    </row>
    <row r="58">
      <c r="B58" s="18" t="inlineStr">
        <is>
          <t>Total</t>
        </is>
      </c>
      <c r="C58" s="19" t="n"/>
      <c r="D58" s="19" t="n"/>
      <c r="E58" s="19" t="n"/>
      <c r="F58" s="20" t="n"/>
      <c r="G58" s="21">
        <f>SUM(G8:G57)</f>
        <v>4162</v>
      </c>
      <c r="H58" s="20" t="n"/>
      <c r="I58" s="20" t="n"/>
      <c r="J58" s="20" t="n"/>
      <c r="K58" s="21">
        <f>SUM(K8:K57)</f>
        <v>4</v>
      </c>
      <c r="L58" s="22">
        <f>SUM(L8:L57)</f>
        <v>22</v>
      </c>
      <c r="M58" s="20" t="n"/>
      <c r="N58" s="19" t="n"/>
      <c r="O58" s="21">
        <f>SUM(O8:O57)</f>
        <v>50</v>
      </c>
    </row>
    <row r="61">
      <c r="B61" s="12" t="inlineStr">
        <is>
          <t>Orders by supplier</t>
        </is>
      </c>
    </row>
    <row r="63" ht="28" customHeight="1">
      <c r="B63" s="13" t="inlineStr">
        <is>
          <t>Supplier</t>
        </is>
      </c>
      <c r="C63" s="13" t="inlineStr">
        <is>
          <t>Order $</t>
        </is>
      </c>
      <c r="D63" s="13" t="inlineStr">
        <is>
          <t>Lines</t>
        </is>
      </c>
    </row>
    <row r="64">
      <c r="B64" s="14" t="inlineStr">
        <is>
          <t>Asia Imports</t>
        </is>
      </c>
      <c r="C64" s="17">
        <f>SUMIFS($L$8:$L$57,$E$8:$E$57,$B64,$O$8:$O$57,1)</f>
        <v>0</v>
      </c>
      <c r="D64" s="16">
        <f>COUNTIFS($E$8:$E$57,$B64,$K$8:$K$57,"&gt;0",$O$8:$O$57,1)</f>
        <v>0</v>
      </c>
    </row>
    <row r="65">
      <c r="B65" s="14" t="inlineStr">
        <is>
          <t>Auckland Bakehouse</t>
        </is>
      </c>
      <c r="C65" s="17">
        <f>SUMIFS($L$8:$L$57,$E$8:$E$57,$B65,$O$8:$O$57,1)</f>
        <v>0</v>
      </c>
      <c r="D65" s="16">
        <f>COUNTIFS($E$8:$E$57,$B65,$K$8:$K$57,"&gt;0",$O$8:$O$57,1)</f>
        <v>0</v>
      </c>
    </row>
    <row r="66">
      <c r="B66" s="14" t="inlineStr">
        <is>
          <t>Beverage Dist.</t>
        </is>
      </c>
      <c r="C66" s="17">
        <f>SUMIFS($L$8:$L$57,$E$8:$E$57,$B66,$O$8:$O$57,1)</f>
        <v>0</v>
      </c>
      <c r="D66" s="16">
        <f>COUNTIFS($E$8:$E$57,$B66,$K$8:$K$57,"&gt;0",$O$8:$O$57,1)</f>
        <v>0</v>
      </c>
    </row>
    <row r="67">
      <c r="B67" s="14" t="inlineStr">
        <is>
          <t>Confectionery Ltd</t>
        </is>
      </c>
      <c r="C67" s="17">
        <f>SUMIFS($L$8:$L$57,$E$8:$E$57,$B67,$O$8:$O$57,1)</f>
        <v>0</v>
      </c>
      <c r="D67" s="16">
        <f>COUNTIFS($E$8:$E$57,$B67,$K$8:$K$57,"&gt;0",$O$8:$O$57,1)</f>
        <v>0</v>
      </c>
    </row>
    <row r="68">
      <c r="B68" s="14" t="inlineStr">
        <is>
          <t>Dairy Co-op</t>
        </is>
      </c>
      <c r="C68" s="17">
        <f>SUMIFS($L$8:$L$57,$E$8:$E$57,$B68,$O$8:$O$57,1)</f>
        <v>0</v>
      </c>
      <c r="D68" s="16">
        <f>COUNTIFS($E$8:$E$57,$B68,$K$8:$K$57,"&gt;0",$O$8:$O$57,1)</f>
        <v>0</v>
      </c>
    </row>
    <row r="69">
      <c r="B69" s="14" t="inlineStr">
        <is>
          <t>Farm Fresh</t>
        </is>
      </c>
      <c r="C69" s="17">
        <f>SUMIFS($L$8:$L$57,$E$8:$E$57,$B69,$O$8:$O$57,1)</f>
        <v>0</v>
      </c>
      <c r="D69" s="16">
        <f>COUNTIFS($E$8:$E$57,$B69,$K$8:$K$57,"&gt;0",$O$8:$O$57,1)</f>
        <v>0</v>
      </c>
    </row>
    <row r="70">
      <c r="B70" s="14" t="inlineStr">
        <is>
          <t>FreshKitchen</t>
        </is>
      </c>
      <c r="C70" s="17">
        <f>SUMIFS($L$8:$L$57,$E$8:$E$57,$B70,$O$8:$O$57,1)</f>
        <v>0</v>
      </c>
      <c r="D70" s="16">
        <f>COUNTIFS($E$8:$E$57,$B70,$K$8:$K$57,"&gt;0",$O$8:$O$57,1)</f>
        <v>0</v>
      </c>
    </row>
    <row r="71">
      <c r="B71" s="14" t="inlineStr">
        <is>
          <t>Frozen Foods NZ</t>
        </is>
      </c>
      <c r="C71" s="17">
        <f>SUMIFS($L$8:$L$57,$E$8:$E$57,$B71,$O$8:$O$57,1)</f>
        <v>0</v>
      </c>
      <c r="D71" s="16">
        <f>COUNTIFS($E$8:$E$57,$B71,$K$8:$K$57,"&gt;0",$O$8:$O$57,1)</f>
        <v>0</v>
      </c>
    </row>
    <row r="72">
      <c r="B72" s="14" t="inlineStr">
        <is>
          <t>Home Supplies</t>
        </is>
      </c>
      <c r="C72" s="17">
        <f>SUMIFS($L$8:$L$57,$E$8:$E$57,$B72,$O$8:$O$57,1)</f>
        <v>22</v>
      </c>
      <c r="D72" s="16">
        <f>COUNTIFS($E$8:$E$57,$B72,$K$8:$K$57,"&gt;0",$O$8:$O$57,1)</f>
        <v>1</v>
      </c>
    </row>
    <row r="73">
      <c r="B73" s="14" t="inlineStr">
        <is>
          <t>Latin Pantry</t>
        </is>
      </c>
      <c r="C73" s="17">
        <f>SUMIFS($L$8:$L$57,$E$8:$E$57,$B73,$O$8:$O$57,1)</f>
        <v>0</v>
      </c>
      <c r="D73" s="16">
        <f>COUNTIFS($E$8:$E$57,$B73,$K$8:$K$57,"&gt;0",$O$8:$O$57,1)</f>
        <v>0</v>
      </c>
    </row>
    <row r="74">
      <c r="B74" s="14" t="inlineStr">
        <is>
          <t>Liquor Dist.</t>
        </is>
      </c>
      <c r="C74" s="17">
        <f>SUMIFS($L$8:$L$57,$E$8:$E$57,$B74,$O$8:$O$57,1)</f>
        <v>0</v>
      </c>
      <c r="D74" s="16">
        <f>COUNTIFS($E$8:$E$57,$B74,$K$8:$K$57,"&gt;0",$O$8:$O$57,1)</f>
        <v>0</v>
      </c>
    </row>
    <row r="75">
      <c r="B75" s="14" t="inlineStr">
        <is>
          <t>Pantry Brands</t>
        </is>
      </c>
      <c r="C75" s="17">
        <f>SUMIFS($L$8:$L$57,$E$8:$E$57,$B75,$O$8:$O$57,1)</f>
        <v>0</v>
      </c>
      <c r="D75" s="16">
        <f>COUNTIFS($E$8:$E$57,$B75,$K$8:$K$57,"&gt;0",$O$8:$O$57,1)</f>
        <v>0</v>
      </c>
    </row>
    <row r="76">
      <c r="B76" s="14" t="inlineStr">
        <is>
          <t>Pharma Dist.</t>
        </is>
      </c>
      <c r="C76" s="17">
        <f>SUMIFS($L$8:$L$57,$E$8:$E$57,$B76,$O$8:$O$57,1)</f>
        <v>0</v>
      </c>
      <c r="D76" s="16">
        <f>COUNTIFS($E$8:$E$57,$B76,$K$8:$K$57,"&gt;0",$O$8:$O$57,1)</f>
        <v>0</v>
      </c>
    </row>
    <row r="77">
      <c r="B77" s="14" t="inlineStr">
        <is>
          <t>Plant Foods NZ</t>
        </is>
      </c>
      <c r="C77" s="17">
        <f>SUMIFS($L$8:$L$57,$E$8:$E$57,$B77,$O$8:$O$57,1)</f>
        <v>0</v>
      </c>
      <c r="D77" s="16">
        <f>COUNTIFS($E$8:$E$57,$B77,$K$8:$K$57,"&gt;0",$O$8:$O$57,1)</f>
        <v>0</v>
      </c>
    </row>
    <row r="78">
      <c r="B78" s="14" t="inlineStr">
        <is>
          <t>Produce Market</t>
        </is>
      </c>
      <c r="C78" s="17">
        <f>SUMIFS($L$8:$L$57,$E$8:$E$57,$B78,$O$8:$O$57,1)</f>
        <v>0</v>
      </c>
      <c r="D78" s="16">
        <f>COUNTIFS($E$8:$E$57,$B78,$K$8:$K$57,"&gt;0",$O$8:$O$57,1)</f>
        <v>0</v>
      </c>
    </row>
    <row r="79">
      <c r="B79" s="14" t="inlineStr">
        <is>
          <t>Snack Foods NZ</t>
        </is>
      </c>
      <c r="C79" s="17">
        <f>SUMIFS($L$8:$L$57,$E$8:$E$57,$B79,$O$8:$O$57,1)</f>
        <v>0</v>
      </c>
      <c r="D79" s="16">
        <f>COUNTIFS($E$8:$E$57,$B79,$K$8:$K$57,"&gt;0",$O$8:$O$57,1)</f>
        <v>0</v>
      </c>
    </row>
    <row r="80">
      <c r="B80" s="18" t="inlineStr">
        <is>
          <t>Total</t>
        </is>
      </c>
      <c r="C80" s="22">
        <f>SUM(C64:C79)</f>
        <v>22</v>
      </c>
      <c r="D80" s="21">
        <f>SUM(D64:D79)</f>
        <v>1</v>
      </c>
    </row>
  </sheetData>
  <autoFilter ref="B7:O57"/>
  <conditionalFormatting sqref="L8:L57">
    <cfRule type="dataBar" priority="1">
      <dataBar>
        <cfvo type="min"/>
        <cfvo type="max"/>
        <color rgb="0063B6D8"/>
      </dataBar>
    </cfRule>
  </conditionalFormatting>
  <conditionalFormatting sqref="C64:C79">
    <cfRule type="dataBar" priority="2">
      <dataBar>
        <cfvo type="min"/>
        <cfvo type="max"/>
        <color rgb="0063B6D8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2" t="inlineStr">
        <is>
          <t>On hand by category and supplier</t>
        </is>
      </c>
    </row>
    <row r="6">
      <c r="A6" t="inlineStr">
        <is>
          <t>On hand</t>
        </is>
      </c>
      <c r="B6" t="inlineStr">
        <is>
          <t>Column Labels</t>
        </is>
      </c>
    </row>
    <row r="7">
      <c r="A7" t="inlineStr">
        <is>
          <t>Row Labels</t>
        </is>
      </c>
      <c r="B7" t="inlineStr">
        <is>
          <t>Asia Imports</t>
        </is>
      </c>
      <c r="C7" t="inlineStr">
        <is>
          <t>Auckland Bakehouse</t>
        </is>
      </c>
      <c r="D7" t="inlineStr">
        <is>
          <t>Beverage Dist.</t>
        </is>
      </c>
      <c r="E7" t="inlineStr">
        <is>
          <t>Confectionery Ltd</t>
        </is>
      </c>
      <c r="F7" t="inlineStr">
        <is>
          <t>Dairy Co-op</t>
        </is>
      </c>
      <c r="G7" t="inlineStr">
        <is>
          <t>Farm Fresh</t>
        </is>
      </c>
      <c r="H7" t="inlineStr">
        <is>
          <t>FreshKitchen</t>
        </is>
      </c>
      <c r="I7" t="inlineStr">
        <is>
          <t>Frozen Foods NZ</t>
        </is>
      </c>
      <c r="J7" t="inlineStr">
        <is>
          <t>Home Supplies</t>
        </is>
      </c>
      <c r="K7" t="inlineStr">
        <is>
          <t>Latin Pantry</t>
        </is>
      </c>
      <c r="L7" t="inlineStr">
        <is>
          <t>Liquor Dist.</t>
        </is>
      </c>
      <c r="M7" t="inlineStr">
        <is>
          <t>Pantry Brands</t>
        </is>
      </c>
      <c r="N7" t="inlineStr">
        <is>
          <t>Pharma Dist.</t>
        </is>
      </c>
      <c r="O7" t="inlineStr">
        <is>
          <t>Plant Foods NZ</t>
        </is>
      </c>
      <c r="P7" t="inlineStr">
        <is>
          <t>Produce Market</t>
        </is>
      </c>
      <c r="Q7" t="inlineStr">
        <is>
          <t>Snack Foods NZ</t>
        </is>
      </c>
      <c r="R7" t="inlineStr">
        <is>
          <t>Grand Total</t>
        </is>
      </c>
    </row>
    <row r="8">
      <c r="A8" t="inlineStr">
        <is>
          <t>Bakery</t>
        </is>
      </c>
      <c r="B8" s="23" t="n">
        <v>0</v>
      </c>
      <c r="C8" s="23" t="n">
        <v>325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325</v>
      </c>
    </row>
    <row r="9">
      <c r="A9" t="inlineStr">
        <is>
          <t>Beer &amp; Wine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146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146</v>
      </c>
    </row>
    <row r="10">
      <c r="A10" t="inlineStr">
        <is>
          <t>Beverages</t>
        </is>
      </c>
      <c r="B10" s="23" t="n">
        <v>45</v>
      </c>
      <c r="C10" s="23" t="n">
        <v>0</v>
      </c>
      <c r="D10" s="23" t="n">
        <v>647</v>
      </c>
      <c r="E10" s="23" t="n">
        <v>0</v>
      </c>
      <c r="F10" s="23" t="n">
        <v>121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54</v>
      </c>
      <c r="P10" s="23" t="n">
        <v>0</v>
      </c>
      <c r="Q10" s="23" t="n">
        <v>0</v>
      </c>
      <c r="R10" s="23" t="n">
        <v>867</v>
      </c>
    </row>
    <row r="11">
      <c r="A11" t="inlineStr">
        <is>
          <t>Dairy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613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60</v>
      </c>
      <c r="P11" s="23" t="n">
        <v>0</v>
      </c>
      <c r="Q11" s="23" t="n">
        <v>0</v>
      </c>
      <c r="R11" s="23" t="n">
        <v>673</v>
      </c>
    </row>
    <row r="12">
      <c r="A12" t="inlineStr">
        <is>
          <t>Food To Go</t>
        </is>
      </c>
      <c r="B12" s="23" t="n">
        <v>0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534</v>
      </c>
      <c r="I12" s="23" t="n">
        <v>0</v>
      </c>
      <c r="J12" s="23" t="n">
        <v>0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3" t="n">
        <v>0</v>
      </c>
      <c r="R12" s="23" t="n">
        <v>534</v>
      </c>
    </row>
    <row r="13">
      <c r="A13" t="inlineStr">
        <is>
          <t>Frozen</t>
        </is>
      </c>
      <c r="B13" s="23" t="n">
        <v>36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194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230</v>
      </c>
    </row>
    <row r="14">
      <c r="A14" t="inlineStr">
        <is>
          <t>Grocery</t>
        </is>
      </c>
      <c r="B14" s="23" t="n">
        <v>101</v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80</v>
      </c>
      <c r="H14" s="23" t="n">
        <v>0</v>
      </c>
      <c r="I14" s="23" t="n">
        <v>0</v>
      </c>
      <c r="J14" s="23" t="n">
        <v>0</v>
      </c>
      <c r="K14" s="23" t="n">
        <v>66</v>
      </c>
      <c r="L14" s="23" t="n">
        <v>0</v>
      </c>
      <c r="M14" s="23" t="n">
        <v>138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385</v>
      </c>
    </row>
    <row r="15">
      <c r="A15" t="inlineStr">
        <is>
          <t>Health &amp; Beauty</t>
        </is>
      </c>
      <c r="B15" s="23" t="n">
        <v>0</v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3" t="n">
        <v>50</v>
      </c>
      <c r="O15" s="23" t="n">
        <v>0</v>
      </c>
      <c r="P15" s="23" t="n">
        <v>0</v>
      </c>
      <c r="Q15" s="23" t="n">
        <v>0</v>
      </c>
      <c r="R15" s="23" t="n">
        <v>50</v>
      </c>
    </row>
    <row r="16">
      <c r="A16" t="inlineStr">
        <is>
          <t>Household</t>
        </is>
      </c>
      <c r="B16" s="23" t="n">
        <v>0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80</v>
      </c>
      <c r="K16" s="23" t="n">
        <v>0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80</v>
      </c>
    </row>
    <row r="17">
      <c r="A17" t="inlineStr">
        <is>
          <t>Produce</t>
        </is>
      </c>
      <c r="B17" s="23" t="n">
        <v>0</v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384</v>
      </c>
      <c r="Q17" s="23" t="n">
        <v>0</v>
      </c>
      <c r="R17" s="23" t="n">
        <v>384</v>
      </c>
    </row>
    <row r="18">
      <c r="A18" t="inlineStr">
        <is>
          <t>Snacks &amp; Confectionery</t>
        </is>
      </c>
      <c r="B18" s="23" t="n">
        <v>0</v>
      </c>
      <c r="C18" s="23" t="n">
        <v>0</v>
      </c>
      <c r="D18" s="23" t="n">
        <v>0</v>
      </c>
      <c r="E18" s="23" t="n">
        <v>188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64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236</v>
      </c>
      <c r="R18" s="23" t="n">
        <v>488</v>
      </c>
    </row>
    <row r="19">
      <c r="A19" t="inlineStr">
        <is>
          <t>Grand Total</t>
        </is>
      </c>
      <c r="B19" s="23" t="n">
        <v>182</v>
      </c>
      <c r="C19" s="23" t="n">
        <v>325</v>
      </c>
      <c r="D19" s="23" t="n">
        <v>647</v>
      </c>
      <c r="E19" s="23" t="n">
        <v>188</v>
      </c>
      <c r="F19" s="23" t="n">
        <v>734</v>
      </c>
      <c r="G19" s="23" t="n">
        <v>80</v>
      </c>
      <c r="H19" s="23" t="n">
        <v>534</v>
      </c>
      <c r="I19" s="23" t="n">
        <v>194</v>
      </c>
      <c r="J19" s="23" t="n">
        <v>80</v>
      </c>
      <c r="K19" s="23" t="n">
        <v>130</v>
      </c>
      <c r="L19" s="23" t="n">
        <v>146</v>
      </c>
      <c r="M19" s="23" t="n">
        <v>138</v>
      </c>
      <c r="N19" s="23" t="n">
        <v>50</v>
      </c>
      <c r="O19" s="23" t="n">
        <v>114</v>
      </c>
      <c r="P19" s="23" t="n">
        <v>384</v>
      </c>
      <c r="Q19" s="23" t="n">
        <v>236</v>
      </c>
      <c r="R19" s="23" t="n">
        <v>4162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2" customWidth="1" min="7" max="7"/>
    <col width="19" customWidth="1" min="8" max="8"/>
    <col width="13" customWidth="1" min="9" max="9"/>
    <col width="12" customWidth="1" min="10" max="10"/>
  </cols>
  <sheetData>
    <row r="1">
      <c r="A1" s="24" t="inlineStr">
        <is>
          <t>SKU</t>
        </is>
      </c>
      <c r="B1" s="24" t="inlineStr">
        <is>
          <t>Product</t>
        </is>
      </c>
      <c r="C1" s="24" t="inlineStr">
        <is>
          <t>Category</t>
        </is>
      </c>
      <c r="D1" s="24" t="inlineStr">
        <is>
          <t>Supplier</t>
        </is>
      </c>
      <c r="E1" s="24" t="inlineStr">
        <is>
          <t>Daily demand</t>
        </is>
      </c>
      <c r="F1" s="24" t="inlineStr">
        <is>
          <t>Demand sd</t>
        </is>
      </c>
      <c r="G1" s="24" t="inlineStr">
        <is>
          <t>On hand</t>
        </is>
      </c>
      <c r="H1" s="24" t="inlineStr">
        <is>
          <t>Shelf life days</t>
        </is>
      </c>
      <c r="I1" s="24" t="inlineStr">
        <is>
          <t>Unit cost</t>
        </is>
      </c>
      <c r="J1" s="24" t="inlineStr">
        <is>
          <t>Blocked</t>
        </is>
      </c>
    </row>
    <row r="2">
      <c r="A2" s="25" t="inlineStr">
        <is>
          <t>HHD003</t>
        </is>
      </c>
      <c r="B2" s="25" t="inlineStr">
        <is>
          <t>Phone Charger Cable</t>
        </is>
      </c>
      <c r="C2" s="25" t="inlineStr">
        <is>
          <t>Household</t>
        </is>
      </c>
      <c r="D2" s="25" t="inlineStr">
        <is>
          <t>Home Supplies</t>
        </is>
      </c>
      <c r="E2" s="26" t="n">
        <v>1.143</v>
      </c>
      <c r="F2" s="26" t="n">
        <v>1.044</v>
      </c>
      <c r="G2" s="27" t="n">
        <v>4</v>
      </c>
      <c r="H2" s="25" t="n">
        <v>3650</v>
      </c>
      <c r="I2" s="28" t="n">
        <v>5.5</v>
      </c>
      <c r="J2" s="25" t="n">
        <v>0</v>
      </c>
    </row>
    <row r="3">
      <c r="A3" s="25" t="inlineStr">
        <is>
          <t>BAK001</t>
        </is>
      </c>
      <c r="B3" s="25" t="inlineStr">
        <is>
          <t>Toast Bread White</t>
        </is>
      </c>
      <c r="C3" s="25" t="inlineStr">
        <is>
          <t>Bakery</t>
        </is>
      </c>
      <c r="D3" s="25" t="inlineStr">
        <is>
          <t>Auckland Bakehouse</t>
        </is>
      </c>
      <c r="E3" s="26" t="n">
        <v>20.393</v>
      </c>
      <c r="F3" s="26" t="n">
        <v>6.154</v>
      </c>
      <c r="G3" s="27" t="n">
        <v>179</v>
      </c>
      <c r="H3" s="25" t="n">
        <v>5</v>
      </c>
      <c r="I3" s="28" t="n">
        <v>2.2</v>
      </c>
      <c r="J3" s="25" t="n">
        <v>0</v>
      </c>
    </row>
    <row r="4">
      <c r="A4" s="25" t="inlineStr">
        <is>
          <t>BAK002</t>
        </is>
      </c>
      <c r="B4" s="25" t="inlineStr">
        <is>
          <t>Wholemeal Loaf</t>
        </is>
      </c>
      <c r="C4" s="25" t="inlineStr">
        <is>
          <t>Bakery</t>
        </is>
      </c>
      <c r="D4" s="25" t="inlineStr">
        <is>
          <t>Auckland Bakehouse</t>
        </is>
      </c>
      <c r="E4" s="26" t="n">
        <v>11.893</v>
      </c>
      <c r="F4" s="26" t="n">
        <v>4.458</v>
      </c>
      <c r="G4" s="27" t="n">
        <v>95</v>
      </c>
      <c r="H4" s="25" t="n">
        <v>5</v>
      </c>
      <c r="I4" s="28" t="n">
        <v>2.7</v>
      </c>
      <c r="J4" s="25" t="n">
        <v>0</v>
      </c>
    </row>
    <row r="5">
      <c r="A5" s="25" t="inlineStr">
        <is>
          <t>BAK003</t>
        </is>
      </c>
      <c r="B5" s="25" t="inlineStr">
        <is>
          <t>Croissant 4pk</t>
        </is>
      </c>
      <c r="C5" s="25" t="inlineStr">
        <is>
          <t>Bakery</t>
        </is>
      </c>
      <c r="D5" s="25" t="inlineStr">
        <is>
          <t>Auckland Bakehouse</t>
        </is>
      </c>
      <c r="E5" s="26" t="n">
        <v>6.929</v>
      </c>
      <c r="F5" s="26" t="n">
        <v>3.681</v>
      </c>
      <c r="G5" s="27" t="n">
        <v>51</v>
      </c>
      <c r="H5" s="25" t="n">
        <v>3</v>
      </c>
      <c r="I5" s="28" t="n">
        <v>3.3</v>
      </c>
      <c r="J5" s="25" t="n">
        <v>0</v>
      </c>
    </row>
    <row r="6">
      <c r="A6" s="25" t="inlineStr">
        <is>
          <t>BBT001</t>
        </is>
      </c>
      <c r="B6" s="25" t="inlineStr">
        <is>
          <t>Bubble Tea Kit</t>
        </is>
      </c>
      <c r="C6" s="25" t="inlineStr">
        <is>
          <t>Beverages</t>
        </is>
      </c>
      <c r="D6" s="25" t="inlineStr">
        <is>
          <t>Asia Imports</t>
        </is>
      </c>
      <c r="E6" s="26" t="n">
        <v>5.107</v>
      </c>
      <c r="F6" s="26" t="n">
        <v>3.37</v>
      </c>
      <c r="G6" s="27" t="n">
        <v>45</v>
      </c>
      <c r="H6" s="25" t="n">
        <v>90</v>
      </c>
      <c r="I6" s="28" t="n">
        <v>3.9</v>
      </c>
      <c r="J6" s="25" t="n">
        <v>0</v>
      </c>
    </row>
    <row r="7">
      <c r="A7" s="25" t="inlineStr">
        <is>
          <t>BEV001</t>
        </is>
      </c>
      <c r="B7" s="25" t="inlineStr">
        <is>
          <t>Energy Drink 500ml</t>
        </is>
      </c>
      <c r="C7" s="25" t="inlineStr">
        <is>
          <t>Beverages</t>
        </is>
      </c>
      <c r="D7" s="25" t="inlineStr">
        <is>
          <t>Beverage Dist.</t>
        </is>
      </c>
      <c r="E7" s="26" t="n">
        <v>31.321</v>
      </c>
      <c r="F7" s="26" t="n">
        <v>19.56</v>
      </c>
      <c r="G7" s="27" t="n">
        <v>238</v>
      </c>
      <c r="H7" s="25" t="n">
        <v>365</v>
      </c>
      <c r="I7" s="28" t="n">
        <v>2.15</v>
      </c>
      <c r="J7" s="25" t="n">
        <v>0</v>
      </c>
    </row>
    <row r="8">
      <c r="A8" s="25" t="inlineStr">
        <is>
          <t>BEV002</t>
        </is>
      </c>
      <c r="B8" s="25" t="inlineStr">
        <is>
          <t>Cola 1.5L</t>
        </is>
      </c>
      <c r="C8" s="25" t="inlineStr">
        <is>
          <t>Beverages</t>
        </is>
      </c>
      <c r="D8" s="25" t="inlineStr">
        <is>
          <t>Beverage Dist.</t>
        </is>
      </c>
      <c r="E8" s="26" t="n">
        <v>14.071</v>
      </c>
      <c r="F8" s="26" t="n">
        <v>4.838</v>
      </c>
      <c r="G8" s="27" t="n">
        <v>127</v>
      </c>
      <c r="H8" s="25" t="n">
        <v>270</v>
      </c>
      <c r="I8" s="28" t="n">
        <v>2.3</v>
      </c>
      <c r="J8" s="25" t="n">
        <v>0</v>
      </c>
    </row>
    <row r="9">
      <c r="A9" s="25" t="inlineStr">
        <is>
          <t>BEV003</t>
        </is>
      </c>
      <c r="B9" s="25" t="inlineStr">
        <is>
          <t>Sparkling Water 1L</t>
        </is>
      </c>
      <c r="C9" s="25" t="inlineStr">
        <is>
          <t>Beverages</t>
        </is>
      </c>
      <c r="D9" s="25" t="inlineStr">
        <is>
          <t>Beverage Dist.</t>
        </is>
      </c>
      <c r="E9" s="26" t="n">
        <v>11.964</v>
      </c>
      <c r="F9" s="26" t="n">
        <v>4.865</v>
      </c>
      <c r="G9" s="27" t="n">
        <v>105</v>
      </c>
      <c r="H9" s="25" t="n">
        <v>365</v>
      </c>
      <c r="I9" s="28" t="n">
        <v>1.1</v>
      </c>
      <c r="J9" s="25" t="n">
        <v>0</v>
      </c>
    </row>
    <row r="10">
      <c r="A10" s="25" t="inlineStr">
        <is>
          <t>BEV004</t>
        </is>
      </c>
      <c r="B10" s="25" t="inlineStr">
        <is>
          <t>Iced Coffee 500ml</t>
        </is>
      </c>
      <c r="C10" s="25" t="inlineStr">
        <is>
          <t>Beverages</t>
        </is>
      </c>
      <c r="D10" s="25" t="inlineStr">
        <is>
          <t>Dairy Co-op</t>
        </is>
      </c>
      <c r="E10" s="26" t="n">
        <v>12.929</v>
      </c>
      <c r="F10" s="26" t="n">
        <v>5.099</v>
      </c>
      <c r="G10" s="27" t="n">
        <v>121</v>
      </c>
      <c r="H10" s="25" t="n">
        <v>30</v>
      </c>
      <c r="I10" s="28" t="n">
        <v>2.7</v>
      </c>
      <c r="J10" s="25" t="n">
        <v>0</v>
      </c>
    </row>
    <row r="11">
      <c r="A11" s="25" t="inlineStr">
        <is>
          <t>BEV005</t>
        </is>
      </c>
      <c r="B11" s="25" t="inlineStr">
        <is>
          <t>Kombucha 330ml</t>
        </is>
      </c>
      <c r="C11" s="25" t="inlineStr">
        <is>
          <t>Beverages</t>
        </is>
      </c>
      <c r="D11" s="25" t="inlineStr">
        <is>
          <t>Plant Foods NZ</t>
        </is>
      </c>
      <c r="E11" s="26" t="n">
        <v>4.857</v>
      </c>
      <c r="F11" s="26" t="n">
        <v>2.46</v>
      </c>
      <c r="G11" s="27" t="n">
        <v>54</v>
      </c>
      <c r="H11" s="25" t="n">
        <v>120</v>
      </c>
      <c r="I11" s="28" t="n">
        <v>2.6</v>
      </c>
      <c r="J11" s="25" t="n">
        <v>0</v>
      </c>
    </row>
    <row r="12">
      <c r="A12" s="25" t="inlineStr">
        <is>
          <t>BEV006</t>
        </is>
      </c>
      <c r="B12" s="25" t="inlineStr">
        <is>
          <t>Bottled Water 750ml</t>
        </is>
      </c>
      <c r="C12" s="25" t="inlineStr">
        <is>
          <t>Beverages</t>
        </is>
      </c>
      <c r="D12" s="25" t="inlineStr">
        <is>
          <t>Beverage Dist.</t>
        </is>
      </c>
      <c r="E12" s="26" t="n">
        <v>18.071</v>
      </c>
      <c r="F12" s="26" t="n">
        <v>5.163</v>
      </c>
      <c r="G12" s="27" t="n">
        <v>177</v>
      </c>
      <c r="H12" s="25" t="n">
        <v>365</v>
      </c>
      <c r="I12" s="28" t="n">
        <v>0.95</v>
      </c>
      <c r="J12" s="25" t="n">
        <v>0</v>
      </c>
    </row>
    <row r="13">
      <c r="A13" s="25" t="inlineStr">
        <is>
          <t>DRY010</t>
        </is>
      </c>
      <c r="B13" s="25" t="inlineStr">
        <is>
          <t>Butter 500g</t>
        </is>
      </c>
      <c r="C13" s="25" t="inlineStr">
        <is>
          <t>Dairy</t>
        </is>
      </c>
      <c r="D13" s="25" t="inlineStr">
        <is>
          <t>Dairy Co-op</t>
        </is>
      </c>
      <c r="E13" s="26" t="n">
        <v>6.714</v>
      </c>
      <c r="F13" s="26" t="n">
        <v>3.75</v>
      </c>
      <c r="G13" s="27" t="n">
        <v>46</v>
      </c>
      <c r="H13" s="25" t="n">
        <v>60</v>
      </c>
      <c r="I13" s="28" t="n">
        <v>5.6</v>
      </c>
      <c r="J13" s="25" t="n">
        <v>0</v>
      </c>
    </row>
    <row r="14">
      <c r="A14" s="25" t="inlineStr">
        <is>
          <t>DRY011</t>
        </is>
      </c>
      <c r="B14" s="25" t="inlineStr">
        <is>
          <t>Greek Yoghurt 1kg</t>
        </is>
      </c>
      <c r="C14" s="25" t="inlineStr">
        <is>
          <t>Dairy</t>
        </is>
      </c>
      <c r="D14" s="25" t="inlineStr">
        <is>
          <t>Dairy Co-op</t>
        </is>
      </c>
      <c r="E14" s="26" t="n">
        <v>4.179</v>
      </c>
      <c r="F14" s="26" t="n">
        <v>2.195</v>
      </c>
      <c r="G14" s="27" t="n">
        <v>43</v>
      </c>
      <c r="H14" s="25" t="n">
        <v>21</v>
      </c>
      <c r="I14" s="28" t="n">
        <v>5.1</v>
      </c>
      <c r="J14" s="25" t="n">
        <v>0</v>
      </c>
    </row>
    <row r="15">
      <c r="A15" s="25" t="inlineStr">
        <is>
          <t>DRY012</t>
        </is>
      </c>
      <c r="B15" s="25" t="inlineStr">
        <is>
          <t>Cheese Block 1kg</t>
        </is>
      </c>
      <c r="C15" s="25" t="inlineStr">
        <is>
          <t>Dairy</t>
        </is>
      </c>
      <c r="D15" s="25" t="inlineStr">
        <is>
          <t>Dairy Co-op</t>
        </is>
      </c>
      <c r="E15" s="26" t="n">
        <v>6</v>
      </c>
      <c r="F15" s="26" t="n">
        <v>2.994</v>
      </c>
      <c r="G15" s="27" t="n">
        <v>42</v>
      </c>
      <c r="H15" s="25" t="n">
        <v>90</v>
      </c>
      <c r="I15" s="28" t="n">
        <v>10.4</v>
      </c>
      <c r="J15" s="25" t="n">
        <v>0</v>
      </c>
    </row>
    <row r="16">
      <c r="A16" s="25" t="inlineStr">
        <is>
          <t>FRZ001</t>
        </is>
      </c>
      <c r="B16" s="25" t="inlineStr">
        <is>
          <t>Ice Cream Tub 2L</t>
        </is>
      </c>
      <c r="C16" s="25" t="inlineStr">
        <is>
          <t>Frozen</t>
        </is>
      </c>
      <c r="D16" s="25" t="inlineStr">
        <is>
          <t>Frozen Foods NZ</t>
        </is>
      </c>
      <c r="E16" s="26" t="n">
        <v>6.536</v>
      </c>
      <c r="F16" s="26" t="n">
        <v>3.18</v>
      </c>
      <c r="G16" s="27" t="n">
        <v>63</v>
      </c>
      <c r="H16" s="25" t="n">
        <v>365</v>
      </c>
      <c r="I16" s="28" t="n">
        <v>5.4</v>
      </c>
      <c r="J16" s="25" t="n">
        <v>0</v>
      </c>
    </row>
    <row r="17">
      <c r="A17" s="25" t="inlineStr">
        <is>
          <t>FRZ002</t>
        </is>
      </c>
      <c r="B17" s="25" t="inlineStr">
        <is>
          <t>Ice Block Single</t>
        </is>
      </c>
      <c r="C17" s="25" t="inlineStr">
        <is>
          <t>Frozen</t>
        </is>
      </c>
      <c r="D17" s="25" t="inlineStr">
        <is>
          <t>Frozen Foods NZ</t>
        </is>
      </c>
      <c r="E17" s="26" t="n">
        <v>11.393</v>
      </c>
      <c r="F17" s="26" t="n">
        <v>5.159</v>
      </c>
      <c r="G17" s="27" t="n">
        <v>90</v>
      </c>
      <c r="H17" s="25" t="n">
        <v>365</v>
      </c>
      <c r="I17" s="28" t="n">
        <v>1.2</v>
      </c>
      <c r="J17" s="25" t="n">
        <v>0</v>
      </c>
    </row>
    <row r="18">
      <c r="A18" s="25" t="inlineStr">
        <is>
          <t>FRZ003</t>
        </is>
      </c>
      <c r="B18" s="25" t="inlineStr">
        <is>
          <t>Frozen Pizza</t>
        </is>
      </c>
      <c r="C18" s="25" t="inlineStr">
        <is>
          <t>Frozen</t>
        </is>
      </c>
      <c r="D18" s="25" t="inlineStr">
        <is>
          <t>Frozen Foods NZ</t>
        </is>
      </c>
      <c r="E18" s="26" t="n">
        <v>6.25</v>
      </c>
      <c r="F18" s="26" t="n">
        <v>2.81</v>
      </c>
      <c r="G18" s="27" t="n">
        <v>41</v>
      </c>
      <c r="H18" s="25" t="n">
        <v>365</v>
      </c>
      <c r="I18" s="28" t="n">
        <v>4.7</v>
      </c>
      <c r="J18" s="25" t="n">
        <v>0</v>
      </c>
    </row>
    <row r="19">
      <c r="A19" s="25" t="inlineStr">
        <is>
          <t>FRZ004</t>
        </is>
      </c>
      <c r="B19" s="25" t="inlineStr">
        <is>
          <t>Frozen Dumplings 1kg</t>
        </is>
      </c>
      <c r="C19" s="25" t="inlineStr">
        <is>
          <t>Frozen</t>
        </is>
      </c>
      <c r="D19" s="25" t="inlineStr">
        <is>
          <t>Asia Imports</t>
        </is>
      </c>
      <c r="E19" s="26" t="n">
        <v>4.786</v>
      </c>
      <c r="F19" s="26" t="n">
        <v>3.304</v>
      </c>
      <c r="G19" s="27" t="n">
        <v>36</v>
      </c>
      <c r="H19" s="25" t="n">
        <v>365</v>
      </c>
      <c r="I19" s="28" t="n">
        <v>7.1</v>
      </c>
      <c r="J19" s="25" t="n">
        <v>0</v>
      </c>
    </row>
    <row r="20">
      <c r="A20" s="25" t="inlineStr">
        <is>
          <t>FTG001</t>
        </is>
      </c>
      <c r="B20" s="25" t="inlineStr">
        <is>
          <t>Chicken Sandwich</t>
        </is>
      </c>
      <c r="C20" s="25" t="inlineStr">
        <is>
          <t>Food To Go</t>
        </is>
      </c>
      <c r="D20" s="25" t="inlineStr">
        <is>
          <t>FreshKitchen</t>
        </is>
      </c>
      <c r="E20" s="26" t="n">
        <v>20.357</v>
      </c>
      <c r="F20" s="26" t="n">
        <v>6.384</v>
      </c>
      <c r="G20" s="27" t="n">
        <v>147</v>
      </c>
      <c r="H20" s="25" t="n">
        <v>2</v>
      </c>
      <c r="I20" s="28" t="n">
        <v>3.9</v>
      </c>
      <c r="J20" s="25" t="n">
        <v>0</v>
      </c>
    </row>
    <row r="21">
      <c r="A21" s="25" t="inlineStr">
        <is>
          <t>FTG002</t>
        </is>
      </c>
      <c r="B21" s="25" t="inlineStr">
        <is>
          <t>Sushi Pack 8pc</t>
        </is>
      </c>
      <c r="C21" s="25" t="inlineStr">
        <is>
          <t>Food To Go</t>
        </is>
      </c>
      <c r="D21" s="25" t="inlineStr">
        <is>
          <t>FreshKitchen</t>
        </is>
      </c>
      <c r="E21" s="26" t="n">
        <v>11.75</v>
      </c>
      <c r="F21" s="26" t="n">
        <v>4.68</v>
      </c>
      <c r="G21" s="27" t="n">
        <v>108</v>
      </c>
      <c r="H21" s="25" t="n">
        <v>1</v>
      </c>
      <c r="I21" s="28" t="n">
        <v>5.6</v>
      </c>
      <c r="J21" s="25" t="n">
        <v>0</v>
      </c>
    </row>
    <row r="22">
      <c r="A22" s="25" t="inlineStr">
        <is>
          <t>FTG003</t>
        </is>
      </c>
      <c r="B22" s="25" t="inlineStr">
        <is>
          <t>Hot Pie Mince &amp; Cheese</t>
        </is>
      </c>
      <c r="C22" s="25" t="inlineStr">
        <is>
          <t>Food To Go</t>
        </is>
      </c>
      <c r="D22" s="25" t="inlineStr">
        <is>
          <t>FreshKitchen</t>
        </is>
      </c>
      <c r="E22" s="26" t="n">
        <v>16.75</v>
      </c>
      <c r="F22" s="26" t="n">
        <v>5.089</v>
      </c>
      <c r="G22" s="27" t="n">
        <v>129</v>
      </c>
      <c r="H22" s="25" t="n">
        <v>2</v>
      </c>
      <c r="I22" s="28" t="n">
        <v>2.4</v>
      </c>
      <c r="J22" s="25" t="n">
        <v>0</v>
      </c>
    </row>
    <row r="23">
      <c r="A23" s="25" t="inlineStr">
        <is>
          <t>FTG004</t>
        </is>
      </c>
      <c r="B23" s="25" t="inlineStr">
        <is>
          <t>Salad Bowl</t>
        </is>
      </c>
      <c r="C23" s="25" t="inlineStr">
        <is>
          <t>Food To Go</t>
        </is>
      </c>
      <c r="D23" s="25" t="inlineStr">
        <is>
          <t>FreshKitchen</t>
        </is>
      </c>
      <c r="E23" s="26" t="n">
        <v>5.464</v>
      </c>
      <c r="F23" s="26" t="n">
        <v>2.219</v>
      </c>
      <c r="G23" s="27" t="n">
        <v>52</v>
      </c>
      <c r="H23" s="25" t="n">
        <v>2</v>
      </c>
      <c r="I23" s="28" t="n">
        <v>6.2</v>
      </c>
      <c r="J23" s="25" t="n">
        <v>0</v>
      </c>
    </row>
    <row r="24">
      <c r="A24" s="25" t="inlineStr">
        <is>
          <t>FTG005</t>
        </is>
      </c>
      <c r="B24" s="25" t="inlineStr">
        <is>
          <t>Filled Roll</t>
        </is>
      </c>
      <c r="C24" s="25" t="inlineStr">
        <is>
          <t>Food To Go</t>
        </is>
      </c>
      <c r="D24" s="25" t="inlineStr">
        <is>
          <t>FreshKitchen</t>
        </is>
      </c>
      <c r="E24" s="26" t="n">
        <v>10.536</v>
      </c>
      <c r="F24" s="26" t="n">
        <v>3.512</v>
      </c>
      <c r="G24" s="27" t="n">
        <v>98</v>
      </c>
      <c r="H24" s="25" t="n">
        <v>2</v>
      </c>
      <c r="I24" s="28" t="n">
        <v>3.2</v>
      </c>
      <c r="J24" s="25" t="n">
        <v>0</v>
      </c>
    </row>
    <row r="25">
      <c r="A25" s="25" t="inlineStr">
        <is>
          <t>GRO001</t>
        </is>
      </c>
      <c r="B25" s="25" t="inlineStr">
        <is>
          <t>Instant Noodles 5pk</t>
        </is>
      </c>
      <c r="C25" s="25" t="inlineStr">
        <is>
          <t>Grocery</t>
        </is>
      </c>
      <c r="D25" s="25" t="inlineStr">
        <is>
          <t>Asia Imports</t>
        </is>
      </c>
      <c r="E25" s="26" t="n">
        <v>14.393</v>
      </c>
      <c r="F25" s="26" t="n">
        <v>4.779</v>
      </c>
      <c r="G25" s="27" t="n">
        <v>101</v>
      </c>
      <c r="H25" s="25" t="n">
        <v>365</v>
      </c>
      <c r="I25" s="28" t="n">
        <v>2.6</v>
      </c>
      <c r="J25" s="25" t="n">
        <v>0</v>
      </c>
    </row>
    <row r="26">
      <c r="A26" s="25" t="inlineStr">
        <is>
          <t>GRO002</t>
        </is>
      </c>
      <c r="B26" s="25" t="inlineStr">
        <is>
          <t>Canned Soup 500g</t>
        </is>
      </c>
      <c r="C26" s="25" t="inlineStr">
        <is>
          <t>Grocery</t>
        </is>
      </c>
      <c r="D26" s="25" t="inlineStr">
        <is>
          <t>Pantry Brands</t>
        </is>
      </c>
      <c r="E26" s="26" t="n">
        <v>5.75</v>
      </c>
      <c r="F26" s="26" t="n">
        <v>3.524</v>
      </c>
      <c r="G26" s="27" t="n">
        <v>34</v>
      </c>
      <c r="H26" s="25" t="n">
        <v>730</v>
      </c>
      <c r="I26" s="28" t="n">
        <v>1.9</v>
      </c>
      <c r="J26" s="25" t="n">
        <v>0</v>
      </c>
    </row>
    <row r="27">
      <c r="A27" s="25" t="inlineStr">
        <is>
          <t>GRO003</t>
        </is>
      </c>
      <c r="B27" s="25" t="inlineStr">
        <is>
          <t>Pasta 500g</t>
        </is>
      </c>
      <c r="C27" s="25" t="inlineStr">
        <is>
          <t>Grocery</t>
        </is>
      </c>
      <c r="D27" s="25" t="inlineStr">
        <is>
          <t>Pantry Brands</t>
        </is>
      </c>
      <c r="E27" s="26" t="n">
        <v>5.929</v>
      </c>
      <c r="F27" s="26" t="n">
        <v>2.652</v>
      </c>
      <c r="G27" s="27" t="n">
        <v>55</v>
      </c>
      <c r="H27" s="25" t="n">
        <v>730</v>
      </c>
      <c r="I27" s="28" t="n">
        <v>1.3</v>
      </c>
      <c r="J27" s="25" t="n">
        <v>0</v>
      </c>
    </row>
    <row r="28">
      <c r="A28" s="25" t="inlineStr">
        <is>
          <t>GRO004</t>
        </is>
      </c>
      <c r="B28" s="25" t="inlineStr">
        <is>
          <t>Simmer Sauce 485g</t>
        </is>
      </c>
      <c r="C28" s="25" t="inlineStr">
        <is>
          <t>Grocery</t>
        </is>
      </c>
      <c r="D28" s="25" t="inlineStr">
        <is>
          <t>Pantry Brands</t>
        </is>
      </c>
      <c r="E28" s="26" t="n">
        <v>5.321</v>
      </c>
      <c r="F28" s="26" t="n">
        <v>3.244</v>
      </c>
      <c r="G28" s="27" t="n">
        <v>29</v>
      </c>
      <c r="H28" s="25" t="n">
        <v>540</v>
      </c>
      <c r="I28" s="28" t="n">
        <v>2.3</v>
      </c>
      <c r="J28" s="25" t="n">
        <v>1</v>
      </c>
    </row>
    <row r="29">
      <c r="A29" s="25" t="inlineStr">
        <is>
          <t>GRO005</t>
        </is>
      </c>
      <c r="B29" s="25" t="inlineStr">
        <is>
          <t>Salsa 300g</t>
        </is>
      </c>
      <c r="C29" s="25" t="inlineStr">
        <is>
          <t>Grocery</t>
        </is>
      </c>
      <c r="D29" s="25" t="inlineStr">
        <is>
          <t>Latin Pantry</t>
        </is>
      </c>
      <c r="E29" s="26" t="n">
        <v>3.429</v>
      </c>
      <c r="F29" s="26" t="n">
        <v>2.008</v>
      </c>
      <c r="G29" s="27" t="n">
        <v>36</v>
      </c>
      <c r="H29" s="25" t="n">
        <v>365</v>
      </c>
      <c r="I29" s="28" t="n">
        <v>2.9</v>
      </c>
      <c r="J29" s="25" t="n">
        <v>0</v>
      </c>
    </row>
    <row r="30">
      <c r="A30" s="25" t="inlineStr">
        <is>
          <t>GRO006</t>
        </is>
      </c>
      <c r="B30" s="25" t="inlineStr">
        <is>
          <t>Taco Kit</t>
        </is>
      </c>
      <c r="C30" s="25" t="inlineStr">
        <is>
          <t>Grocery</t>
        </is>
      </c>
      <c r="D30" s="25" t="inlineStr">
        <is>
          <t>Latin Pantry</t>
        </is>
      </c>
      <c r="E30" s="26" t="n">
        <v>3.536</v>
      </c>
      <c r="F30" s="26" t="n">
        <v>2.186</v>
      </c>
      <c r="G30" s="27" t="n">
        <v>30</v>
      </c>
      <c r="H30" s="25" t="n">
        <v>365</v>
      </c>
      <c r="I30" s="28" t="n">
        <v>4</v>
      </c>
      <c r="J30" s="25" t="n">
        <v>0</v>
      </c>
    </row>
    <row r="31">
      <c r="A31" s="25" t="inlineStr">
        <is>
          <t>GRO007</t>
        </is>
      </c>
      <c r="B31" s="25" t="inlineStr">
        <is>
          <t>Eggs Free Range 12pk</t>
        </is>
      </c>
      <c r="C31" s="25" t="inlineStr">
        <is>
          <t>Grocery</t>
        </is>
      </c>
      <c r="D31" s="25" t="inlineStr">
        <is>
          <t>Farm Fresh</t>
        </is>
      </c>
      <c r="E31" s="26" t="n">
        <v>9.893000000000001</v>
      </c>
      <c r="F31" s="26" t="n">
        <v>4.184</v>
      </c>
      <c r="G31" s="27" t="n">
        <v>80</v>
      </c>
      <c r="H31" s="25" t="n">
        <v>35</v>
      </c>
      <c r="I31" s="28" t="n">
        <v>8.199999999999999</v>
      </c>
      <c r="J31" s="25" t="n">
        <v>0</v>
      </c>
    </row>
    <row r="32">
      <c r="A32" s="25" t="inlineStr">
        <is>
          <t>GRO008</t>
        </is>
      </c>
      <c r="B32" s="25" t="inlineStr">
        <is>
          <t>Coffee Beans 200g</t>
        </is>
      </c>
      <c r="C32" s="25" t="inlineStr">
        <is>
          <t>Grocery</t>
        </is>
      </c>
      <c r="D32" s="25" t="inlineStr">
        <is>
          <t>Pantry Brands</t>
        </is>
      </c>
      <c r="E32" s="26" t="n">
        <v>3</v>
      </c>
      <c r="F32" s="26" t="n">
        <v>2.108</v>
      </c>
      <c r="G32" s="27" t="n">
        <v>20</v>
      </c>
      <c r="H32" s="25" t="n">
        <v>180</v>
      </c>
      <c r="I32" s="28" t="n">
        <v>7.6</v>
      </c>
      <c r="J32" s="25" t="n">
        <v>0</v>
      </c>
    </row>
    <row r="33">
      <c r="A33" s="25" t="inlineStr">
        <is>
          <t>HHD001</t>
        </is>
      </c>
      <c r="B33" s="25" t="inlineStr">
        <is>
          <t>Toilet Paper 6pk</t>
        </is>
      </c>
      <c r="C33" s="25" t="inlineStr">
        <is>
          <t>Household</t>
        </is>
      </c>
      <c r="D33" s="25" t="inlineStr">
        <is>
          <t>Home Supplies</t>
        </is>
      </c>
      <c r="E33" s="26" t="n">
        <v>4.357</v>
      </c>
      <c r="F33" s="26" t="n">
        <v>2.831</v>
      </c>
      <c r="G33" s="27" t="n">
        <v>44</v>
      </c>
      <c r="H33" s="25" t="n">
        <v>3650</v>
      </c>
      <c r="I33" s="28" t="n">
        <v>5.9</v>
      </c>
      <c r="J33" s="25" t="n">
        <v>0</v>
      </c>
    </row>
    <row r="34">
      <c r="A34" s="25" t="inlineStr">
        <is>
          <t>HHD002</t>
        </is>
      </c>
      <c r="B34" s="25" t="inlineStr">
        <is>
          <t>Dishwash Liquid</t>
        </is>
      </c>
      <c r="C34" s="25" t="inlineStr">
        <is>
          <t>Household</t>
        </is>
      </c>
      <c r="D34" s="25" t="inlineStr">
        <is>
          <t>Home Supplies</t>
        </is>
      </c>
      <c r="E34" s="26" t="n">
        <v>3.536</v>
      </c>
      <c r="F34" s="26" t="n">
        <v>2.027</v>
      </c>
      <c r="G34" s="27" t="n">
        <v>32</v>
      </c>
      <c r="H34" s="25" t="n">
        <v>1095</v>
      </c>
      <c r="I34" s="28" t="n">
        <v>2.9</v>
      </c>
      <c r="J34" s="25" t="n">
        <v>0</v>
      </c>
    </row>
    <row r="35">
      <c r="A35" s="25" t="inlineStr">
        <is>
          <t>LIQ001</t>
        </is>
      </c>
      <c r="B35" s="25" t="inlineStr">
        <is>
          <t>Craft Beer 6pk</t>
        </is>
      </c>
      <c r="C35" s="25" t="inlineStr">
        <is>
          <t>Beer &amp; Wine</t>
        </is>
      </c>
      <c r="D35" s="25" t="inlineStr">
        <is>
          <t>Liquor Dist.</t>
        </is>
      </c>
      <c r="E35" s="26" t="n">
        <v>5.643</v>
      </c>
      <c r="F35" s="26" t="n">
        <v>3.423</v>
      </c>
      <c r="G35" s="27" t="n">
        <v>51</v>
      </c>
      <c r="H35" s="25" t="n">
        <v>180</v>
      </c>
      <c r="I35" s="28" t="n">
        <v>15.3</v>
      </c>
      <c r="J35" s="25" t="n">
        <v>0</v>
      </c>
    </row>
    <row r="36">
      <c r="A36" s="25" t="inlineStr">
        <is>
          <t>LIQ002</t>
        </is>
      </c>
      <c r="B36" s="25" t="inlineStr">
        <is>
          <t>Sauvignon Blanc 750ml</t>
        </is>
      </c>
      <c r="C36" s="25" t="inlineStr">
        <is>
          <t>Beer &amp; Wine</t>
        </is>
      </c>
      <c r="D36" s="25" t="inlineStr">
        <is>
          <t>Liquor Dist.</t>
        </is>
      </c>
      <c r="E36" s="26" t="n">
        <v>4.286</v>
      </c>
      <c r="F36" s="26" t="n">
        <v>2.813</v>
      </c>
      <c r="G36" s="27" t="n">
        <v>43</v>
      </c>
      <c r="H36" s="25" t="n">
        <v>730</v>
      </c>
      <c r="I36" s="28" t="n">
        <v>10.2</v>
      </c>
      <c r="J36" s="25" t="n">
        <v>0</v>
      </c>
    </row>
    <row r="37">
      <c r="A37" s="25" t="inlineStr">
        <is>
          <t>LIQ003</t>
        </is>
      </c>
      <c r="B37" s="25" t="inlineStr">
        <is>
          <t>RTD 4pk</t>
        </is>
      </c>
      <c r="C37" s="25" t="inlineStr">
        <is>
          <t>Beer &amp; Wine</t>
        </is>
      </c>
      <c r="D37" s="25" t="inlineStr">
        <is>
          <t>Liquor Dist.</t>
        </is>
      </c>
      <c r="E37" s="26" t="n">
        <v>4.393</v>
      </c>
      <c r="F37" s="26" t="n">
        <v>2.409</v>
      </c>
      <c r="G37" s="27" t="n">
        <v>36</v>
      </c>
      <c r="H37" s="25" t="n">
        <v>365</v>
      </c>
      <c r="I37" s="28" t="n">
        <v>11.9</v>
      </c>
      <c r="J37" s="25" t="n">
        <v>0</v>
      </c>
    </row>
    <row r="38">
      <c r="A38" s="25" t="inlineStr">
        <is>
          <t>LIQ004</t>
        </is>
      </c>
      <c r="B38" s="25" t="inlineStr">
        <is>
          <t>Pinot Noir 750ml</t>
        </is>
      </c>
      <c r="C38" s="25" t="inlineStr">
        <is>
          <t>Beer &amp; Wine</t>
        </is>
      </c>
      <c r="D38" s="25" t="inlineStr">
        <is>
          <t>Liquor Dist.</t>
        </is>
      </c>
      <c r="E38" s="26" t="n">
        <v>2.321</v>
      </c>
      <c r="F38" s="26" t="n">
        <v>1.926</v>
      </c>
      <c r="G38" s="27" t="n">
        <v>16</v>
      </c>
      <c r="H38" s="25" t="n">
        <v>730</v>
      </c>
      <c r="I38" s="28" t="n">
        <v>12.8</v>
      </c>
      <c r="J38" s="25" t="n">
        <v>0</v>
      </c>
    </row>
    <row r="39">
      <c r="A39" s="25" t="inlineStr">
        <is>
          <t>MLK001</t>
        </is>
      </c>
      <c r="B39" s="25" t="inlineStr">
        <is>
          <t>Milk Standard 2L</t>
        </is>
      </c>
      <c r="C39" s="25" t="inlineStr">
        <is>
          <t>Dairy</t>
        </is>
      </c>
      <c r="D39" s="25" t="inlineStr">
        <is>
          <t>Dairy Co-op</t>
        </is>
      </c>
      <c r="E39" s="26" t="n">
        <v>34.393</v>
      </c>
      <c r="F39" s="26" t="n">
        <v>13.593</v>
      </c>
      <c r="G39" s="27" t="n">
        <v>344</v>
      </c>
      <c r="H39" s="25" t="n">
        <v>10</v>
      </c>
      <c r="I39" s="28" t="n">
        <v>3.55</v>
      </c>
      <c r="J39" s="25" t="n">
        <v>0</v>
      </c>
    </row>
    <row r="40">
      <c r="A40" s="25" t="inlineStr">
        <is>
          <t>MLK002</t>
        </is>
      </c>
      <c r="B40" s="25" t="inlineStr">
        <is>
          <t>Milk Lite 2L</t>
        </is>
      </c>
      <c r="C40" s="25" t="inlineStr">
        <is>
          <t>Dairy</t>
        </is>
      </c>
      <c r="D40" s="25" t="inlineStr">
        <is>
          <t>Dairy Co-op</t>
        </is>
      </c>
      <c r="E40" s="26" t="n">
        <v>16.107</v>
      </c>
      <c r="F40" s="26" t="n">
        <v>3.975</v>
      </c>
      <c r="G40" s="27" t="n">
        <v>138</v>
      </c>
      <c r="H40" s="25" t="n">
        <v>10</v>
      </c>
      <c r="I40" s="28" t="n">
        <v>3.55</v>
      </c>
      <c r="J40" s="25" t="n">
        <v>0</v>
      </c>
    </row>
    <row r="41">
      <c r="A41" s="25" t="inlineStr">
        <is>
          <t>MLK003</t>
        </is>
      </c>
      <c r="B41" s="25" t="inlineStr">
        <is>
          <t>Oat Milk 1L</t>
        </is>
      </c>
      <c r="C41" s="25" t="inlineStr">
        <is>
          <t>Dairy</t>
        </is>
      </c>
      <c r="D41" s="25" t="inlineStr">
        <is>
          <t>Plant Foods NZ</t>
        </is>
      </c>
      <c r="E41" s="26" t="n">
        <v>6.679</v>
      </c>
      <c r="F41" s="26" t="n">
        <v>3.151</v>
      </c>
      <c r="G41" s="27" t="n">
        <v>60</v>
      </c>
      <c r="H41" s="25" t="n">
        <v>60</v>
      </c>
      <c r="I41" s="28" t="n">
        <v>2.7</v>
      </c>
      <c r="J41" s="25" t="n">
        <v>0</v>
      </c>
    </row>
    <row r="42">
      <c r="A42" s="25" t="inlineStr">
        <is>
          <t>PHM001</t>
        </is>
      </c>
      <c r="B42" s="25" t="inlineStr">
        <is>
          <t>Paracetamol 20pk</t>
        </is>
      </c>
      <c r="C42" s="25" t="inlineStr">
        <is>
          <t>Health &amp; Beauty</t>
        </is>
      </c>
      <c r="D42" s="25" t="inlineStr">
        <is>
          <t>Pharma Dist.</t>
        </is>
      </c>
      <c r="E42" s="26" t="n">
        <v>3.929</v>
      </c>
      <c r="F42" s="26" t="n">
        <v>2.493</v>
      </c>
      <c r="G42" s="27" t="n">
        <v>37</v>
      </c>
      <c r="H42" s="25" t="n">
        <v>730</v>
      </c>
      <c r="I42" s="28" t="n">
        <v>1.6</v>
      </c>
      <c r="J42" s="25" t="n">
        <v>0</v>
      </c>
    </row>
    <row r="43">
      <c r="A43" s="25" t="inlineStr">
        <is>
          <t>PHM002</t>
        </is>
      </c>
      <c r="B43" s="25" t="inlineStr">
        <is>
          <t>Sunscreen SPF50</t>
        </is>
      </c>
      <c r="C43" s="25" t="inlineStr">
        <is>
          <t>Health &amp; Beauty</t>
        </is>
      </c>
      <c r="D43" s="25" t="inlineStr">
        <is>
          <t>Pharma Dist.</t>
        </is>
      </c>
      <c r="E43" s="26" t="n">
        <v>2.036</v>
      </c>
      <c r="F43" s="26" t="n">
        <v>1.666</v>
      </c>
      <c r="G43" s="27" t="n">
        <v>13</v>
      </c>
      <c r="H43" s="25" t="n">
        <v>730</v>
      </c>
      <c r="I43" s="28" t="n">
        <v>8.199999999999999</v>
      </c>
      <c r="J43" s="25" t="n">
        <v>0</v>
      </c>
    </row>
    <row r="44">
      <c r="A44" s="25" t="inlineStr">
        <is>
          <t>PRD001</t>
        </is>
      </c>
      <c r="B44" s="25" t="inlineStr">
        <is>
          <t>Bananas (each)</t>
        </is>
      </c>
      <c r="C44" s="25" t="inlineStr">
        <is>
          <t>Produce</t>
        </is>
      </c>
      <c r="D44" s="25" t="inlineStr">
        <is>
          <t>Produce Market</t>
        </is>
      </c>
      <c r="E44" s="26" t="n">
        <v>31.071</v>
      </c>
      <c r="F44" s="26" t="n">
        <v>7.717</v>
      </c>
      <c r="G44" s="27" t="n">
        <v>269</v>
      </c>
      <c r="H44" s="25" t="n">
        <v>6</v>
      </c>
      <c r="I44" s="28" t="n">
        <v>0.38</v>
      </c>
      <c r="J44" s="25" t="n">
        <v>0</v>
      </c>
    </row>
    <row r="45">
      <c r="A45" s="25" t="inlineStr">
        <is>
          <t>PRD002</t>
        </is>
      </c>
      <c r="B45" s="25" t="inlineStr">
        <is>
          <t>Avocado</t>
        </is>
      </c>
      <c r="C45" s="25" t="inlineStr">
        <is>
          <t>Produce</t>
        </is>
      </c>
      <c r="D45" s="25" t="inlineStr">
        <is>
          <t>Produce Market</t>
        </is>
      </c>
      <c r="E45" s="26" t="n">
        <v>7.75</v>
      </c>
      <c r="F45" s="26" t="n">
        <v>3.384</v>
      </c>
      <c r="G45" s="27" t="n">
        <v>70</v>
      </c>
      <c r="H45" s="25" t="n">
        <v>5</v>
      </c>
      <c r="I45" s="28" t="n">
        <v>1.4</v>
      </c>
      <c r="J45" s="25" t="n">
        <v>0</v>
      </c>
    </row>
    <row r="46">
      <c r="A46" s="25" t="inlineStr">
        <is>
          <t>PRD003</t>
        </is>
      </c>
      <c r="B46" s="25" t="inlineStr">
        <is>
          <t>Tomatoes 500g</t>
        </is>
      </c>
      <c r="C46" s="25" t="inlineStr">
        <is>
          <t>Produce</t>
        </is>
      </c>
      <c r="D46" s="25" t="inlineStr">
        <is>
          <t>Produce Market</t>
        </is>
      </c>
      <c r="E46" s="26" t="n">
        <v>4.464</v>
      </c>
      <c r="F46" s="26" t="n">
        <v>2.912</v>
      </c>
      <c r="G46" s="27" t="n">
        <v>45</v>
      </c>
      <c r="H46" s="25" t="n">
        <v>7</v>
      </c>
      <c r="I46" s="28" t="n">
        <v>2.6</v>
      </c>
      <c r="J46" s="25" t="n">
        <v>0</v>
      </c>
    </row>
    <row r="47">
      <c r="A47" s="25" t="inlineStr">
        <is>
          <t>SNK001</t>
        </is>
      </c>
      <c r="B47" s="25" t="inlineStr">
        <is>
          <t>Potato Chips 150g</t>
        </is>
      </c>
      <c r="C47" s="25" t="inlineStr">
        <is>
          <t>Snacks &amp; Confectionery</t>
        </is>
      </c>
      <c r="D47" s="25" t="inlineStr">
        <is>
          <t>Snack Foods NZ</t>
        </is>
      </c>
      <c r="E47" s="26" t="n">
        <v>22.786</v>
      </c>
      <c r="F47" s="26" t="n">
        <v>6.551</v>
      </c>
      <c r="G47" s="27" t="n">
        <v>165</v>
      </c>
      <c r="H47" s="25" t="n">
        <v>180</v>
      </c>
      <c r="I47" s="28" t="n">
        <v>2.1</v>
      </c>
      <c r="J47" s="25" t="n">
        <v>0</v>
      </c>
    </row>
    <row r="48">
      <c r="A48" s="25" t="inlineStr">
        <is>
          <t>SNK002</t>
        </is>
      </c>
      <c r="B48" s="25" t="inlineStr">
        <is>
          <t>Chocolate Block 200g</t>
        </is>
      </c>
      <c r="C48" s="25" t="inlineStr">
        <is>
          <t>Snacks &amp; Confectionery</t>
        </is>
      </c>
      <c r="D48" s="25" t="inlineStr">
        <is>
          <t>Confectionery Ltd</t>
        </is>
      </c>
      <c r="E48" s="26" t="n">
        <v>17.429</v>
      </c>
      <c r="F48" s="26" t="n">
        <v>5.196</v>
      </c>
      <c r="G48" s="27" t="n">
        <v>110</v>
      </c>
      <c r="H48" s="25" t="n">
        <v>270</v>
      </c>
      <c r="I48" s="28" t="n">
        <v>3.2</v>
      </c>
      <c r="J48" s="25" t="n">
        <v>0</v>
      </c>
    </row>
    <row r="49">
      <c r="A49" s="25" t="inlineStr">
        <is>
          <t>SNK003</t>
        </is>
      </c>
      <c r="B49" s="25" t="inlineStr">
        <is>
          <t>Muesli Bar 6pk</t>
        </is>
      </c>
      <c r="C49" s="25" t="inlineStr">
        <is>
          <t>Snacks &amp; Confectionery</t>
        </is>
      </c>
      <c r="D49" s="25" t="inlineStr">
        <is>
          <t>Snack Foods NZ</t>
        </is>
      </c>
      <c r="E49" s="26" t="n">
        <v>9.179</v>
      </c>
      <c r="F49" s="26" t="n">
        <v>3.443</v>
      </c>
      <c r="G49" s="27" t="n">
        <v>71</v>
      </c>
      <c r="H49" s="25" t="n">
        <v>240</v>
      </c>
      <c r="I49" s="28" t="n">
        <v>2.6</v>
      </c>
      <c r="J49" s="25" t="n">
        <v>0</v>
      </c>
    </row>
    <row r="50">
      <c r="A50" s="25" t="inlineStr">
        <is>
          <t>SNK004</t>
        </is>
      </c>
      <c r="B50" s="25" t="inlineStr">
        <is>
          <t>Corn Chips 230g</t>
        </is>
      </c>
      <c r="C50" s="25" t="inlineStr">
        <is>
          <t>Snacks &amp; Confectionery</t>
        </is>
      </c>
      <c r="D50" s="25" t="inlineStr">
        <is>
          <t>Latin Pantry</t>
        </is>
      </c>
      <c r="E50" s="26" t="n">
        <v>9.393000000000001</v>
      </c>
      <c r="F50" s="26" t="n">
        <v>3.224</v>
      </c>
      <c r="G50" s="27" t="n">
        <v>64</v>
      </c>
      <c r="H50" s="25" t="n">
        <v>180</v>
      </c>
      <c r="I50" s="28" t="n">
        <v>2.4</v>
      </c>
      <c r="J50" s="25" t="n">
        <v>0</v>
      </c>
    </row>
    <row r="51">
      <c r="A51" s="25" t="inlineStr">
        <is>
          <t>SNK005</t>
        </is>
      </c>
      <c r="B51" s="25" t="inlineStr">
        <is>
          <t>Lollies Bag 200g</t>
        </is>
      </c>
      <c r="C51" s="25" t="inlineStr">
        <is>
          <t>Snacks &amp; Confectionery</t>
        </is>
      </c>
      <c r="D51" s="25" t="inlineStr">
        <is>
          <t>Confectionery Ltd</t>
        </is>
      </c>
      <c r="E51" s="26" t="n">
        <v>9.679</v>
      </c>
      <c r="F51" s="26" t="n">
        <v>3.682</v>
      </c>
      <c r="G51" s="27" t="n">
        <v>78</v>
      </c>
      <c r="H51" s="25" t="n">
        <v>300</v>
      </c>
      <c r="I51" s="28" t="n">
        <v>1.7</v>
      </c>
      <c r="J51" s="2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M5" s="12" t="inlineStr">
        <is>
          <t>Category list</t>
        </is>
      </c>
    </row>
    <row r="6">
      <c r="M6" s="25" t="inlineStr">
        <is>
          <t>All</t>
        </is>
      </c>
    </row>
    <row r="7">
      <c r="M7" s="25" t="inlineStr">
        <is>
          <t>Bakery</t>
        </is>
      </c>
    </row>
    <row r="8">
      <c r="M8" s="25" t="inlineStr">
        <is>
          <t>Beer &amp; Wine</t>
        </is>
      </c>
    </row>
    <row r="9">
      <c r="M9" s="25" t="inlineStr">
        <is>
          <t>Beverages</t>
        </is>
      </c>
    </row>
    <row r="10">
      <c r="M10" s="25" t="inlineStr">
        <is>
          <t>Dairy</t>
        </is>
      </c>
    </row>
    <row r="11">
      <c r="M11" s="25" t="inlineStr">
        <is>
          <t>Food To Go</t>
        </is>
      </c>
    </row>
    <row r="12">
      <c r="M12" s="25" t="inlineStr">
        <is>
          <t>Frozen</t>
        </is>
      </c>
    </row>
    <row r="13">
      <c r="M13" s="25" t="inlineStr">
        <is>
          <t>Grocery</t>
        </is>
      </c>
    </row>
    <row r="14">
      <c r="M14" s="25" t="inlineStr">
        <is>
          <t>Health &amp; Beauty</t>
        </is>
      </c>
    </row>
    <row r="15">
      <c r="M15" s="25" t="inlineStr">
        <is>
          <t>Household</t>
        </is>
      </c>
    </row>
    <row r="16">
      <c r="M16" s="25" t="inlineStr">
        <is>
          <t>Produce</t>
        </is>
      </c>
    </row>
    <row r="17">
      <c r="M17" s="25" t="inlineStr">
        <is>
          <t>Snacks &amp; Confectionery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3" t="inlineStr">
        <is>
          <t>Input</t>
        </is>
      </c>
      <c r="C5" s="13" t="inlineStr">
        <is>
          <t>Value</t>
        </is>
      </c>
      <c r="D5" s="13" t="inlineStr">
        <is>
          <t>Why / source</t>
        </is>
      </c>
    </row>
    <row r="6">
      <c r="B6" s="29" t="inlineStr">
        <is>
          <t>Supplier lead time (days)</t>
        </is>
      </c>
      <c r="C6" s="30" t="n">
        <v>2</v>
      </c>
      <c r="D6" s="31" t="inlineStr">
        <is>
          <t>Order to shelf</t>
        </is>
      </c>
    </row>
    <row r="7">
      <c r="B7" s="29" t="inlineStr">
        <is>
          <t>Review period (days)</t>
        </is>
      </c>
      <c r="C7" s="30" t="n">
        <v>1</v>
      </c>
      <c r="D7" s="31" t="inlineStr">
        <is>
          <t>How often you order</t>
        </is>
      </c>
    </row>
    <row r="8">
      <c r="B8" s="29" t="inlineStr">
        <is>
          <t>Service level (z)</t>
        </is>
      </c>
      <c r="C8" s="30" t="n">
        <v>1.65</v>
      </c>
      <c r="D8" s="31" t="inlineStr">
        <is>
          <t>1.65 ≈ 95% of days without a stock-out; 2.05 ≈ 98%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2" t="inlineStr">
        <is>
          <t>About this workbook</t>
        </is>
      </c>
    </row>
    <row r="6">
      <c r="C6" s="32" t="inlineStr">
        <is>
          <t>Store: Demo Neighbourhood Store (Eden Terrace format).  Data to 11 Oct 2026.  Shelly v1.19.0.</t>
        </is>
      </c>
    </row>
    <row r="7">
      <c r="C7" s="32" t="inlineStr">
        <is>
          <t>Synthetic demo data.</t>
        </is>
      </c>
    </row>
    <row r="8">
      <c r="C8" s="32" t="inlineStr">
        <is>
          <t>Change the blue Category cell on the Dashboard, or any blue input on Assumptions: every formula follows.</t>
        </is>
      </c>
    </row>
    <row r="10">
      <c r="B10" s="12" t="inlineStr">
        <is>
          <t>Method</t>
        </is>
      </c>
    </row>
    <row r="11">
      <c r="C11" s="32" t="inlineStr">
        <is>
          <t>Safety stock = z × demand sd × √(lead + review). Reorder point = demand × (lead + review) + safety stock.</t>
        </is>
      </c>
    </row>
    <row r="12">
      <c r="C12" s="32" t="inlineStr">
        <is>
          <t>Order up to = reorder point + one review period, capped at shelf-life days of demand.</t>
        </is>
      </c>
    </row>
    <row r="13">
      <c r="C13" s="32" t="inlineStr">
        <is>
          <t>Recalled products are blocked (order 0).</t>
        </is>
      </c>
    </row>
    <row r="15">
      <c r="B15" s="12" t="inlineStr">
        <is>
          <t>Data dictionary (Raw sheet)</t>
        </is>
      </c>
    </row>
    <row r="16">
      <c r="B16" s="29" t="inlineStr">
        <is>
          <t>Daily demand</t>
        </is>
      </c>
      <c r="C16" s="29" t="inlineStr">
        <is>
          <t>Average units a day, last 28 days</t>
        </is>
      </c>
    </row>
    <row r="17">
      <c r="B17" s="29" t="inlineStr">
        <is>
          <t>Demand sd</t>
        </is>
      </c>
      <c r="C17" s="29" t="inlineStr">
        <is>
          <t>Day-to-day variation (standard deviation)</t>
        </is>
      </c>
    </row>
    <row r="18">
      <c r="B18" s="29" t="inlineStr">
        <is>
          <t>On hand</t>
        </is>
      </c>
      <c r="C18" s="29" t="inlineStr">
        <is>
          <t>Last count minus sales since</t>
        </is>
      </c>
    </row>
    <row r="19">
      <c r="B19" s="29" t="inlineStr">
        <is>
          <t>Blocked</t>
        </is>
      </c>
      <c r="C19" s="29" t="inlineStr">
        <is>
          <t>1 = under product recall</t>
        </is>
      </c>
    </row>
    <row r="21">
      <c r="B21" s="12" t="inlineStr">
        <is>
          <t>Sign-off</t>
        </is>
      </c>
    </row>
    <row r="22">
      <c r="B22" s="25" t="inlineStr">
        <is>
          <t>Orders approved</t>
        </is>
      </c>
      <c r="C22" s="7" t="inlineStr">
        <is>
          <t>Name: ____________   Date: ________   ☐ Approved  ☐ Changes needed</t>
        </is>
      </c>
    </row>
    <row r="24">
      <c r="B24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2026-10-11T21:21:05Z</dcterms:created>
  <dcterms:modified xsi:type="dcterms:W3CDTF">2026-10-11T21:21:05Z</dcterms:modified>
</cp:coreProperties>
</file>