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Records1.xml" ContentType="application/vnd.openxmlformats-officedocument.spreadsheetml.pivotCacheRecords+xml"/>
  <Override PartName="/xl/pivotCache/pivotCacheDefinition1.xml" ContentType="application/vnd.openxmlformats-officedocument.spreadsheetml.pivotCacheDefinition+xml"/>
  <Override PartName="/xl/pivotTables/pivotTable1.xml" ContentType="application/vnd.openxmlformats-officedocument.spreadsheetml.pivotTable+xml"/>
  <Override PartName="/xl/pivotCache/pivotCacheRecords2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Tables/pivotTable2.xml" ContentType="application/vnd.openxmlformats-officedocument.spreadsheetml.pivotTable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Model" sheetId="2" state="visible" r:id="rId2"/>
    <sheet name="Pivot" sheetId="3" state="visible" r:id="rId3"/>
    <sheet name="Raw" sheetId="4" state="visible" r:id="rId4"/>
    <sheet name="Lookup" sheetId="5" state="visible" r:id="rId5"/>
    <sheet name="Assumptions" sheetId="6" state="visible" r:id="rId6"/>
    <sheet name="Actions" sheetId="7" state="visible" r:id="rId7"/>
    <sheet name="Sell-through &amp; weeks of cover" sheetId="8" state="visible" r:id="rId8"/>
    <sheet name="Aged stock &amp; markdown ladder" sheetId="9" state="visible" r:id="rId9"/>
    <sheet name="Price erosion ASP" sheetId="10" state="visible" r:id="rId10"/>
    <sheet name="Accessory attach rate" sheetId="11" state="visible" r:id="rId11"/>
    <sheet name="Notes" sheetId="12" state="visible" r:id="rId12"/>
  </sheets>
  <definedNames>
    <definedName name="SelCat">Dashboard!$B$6</definedName>
    <definedName name="CatCrit">IF(Dashboard!$B$6="All","*",Dashboard!$B$6)</definedName>
    <definedName name="_xlnm._FilterDatabase" localSheetId="6" hidden="1">'Actions'!$B$5:$G$22</definedName>
    <definedName name="_xlnm._FilterDatabase" localSheetId="7" hidden="1">'Sell-through &amp; weeks of cover'!$B$5:$I$41</definedName>
    <definedName name="_xlnm._FilterDatabase" localSheetId="8" hidden="1">'Aged stock &amp; markdown ladder'!$B$5:$C$9</definedName>
    <definedName name="_xlnm._FilterDatabase" localSheetId="9" hidden="1">'Price erosion ASP'!$B$5:$E$11</definedName>
    <definedName name="_xlnm._FilterDatabase" localSheetId="10" hidden="1">'Accessory attach rate'!$B$5:$D$6</definedName>
  </definedNames>
  <calcPr calcId="124519" fullCalcOnLoad="1"/>
  <pivotCaches>
    <pivotCache cacheId="1" r:id="rId13"/>
  </pivotCaches>
</workbook>
</file>

<file path=xl/styles.xml><?xml version="1.0" encoding="utf-8"?>
<styleSheet xmlns="http://schemas.openxmlformats.org/spreadsheetml/2006/main">
  <numFmts count="6">
    <numFmt numFmtId="164" formatCode="yyyy-mm-dd h:mm:ss"/>
    <numFmt numFmtId="165" formatCode="d mmm yyyy"/>
    <numFmt numFmtId="166" formatCode="$#,##0.00;($#,##0.00);&quot;-&quot;"/>
    <numFmt numFmtId="167" formatCode="#,##0;(#,##0);&quot;-&quot;"/>
    <numFmt numFmtId="168" formatCode="$#,##0;($#,##0);&quot;-&quot;"/>
    <numFmt numFmtId="169" formatCode="0.0%;(0.0%);&quot;-&quot;"/>
  </numFmts>
  <fonts count="1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color rgb="001B2433"/>
      <sz val="10"/>
    </font>
    <font>
      <name val="Arial"/>
      <b val="1"/>
      <color rgb="0063B6D8"/>
      <sz val="8"/>
    </font>
    <font>
      <name val="Arial"/>
      <b val="1"/>
      <color rgb="00FFFFFF"/>
      <sz val="18"/>
    </font>
    <font>
      <name val="Arial"/>
      <color rgb="00C9D4E0"/>
      <sz val="10"/>
    </font>
    <font>
      <name val="Arial"/>
      <b val="1"/>
      <color rgb="00FFFFFF"/>
      <sz val="9"/>
    </font>
    <font>
      <name val="Arial"/>
      <b val="1"/>
      <color rgb="006B7686"/>
      <sz val="8"/>
    </font>
    <font>
      <name val="Arial"/>
      <b val="1"/>
      <color rgb="000000FF"/>
      <sz val="12"/>
    </font>
    <font>
      <name val="Arial"/>
      <b val="1"/>
      <color rgb="001B2433"/>
      <sz val="11"/>
    </font>
    <font>
      <name val="Arial"/>
      <i val="1"/>
      <color rgb="006B7686"/>
      <sz val="9"/>
    </font>
    <font>
      <name val="Arial"/>
      <b val="1"/>
      <color rgb="001B2433"/>
      <sz val="10"/>
    </font>
    <font>
      <name val="Arial"/>
      <b val="1"/>
      <color rgb="001B2433"/>
      <sz val="18"/>
    </font>
  </fonts>
  <fills count="7">
    <fill>
      <patternFill/>
    </fill>
    <fill>
      <patternFill patternType="gray125"/>
    </fill>
    <fill>
      <patternFill patternType="solid">
        <fgColor rgb="000B1220"/>
      </patternFill>
    </fill>
    <fill>
      <patternFill patternType="solid">
        <fgColor rgb="0022324A"/>
      </patternFill>
    </fill>
    <fill>
      <patternFill patternType="solid">
        <fgColor rgb="00FFF7CC"/>
      </patternFill>
    </fill>
    <fill>
      <patternFill patternType="solid">
        <fgColor rgb="00E8EEF4"/>
      </patternFill>
    </fill>
    <fill>
      <patternFill patternType="solid">
        <fgColor rgb="00F4F7FA"/>
      </patternFill>
    </fill>
  </fills>
  <borders count="3">
    <border>
      <left/>
      <right/>
      <top/>
      <bottom/>
      <diagonal/>
    </border>
    <border>
      <left style="thin">
        <color rgb="00D9DEE5"/>
      </left>
      <right style="thin">
        <color rgb="00D9DEE5"/>
      </right>
      <top style="thin">
        <color rgb="00D9DEE5"/>
      </top>
      <bottom style="thin">
        <color rgb="00D9DEE5"/>
      </bottom>
    </border>
    <border>
      <bottom style="thin">
        <color rgb="00D9DEE5"/>
      </bottom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0" fillId="2" borderId="0" pivotButton="0" quotePrefix="0" xfId="0"/>
    <xf numFmtId="0" fontId="3" fillId="2" borderId="0" pivotButton="0" quotePrefix="0" xfId="0"/>
    <xf numFmtId="0" fontId="4" fillId="2" borderId="0" pivotButton="0" quotePrefix="0" xfId="0"/>
    <xf numFmtId="0" fontId="5" fillId="2" borderId="0" pivotButton="0" quotePrefix="0" xfId="0"/>
    <xf numFmtId="0" fontId="7" fillId="0" borderId="0" pivotButton="0" quotePrefix="0" xfId="0"/>
    <xf numFmtId="0" fontId="8" fillId="4" borderId="1" pivotButton="0" quotePrefix="0" xfId="0"/>
    <xf numFmtId="0" fontId="10" fillId="0" borderId="0" pivotButton="0" quotePrefix="0" xfId="0"/>
    <xf numFmtId="0" fontId="7" fillId="6" borderId="0" pivotButton="0" quotePrefix="0" xfId="0"/>
    <xf numFmtId="0" fontId="0" fillId="6" borderId="0" pivotButton="0" quotePrefix="0" xfId="0"/>
    <xf numFmtId="167" fontId="12" fillId="6" borderId="0" applyAlignment="1" pivotButton="0" quotePrefix="0" xfId="0">
      <alignment horizontal="left"/>
    </xf>
    <xf numFmtId="168" fontId="12" fillId="6" borderId="0" applyAlignment="1" pivotButton="0" quotePrefix="0" xfId="0">
      <alignment horizontal="left"/>
    </xf>
    <xf numFmtId="169" fontId="12" fillId="6" borderId="0" applyAlignment="1" pivotButton="0" quotePrefix="0" xfId="0">
      <alignment horizontal="left"/>
    </xf>
    <xf numFmtId="0" fontId="9" fillId="0" borderId="0" pivotButton="0" quotePrefix="0" xfId="0"/>
    <xf numFmtId="0" fontId="6" fillId="3" borderId="0" applyAlignment="1" pivotButton="0" quotePrefix="0" xfId="0">
      <alignment horizontal="center" vertical="center" wrapText="1"/>
    </xf>
    <xf numFmtId="49" fontId="2" fillId="0" borderId="2" pivotButton="0" quotePrefix="0" xfId="0"/>
    <xf numFmtId="167" fontId="2" fillId="0" borderId="2" pivotButton="0" quotePrefix="0" xfId="0"/>
    <xf numFmtId="168" fontId="2" fillId="0" borderId="2" pivotButton="0" quotePrefix="0" xfId="0"/>
    <xf numFmtId="169" fontId="2" fillId="0" borderId="2" pivotButton="0" quotePrefix="0" xfId="0"/>
    <xf numFmtId="0" fontId="11" fillId="5" borderId="0" pivotButton="0" quotePrefix="0" xfId="0"/>
    <xf numFmtId="167" fontId="11" fillId="5" borderId="0" pivotButton="0" quotePrefix="0" xfId="0"/>
    <xf numFmtId="168" fontId="11" fillId="5" borderId="0" pivotButton="0" quotePrefix="0" xfId="0"/>
    <xf numFmtId="169" fontId="11" fillId="5" borderId="0" pivotButton="0" quotePrefix="0" xfId="0"/>
    <xf numFmtId="165" fontId="2" fillId="0" borderId="2" pivotButton="0" quotePrefix="0" xfId="0"/>
    <xf numFmtId="3" fontId="0" fillId="0" borderId="0" pivotButton="0" quotePrefix="0" xfId="0"/>
    <xf numFmtId="0" fontId="1" fillId="0" borderId="0" pivotButton="0" quotePrefix="0" xfId="0"/>
    <xf numFmtId="165" fontId="2" fillId="0" borderId="0" pivotButton="0" quotePrefix="0" xfId="0"/>
    <xf numFmtId="0" fontId="2" fillId="0" borderId="0" pivotButton="0" quotePrefix="0" xfId="0"/>
    <xf numFmtId="166" fontId="2" fillId="0" borderId="0" pivotButton="0" quotePrefix="0" xfId="0"/>
    <xf numFmtId="0" fontId="2" fillId="0" borderId="2" applyAlignment="1" pivotButton="0" quotePrefix="0" xfId="0">
      <alignment vertical="top" wrapText="1"/>
    </xf>
    <xf numFmtId="168" fontId="2" fillId="0" borderId="2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2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pivotCacheDefinition" Target="/xl/pivotCache/pivotCacheDefinition2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Gross margin by category</a:t>
            </a:r>
          </a:p>
        </rich>
      </tx>
    </title>
    <plotArea>
      <barChart>
        <barDir val="col"/>
        <grouping val="clustered"/>
        <ser>
          <idx val="0"/>
          <order val="0"/>
          <tx>
            <v>Gross margin</v>
          </tx>
          <spPr>
            <a:solidFill>
              <a:srgbClr val="2A8FB8"/>
            </a:solidFill>
            <a:ln>
              <a:solidFill>
                <a:srgbClr val="2A8FB8"/>
              </a:solidFill>
              <a:prstDash val="solid"/>
            </a:ln>
          </spPr>
          <cat>
            <numRef>
              <f>'Model'!$B$8:$B$13</f>
            </numRef>
          </cat>
          <val>
            <numRef>
              <f>'Model'!$E$8:$E$13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numFmt formatCode="$#,##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Weekly units</a:t>
            </a:r>
          </a:p>
        </rich>
      </tx>
    </title>
    <plotArea>
      <lineChart>
        <grouping val="standard"/>
        <ser>
          <idx val="0"/>
          <order val="0"/>
          <tx>
            <v>Units</v>
          </tx>
          <spPr>
            <a:ln w="22000">
              <a:solidFill>
                <a:srgbClr val="2A8FB8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'Model'!$B$20:$B$45</f>
            </numRef>
          </cat>
          <val>
            <numRef>
              <f>'Model'!$C$20:$C$45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numFmt formatCode="$#,##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omments/comment1.xml><?xml version="1.0" encoding="utf-8"?>
<comments xmlns="http://schemas.openxmlformats.org/spreadsheetml/2006/main">
  <authors>
    <author>Shelly</author>
  </authors>
  <commentList>
    <comment ref="B6" authorId="0" shapeId="0">
      <text>
        <t>Choose a value from the list. Every KPI, table and chart follows this choice.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13</row>
      <rowOff>0</rowOff>
    </from>
    <ext cx="576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8</col>
      <colOff>0</colOff>
      <row>13</row>
      <rowOff>0</rowOff>
    </from>
    <ext cx="576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pivotCache/_rels/pivotCacheDefinition1.xml.rels><Relationships xmlns="http://schemas.openxmlformats.org/package/2006/relationships"><Relationship Type="http://schemas.openxmlformats.org/officeDocument/2006/relationships/pivotCacheRecords" Target="/xl/pivotCache/pivotCacheRecords1.xml" Id="rId1" /></Relationships>
</file>

<file path=xl/pivotCache/_rels/pivotCacheDefinition2.xml.rels><Relationships xmlns="http://schemas.openxmlformats.org/package/2006/relationships"><Relationship Type="http://schemas.openxmlformats.org/officeDocument/2006/relationships/pivotCacheRecords" Target="/xl/pivotCache/pivotCacheRecords1.xml" Id="rId1" /></Relationships>
</file>

<file path=xl/pivotCache/pivotCacheDefinition1.xml><?xml version="1.0" encoding="utf-8"?>
<pivotCacheDefinition xmlns:r="http://schemas.openxmlformats.org/officeDocument/2006/relationships" xmlns="http://schemas.openxmlformats.org/spreadsheetml/2006/main" refreshOnLoad="1" createdVersion="6" refreshedVersion="6" minRefreshableVersion="3" recordCount="936" r:id="rId1">
  <cacheSource type="worksheet">
    <worksheetSource ref="A1:H937" sheet="Raw"/>
  </cacheSource>
  <cacheFields count="8">
    <cacheField name="Week" uniqueList="1" numFmtId="0" sqlType="0" hierarchy="0" level="0" databaseField="1">
      <sharedItems count="26">
        <s v="2026-03-29"/>
        <s v="2026-04-05"/>
        <s v="2026-04-12"/>
        <s v="2026-04-19"/>
        <s v="2026-04-26"/>
        <s v="2026-05-03"/>
        <s v="2026-05-10"/>
        <s v="2026-05-17"/>
        <s v="2026-05-24"/>
        <s v="2026-05-31"/>
        <s v="2026-06-07"/>
        <s v="2026-06-14"/>
        <s v="2026-06-21"/>
        <s v="2026-06-28"/>
        <s v="2026-07-05"/>
        <s v="2026-07-12"/>
        <s v="2026-07-19"/>
        <s v="2026-07-26"/>
        <s v="2026-08-02"/>
        <s v="2026-08-09"/>
        <s v="2026-08-16"/>
        <s v="2026-08-23"/>
        <s v="2026-08-30"/>
        <s v="2026-09-06"/>
        <s v="2026-09-13"/>
        <s v="2026-09-20"/>
      </sharedItems>
    </cacheField>
    <cacheField name="SKU" uniqueList="1" numFmtId="0" sqlType="0" hierarchy="0" level="0" databaseField="1">
      <sharedItems count="36">
        <s v="ACC01"/>
        <s v="ACC02"/>
        <s v="ACC03"/>
        <s v="ACC04"/>
        <s v="ACC05"/>
        <s v="ACC06"/>
        <s v="HEA01"/>
        <s v="HEA02"/>
        <s v="HEA03"/>
        <s v="HEA04"/>
        <s v="HEA05"/>
        <s v="HEA06"/>
        <s v="SMA01"/>
        <s v="SMA02"/>
        <s v="SMA03"/>
        <s v="SMA04"/>
        <s v="SMA05"/>
        <s v="SMA06"/>
        <s v="SOU01"/>
        <s v="SOU02"/>
        <s v="SOU03"/>
        <s v="SOU04"/>
        <s v="SOU05"/>
        <s v="SOU06"/>
        <s v="TAB01"/>
        <s v="TAB02"/>
        <s v="TAB03"/>
        <s v="TAB04"/>
        <s v="TAB05"/>
        <s v="TAB06"/>
        <s v="TV01"/>
        <s v="TV02"/>
        <s v="TV03"/>
        <s v="TV04"/>
        <s v="TV05"/>
        <s v="TV06"/>
      </sharedItems>
    </cacheField>
    <cacheField name="Product" uniqueList="1" numFmtId="0" sqlType="0" hierarchy="0" level="0" databaseField="1">
      <sharedItems count="36">
        <s v="Accessory model 1"/>
        <s v="Accessory model 2"/>
        <s v="Accessory model 3"/>
        <s v="Accessory model 4"/>
        <s v="Accessory model 5"/>
        <s v="Accessory model 6"/>
        <s v="Headphones model 1"/>
        <s v="Headphones model 2"/>
        <s v="Headphones model 3"/>
        <s v="Headphones model 4"/>
        <s v="Headphones model 5"/>
        <s v="Headphones model 6"/>
        <s v="Smartphone model 1"/>
        <s v="Smartphone model 2"/>
        <s v="Smartphone model 3"/>
        <s v="Smartphone model 4"/>
        <s v="Smartphone model 5"/>
        <s v="Smartphone model 6"/>
        <s v="Soundbar model 1"/>
        <s v="Soundbar model 2"/>
        <s v="Soundbar model 3"/>
        <s v="Soundbar model 4"/>
        <s v="Soundbar model 5"/>
        <s v="Soundbar model 6"/>
        <s v="TV model 1"/>
        <s v="TV model 2"/>
        <s v="TV model 3"/>
        <s v="TV model 4"/>
        <s v="TV model 5"/>
        <s v="TV model 6"/>
        <s v="Tablet model 1"/>
        <s v="Tablet model 2"/>
        <s v="Tablet model 3"/>
        <s v="Tablet model 4"/>
        <s v="Tablet model 5"/>
        <s v="Tablet model 6"/>
      </sharedItems>
    </cacheField>
    <cacheField name="Category" uniqueList="1" numFmtId="0" sqlType="0" hierarchy="0" level="0" databaseField="1">
      <sharedItems count="6">
        <s v="Accessory"/>
        <s v="Headphones"/>
        <s v="Smartphone"/>
        <s v="Soundbar"/>
        <s v="TV"/>
        <s v="Tablet"/>
      </sharedItems>
    </cacheField>
    <cacheField name="Units" uniqueList="1" numFmtId="0" sqlType="0" hierarchy="0" level="0" databaseField="1">
      <sharedItems count="0" containsInteger="1" containsNumber="1" containsSemiMixedTypes="0" containsString="0" minValue="0" maxValue="21"/>
    </cacheField>
    <cacheField name="Revenue" uniqueList="1" numFmtId="0" sqlType="0" hierarchy="0" level="0" databaseField="1">
      <sharedItems count="0" containsNumber="1" containsSemiMixedTypes="0" containsString="0" minValue="0" maxValue="26845.96"/>
    </cacheField>
    <cacheField name="Cost" uniqueList="1" numFmtId="0" sqlType="0" hierarchy="0" level="0" databaseField="1">
      <sharedItems count="0" containsInteger="1" containsNumber="1" containsSemiMixedTypes="0" containsString="0" minValue="0" maxValue="22736"/>
    </cacheField>
    <cacheField name="Gross margin" uniqueList="1" numFmtId="0" sqlType="0" hierarchy="0" level="0" databaseField="1">
      <sharedItems count="0" containsNumber="1" containsSemiMixedTypes="0" containsString="0" minValue="0" maxValue="4109.96"/>
    </cacheField>
  </cacheFields>
</pivotCacheDefinition>
</file>

<file path=xl/pivotCache/pivotCacheDefinition2.xml><?xml version="1.0" encoding="utf-8"?>
<pivotCacheDefinition xmlns:r="http://schemas.openxmlformats.org/officeDocument/2006/relationships" xmlns="http://schemas.openxmlformats.org/spreadsheetml/2006/main" refreshOnLoad="1" createdVersion="6" refreshedVersion="6" minRefreshableVersion="3" recordCount="936" r:id="rId1">
  <cacheSource type="worksheet">
    <worksheetSource ref="A1:H937" sheet="Raw"/>
  </cacheSource>
  <cacheFields count="8">
    <cacheField name="Week" uniqueList="1" numFmtId="0" sqlType="0" hierarchy="0" level="0" databaseField="1">
      <sharedItems count="26">
        <s v="2026-03-29"/>
        <s v="2026-04-05"/>
        <s v="2026-04-12"/>
        <s v="2026-04-19"/>
        <s v="2026-04-26"/>
        <s v="2026-05-03"/>
        <s v="2026-05-10"/>
        <s v="2026-05-17"/>
        <s v="2026-05-24"/>
        <s v="2026-05-31"/>
        <s v="2026-06-07"/>
        <s v="2026-06-14"/>
        <s v="2026-06-21"/>
        <s v="2026-06-28"/>
        <s v="2026-07-05"/>
        <s v="2026-07-12"/>
        <s v="2026-07-19"/>
        <s v="2026-07-26"/>
        <s v="2026-08-02"/>
        <s v="2026-08-09"/>
        <s v="2026-08-16"/>
        <s v="2026-08-23"/>
        <s v="2026-08-30"/>
        <s v="2026-09-06"/>
        <s v="2026-09-13"/>
        <s v="2026-09-20"/>
      </sharedItems>
    </cacheField>
    <cacheField name="SKU" uniqueList="1" numFmtId="0" sqlType="0" hierarchy="0" level="0" databaseField="1">
      <sharedItems count="36">
        <s v="ACC01"/>
        <s v="ACC02"/>
        <s v="ACC03"/>
        <s v="ACC04"/>
        <s v="ACC05"/>
        <s v="ACC06"/>
        <s v="HEA01"/>
        <s v="HEA02"/>
        <s v="HEA03"/>
        <s v="HEA04"/>
        <s v="HEA05"/>
        <s v="HEA06"/>
        <s v="SMA01"/>
        <s v="SMA02"/>
        <s v="SMA03"/>
        <s v="SMA04"/>
        <s v="SMA05"/>
        <s v="SMA06"/>
        <s v="SOU01"/>
        <s v="SOU02"/>
        <s v="SOU03"/>
        <s v="SOU04"/>
        <s v="SOU05"/>
        <s v="SOU06"/>
        <s v="TAB01"/>
        <s v="TAB02"/>
        <s v="TAB03"/>
        <s v="TAB04"/>
        <s v="TAB05"/>
        <s v="TAB06"/>
        <s v="TV01"/>
        <s v="TV02"/>
        <s v="TV03"/>
        <s v="TV04"/>
        <s v="TV05"/>
        <s v="TV06"/>
      </sharedItems>
    </cacheField>
    <cacheField name="Product" uniqueList="1" numFmtId="0" sqlType="0" hierarchy="0" level="0" databaseField="1">
      <sharedItems count="36">
        <s v="Accessory model 1"/>
        <s v="Accessory model 2"/>
        <s v="Accessory model 3"/>
        <s v="Accessory model 4"/>
        <s v="Accessory model 5"/>
        <s v="Accessory model 6"/>
        <s v="Headphones model 1"/>
        <s v="Headphones model 2"/>
        <s v="Headphones model 3"/>
        <s v="Headphones model 4"/>
        <s v="Headphones model 5"/>
        <s v="Headphones model 6"/>
        <s v="Smartphone model 1"/>
        <s v="Smartphone model 2"/>
        <s v="Smartphone model 3"/>
        <s v="Smartphone model 4"/>
        <s v="Smartphone model 5"/>
        <s v="Smartphone model 6"/>
        <s v="Soundbar model 1"/>
        <s v="Soundbar model 2"/>
        <s v="Soundbar model 3"/>
        <s v="Soundbar model 4"/>
        <s v="Soundbar model 5"/>
        <s v="Soundbar model 6"/>
        <s v="TV model 1"/>
        <s v="TV model 2"/>
        <s v="TV model 3"/>
        <s v="TV model 4"/>
        <s v="TV model 5"/>
        <s v="TV model 6"/>
        <s v="Tablet model 1"/>
        <s v="Tablet model 2"/>
        <s v="Tablet model 3"/>
        <s v="Tablet model 4"/>
        <s v="Tablet model 5"/>
        <s v="Tablet model 6"/>
      </sharedItems>
    </cacheField>
    <cacheField name="Category" uniqueList="1" numFmtId="0" sqlType="0" hierarchy="0" level="0" databaseField="1">
      <sharedItems count="6">
        <s v="Accessory"/>
        <s v="Headphones"/>
        <s v="Smartphone"/>
        <s v="Soundbar"/>
        <s v="TV"/>
        <s v="Tablet"/>
      </sharedItems>
    </cacheField>
    <cacheField name="Units" uniqueList="1" numFmtId="0" sqlType="0" hierarchy="0" level="0" databaseField="1">
      <sharedItems count="0" containsInteger="1" containsNumber="1" containsSemiMixedTypes="0" containsString="0" minValue="0" maxValue="21"/>
    </cacheField>
    <cacheField name="Revenue" uniqueList="1" numFmtId="0" sqlType="0" hierarchy="0" level="0" databaseField="1">
      <sharedItems count="0" containsNumber="1" containsSemiMixedTypes="0" containsString="0" minValue="0" maxValue="26845.96"/>
    </cacheField>
    <cacheField name="Cost" uniqueList="1" numFmtId="0" sqlType="0" hierarchy="0" level="0" databaseField="1">
      <sharedItems count="0" containsInteger="1" containsNumber="1" containsSemiMixedTypes="0" containsString="0" minValue="0" maxValue="22736"/>
    </cacheField>
    <cacheField name="Gross margin" uniqueList="1" numFmtId="0" sqlType="0" hierarchy="0" level="0" databaseField="1">
      <sharedItems count="0" containsNumber="1" containsSemiMixedTypes="0" containsString="0" minValue="0" maxValue="4109.96"/>
    </cacheField>
  </cacheFields>
</pivotCacheDefinition>
</file>

<file path=xl/pivotCache/pivotCacheRecords1.xml><?xml version="1.0" encoding="utf-8"?>
<pivotCacheRecords xmlns="http://schemas.openxmlformats.org/spreadsheetml/2006/main" count="936">
  <r>
    <x v="0"/>
    <x v="30"/>
    <x v="24"/>
    <x v="4"/>
    <n v="4"/>
    <n v="6478.3"/>
    <n v="5116"/>
    <n v="1362.3"/>
  </r>
  <r>
    <x v="1"/>
    <x v="30"/>
    <x v="24"/>
    <x v="4"/>
    <n v="7"/>
    <n v="11431.17"/>
    <n v="8953"/>
    <n v="2478.17"/>
  </r>
  <r>
    <x v="2"/>
    <x v="30"/>
    <x v="24"/>
    <x v="4"/>
    <n v="6"/>
    <n v="9102.92"/>
    <n v="7674"/>
    <n v="1428.92"/>
  </r>
  <r>
    <x v="3"/>
    <x v="30"/>
    <x v="24"/>
    <x v="4"/>
    <n v="7"/>
    <n v="10701.69"/>
    <n v="8953"/>
    <n v="1748.69"/>
  </r>
  <r>
    <x v="4"/>
    <x v="30"/>
    <x v="24"/>
    <x v="4"/>
    <n v="3"/>
    <n v="4783.97"/>
    <n v="3837"/>
    <n v="946.97"/>
  </r>
  <r>
    <x v="5"/>
    <x v="30"/>
    <x v="24"/>
    <x v="4"/>
    <n v="7"/>
    <n v="10889.7"/>
    <n v="8953"/>
    <n v="1936.7"/>
  </r>
  <r>
    <x v="6"/>
    <x v="30"/>
    <x v="24"/>
    <x v="4"/>
    <n v="6"/>
    <n v="9033.09"/>
    <n v="7674"/>
    <n v="1359.09"/>
  </r>
  <r>
    <x v="7"/>
    <x v="30"/>
    <x v="24"/>
    <x v="4"/>
    <n v="9"/>
    <n v="13747.5"/>
    <n v="11511"/>
    <n v="2236.5"/>
  </r>
  <r>
    <x v="8"/>
    <x v="30"/>
    <x v="24"/>
    <x v="4"/>
    <n v="6"/>
    <n v="8946.66"/>
    <n v="7674"/>
    <n v="1272.66"/>
  </r>
  <r>
    <x v="9"/>
    <x v="30"/>
    <x v="24"/>
    <x v="4"/>
    <n v="8"/>
    <n v="12545.79"/>
    <n v="10232"/>
    <n v="2313.79"/>
  </r>
  <r>
    <x v="10"/>
    <x v="30"/>
    <x v="24"/>
    <x v="4"/>
    <n v="5"/>
    <n v="7804.26"/>
    <n v="6395"/>
    <n v="1409.26"/>
  </r>
  <r>
    <x v="11"/>
    <x v="30"/>
    <x v="24"/>
    <x v="4"/>
    <n v="4"/>
    <n v="5996.11"/>
    <n v="5116"/>
    <n v="880.11"/>
  </r>
  <r>
    <x v="12"/>
    <x v="30"/>
    <x v="24"/>
    <x v="4"/>
    <n v="3"/>
    <n v="4496.64"/>
    <n v="3837"/>
    <n v="659.64"/>
  </r>
  <r>
    <x v="13"/>
    <x v="30"/>
    <x v="24"/>
    <x v="4"/>
    <n v="9"/>
    <n v="13928.11"/>
    <n v="11511"/>
    <n v="2417.11"/>
  </r>
  <r>
    <x v="14"/>
    <x v="30"/>
    <x v="24"/>
    <x v="4"/>
    <n v="2"/>
    <n v="2909.4"/>
    <n v="2558"/>
    <n v="351.4"/>
  </r>
  <r>
    <x v="15"/>
    <x v="30"/>
    <x v="24"/>
    <x v="4"/>
    <n v="3"/>
    <n v="4558.07"/>
    <n v="3837"/>
    <n v="721.0700000000001"/>
  </r>
  <r>
    <x v="16"/>
    <x v="30"/>
    <x v="24"/>
    <x v="4"/>
    <n v="5"/>
    <n v="7324.3"/>
    <n v="6395"/>
    <n v="929.3"/>
  </r>
  <r>
    <x v="17"/>
    <x v="30"/>
    <x v="24"/>
    <x v="4"/>
    <n v="10"/>
    <n v="14837.02"/>
    <n v="12790"/>
    <n v="2047.02"/>
  </r>
  <r>
    <x v="18"/>
    <x v="30"/>
    <x v="24"/>
    <x v="4"/>
    <n v="5"/>
    <n v="7354.1"/>
    <n v="6395"/>
    <n v="959.1"/>
  </r>
  <r>
    <x v="19"/>
    <x v="30"/>
    <x v="24"/>
    <x v="4"/>
    <n v="9"/>
    <n v="12732.74"/>
    <n v="11511"/>
    <n v="1221.74"/>
  </r>
  <r>
    <x v="20"/>
    <x v="30"/>
    <x v="24"/>
    <x v="4"/>
    <n v="5"/>
    <n v="7330.4"/>
    <n v="6395"/>
    <n v="935.4"/>
  </r>
  <r>
    <x v="21"/>
    <x v="30"/>
    <x v="24"/>
    <x v="4"/>
    <n v="7"/>
    <n v="10083.11"/>
    <n v="8953"/>
    <n v="1130.11"/>
  </r>
  <r>
    <x v="22"/>
    <x v="30"/>
    <x v="24"/>
    <x v="4"/>
    <n v="9"/>
    <n v="12548.14"/>
    <n v="11511"/>
    <n v="1037.14"/>
  </r>
  <r>
    <x v="23"/>
    <x v="30"/>
    <x v="24"/>
    <x v="4"/>
    <n v="1"/>
    <n v="1410.88"/>
    <n v="1279"/>
    <n v="131.88"/>
  </r>
  <r>
    <x v="24"/>
    <x v="30"/>
    <x v="24"/>
    <x v="4"/>
    <n v="2"/>
    <n v="2880.28"/>
    <n v="2558"/>
    <n v="322.28"/>
  </r>
  <r>
    <x v="25"/>
    <x v="30"/>
    <x v="24"/>
    <x v="4"/>
    <n v="2"/>
    <n v="2809.71"/>
    <n v="2558"/>
    <n v="251.71"/>
  </r>
  <r>
    <x v="0"/>
    <x v="31"/>
    <x v="25"/>
    <x v="4"/>
    <n v="6"/>
    <n v="9138.09"/>
    <n v="7200"/>
    <n v="1938.09"/>
  </r>
  <r>
    <x v="1"/>
    <x v="31"/>
    <x v="25"/>
    <x v="4"/>
    <n v="3"/>
    <n v="4477.58"/>
    <n v="3600"/>
    <n v="877.58"/>
  </r>
  <r>
    <x v="2"/>
    <x v="31"/>
    <x v="25"/>
    <x v="4"/>
    <n v="9"/>
    <n v="13362.18"/>
    <n v="10800"/>
    <n v="2562.18"/>
  </r>
  <r>
    <x v="3"/>
    <x v="31"/>
    <x v="25"/>
    <x v="4"/>
    <n v="9"/>
    <n v="12750.27"/>
    <n v="10800"/>
    <n v="1950.27"/>
  </r>
  <r>
    <x v="4"/>
    <x v="31"/>
    <x v="25"/>
    <x v="4"/>
    <n v="8"/>
    <n v="11587.75"/>
    <n v="9600"/>
    <n v="1987.75"/>
  </r>
  <r>
    <x v="5"/>
    <x v="31"/>
    <x v="25"/>
    <x v="4"/>
    <n v="6"/>
    <n v="8571.139999999999"/>
    <n v="7200"/>
    <n v="1371.14"/>
  </r>
  <r>
    <x v="6"/>
    <x v="31"/>
    <x v="25"/>
    <x v="4"/>
    <n v="6"/>
    <n v="8861.48"/>
    <n v="7200"/>
    <n v="1661.48"/>
  </r>
  <r>
    <x v="7"/>
    <x v="31"/>
    <x v="25"/>
    <x v="4"/>
    <n v="3"/>
    <n v="4457.56"/>
    <n v="3600"/>
    <n v="857.5599999999999"/>
  </r>
  <r>
    <x v="8"/>
    <x v="31"/>
    <x v="25"/>
    <x v="4"/>
    <n v="7"/>
    <n v="10215.48"/>
    <n v="8400"/>
    <n v="1815.48"/>
  </r>
  <r>
    <x v="9"/>
    <x v="31"/>
    <x v="25"/>
    <x v="4"/>
    <n v="6"/>
    <n v="8600.26"/>
    <n v="7200"/>
    <n v="1400.26"/>
  </r>
  <r>
    <x v="10"/>
    <x v="31"/>
    <x v="25"/>
    <x v="4"/>
    <n v="7"/>
    <n v="10195.23"/>
    <n v="8400"/>
    <n v="1795.23"/>
  </r>
  <r>
    <x v="11"/>
    <x v="31"/>
    <x v="25"/>
    <x v="4"/>
    <n v="13"/>
    <n v="18346.73"/>
    <n v="15600"/>
    <n v="2746.73"/>
  </r>
  <r>
    <x v="12"/>
    <x v="31"/>
    <x v="25"/>
    <x v="4"/>
    <n v="6"/>
    <n v="8685.08"/>
    <n v="7200"/>
    <n v="1485.08"/>
  </r>
  <r>
    <x v="13"/>
    <x v="31"/>
    <x v="25"/>
    <x v="4"/>
    <n v="9"/>
    <n v="12293.9"/>
    <n v="10800"/>
    <n v="1493.9"/>
  </r>
  <r>
    <x v="14"/>
    <x v="31"/>
    <x v="25"/>
    <x v="4"/>
    <n v="6"/>
    <n v="8663.209999999999"/>
    <n v="7200"/>
    <n v="1463.21"/>
  </r>
  <r>
    <x v="15"/>
    <x v="31"/>
    <x v="25"/>
    <x v="4"/>
    <n v="4"/>
    <n v="5507.76"/>
    <n v="4800"/>
    <n v="707.76"/>
  </r>
  <r>
    <x v="16"/>
    <x v="31"/>
    <x v="25"/>
    <x v="4"/>
    <n v="7"/>
    <n v="9654.23"/>
    <n v="8400"/>
    <n v="1254.23"/>
  </r>
  <r>
    <x v="17"/>
    <x v="31"/>
    <x v="25"/>
    <x v="4"/>
    <n v="2"/>
    <n v="2768.49"/>
    <n v="2400"/>
    <n v="368.49"/>
  </r>
  <r>
    <x v="18"/>
    <x v="31"/>
    <x v="25"/>
    <x v="4"/>
    <n v="4"/>
    <n v="5579.8"/>
    <n v="4800"/>
    <n v="779.8"/>
  </r>
  <r>
    <x v="19"/>
    <x v="31"/>
    <x v="25"/>
    <x v="4"/>
    <n v="8"/>
    <n v="10720.97"/>
    <n v="9600"/>
    <n v="1120.97"/>
  </r>
  <r>
    <x v="20"/>
    <x v="31"/>
    <x v="25"/>
    <x v="4"/>
    <n v="6"/>
    <n v="8200.41"/>
    <n v="7200"/>
    <n v="1000.41"/>
  </r>
  <r>
    <x v="21"/>
    <x v="31"/>
    <x v="25"/>
    <x v="4"/>
    <n v="5"/>
    <n v="6670.8"/>
    <n v="6000"/>
    <n v="670.8"/>
  </r>
  <r>
    <x v="22"/>
    <x v="31"/>
    <x v="25"/>
    <x v="4"/>
    <n v="11"/>
    <n v="14535.27"/>
    <n v="13200"/>
    <n v="1335.27"/>
  </r>
  <r>
    <x v="23"/>
    <x v="31"/>
    <x v="25"/>
    <x v="4"/>
    <n v="6"/>
    <n v="8362.76"/>
    <n v="7200"/>
    <n v="1162.76"/>
  </r>
  <r>
    <x v="24"/>
    <x v="31"/>
    <x v="25"/>
    <x v="4"/>
    <n v="11"/>
    <n v="14947.4"/>
    <n v="13200"/>
    <n v="1747.4"/>
  </r>
  <r>
    <x v="25"/>
    <x v="31"/>
    <x v="25"/>
    <x v="4"/>
    <n v="5"/>
    <n v="6904.14"/>
    <n v="6000"/>
    <n v="904.14"/>
  </r>
  <r>
    <x v="0"/>
    <x v="32"/>
    <x v="26"/>
    <x v="4"/>
    <n v="6"/>
    <n v="8006.39"/>
    <n v="6492"/>
    <n v="1514.39"/>
  </r>
  <r>
    <x v="1"/>
    <x v="32"/>
    <x v="26"/>
    <x v="4"/>
    <n v="5"/>
    <n v="6868.49"/>
    <n v="5410"/>
    <n v="1458.49"/>
  </r>
  <r>
    <x v="2"/>
    <x v="32"/>
    <x v="26"/>
    <x v="4"/>
    <n v="11"/>
    <n v="14746.73"/>
    <n v="11902"/>
    <n v="2844.73"/>
  </r>
  <r>
    <x v="3"/>
    <x v="32"/>
    <x v="26"/>
    <x v="4"/>
    <n v="10"/>
    <n v="13278.59"/>
    <n v="10820"/>
    <n v="2458.59"/>
  </r>
  <r>
    <x v="4"/>
    <x v="32"/>
    <x v="26"/>
    <x v="4"/>
    <n v="7"/>
    <n v="9373.120000000001"/>
    <n v="7574"/>
    <n v="1799.12"/>
  </r>
  <r>
    <x v="5"/>
    <x v="32"/>
    <x v="26"/>
    <x v="4"/>
    <n v="6"/>
    <n v="7943.19"/>
    <n v="6492"/>
    <n v="1451.19"/>
  </r>
  <r>
    <x v="6"/>
    <x v="32"/>
    <x v="26"/>
    <x v="4"/>
    <n v="9"/>
    <n v="12259.91"/>
    <n v="9738"/>
    <n v="2521.91"/>
  </r>
  <r>
    <x v="7"/>
    <x v="32"/>
    <x v="26"/>
    <x v="4"/>
    <n v="8"/>
    <n v="10502"/>
    <n v="8656"/>
    <n v="1846"/>
  </r>
  <r>
    <x v="8"/>
    <x v="32"/>
    <x v="26"/>
    <x v="4"/>
    <n v="5"/>
    <n v="6726.28"/>
    <n v="5410"/>
    <n v="1316.28"/>
  </r>
  <r>
    <x v="9"/>
    <x v="32"/>
    <x v="26"/>
    <x v="4"/>
    <n v="6"/>
    <n v="8004.28"/>
    <n v="6492"/>
    <n v="1512.28"/>
  </r>
  <r>
    <x v="10"/>
    <x v="32"/>
    <x v="26"/>
    <x v="4"/>
    <n v="7"/>
    <n v="9069.07"/>
    <n v="7574"/>
    <n v="1495.07"/>
  </r>
  <r>
    <x v="11"/>
    <x v="32"/>
    <x v="26"/>
    <x v="4"/>
    <n v="5"/>
    <n v="6499.15"/>
    <n v="5410"/>
    <n v="1089.15"/>
  </r>
  <r>
    <x v="12"/>
    <x v="32"/>
    <x v="26"/>
    <x v="4"/>
    <n v="10"/>
    <n v="12807.07"/>
    <n v="10820"/>
    <n v="1987.07"/>
  </r>
  <r>
    <x v="13"/>
    <x v="32"/>
    <x v="26"/>
    <x v="4"/>
    <n v="4"/>
    <n v="5168.95"/>
    <n v="4328"/>
    <n v="840.95"/>
  </r>
  <r>
    <x v="14"/>
    <x v="32"/>
    <x v="26"/>
    <x v="4"/>
    <n v="3"/>
    <n v="3925.27"/>
    <n v="3246"/>
    <n v="679.27"/>
  </r>
  <r>
    <x v="15"/>
    <x v="32"/>
    <x v="26"/>
    <x v="4"/>
    <n v="2"/>
    <n v="2573.97"/>
    <n v="2164"/>
    <n v="409.97"/>
  </r>
  <r>
    <x v="16"/>
    <x v="32"/>
    <x v="26"/>
    <x v="4"/>
    <n v="7"/>
    <n v="9409.030000000001"/>
    <n v="7574"/>
    <n v="1835.03"/>
  </r>
  <r>
    <x v="17"/>
    <x v="32"/>
    <x v="26"/>
    <x v="4"/>
    <n v="7"/>
    <n v="8878.35"/>
    <n v="7574"/>
    <n v="1304.35"/>
  </r>
  <r>
    <x v="18"/>
    <x v="32"/>
    <x v="26"/>
    <x v="4"/>
    <n v="8"/>
    <n v="10764.68"/>
    <n v="8656"/>
    <n v="2108.68"/>
  </r>
  <r>
    <x v="19"/>
    <x v="32"/>
    <x v="26"/>
    <x v="4"/>
    <n v="3"/>
    <n v="3965.9"/>
    <n v="3246"/>
    <n v="719.9"/>
  </r>
  <r>
    <x v="20"/>
    <x v="32"/>
    <x v="26"/>
    <x v="4"/>
    <n v="6"/>
    <n v="7614.39"/>
    <n v="6492"/>
    <n v="1122.39"/>
  </r>
  <r>
    <x v="21"/>
    <x v="32"/>
    <x v="26"/>
    <x v="4"/>
    <n v="8"/>
    <n v="10590.38"/>
    <n v="8656"/>
    <n v="1934.38"/>
  </r>
  <r>
    <x v="22"/>
    <x v="32"/>
    <x v="26"/>
    <x v="4"/>
    <n v="5"/>
    <n v="6680.24"/>
    <n v="5410"/>
    <n v="1270.24"/>
  </r>
  <r>
    <x v="23"/>
    <x v="32"/>
    <x v="26"/>
    <x v="4"/>
    <n v="4"/>
    <n v="5177.16"/>
    <n v="4328"/>
    <n v="849.16"/>
  </r>
  <r>
    <x v="24"/>
    <x v="32"/>
    <x v="26"/>
    <x v="4"/>
    <n v="3"/>
    <n v="3808.92"/>
    <n v="3246"/>
    <n v="562.92"/>
  </r>
  <r>
    <x v="25"/>
    <x v="32"/>
    <x v="26"/>
    <x v="4"/>
    <n v="10"/>
    <n v="13097.96"/>
    <n v="10820"/>
    <n v="2277.96"/>
  </r>
  <r>
    <x v="0"/>
    <x v="33"/>
    <x v="27"/>
    <x v="4"/>
    <n v="9"/>
    <n v="11468.66"/>
    <n v="9567"/>
    <n v="1901.66"/>
  </r>
  <r>
    <x v="1"/>
    <x v="33"/>
    <x v="27"/>
    <x v="4"/>
    <n v="3"/>
    <n v="3928.21"/>
    <n v="3189"/>
    <n v="739.21"/>
  </r>
  <r>
    <x v="2"/>
    <x v="33"/>
    <x v="27"/>
    <x v="4"/>
    <n v="6"/>
    <n v="7650.14"/>
    <n v="6378"/>
    <n v="1272.14"/>
  </r>
  <r>
    <x v="3"/>
    <x v="33"/>
    <x v="27"/>
    <x v="4"/>
    <n v="7"/>
    <n v="9175.450000000001"/>
    <n v="7441"/>
    <n v="1734.45"/>
  </r>
  <r>
    <x v="4"/>
    <x v="33"/>
    <x v="27"/>
    <x v="4"/>
    <n v="6"/>
    <n v="8106.95"/>
    <n v="6378"/>
    <n v="1728.95"/>
  </r>
  <r>
    <x v="5"/>
    <x v="33"/>
    <x v="27"/>
    <x v="4"/>
    <n v="3"/>
    <n v="3795.6"/>
    <n v="3189"/>
    <n v="606.6"/>
  </r>
  <r>
    <x v="6"/>
    <x v="33"/>
    <x v="27"/>
    <x v="4"/>
    <n v="10"/>
    <n v="13106.19"/>
    <n v="10630"/>
    <n v="2476.19"/>
  </r>
  <r>
    <x v="7"/>
    <x v="33"/>
    <x v="27"/>
    <x v="4"/>
    <n v="7"/>
    <n v="8953.91"/>
    <n v="7441"/>
    <n v="1512.91"/>
  </r>
  <r>
    <x v="8"/>
    <x v="33"/>
    <x v="27"/>
    <x v="4"/>
    <n v="7"/>
    <n v="8926.799999999999"/>
    <n v="7441"/>
    <n v="1485.8"/>
  </r>
  <r>
    <x v="9"/>
    <x v="33"/>
    <x v="27"/>
    <x v="4"/>
    <n v="5"/>
    <n v="6470.09"/>
    <n v="5315"/>
    <n v="1155.09"/>
  </r>
  <r>
    <x v="10"/>
    <x v="33"/>
    <x v="27"/>
    <x v="4"/>
    <n v="6"/>
    <n v="7567.23"/>
    <n v="6378"/>
    <n v="1189.23"/>
  </r>
  <r>
    <x v="11"/>
    <x v="33"/>
    <x v="27"/>
    <x v="4"/>
    <n v="7"/>
    <n v="9294.33"/>
    <n v="7441"/>
    <n v="1853.33"/>
  </r>
  <r>
    <x v="12"/>
    <x v="33"/>
    <x v="27"/>
    <x v="4"/>
    <n v="5"/>
    <n v="6353.96"/>
    <n v="5315"/>
    <n v="1038.96"/>
  </r>
  <r>
    <x v="13"/>
    <x v="33"/>
    <x v="27"/>
    <x v="4"/>
    <n v="2"/>
    <n v="2571.41"/>
    <n v="2126"/>
    <n v="445.41"/>
  </r>
  <r>
    <x v="14"/>
    <x v="33"/>
    <x v="27"/>
    <x v="4"/>
    <n v="4"/>
    <n v="5243.39"/>
    <n v="4252"/>
    <n v="991.39"/>
  </r>
  <r>
    <x v="15"/>
    <x v="33"/>
    <x v="27"/>
    <x v="4"/>
    <n v="8"/>
    <n v="10011.61"/>
    <n v="8504"/>
    <n v="1507.61"/>
  </r>
  <r>
    <x v="16"/>
    <x v="33"/>
    <x v="27"/>
    <x v="4"/>
    <n v="6"/>
    <n v="7962.44"/>
    <n v="6378"/>
    <n v="1584.44"/>
  </r>
  <r>
    <x v="17"/>
    <x v="33"/>
    <x v="27"/>
    <x v="4"/>
    <n v="4"/>
    <n v="5061.82"/>
    <n v="4252"/>
    <n v="809.8200000000001"/>
  </r>
  <r>
    <x v="18"/>
    <x v="33"/>
    <x v="27"/>
    <x v="4"/>
    <n v="4"/>
    <n v="5142.01"/>
    <n v="4252"/>
    <n v="890.01"/>
  </r>
  <r>
    <x v="19"/>
    <x v="33"/>
    <x v="27"/>
    <x v="4"/>
    <n v="11"/>
    <n v="14000.86"/>
    <n v="11693"/>
    <n v="2307.86"/>
  </r>
  <r>
    <x v="20"/>
    <x v="33"/>
    <x v="27"/>
    <x v="4"/>
    <n v="10"/>
    <n v="12418.76"/>
    <n v="10630"/>
    <n v="1788.76"/>
  </r>
  <r>
    <x v="21"/>
    <x v="33"/>
    <x v="27"/>
    <x v="4"/>
    <n v="6"/>
    <n v="7516.26"/>
    <n v="6378"/>
    <n v="1138.26"/>
  </r>
  <r>
    <x v="22"/>
    <x v="33"/>
    <x v="27"/>
    <x v="4"/>
    <n v="6"/>
    <n v="7736.57"/>
    <n v="6378"/>
    <n v="1358.57"/>
  </r>
  <r>
    <x v="23"/>
    <x v="33"/>
    <x v="27"/>
    <x v="4"/>
    <n v="4"/>
    <n v="5105.82"/>
    <n v="4252"/>
    <n v="853.8200000000001"/>
  </r>
  <r>
    <x v="24"/>
    <x v="33"/>
    <x v="27"/>
    <x v="4"/>
    <n v="6"/>
    <n v="7862.92"/>
    <n v="6378"/>
    <n v="1484.92"/>
  </r>
  <r>
    <x v="25"/>
    <x v="33"/>
    <x v="27"/>
    <x v="4"/>
    <n v="5"/>
    <n v="6551.83"/>
    <n v="5315"/>
    <n v="1236.83"/>
  </r>
  <r>
    <x v="0"/>
    <x v="34"/>
    <x v="28"/>
    <x v="4"/>
    <n v="4"/>
    <n v="3576.24"/>
    <n v="2992"/>
    <n v="584.24"/>
  </r>
  <r>
    <x v="1"/>
    <x v="34"/>
    <x v="28"/>
    <x v="4"/>
    <n v="4"/>
    <n v="3560.76"/>
    <n v="2992"/>
    <n v="568.76"/>
  </r>
  <r>
    <x v="2"/>
    <x v="34"/>
    <x v="28"/>
    <x v="4"/>
    <n v="4"/>
    <n v="3603.5"/>
    <n v="2992"/>
    <n v="611.5"/>
  </r>
  <r>
    <x v="3"/>
    <x v="34"/>
    <x v="28"/>
    <x v="4"/>
    <n v="5"/>
    <n v="4477.64"/>
    <n v="3740"/>
    <n v="737.64"/>
  </r>
  <r>
    <x v="4"/>
    <x v="34"/>
    <x v="28"/>
    <x v="4"/>
    <n v="3"/>
    <n v="2663.14"/>
    <n v="2244"/>
    <n v="419.14"/>
  </r>
  <r>
    <x v="5"/>
    <x v="34"/>
    <x v="28"/>
    <x v="4"/>
    <n v="7"/>
    <n v="6163.24"/>
    <n v="5236"/>
    <n v="927.24"/>
  </r>
  <r>
    <x v="6"/>
    <x v="34"/>
    <x v="28"/>
    <x v="4"/>
    <n v="6"/>
    <n v="5571.85"/>
    <n v="4488"/>
    <n v="1083.85"/>
  </r>
  <r>
    <x v="7"/>
    <x v="34"/>
    <x v="28"/>
    <x v="4"/>
    <n v="5"/>
    <n v="4391.39"/>
    <n v="3740"/>
    <n v="651.39"/>
  </r>
  <r>
    <x v="8"/>
    <x v="34"/>
    <x v="28"/>
    <x v="4"/>
    <n v="6"/>
    <n v="5375.88"/>
    <n v="4488"/>
    <n v="887.88"/>
  </r>
  <r>
    <x v="9"/>
    <x v="34"/>
    <x v="28"/>
    <x v="4"/>
    <n v="2"/>
    <n v="1811.38"/>
    <n v="1496"/>
    <n v="315.38"/>
  </r>
  <r>
    <x v="10"/>
    <x v="34"/>
    <x v="28"/>
    <x v="4"/>
    <n v="7"/>
    <n v="6012.88"/>
    <n v="5236"/>
    <n v="776.88"/>
  </r>
  <r>
    <x v="11"/>
    <x v="34"/>
    <x v="28"/>
    <x v="4"/>
    <n v="8"/>
    <n v="6897.56"/>
    <n v="5984"/>
    <n v="913.5599999999999"/>
  </r>
  <r>
    <x v="12"/>
    <x v="34"/>
    <x v="28"/>
    <x v="4"/>
    <n v="7"/>
    <n v="6254.66"/>
    <n v="5236"/>
    <n v="1018.66"/>
  </r>
  <r>
    <x v="13"/>
    <x v="34"/>
    <x v="28"/>
    <x v="4"/>
    <n v="4"/>
    <n v="3490.43"/>
    <n v="2992"/>
    <n v="498.43"/>
  </r>
  <r>
    <x v="14"/>
    <x v="34"/>
    <x v="28"/>
    <x v="4"/>
    <n v="3"/>
    <n v="2627.93"/>
    <n v="2244"/>
    <n v="383.93"/>
  </r>
  <r>
    <x v="15"/>
    <x v="34"/>
    <x v="28"/>
    <x v="4"/>
    <n v="7"/>
    <n v="6072.88"/>
    <n v="5236"/>
    <n v="836.88"/>
  </r>
  <r>
    <x v="16"/>
    <x v="34"/>
    <x v="28"/>
    <x v="4"/>
    <n v="8"/>
    <n v="7082.71"/>
    <n v="5984"/>
    <n v="1098.71"/>
  </r>
  <r>
    <x v="17"/>
    <x v="34"/>
    <x v="28"/>
    <x v="4"/>
    <n v="4"/>
    <n v="3480.15"/>
    <n v="2992"/>
    <n v="488.15"/>
  </r>
  <r>
    <x v="18"/>
    <x v="34"/>
    <x v="28"/>
    <x v="4"/>
    <n v="8"/>
    <n v="7052.97"/>
    <n v="5984"/>
    <n v="1068.97"/>
  </r>
  <r>
    <x v="19"/>
    <x v="34"/>
    <x v="28"/>
    <x v="4"/>
    <n v="6"/>
    <n v="4991.25"/>
    <n v="4488"/>
    <n v="503.25"/>
  </r>
  <r>
    <x v="20"/>
    <x v="34"/>
    <x v="28"/>
    <x v="4"/>
    <n v="3"/>
    <n v="2509.91"/>
    <n v="2244"/>
    <n v="265.91"/>
  </r>
  <r>
    <x v="21"/>
    <x v="34"/>
    <x v="28"/>
    <x v="4"/>
    <n v="4"/>
    <n v="3317.73"/>
    <n v="2992"/>
    <n v="325.73"/>
  </r>
  <r>
    <x v="22"/>
    <x v="34"/>
    <x v="28"/>
    <x v="4"/>
    <n v="6"/>
    <n v="4992.97"/>
    <n v="4488"/>
    <n v="504.97"/>
  </r>
  <r>
    <x v="23"/>
    <x v="34"/>
    <x v="28"/>
    <x v="4"/>
    <n v="6"/>
    <n v="5220.21"/>
    <n v="4488"/>
    <n v="732.21"/>
  </r>
  <r>
    <x v="24"/>
    <x v="34"/>
    <x v="28"/>
    <x v="4"/>
    <n v="3"/>
    <n v="2447.65"/>
    <n v="2244"/>
    <n v="203.65"/>
  </r>
  <r>
    <x v="25"/>
    <x v="34"/>
    <x v="28"/>
    <x v="4"/>
    <n v="3"/>
    <n v="2465.26"/>
    <n v="2244"/>
    <n v="221.26"/>
  </r>
  <r>
    <x v="0"/>
    <x v="35"/>
    <x v="29"/>
    <x v="4"/>
    <n v="1"/>
    <n v="1797.83"/>
    <n v="1449"/>
    <n v="348.83"/>
  </r>
  <r>
    <x v="1"/>
    <x v="35"/>
    <x v="29"/>
    <x v="4"/>
    <n v="3"/>
    <n v="5359.86"/>
    <n v="4347"/>
    <n v="1012.86"/>
  </r>
  <r>
    <x v="2"/>
    <x v="35"/>
    <x v="29"/>
    <x v="4"/>
    <n v="1"/>
    <n v="1812.41"/>
    <n v="1449"/>
    <n v="363.41"/>
  </r>
  <r>
    <x v="3"/>
    <x v="35"/>
    <x v="29"/>
    <x v="4"/>
    <n v="4"/>
    <n v="7039.76"/>
    <n v="5796"/>
    <n v="1243.76"/>
  </r>
  <r>
    <x v="4"/>
    <x v="35"/>
    <x v="29"/>
    <x v="4"/>
    <n v="2"/>
    <n v="3583.4"/>
    <n v="2898"/>
    <n v="685.4"/>
  </r>
  <r>
    <x v="5"/>
    <x v="35"/>
    <x v="29"/>
    <x v="4"/>
    <n v="3"/>
    <n v="5187.29"/>
    <n v="4347"/>
    <n v="840.29"/>
  </r>
  <r>
    <x v="6"/>
    <x v="35"/>
    <x v="29"/>
    <x v="4"/>
    <n v="3"/>
    <n v="5413.85"/>
    <n v="4347"/>
    <n v="1066.85"/>
  </r>
  <r>
    <x v="7"/>
    <x v="35"/>
    <x v="29"/>
    <x v="4"/>
    <n v="1"/>
    <n v="1804.69"/>
    <n v="1449"/>
    <n v="355.69"/>
  </r>
  <r>
    <x v="8"/>
    <x v="35"/>
    <x v="29"/>
    <x v="4"/>
    <n v="1"/>
    <n v="1734.65"/>
    <n v="1449"/>
    <n v="285.65"/>
  </r>
  <r>
    <x v="9"/>
    <x v="35"/>
    <x v="29"/>
    <x v="4"/>
    <n v="0"/>
    <n v="0"/>
    <n v="0"/>
    <n v="0"/>
  </r>
  <r>
    <x v="10"/>
    <x v="35"/>
    <x v="29"/>
    <x v="4"/>
    <n v="1"/>
    <n v="1696.31"/>
    <n v="1449"/>
    <n v="247.31"/>
  </r>
  <r>
    <x v="11"/>
    <x v="35"/>
    <x v="29"/>
    <x v="4"/>
    <n v="4"/>
    <n v="6608.4"/>
    <n v="5796"/>
    <n v="812.4"/>
  </r>
  <r>
    <x v="12"/>
    <x v="35"/>
    <x v="29"/>
    <x v="4"/>
    <n v="2"/>
    <n v="3504.24"/>
    <n v="2898"/>
    <n v="606.24"/>
  </r>
  <r>
    <x v="13"/>
    <x v="35"/>
    <x v="29"/>
    <x v="4"/>
    <n v="3"/>
    <n v="5243.52"/>
    <n v="4347"/>
    <n v="896.52"/>
  </r>
  <r>
    <x v="14"/>
    <x v="35"/>
    <x v="29"/>
    <x v="4"/>
    <n v="0"/>
    <n v="0"/>
    <n v="0"/>
    <n v="0"/>
  </r>
  <r>
    <x v="15"/>
    <x v="35"/>
    <x v="29"/>
    <x v="4"/>
    <n v="2"/>
    <n v="3372.96"/>
    <n v="2898"/>
    <n v="474.96"/>
  </r>
  <r>
    <x v="16"/>
    <x v="35"/>
    <x v="29"/>
    <x v="4"/>
    <n v="3"/>
    <n v="4872"/>
    <n v="4347"/>
    <n v="525"/>
  </r>
  <r>
    <x v="17"/>
    <x v="35"/>
    <x v="29"/>
    <x v="4"/>
    <n v="4"/>
    <n v="6863.03"/>
    <n v="5796"/>
    <n v="1067.03"/>
  </r>
  <r>
    <x v="18"/>
    <x v="35"/>
    <x v="29"/>
    <x v="4"/>
    <n v="4"/>
    <n v="6757.33"/>
    <n v="5796"/>
    <n v="961.33"/>
  </r>
  <r>
    <x v="19"/>
    <x v="35"/>
    <x v="29"/>
    <x v="4"/>
    <n v="1"/>
    <n v="1635.11"/>
    <n v="1449"/>
    <n v="186.11"/>
  </r>
  <r>
    <x v="20"/>
    <x v="35"/>
    <x v="29"/>
    <x v="4"/>
    <n v="3"/>
    <n v="4836.96"/>
    <n v="4347"/>
    <n v="489.96"/>
  </r>
  <r>
    <x v="21"/>
    <x v="35"/>
    <x v="29"/>
    <x v="4"/>
    <n v="3"/>
    <n v="5018.42"/>
    <n v="4347"/>
    <n v="671.42"/>
  </r>
  <r>
    <x v="22"/>
    <x v="35"/>
    <x v="29"/>
    <x v="4"/>
    <n v="2"/>
    <n v="3260.36"/>
    <n v="2898"/>
    <n v="362.36"/>
  </r>
  <r>
    <x v="23"/>
    <x v="35"/>
    <x v="29"/>
    <x v="4"/>
    <n v="2"/>
    <n v="3240.81"/>
    <n v="2898"/>
    <n v="342.81"/>
  </r>
  <r>
    <x v="24"/>
    <x v="35"/>
    <x v="29"/>
    <x v="4"/>
    <n v="4"/>
    <n v="6438.04"/>
    <n v="5796"/>
    <n v="642.04"/>
  </r>
  <r>
    <x v="25"/>
    <x v="35"/>
    <x v="29"/>
    <x v="4"/>
    <n v="5"/>
    <n v="8336.91"/>
    <n v="7245"/>
    <n v="1091.91"/>
  </r>
  <r>
    <x v="0"/>
    <x v="18"/>
    <x v="18"/>
    <x v="3"/>
    <n v="4"/>
    <n v="1601.72"/>
    <n v="1140"/>
    <n v="461.72"/>
  </r>
  <r>
    <x v="1"/>
    <x v="18"/>
    <x v="18"/>
    <x v="3"/>
    <n v="4"/>
    <n v="1610.61"/>
    <n v="1140"/>
    <n v="470.61"/>
  </r>
  <r>
    <x v="2"/>
    <x v="18"/>
    <x v="18"/>
    <x v="3"/>
    <n v="3"/>
    <n v="1165.48"/>
    <n v="855"/>
    <n v="310.48"/>
  </r>
  <r>
    <x v="3"/>
    <x v="18"/>
    <x v="18"/>
    <x v="3"/>
    <n v="7"/>
    <n v="2735.76"/>
    <n v="1995"/>
    <n v="740.76"/>
  </r>
  <r>
    <x v="4"/>
    <x v="18"/>
    <x v="18"/>
    <x v="3"/>
    <n v="6"/>
    <n v="2289.81"/>
    <n v="1710"/>
    <n v="579.8099999999999"/>
  </r>
  <r>
    <x v="5"/>
    <x v="18"/>
    <x v="18"/>
    <x v="3"/>
    <n v="5"/>
    <n v="1912.27"/>
    <n v="1425"/>
    <n v="487.27"/>
  </r>
  <r>
    <x v="6"/>
    <x v="18"/>
    <x v="18"/>
    <x v="3"/>
    <n v="0"/>
    <n v="0"/>
    <n v="0"/>
    <n v="0"/>
  </r>
  <r>
    <x v="7"/>
    <x v="18"/>
    <x v="18"/>
    <x v="3"/>
    <n v="9"/>
    <n v="3391.88"/>
    <n v="2565"/>
    <n v="826.88"/>
  </r>
  <r>
    <x v="8"/>
    <x v="18"/>
    <x v="18"/>
    <x v="3"/>
    <n v="5"/>
    <n v="2000.84"/>
    <n v="1425"/>
    <n v="575.84"/>
  </r>
  <r>
    <x v="9"/>
    <x v="18"/>
    <x v="18"/>
    <x v="3"/>
    <n v="5"/>
    <n v="1993.28"/>
    <n v="1425"/>
    <n v="568.28"/>
  </r>
  <r>
    <x v="10"/>
    <x v="18"/>
    <x v="18"/>
    <x v="3"/>
    <n v="1"/>
    <n v="397.33"/>
    <n v="285"/>
    <n v="112.33"/>
  </r>
  <r>
    <x v="11"/>
    <x v="18"/>
    <x v="18"/>
    <x v="3"/>
    <n v="3"/>
    <n v="1123.17"/>
    <n v="855"/>
    <n v="268.17"/>
  </r>
  <r>
    <x v="12"/>
    <x v="18"/>
    <x v="18"/>
    <x v="3"/>
    <n v="2"/>
    <n v="783.65"/>
    <n v="570"/>
    <n v="213.65"/>
  </r>
  <r>
    <x v="13"/>
    <x v="18"/>
    <x v="18"/>
    <x v="3"/>
    <n v="3"/>
    <n v="1187.17"/>
    <n v="855"/>
    <n v="332.17"/>
  </r>
  <r>
    <x v="14"/>
    <x v="18"/>
    <x v="18"/>
    <x v="3"/>
    <n v="2"/>
    <n v="792.5599999999999"/>
    <n v="570"/>
    <n v="222.56"/>
  </r>
  <r>
    <x v="15"/>
    <x v="18"/>
    <x v="18"/>
    <x v="3"/>
    <n v="6"/>
    <n v="2229.87"/>
    <n v="1710"/>
    <n v="519.87"/>
  </r>
  <r>
    <x v="16"/>
    <x v="18"/>
    <x v="18"/>
    <x v="3"/>
    <n v="2"/>
    <n v="781"/>
    <n v="570"/>
    <n v="211"/>
  </r>
  <r>
    <x v="17"/>
    <x v="18"/>
    <x v="18"/>
    <x v="3"/>
    <n v="6"/>
    <n v="2329.46"/>
    <n v="1710"/>
    <n v="619.46"/>
  </r>
  <r>
    <x v="18"/>
    <x v="18"/>
    <x v="18"/>
    <x v="3"/>
    <n v="4"/>
    <n v="1498.21"/>
    <n v="1140"/>
    <n v="358.21"/>
  </r>
  <r>
    <x v="19"/>
    <x v="18"/>
    <x v="18"/>
    <x v="3"/>
    <n v="3"/>
    <n v="1172.16"/>
    <n v="855"/>
    <n v="317.16"/>
  </r>
  <r>
    <x v="20"/>
    <x v="18"/>
    <x v="18"/>
    <x v="3"/>
    <n v="6"/>
    <n v="2359.24"/>
    <n v="1710"/>
    <n v="649.24"/>
  </r>
  <r>
    <x v="21"/>
    <x v="18"/>
    <x v="18"/>
    <x v="3"/>
    <n v="6"/>
    <n v="2313.96"/>
    <n v="1710"/>
    <n v="603.96"/>
  </r>
  <r>
    <x v="22"/>
    <x v="18"/>
    <x v="18"/>
    <x v="3"/>
    <n v="4"/>
    <n v="1549.38"/>
    <n v="1140"/>
    <n v="409.38"/>
  </r>
  <r>
    <x v="23"/>
    <x v="18"/>
    <x v="18"/>
    <x v="3"/>
    <n v="4"/>
    <n v="1532.86"/>
    <n v="1140"/>
    <n v="392.86"/>
  </r>
  <r>
    <x v="24"/>
    <x v="18"/>
    <x v="18"/>
    <x v="3"/>
    <n v="5"/>
    <n v="1924.46"/>
    <n v="1425"/>
    <n v="499.46"/>
  </r>
  <r>
    <x v="25"/>
    <x v="18"/>
    <x v="18"/>
    <x v="3"/>
    <n v="2"/>
    <n v="761.87"/>
    <n v="570"/>
    <n v="191.87"/>
  </r>
  <r>
    <x v="0"/>
    <x v="19"/>
    <x v="19"/>
    <x v="3"/>
    <n v="5"/>
    <n v="3617.05"/>
    <n v="2620"/>
    <n v="997.05"/>
  </r>
  <r>
    <x v="1"/>
    <x v="19"/>
    <x v="19"/>
    <x v="3"/>
    <n v="7"/>
    <n v="5068.08"/>
    <n v="3668"/>
    <n v="1400.08"/>
  </r>
  <r>
    <x v="2"/>
    <x v="19"/>
    <x v="19"/>
    <x v="3"/>
    <n v="1"/>
    <n v="705.03"/>
    <n v="524"/>
    <n v="181.03"/>
  </r>
  <r>
    <x v="3"/>
    <x v="19"/>
    <x v="19"/>
    <x v="3"/>
    <n v="4"/>
    <n v="2791.91"/>
    <n v="2096"/>
    <n v="695.91"/>
  </r>
  <r>
    <x v="4"/>
    <x v="19"/>
    <x v="19"/>
    <x v="3"/>
    <n v="3"/>
    <n v="2130.87"/>
    <n v="1572"/>
    <n v="558.87"/>
  </r>
  <r>
    <x v="5"/>
    <x v="19"/>
    <x v="19"/>
    <x v="3"/>
    <n v="3"/>
    <n v="2182.45"/>
    <n v="1572"/>
    <n v="610.45"/>
  </r>
  <r>
    <x v="6"/>
    <x v="19"/>
    <x v="19"/>
    <x v="3"/>
    <n v="5"/>
    <n v="3521.62"/>
    <n v="2620"/>
    <n v="901.62"/>
  </r>
  <r>
    <x v="7"/>
    <x v="19"/>
    <x v="19"/>
    <x v="3"/>
    <n v="6"/>
    <n v="4400.94"/>
    <n v="3144"/>
    <n v="1256.94"/>
  </r>
  <r>
    <x v="8"/>
    <x v="19"/>
    <x v="19"/>
    <x v="3"/>
    <n v="7"/>
    <n v="4954.1"/>
    <n v="3668"/>
    <n v="1286.1"/>
  </r>
  <r>
    <x v="9"/>
    <x v="19"/>
    <x v="19"/>
    <x v="3"/>
    <n v="2"/>
    <n v="1454.89"/>
    <n v="1048"/>
    <n v="406.89"/>
  </r>
  <r>
    <x v="10"/>
    <x v="19"/>
    <x v="19"/>
    <x v="3"/>
    <n v="4"/>
    <n v="2823.9"/>
    <n v="2096"/>
    <n v="727.9"/>
  </r>
  <r>
    <x v="11"/>
    <x v="19"/>
    <x v="19"/>
    <x v="3"/>
    <n v="2"/>
    <n v="1415.97"/>
    <n v="1048"/>
    <n v="367.97"/>
  </r>
  <r>
    <x v="12"/>
    <x v="19"/>
    <x v="19"/>
    <x v="3"/>
    <n v="6"/>
    <n v="4352.56"/>
    <n v="3144"/>
    <n v="1208.56"/>
  </r>
  <r>
    <x v="13"/>
    <x v="19"/>
    <x v="19"/>
    <x v="3"/>
    <n v="7"/>
    <n v="4891.92"/>
    <n v="3668"/>
    <n v="1223.92"/>
  </r>
  <r>
    <x v="14"/>
    <x v="19"/>
    <x v="19"/>
    <x v="3"/>
    <n v="3"/>
    <n v="2174.04"/>
    <n v="1572"/>
    <n v="602.04"/>
  </r>
  <r>
    <x v="15"/>
    <x v="19"/>
    <x v="19"/>
    <x v="3"/>
    <n v="5"/>
    <n v="3500.42"/>
    <n v="2620"/>
    <n v="880.42"/>
  </r>
  <r>
    <x v="16"/>
    <x v="19"/>
    <x v="19"/>
    <x v="3"/>
    <n v="6"/>
    <n v="4181.96"/>
    <n v="3144"/>
    <n v="1037.96"/>
  </r>
  <r>
    <x v="17"/>
    <x v="19"/>
    <x v="19"/>
    <x v="3"/>
    <n v="3"/>
    <n v="2184.98"/>
    <n v="1572"/>
    <n v="612.98"/>
  </r>
  <r>
    <x v="18"/>
    <x v="19"/>
    <x v="19"/>
    <x v="3"/>
    <n v="3"/>
    <n v="2178.16"/>
    <n v="1572"/>
    <n v="606.16"/>
  </r>
  <r>
    <x v="19"/>
    <x v="19"/>
    <x v="19"/>
    <x v="3"/>
    <n v="4"/>
    <n v="2724.32"/>
    <n v="2096"/>
    <n v="628.3200000000001"/>
  </r>
  <r>
    <x v="20"/>
    <x v="19"/>
    <x v="19"/>
    <x v="3"/>
    <n v="6"/>
    <n v="4217.26"/>
    <n v="3144"/>
    <n v="1073.26"/>
  </r>
  <r>
    <x v="21"/>
    <x v="19"/>
    <x v="19"/>
    <x v="3"/>
    <n v="1"/>
    <n v="721.58"/>
    <n v="524"/>
    <n v="197.58"/>
  </r>
  <r>
    <x v="22"/>
    <x v="19"/>
    <x v="19"/>
    <x v="3"/>
    <n v="2"/>
    <n v="1411.39"/>
    <n v="1048"/>
    <n v="363.39"/>
  </r>
  <r>
    <x v="23"/>
    <x v="19"/>
    <x v="19"/>
    <x v="3"/>
    <n v="1"/>
    <n v="707.79"/>
    <n v="524"/>
    <n v="183.79"/>
  </r>
  <r>
    <x v="24"/>
    <x v="19"/>
    <x v="19"/>
    <x v="3"/>
    <n v="5"/>
    <n v="3602.8"/>
    <n v="2620"/>
    <n v="982.8"/>
  </r>
  <r>
    <x v="25"/>
    <x v="19"/>
    <x v="19"/>
    <x v="3"/>
    <n v="3"/>
    <n v="2024.12"/>
    <n v="1572"/>
    <n v="452.12"/>
  </r>
  <r>
    <x v="0"/>
    <x v="20"/>
    <x v="20"/>
    <x v="3"/>
    <n v="6"/>
    <n v="2652.41"/>
    <n v="1938"/>
    <n v="714.41"/>
  </r>
  <r>
    <x v="1"/>
    <x v="20"/>
    <x v="20"/>
    <x v="3"/>
    <n v="3"/>
    <n v="1348.83"/>
    <n v="969"/>
    <n v="379.83"/>
  </r>
  <r>
    <x v="2"/>
    <x v="20"/>
    <x v="20"/>
    <x v="3"/>
    <n v="3"/>
    <n v="1311.38"/>
    <n v="969"/>
    <n v="342.38"/>
  </r>
  <r>
    <x v="3"/>
    <x v="20"/>
    <x v="20"/>
    <x v="3"/>
    <n v="4"/>
    <n v="1744.41"/>
    <n v="1292"/>
    <n v="452.41"/>
  </r>
  <r>
    <x v="4"/>
    <x v="20"/>
    <x v="20"/>
    <x v="3"/>
    <n v="7"/>
    <n v="3024.14"/>
    <n v="2261"/>
    <n v="763.14"/>
  </r>
  <r>
    <x v="5"/>
    <x v="20"/>
    <x v="20"/>
    <x v="3"/>
    <n v="0"/>
    <n v="0"/>
    <n v="0"/>
    <n v="0"/>
  </r>
  <r>
    <x v="6"/>
    <x v="20"/>
    <x v="20"/>
    <x v="3"/>
    <n v="4"/>
    <n v="1800.21"/>
    <n v="1292"/>
    <n v="508.21"/>
  </r>
  <r>
    <x v="7"/>
    <x v="20"/>
    <x v="20"/>
    <x v="3"/>
    <n v="3"/>
    <n v="1337.78"/>
    <n v="969"/>
    <n v="368.78"/>
  </r>
  <r>
    <x v="8"/>
    <x v="20"/>
    <x v="20"/>
    <x v="3"/>
    <n v="6"/>
    <n v="2585.26"/>
    <n v="1938"/>
    <n v="647.26"/>
  </r>
  <r>
    <x v="9"/>
    <x v="20"/>
    <x v="20"/>
    <x v="3"/>
    <n v="1"/>
    <n v="429.06"/>
    <n v="323"/>
    <n v="106.06"/>
  </r>
  <r>
    <x v="10"/>
    <x v="20"/>
    <x v="20"/>
    <x v="3"/>
    <n v="4"/>
    <n v="1701.34"/>
    <n v="1292"/>
    <n v="409.34"/>
  </r>
  <r>
    <x v="11"/>
    <x v="20"/>
    <x v="20"/>
    <x v="3"/>
    <n v="5"/>
    <n v="2243.17"/>
    <n v="1615"/>
    <n v="628.17"/>
  </r>
  <r>
    <x v="12"/>
    <x v="20"/>
    <x v="20"/>
    <x v="3"/>
    <n v="2"/>
    <n v="897.75"/>
    <n v="646"/>
    <n v="251.75"/>
  </r>
  <r>
    <x v="13"/>
    <x v="20"/>
    <x v="20"/>
    <x v="3"/>
    <n v="8"/>
    <n v="3482.65"/>
    <n v="2584"/>
    <n v="898.65"/>
  </r>
  <r>
    <x v="14"/>
    <x v="20"/>
    <x v="20"/>
    <x v="3"/>
    <n v="4"/>
    <n v="1726.37"/>
    <n v="1292"/>
    <n v="434.37"/>
  </r>
  <r>
    <x v="15"/>
    <x v="20"/>
    <x v="20"/>
    <x v="3"/>
    <n v="8"/>
    <n v="3560.76"/>
    <n v="2584"/>
    <n v="976.76"/>
  </r>
  <r>
    <x v="16"/>
    <x v="20"/>
    <x v="20"/>
    <x v="3"/>
    <n v="2"/>
    <n v="856.73"/>
    <n v="646"/>
    <n v="210.73"/>
  </r>
  <r>
    <x v="17"/>
    <x v="20"/>
    <x v="20"/>
    <x v="3"/>
    <n v="1"/>
    <n v="424.78"/>
    <n v="323"/>
    <n v="101.78"/>
  </r>
  <r>
    <x v="18"/>
    <x v="20"/>
    <x v="20"/>
    <x v="3"/>
    <n v="8"/>
    <n v="3389.45"/>
    <n v="2584"/>
    <n v="805.45"/>
  </r>
  <r>
    <x v="19"/>
    <x v="20"/>
    <x v="20"/>
    <x v="3"/>
    <n v="2"/>
    <n v="858"/>
    <n v="646"/>
    <n v="212"/>
  </r>
  <r>
    <x v="20"/>
    <x v="20"/>
    <x v="20"/>
    <x v="3"/>
    <n v="3"/>
    <n v="1282.23"/>
    <n v="969"/>
    <n v="313.23"/>
  </r>
  <r>
    <x v="21"/>
    <x v="20"/>
    <x v="20"/>
    <x v="3"/>
    <n v="5"/>
    <n v="2186.31"/>
    <n v="1615"/>
    <n v="571.3099999999999"/>
  </r>
  <r>
    <x v="22"/>
    <x v="20"/>
    <x v="20"/>
    <x v="3"/>
    <n v="7"/>
    <n v="2956.65"/>
    <n v="2261"/>
    <n v="695.65"/>
  </r>
  <r>
    <x v="23"/>
    <x v="20"/>
    <x v="20"/>
    <x v="3"/>
    <n v="2"/>
    <n v="868.3"/>
    <n v="646"/>
    <n v="222.3"/>
  </r>
  <r>
    <x v="24"/>
    <x v="20"/>
    <x v="20"/>
    <x v="3"/>
    <n v="5"/>
    <n v="2095.32"/>
    <n v="1615"/>
    <n v="480.32"/>
  </r>
  <r>
    <x v="25"/>
    <x v="20"/>
    <x v="20"/>
    <x v="3"/>
    <n v="3"/>
    <n v="1269.26"/>
    <n v="969"/>
    <n v="300.26"/>
  </r>
  <r>
    <x v="0"/>
    <x v="21"/>
    <x v="21"/>
    <x v="3"/>
    <n v="4"/>
    <n v="2342.81"/>
    <n v="1648"/>
    <n v="694.8099999999999"/>
  </r>
  <r>
    <x v="1"/>
    <x v="21"/>
    <x v="21"/>
    <x v="3"/>
    <n v="5"/>
    <n v="2777.19"/>
    <n v="2060"/>
    <n v="717.1900000000001"/>
  </r>
  <r>
    <x v="2"/>
    <x v="21"/>
    <x v="21"/>
    <x v="3"/>
    <n v="3"/>
    <n v="1682.55"/>
    <n v="1236"/>
    <n v="446.55"/>
  </r>
  <r>
    <x v="3"/>
    <x v="21"/>
    <x v="21"/>
    <x v="3"/>
    <n v="1"/>
    <n v="579.9299999999999"/>
    <n v="412"/>
    <n v="167.93"/>
  </r>
  <r>
    <x v="4"/>
    <x v="21"/>
    <x v="21"/>
    <x v="3"/>
    <n v="3"/>
    <n v="1723.49"/>
    <n v="1236"/>
    <n v="487.49"/>
  </r>
  <r>
    <x v="5"/>
    <x v="21"/>
    <x v="21"/>
    <x v="3"/>
    <n v="4"/>
    <n v="2250.06"/>
    <n v="1648"/>
    <n v="602.0599999999999"/>
  </r>
  <r>
    <x v="6"/>
    <x v="21"/>
    <x v="21"/>
    <x v="3"/>
    <n v="3"/>
    <n v="1628.59"/>
    <n v="1236"/>
    <n v="392.59"/>
  </r>
  <r>
    <x v="7"/>
    <x v="21"/>
    <x v="21"/>
    <x v="3"/>
    <n v="5"/>
    <n v="2710.99"/>
    <n v="2060"/>
    <n v="650.99"/>
  </r>
  <r>
    <x v="8"/>
    <x v="21"/>
    <x v="21"/>
    <x v="3"/>
    <n v="3"/>
    <n v="1637.57"/>
    <n v="1236"/>
    <n v="401.57"/>
  </r>
  <r>
    <x v="9"/>
    <x v="21"/>
    <x v="21"/>
    <x v="3"/>
    <n v="3"/>
    <n v="1665.06"/>
    <n v="1236"/>
    <n v="429.06"/>
  </r>
  <r>
    <x v="10"/>
    <x v="21"/>
    <x v="21"/>
    <x v="3"/>
    <n v="4"/>
    <n v="2139.86"/>
    <n v="1648"/>
    <n v="491.86"/>
  </r>
  <r>
    <x v="11"/>
    <x v="21"/>
    <x v="21"/>
    <x v="3"/>
    <n v="3"/>
    <n v="1660.34"/>
    <n v="1236"/>
    <n v="424.34"/>
  </r>
  <r>
    <x v="12"/>
    <x v="21"/>
    <x v="21"/>
    <x v="3"/>
    <n v="4"/>
    <n v="2107.29"/>
    <n v="1648"/>
    <n v="459.29"/>
  </r>
  <r>
    <x v="13"/>
    <x v="21"/>
    <x v="21"/>
    <x v="3"/>
    <n v="2"/>
    <n v="1097.75"/>
    <n v="824"/>
    <n v="273.75"/>
  </r>
  <r>
    <x v="14"/>
    <x v="21"/>
    <x v="21"/>
    <x v="3"/>
    <n v="1"/>
    <n v="536.6"/>
    <n v="412"/>
    <n v="124.6"/>
  </r>
  <r>
    <x v="15"/>
    <x v="21"/>
    <x v="21"/>
    <x v="3"/>
    <n v="3"/>
    <n v="1620.13"/>
    <n v="1236"/>
    <n v="384.13"/>
  </r>
  <r>
    <x v="16"/>
    <x v="21"/>
    <x v="21"/>
    <x v="3"/>
    <n v="5"/>
    <n v="2742.17"/>
    <n v="2060"/>
    <n v="682.17"/>
  </r>
  <r>
    <x v="17"/>
    <x v="21"/>
    <x v="21"/>
    <x v="3"/>
    <n v="1"/>
    <n v="534.97"/>
    <n v="412"/>
    <n v="122.97"/>
  </r>
  <r>
    <x v="18"/>
    <x v="21"/>
    <x v="21"/>
    <x v="3"/>
    <n v="5"/>
    <n v="2707.1"/>
    <n v="2060"/>
    <n v="647.1"/>
  </r>
  <r>
    <x v="19"/>
    <x v="21"/>
    <x v="21"/>
    <x v="3"/>
    <n v="5"/>
    <n v="2570.41"/>
    <n v="2060"/>
    <n v="510.41"/>
  </r>
  <r>
    <x v="20"/>
    <x v="21"/>
    <x v="21"/>
    <x v="3"/>
    <n v="0"/>
    <n v="0"/>
    <n v="0"/>
    <n v="0"/>
  </r>
  <r>
    <x v="21"/>
    <x v="21"/>
    <x v="21"/>
    <x v="3"/>
    <n v="2"/>
    <n v="1026.21"/>
    <n v="824"/>
    <n v="202.21"/>
  </r>
  <r>
    <x v="22"/>
    <x v="21"/>
    <x v="21"/>
    <x v="3"/>
    <n v="1"/>
    <n v="517.38"/>
    <n v="412"/>
    <n v="105.38"/>
  </r>
  <r>
    <x v="23"/>
    <x v="21"/>
    <x v="21"/>
    <x v="3"/>
    <n v="3"/>
    <n v="1583.73"/>
    <n v="1236"/>
    <n v="347.73"/>
  </r>
  <r>
    <x v="24"/>
    <x v="21"/>
    <x v="21"/>
    <x v="3"/>
    <n v="7"/>
    <n v="3550.36"/>
    <n v="2884"/>
    <n v="666.36"/>
  </r>
  <r>
    <x v="25"/>
    <x v="21"/>
    <x v="21"/>
    <x v="3"/>
    <n v="3"/>
    <n v="1539.26"/>
    <n v="1236"/>
    <n v="303.26"/>
  </r>
  <r>
    <x v="0"/>
    <x v="22"/>
    <x v="22"/>
    <x v="3"/>
    <n v="1"/>
    <n v="727.03"/>
    <n v="533"/>
    <n v="194.03"/>
  </r>
  <r>
    <x v="1"/>
    <x v="22"/>
    <x v="22"/>
    <x v="3"/>
    <n v="4"/>
    <n v="2893.66"/>
    <n v="2132"/>
    <n v="761.66"/>
  </r>
  <r>
    <x v="2"/>
    <x v="22"/>
    <x v="22"/>
    <x v="3"/>
    <n v="4"/>
    <n v="2952.56"/>
    <n v="2132"/>
    <n v="820.5599999999999"/>
  </r>
  <r>
    <x v="3"/>
    <x v="22"/>
    <x v="22"/>
    <x v="3"/>
    <n v="4"/>
    <n v="2884.29"/>
    <n v="2132"/>
    <n v="752.29"/>
  </r>
  <r>
    <x v="4"/>
    <x v="22"/>
    <x v="22"/>
    <x v="3"/>
    <n v="6"/>
    <n v="4338.28"/>
    <n v="3198"/>
    <n v="1140.28"/>
  </r>
  <r>
    <x v="5"/>
    <x v="22"/>
    <x v="22"/>
    <x v="3"/>
    <n v="6"/>
    <n v="4453.63"/>
    <n v="3198"/>
    <n v="1255.63"/>
  </r>
  <r>
    <x v="6"/>
    <x v="22"/>
    <x v="22"/>
    <x v="3"/>
    <n v="8"/>
    <n v="5804.69"/>
    <n v="4264"/>
    <n v="1540.69"/>
  </r>
  <r>
    <x v="7"/>
    <x v="22"/>
    <x v="22"/>
    <x v="3"/>
    <n v="2"/>
    <n v="1502.11"/>
    <n v="1066"/>
    <n v="436.11"/>
  </r>
  <r>
    <x v="8"/>
    <x v="22"/>
    <x v="22"/>
    <x v="3"/>
    <n v="5"/>
    <n v="3623.25"/>
    <n v="2665"/>
    <n v="958.25"/>
  </r>
  <r>
    <x v="9"/>
    <x v="22"/>
    <x v="22"/>
    <x v="3"/>
    <n v="9"/>
    <n v="6544.6"/>
    <n v="4797"/>
    <n v="1747.6"/>
  </r>
  <r>
    <x v="10"/>
    <x v="22"/>
    <x v="22"/>
    <x v="3"/>
    <n v="5"/>
    <n v="3738.74"/>
    <n v="2665"/>
    <n v="1073.74"/>
  </r>
  <r>
    <x v="11"/>
    <x v="22"/>
    <x v="22"/>
    <x v="3"/>
    <n v="5"/>
    <n v="3626.47"/>
    <n v="2665"/>
    <n v="961.47"/>
  </r>
  <r>
    <x v="12"/>
    <x v="22"/>
    <x v="22"/>
    <x v="3"/>
    <n v="4"/>
    <n v="2948.54"/>
    <n v="2132"/>
    <n v="816.54"/>
  </r>
  <r>
    <x v="13"/>
    <x v="22"/>
    <x v="22"/>
    <x v="3"/>
    <n v="4"/>
    <n v="2828.21"/>
    <n v="2132"/>
    <n v="696.21"/>
  </r>
  <r>
    <x v="14"/>
    <x v="22"/>
    <x v="22"/>
    <x v="3"/>
    <n v="3"/>
    <n v="2170.66"/>
    <n v="1599"/>
    <n v="571.66"/>
  </r>
  <r>
    <x v="15"/>
    <x v="22"/>
    <x v="22"/>
    <x v="3"/>
    <n v="5"/>
    <n v="3609.3"/>
    <n v="2665"/>
    <n v="944.3"/>
  </r>
  <r>
    <x v="16"/>
    <x v="22"/>
    <x v="22"/>
    <x v="3"/>
    <n v="4"/>
    <n v="2967.36"/>
    <n v="2132"/>
    <n v="835.36"/>
  </r>
  <r>
    <x v="17"/>
    <x v="22"/>
    <x v="22"/>
    <x v="3"/>
    <n v="6"/>
    <n v="4308.69"/>
    <n v="3198"/>
    <n v="1110.69"/>
  </r>
  <r>
    <x v="18"/>
    <x v="22"/>
    <x v="22"/>
    <x v="3"/>
    <n v="11"/>
    <n v="8025.29"/>
    <n v="5863"/>
    <n v="2162.29"/>
  </r>
  <r>
    <x v="19"/>
    <x v="22"/>
    <x v="22"/>
    <x v="3"/>
    <n v="5"/>
    <n v="3518.24"/>
    <n v="2665"/>
    <n v="853.24"/>
  </r>
  <r>
    <x v="20"/>
    <x v="22"/>
    <x v="22"/>
    <x v="3"/>
    <n v="5"/>
    <n v="3580.78"/>
    <n v="2665"/>
    <n v="915.78"/>
  </r>
  <r>
    <x v="21"/>
    <x v="22"/>
    <x v="22"/>
    <x v="3"/>
    <n v="8"/>
    <n v="5689.54"/>
    <n v="4264"/>
    <n v="1425.54"/>
  </r>
  <r>
    <x v="22"/>
    <x v="22"/>
    <x v="22"/>
    <x v="3"/>
    <n v="3"/>
    <n v="2103.4"/>
    <n v="1599"/>
    <n v="504.4"/>
  </r>
  <r>
    <x v="23"/>
    <x v="22"/>
    <x v="22"/>
    <x v="3"/>
    <n v="5"/>
    <n v="3488.44"/>
    <n v="2665"/>
    <n v="823.4400000000001"/>
  </r>
  <r>
    <x v="24"/>
    <x v="22"/>
    <x v="22"/>
    <x v="3"/>
    <n v="6"/>
    <n v="4252.51"/>
    <n v="3198"/>
    <n v="1054.51"/>
  </r>
  <r>
    <x v="25"/>
    <x v="22"/>
    <x v="22"/>
    <x v="3"/>
    <n v="2"/>
    <n v="1370.93"/>
    <n v="1066"/>
    <n v="304.93"/>
  </r>
  <r>
    <x v="0"/>
    <x v="23"/>
    <x v="23"/>
    <x v="3"/>
    <n v="5"/>
    <n v="3143.91"/>
    <n v="2315"/>
    <n v="828.91"/>
  </r>
  <r>
    <x v="1"/>
    <x v="23"/>
    <x v="23"/>
    <x v="3"/>
    <n v="3"/>
    <n v="1948.41"/>
    <n v="1389"/>
    <n v="559.41"/>
  </r>
  <r>
    <x v="2"/>
    <x v="23"/>
    <x v="23"/>
    <x v="3"/>
    <n v="2"/>
    <n v="1243.25"/>
    <n v="926"/>
    <n v="317.25"/>
  </r>
  <r>
    <x v="3"/>
    <x v="23"/>
    <x v="23"/>
    <x v="3"/>
    <n v="0"/>
    <n v="0"/>
    <n v="0"/>
    <n v="0"/>
  </r>
  <r>
    <x v="4"/>
    <x v="23"/>
    <x v="23"/>
    <x v="3"/>
    <n v="1"/>
    <n v="619.37"/>
    <n v="463"/>
    <n v="156.37"/>
  </r>
  <r>
    <x v="5"/>
    <x v="23"/>
    <x v="23"/>
    <x v="3"/>
    <n v="3"/>
    <n v="1839.86"/>
    <n v="1389"/>
    <n v="450.86"/>
  </r>
  <r>
    <x v="6"/>
    <x v="23"/>
    <x v="23"/>
    <x v="3"/>
    <n v="1"/>
    <n v="603.77"/>
    <n v="463"/>
    <n v="140.77"/>
  </r>
  <r>
    <x v="7"/>
    <x v="23"/>
    <x v="23"/>
    <x v="3"/>
    <n v="0"/>
    <n v="0"/>
    <n v="0"/>
    <n v="0"/>
  </r>
  <r>
    <x v="8"/>
    <x v="23"/>
    <x v="23"/>
    <x v="3"/>
    <n v="3"/>
    <n v="1881.01"/>
    <n v="1389"/>
    <n v="492.01"/>
  </r>
  <r>
    <x v="9"/>
    <x v="23"/>
    <x v="23"/>
    <x v="3"/>
    <n v="1"/>
    <n v="597.58"/>
    <n v="463"/>
    <n v="134.58"/>
  </r>
  <r>
    <x v="10"/>
    <x v="23"/>
    <x v="23"/>
    <x v="3"/>
    <n v="0"/>
    <n v="0"/>
    <n v="0"/>
    <n v="0"/>
  </r>
  <r>
    <x v="11"/>
    <x v="23"/>
    <x v="23"/>
    <x v="3"/>
    <n v="2"/>
    <n v="1256.83"/>
    <n v="926"/>
    <n v="330.83"/>
  </r>
  <r>
    <x v="12"/>
    <x v="23"/>
    <x v="23"/>
    <x v="3"/>
    <n v="2"/>
    <n v="1220.39"/>
    <n v="926"/>
    <n v="294.39"/>
  </r>
  <r>
    <x v="13"/>
    <x v="23"/>
    <x v="23"/>
    <x v="3"/>
    <n v="3"/>
    <n v="1830.42"/>
    <n v="1389"/>
    <n v="441.42"/>
  </r>
  <r>
    <x v="14"/>
    <x v="23"/>
    <x v="23"/>
    <x v="3"/>
    <n v="1"/>
    <n v="586.95"/>
    <n v="463"/>
    <n v="123.95"/>
  </r>
  <r>
    <x v="15"/>
    <x v="23"/>
    <x v="23"/>
    <x v="3"/>
    <n v="1"/>
    <n v="612"/>
    <n v="463"/>
    <n v="149"/>
  </r>
  <r>
    <x v="16"/>
    <x v="23"/>
    <x v="23"/>
    <x v="3"/>
    <n v="0"/>
    <n v="0"/>
    <n v="0"/>
    <n v="0"/>
  </r>
  <r>
    <x v="17"/>
    <x v="23"/>
    <x v="23"/>
    <x v="3"/>
    <n v="2"/>
    <n v="1165.62"/>
    <n v="926"/>
    <n v="239.62"/>
  </r>
  <r>
    <x v="18"/>
    <x v="23"/>
    <x v="23"/>
    <x v="3"/>
    <n v="0"/>
    <n v="0"/>
    <n v="0"/>
    <n v="0"/>
  </r>
  <r>
    <x v="19"/>
    <x v="23"/>
    <x v="23"/>
    <x v="3"/>
    <n v="1"/>
    <n v="604.66"/>
    <n v="463"/>
    <n v="141.66"/>
  </r>
  <r>
    <x v="20"/>
    <x v="23"/>
    <x v="23"/>
    <x v="3"/>
    <n v="2"/>
    <n v="1152.65"/>
    <n v="926"/>
    <n v="226.65"/>
  </r>
  <r>
    <x v="21"/>
    <x v="23"/>
    <x v="23"/>
    <x v="3"/>
    <n v="0"/>
    <n v="0"/>
    <n v="0"/>
    <n v="0"/>
  </r>
  <r>
    <x v="22"/>
    <x v="23"/>
    <x v="23"/>
    <x v="3"/>
    <n v="1"/>
    <n v="594.64"/>
    <n v="463"/>
    <n v="131.64"/>
  </r>
  <r>
    <x v="23"/>
    <x v="23"/>
    <x v="23"/>
    <x v="3"/>
    <n v="1"/>
    <n v="561.89"/>
    <n v="463"/>
    <n v="98.89"/>
  </r>
  <r>
    <x v="24"/>
    <x v="23"/>
    <x v="23"/>
    <x v="3"/>
    <n v="2"/>
    <n v="1185.16"/>
    <n v="926"/>
    <n v="259.16"/>
  </r>
  <r>
    <x v="25"/>
    <x v="23"/>
    <x v="23"/>
    <x v="3"/>
    <n v="0"/>
    <n v="0"/>
    <n v="0"/>
    <n v="0"/>
  </r>
  <r>
    <x v="0"/>
    <x v="6"/>
    <x v="6"/>
    <x v="1"/>
    <n v="9"/>
    <n v="2760.09"/>
    <n v="1782"/>
    <n v="978.09"/>
  </r>
  <r>
    <x v="1"/>
    <x v="6"/>
    <x v="6"/>
    <x v="1"/>
    <n v="7"/>
    <n v="2164.16"/>
    <n v="1386"/>
    <n v="778.16"/>
  </r>
  <r>
    <x v="2"/>
    <x v="6"/>
    <x v="6"/>
    <x v="1"/>
    <n v="11"/>
    <n v="3371.12"/>
    <n v="2178"/>
    <n v="1193.12"/>
  </r>
  <r>
    <x v="3"/>
    <x v="6"/>
    <x v="6"/>
    <x v="1"/>
    <n v="6"/>
    <n v="1842.06"/>
    <n v="1188"/>
    <n v="654.0599999999999"/>
  </r>
  <r>
    <x v="4"/>
    <x v="6"/>
    <x v="6"/>
    <x v="1"/>
    <n v="10"/>
    <n v="3077.21"/>
    <n v="1980"/>
    <n v="1097.21"/>
  </r>
  <r>
    <x v="5"/>
    <x v="6"/>
    <x v="6"/>
    <x v="1"/>
    <n v="8"/>
    <n v="2371.26"/>
    <n v="1584"/>
    <n v="787.26"/>
  </r>
  <r>
    <x v="6"/>
    <x v="6"/>
    <x v="6"/>
    <x v="1"/>
    <n v="10"/>
    <n v="2973.21"/>
    <n v="1980"/>
    <n v="993.21"/>
  </r>
  <r>
    <x v="7"/>
    <x v="6"/>
    <x v="6"/>
    <x v="1"/>
    <n v="10"/>
    <n v="3140.5"/>
    <n v="1980"/>
    <n v="1160.5"/>
  </r>
  <r>
    <x v="8"/>
    <x v="6"/>
    <x v="6"/>
    <x v="1"/>
    <n v="14"/>
    <n v="4178.48"/>
    <n v="2772"/>
    <n v="1406.48"/>
  </r>
  <r>
    <x v="9"/>
    <x v="6"/>
    <x v="6"/>
    <x v="1"/>
    <n v="10"/>
    <n v="3065.31"/>
    <n v="1980"/>
    <n v="1085.31"/>
  </r>
  <r>
    <x v="10"/>
    <x v="6"/>
    <x v="6"/>
    <x v="1"/>
    <n v="17"/>
    <n v="5256.47"/>
    <n v="3366"/>
    <n v="1890.47"/>
  </r>
  <r>
    <x v="11"/>
    <x v="6"/>
    <x v="6"/>
    <x v="1"/>
    <n v="6"/>
    <n v="1793.44"/>
    <n v="1188"/>
    <n v="605.4400000000001"/>
  </r>
  <r>
    <x v="12"/>
    <x v="6"/>
    <x v="6"/>
    <x v="1"/>
    <n v="5"/>
    <n v="1556.04"/>
    <n v="990"/>
    <n v="566.04"/>
  </r>
  <r>
    <x v="13"/>
    <x v="6"/>
    <x v="6"/>
    <x v="1"/>
    <n v="10"/>
    <n v="3106.02"/>
    <n v="1980"/>
    <n v="1126.02"/>
  </r>
  <r>
    <x v="14"/>
    <x v="6"/>
    <x v="6"/>
    <x v="1"/>
    <n v="9"/>
    <n v="2664.15"/>
    <n v="1782"/>
    <n v="882.15"/>
  </r>
  <r>
    <x v="15"/>
    <x v="6"/>
    <x v="6"/>
    <x v="1"/>
    <n v="6"/>
    <n v="1827.46"/>
    <n v="1188"/>
    <n v="639.46"/>
  </r>
  <r>
    <x v="16"/>
    <x v="6"/>
    <x v="6"/>
    <x v="1"/>
    <n v="14"/>
    <n v="4087.41"/>
    <n v="2772"/>
    <n v="1315.41"/>
  </r>
  <r>
    <x v="17"/>
    <x v="6"/>
    <x v="6"/>
    <x v="1"/>
    <n v="6"/>
    <n v="1778.57"/>
    <n v="1188"/>
    <n v="590.5700000000001"/>
  </r>
  <r>
    <x v="18"/>
    <x v="6"/>
    <x v="6"/>
    <x v="1"/>
    <n v="9"/>
    <n v="2614.35"/>
    <n v="1782"/>
    <n v="832.35"/>
  </r>
  <r>
    <x v="19"/>
    <x v="6"/>
    <x v="6"/>
    <x v="1"/>
    <n v="5"/>
    <n v="1522.25"/>
    <n v="990"/>
    <n v="532.25"/>
  </r>
  <r>
    <x v="20"/>
    <x v="6"/>
    <x v="6"/>
    <x v="1"/>
    <n v="7"/>
    <n v="2160.38"/>
    <n v="1386"/>
    <n v="774.38"/>
  </r>
  <r>
    <x v="21"/>
    <x v="6"/>
    <x v="6"/>
    <x v="1"/>
    <n v="9"/>
    <n v="2668.43"/>
    <n v="1782"/>
    <n v="886.4299999999999"/>
  </r>
  <r>
    <x v="22"/>
    <x v="6"/>
    <x v="6"/>
    <x v="1"/>
    <n v="5"/>
    <n v="1488.2"/>
    <n v="990"/>
    <n v="498.2"/>
  </r>
  <r>
    <x v="23"/>
    <x v="6"/>
    <x v="6"/>
    <x v="1"/>
    <n v="8"/>
    <n v="2372.07"/>
    <n v="1584"/>
    <n v="788.0700000000001"/>
  </r>
  <r>
    <x v="24"/>
    <x v="6"/>
    <x v="6"/>
    <x v="1"/>
    <n v="5"/>
    <n v="1511.88"/>
    <n v="990"/>
    <n v="521.88"/>
  </r>
  <r>
    <x v="25"/>
    <x v="6"/>
    <x v="6"/>
    <x v="1"/>
    <n v="11"/>
    <n v="3144.21"/>
    <n v="2178"/>
    <n v="966.21"/>
  </r>
  <r>
    <x v="0"/>
    <x v="7"/>
    <x v="7"/>
    <x v="1"/>
    <n v="11"/>
    <n v="2737.65"/>
    <n v="1716"/>
    <n v="1021.65"/>
  </r>
  <r>
    <x v="1"/>
    <x v="7"/>
    <x v="7"/>
    <x v="1"/>
    <n v="6"/>
    <n v="1446.29"/>
    <n v="936"/>
    <n v="510.29"/>
  </r>
  <r>
    <x v="2"/>
    <x v="7"/>
    <x v="7"/>
    <x v="1"/>
    <n v="8"/>
    <n v="1880.84"/>
    <n v="1248"/>
    <n v="632.84"/>
  </r>
  <r>
    <x v="3"/>
    <x v="7"/>
    <x v="7"/>
    <x v="1"/>
    <n v="7"/>
    <n v="1737.46"/>
    <n v="1092"/>
    <n v="645.46"/>
  </r>
  <r>
    <x v="4"/>
    <x v="7"/>
    <x v="7"/>
    <x v="1"/>
    <n v="11"/>
    <n v="2700.67"/>
    <n v="1716"/>
    <n v="984.67"/>
  </r>
  <r>
    <x v="5"/>
    <x v="7"/>
    <x v="7"/>
    <x v="1"/>
    <n v="13"/>
    <n v="3210.49"/>
    <n v="2028"/>
    <n v="1182.49"/>
  </r>
  <r>
    <x v="6"/>
    <x v="7"/>
    <x v="7"/>
    <x v="1"/>
    <n v="12"/>
    <n v="2832.98"/>
    <n v="1872"/>
    <n v="960.98"/>
  </r>
  <r>
    <x v="7"/>
    <x v="7"/>
    <x v="7"/>
    <x v="1"/>
    <n v="7"/>
    <n v="1634.31"/>
    <n v="1092"/>
    <n v="542.3099999999999"/>
  </r>
  <r>
    <x v="8"/>
    <x v="7"/>
    <x v="7"/>
    <x v="1"/>
    <n v="11"/>
    <n v="2690.28"/>
    <n v="1716"/>
    <n v="974.28"/>
  </r>
  <r>
    <x v="9"/>
    <x v="7"/>
    <x v="7"/>
    <x v="1"/>
    <n v="15"/>
    <n v="3649.28"/>
    <n v="2340"/>
    <n v="1309.28"/>
  </r>
  <r>
    <x v="10"/>
    <x v="7"/>
    <x v="7"/>
    <x v="1"/>
    <n v="5"/>
    <n v="1217.79"/>
    <n v="780"/>
    <n v="437.79"/>
  </r>
  <r>
    <x v="11"/>
    <x v="7"/>
    <x v="7"/>
    <x v="1"/>
    <n v="9"/>
    <n v="2203.95"/>
    <n v="1404"/>
    <n v="799.95"/>
  </r>
  <r>
    <x v="12"/>
    <x v="7"/>
    <x v="7"/>
    <x v="1"/>
    <n v="11"/>
    <n v="2597.26"/>
    <n v="1716"/>
    <n v="881.26"/>
  </r>
  <r>
    <x v="13"/>
    <x v="7"/>
    <x v="7"/>
    <x v="1"/>
    <n v="11"/>
    <n v="2700.95"/>
    <n v="1716"/>
    <n v="984.95"/>
  </r>
  <r>
    <x v="14"/>
    <x v="7"/>
    <x v="7"/>
    <x v="1"/>
    <n v="13"/>
    <n v="3193.56"/>
    <n v="2028"/>
    <n v="1165.56"/>
  </r>
  <r>
    <x v="15"/>
    <x v="7"/>
    <x v="7"/>
    <x v="1"/>
    <n v="8"/>
    <n v="1948.72"/>
    <n v="1248"/>
    <n v="700.72"/>
  </r>
  <r>
    <x v="16"/>
    <x v="7"/>
    <x v="7"/>
    <x v="1"/>
    <n v="9"/>
    <n v="2081.51"/>
    <n v="1404"/>
    <n v="677.51"/>
  </r>
  <r>
    <x v="17"/>
    <x v="7"/>
    <x v="7"/>
    <x v="1"/>
    <n v="11"/>
    <n v="2683.35"/>
    <n v="1716"/>
    <n v="967.35"/>
  </r>
  <r>
    <x v="18"/>
    <x v="7"/>
    <x v="7"/>
    <x v="1"/>
    <n v="9"/>
    <n v="2093.38"/>
    <n v="1404"/>
    <n v="689.38"/>
  </r>
  <r>
    <x v="19"/>
    <x v="7"/>
    <x v="7"/>
    <x v="1"/>
    <n v="11"/>
    <n v="2668.63"/>
    <n v="1716"/>
    <n v="952.63"/>
  </r>
  <r>
    <x v="20"/>
    <x v="7"/>
    <x v="7"/>
    <x v="1"/>
    <n v="12"/>
    <n v="2800.51"/>
    <n v="1872"/>
    <n v="928.51"/>
  </r>
  <r>
    <x v="21"/>
    <x v="7"/>
    <x v="7"/>
    <x v="1"/>
    <n v="4"/>
    <n v="935.78"/>
    <n v="624"/>
    <n v="311.78"/>
  </r>
  <r>
    <x v="22"/>
    <x v="7"/>
    <x v="7"/>
    <x v="1"/>
    <n v="11"/>
    <n v="2651.42"/>
    <n v="1716"/>
    <n v="935.42"/>
  </r>
  <r>
    <x v="23"/>
    <x v="7"/>
    <x v="7"/>
    <x v="1"/>
    <n v="9"/>
    <n v="2164.55"/>
    <n v="1404"/>
    <n v="760.55"/>
  </r>
  <r>
    <x v="24"/>
    <x v="7"/>
    <x v="7"/>
    <x v="1"/>
    <n v="3"/>
    <n v="715.0700000000001"/>
    <n v="468"/>
    <n v="247.07"/>
  </r>
  <r>
    <x v="25"/>
    <x v="7"/>
    <x v="7"/>
    <x v="1"/>
    <n v="6"/>
    <n v="1444.69"/>
    <n v="936"/>
    <n v="508.69"/>
  </r>
  <r>
    <x v="0"/>
    <x v="8"/>
    <x v="8"/>
    <x v="1"/>
    <n v="6"/>
    <n v="1276.03"/>
    <n v="834"/>
    <n v="442.03"/>
  </r>
  <r>
    <x v="1"/>
    <x v="8"/>
    <x v="8"/>
    <x v="1"/>
    <n v="9"/>
    <n v="1880.92"/>
    <n v="1251"/>
    <n v="629.92"/>
  </r>
  <r>
    <x v="2"/>
    <x v="8"/>
    <x v="8"/>
    <x v="1"/>
    <n v="7"/>
    <n v="1491.91"/>
    <n v="973"/>
    <n v="518.91"/>
  </r>
  <r>
    <x v="3"/>
    <x v="8"/>
    <x v="8"/>
    <x v="1"/>
    <n v="8"/>
    <n v="1671.48"/>
    <n v="1112"/>
    <n v="559.48"/>
  </r>
  <r>
    <x v="4"/>
    <x v="8"/>
    <x v="8"/>
    <x v="1"/>
    <n v="10"/>
    <n v="2070.3"/>
    <n v="1390"/>
    <n v="680.3"/>
  </r>
  <r>
    <x v="5"/>
    <x v="8"/>
    <x v="8"/>
    <x v="1"/>
    <n v="7"/>
    <n v="1507.71"/>
    <n v="973"/>
    <n v="534.71"/>
  </r>
  <r>
    <x v="6"/>
    <x v="8"/>
    <x v="8"/>
    <x v="1"/>
    <n v="8"/>
    <n v="1680.67"/>
    <n v="1112"/>
    <n v="568.67"/>
  </r>
  <r>
    <x v="7"/>
    <x v="8"/>
    <x v="8"/>
    <x v="1"/>
    <n v="15"/>
    <n v="3148.18"/>
    <n v="2085"/>
    <n v="1063.18"/>
  </r>
  <r>
    <x v="8"/>
    <x v="8"/>
    <x v="8"/>
    <x v="1"/>
    <n v="11"/>
    <n v="2266.25"/>
    <n v="1529"/>
    <n v="737.25"/>
  </r>
  <r>
    <x v="9"/>
    <x v="8"/>
    <x v="8"/>
    <x v="1"/>
    <n v="6"/>
    <n v="1206.2"/>
    <n v="834"/>
    <n v="372.2"/>
  </r>
  <r>
    <x v="10"/>
    <x v="8"/>
    <x v="8"/>
    <x v="1"/>
    <n v="7"/>
    <n v="1492.2"/>
    <n v="973"/>
    <n v="519.2"/>
  </r>
  <r>
    <x v="11"/>
    <x v="8"/>
    <x v="8"/>
    <x v="1"/>
    <n v="11"/>
    <n v="2285.16"/>
    <n v="1529"/>
    <n v="756.16"/>
  </r>
  <r>
    <x v="12"/>
    <x v="8"/>
    <x v="8"/>
    <x v="1"/>
    <n v="11"/>
    <n v="2307.62"/>
    <n v="1529"/>
    <n v="778.62"/>
  </r>
  <r>
    <x v="13"/>
    <x v="8"/>
    <x v="8"/>
    <x v="1"/>
    <n v="6"/>
    <n v="1240.28"/>
    <n v="834"/>
    <n v="406.28"/>
  </r>
  <r>
    <x v="14"/>
    <x v="8"/>
    <x v="8"/>
    <x v="1"/>
    <n v="5"/>
    <n v="1044.83"/>
    <n v="695"/>
    <n v="349.83"/>
  </r>
  <r>
    <x v="15"/>
    <x v="8"/>
    <x v="8"/>
    <x v="1"/>
    <n v="5"/>
    <n v="1050.32"/>
    <n v="695"/>
    <n v="355.32"/>
  </r>
  <r>
    <x v="16"/>
    <x v="8"/>
    <x v="8"/>
    <x v="1"/>
    <n v="6"/>
    <n v="1179.93"/>
    <n v="834"/>
    <n v="345.93"/>
  </r>
  <r>
    <x v="17"/>
    <x v="8"/>
    <x v="8"/>
    <x v="1"/>
    <n v="13"/>
    <n v="2627.08"/>
    <n v="1807"/>
    <n v="820.08"/>
  </r>
  <r>
    <x v="18"/>
    <x v="8"/>
    <x v="8"/>
    <x v="1"/>
    <n v="7"/>
    <n v="1399.3"/>
    <n v="973"/>
    <n v="426.3"/>
  </r>
  <r>
    <x v="19"/>
    <x v="8"/>
    <x v="8"/>
    <x v="1"/>
    <n v="14"/>
    <n v="2820.09"/>
    <n v="1946"/>
    <n v="874.09"/>
  </r>
  <r>
    <x v="20"/>
    <x v="8"/>
    <x v="8"/>
    <x v="1"/>
    <n v="4"/>
    <n v="780.5"/>
    <n v="556"/>
    <n v="224.5"/>
  </r>
  <r>
    <x v="21"/>
    <x v="8"/>
    <x v="8"/>
    <x v="1"/>
    <n v="8"/>
    <n v="1556.32"/>
    <n v="1112"/>
    <n v="444.32"/>
  </r>
  <r>
    <x v="22"/>
    <x v="8"/>
    <x v="8"/>
    <x v="1"/>
    <n v="7"/>
    <n v="1418.98"/>
    <n v="973"/>
    <n v="445.98"/>
  </r>
  <r>
    <x v="23"/>
    <x v="8"/>
    <x v="8"/>
    <x v="1"/>
    <n v="5"/>
    <n v="1008.02"/>
    <n v="695"/>
    <n v="313.02"/>
  </r>
  <r>
    <x v="24"/>
    <x v="8"/>
    <x v="8"/>
    <x v="1"/>
    <n v="10"/>
    <n v="1891.99"/>
    <n v="1390"/>
    <n v="501.99"/>
  </r>
  <r>
    <x v="25"/>
    <x v="8"/>
    <x v="8"/>
    <x v="1"/>
    <n v="10"/>
    <n v="1976.66"/>
    <n v="1390"/>
    <n v="586.66"/>
  </r>
  <r>
    <x v="0"/>
    <x v="9"/>
    <x v="9"/>
    <x v="1"/>
    <n v="7"/>
    <n v="1434.78"/>
    <n v="896"/>
    <n v="538.78"/>
  </r>
  <r>
    <x v="1"/>
    <x v="9"/>
    <x v="9"/>
    <x v="1"/>
    <n v="8"/>
    <n v="1617.99"/>
    <n v="1024"/>
    <n v="593.99"/>
  </r>
  <r>
    <x v="2"/>
    <x v="9"/>
    <x v="9"/>
    <x v="1"/>
    <n v="9"/>
    <n v="1715.68"/>
    <n v="1152"/>
    <n v="563.6799999999999"/>
  </r>
  <r>
    <x v="3"/>
    <x v="9"/>
    <x v="9"/>
    <x v="1"/>
    <n v="7"/>
    <n v="1401.24"/>
    <n v="896"/>
    <n v="505.24"/>
  </r>
  <r>
    <x v="4"/>
    <x v="9"/>
    <x v="9"/>
    <x v="1"/>
    <n v="12"/>
    <n v="2388.36"/>
    <n v="1536"/>
    <n v="852.36"/>
  </r>
  <r>
    <x v="5"/>
    <x v="9"/>
    <x v="9"/>
    <x v="1"/>
    <n v="5"/>
    <n v="974.26"/>
    <n v="640"/>
    <n v="334.26"/>
  </r>
  <r>
    <x v="6"/>
    <x v="9"/>
    <x v="9"/>
    <x v="1"/>
    <n v="7"/>
    <n v="1332.49"/>
    <n v="896"/>
    <n v="436.49"/>
  </r>
  <r>
    <x v="7"/>
    <x v="9"/>
    <x v="9"/>
    <x v="1"/>
    <n v="6"/>
    <n v="1167.44"/>
    <n v="768"/>
    <n v="399.44"/>
  </r>
  <r>
    <x v="8"/>
    <x v="9"/>
    <x v="9"/>
    <x v="1"/>
    <n v="7"/>
    <n v="1394.47"/>
    <n v="896"/>
    <n v="498.47"/>
  </r>
  <r>
    <x v="9"/>
    <x v="9"/>
    <x v="9"/>
    <x v="1"/>
    <n v="12"/>
    <n v="2320.05"/>
    <n v="1536"/>
    <n v="784.05"/>
  </r>
  <r>
    <x v="10"/>
    <x v="9"/>
    <x v="9"/>
    <x v="1"/>
    <n v="9"/>
    <n v="1777.31"/>
    <n v="1152"/>
    <n v="625.3099999999999"/>
  </r>
  <r>
    <x v="11"/>
    <x v="9"/>
    <x v="9"/>
    <x v="1"/>
    <n v="9"/>
    <n v="1662.41"/>
    <n v="1152"/>
    <n v="510.41"/>
  </r>
  <r>
    <x v="12"/>
    <x v="9"/>
    <x v="9"/>
    <x v="1"/>
    <n v="9"/>
    <n v="1692.22"/>
    <n v="1152"/>
    <n v="540.22"/>
  </r>
  <r>
    <x v="13"/>
    <x v="9"/>
    <x v="9"/>
    <x v="1"/>
    <n v="9"/>
    <n v="1710.92"/>
    <n v="1152"/>
    <n v="558.92"/>
  </r>
  <r>
    <x v="14"/>
    <x v="9"/>
    <x v="9"/>
    <x v="1"/>
    <n v="9"/>
    <n v="1715.58"/>
    <n v="1152"/>
    <n v="563.58"/>
  </r>
  <r>
    <x v="15"/>
    <x v="9"/>
    <x v="9"/>
    <x v="1"/>
    <n v="9"/>
    <n v="1643.93"/>
    <n v="1152"/>
    <n v="491.93"/>
  </r>
  <r>
    <x v="16"/>
    <x v="9"/>
    <x v="9"/>
    <x v="1"/>
    <n v="13"/>
    <n v="2446.6"/>
    <n v="1664"/>
    <n v="782.6"/>
  </r>
  <r>
    <x v="17"/>
    <x v="9"/>
    <x v="9"/>
    <x v="1"/>
    <n v="5"/>
    <n v="898.0599999999999"/>
    <n v="640"/>
    <n v="258.06"/>
  </r>
  <r>
    <x v="18"/>
    <x v="9"/>
    <x v="9"/>
    <x v="1"/>
    <n v="10"/>
    <n v="1860.73"/>
    <n v="1280"/>
    <n v="580.73"/>
  </r>
  <r>
    <x v="19"/>
    <x v="9"/>
    <x v="9"/>
    <x v="1"/>
    <n v="7"/>
    <n v="1274.06"/>
    <n v="896"/>
    <n v="378.06"/>
  </r>
  <r>
    <x v="20"/>
    <x v="9"/>
    <x v="9"/>
    <x v="1"/>
    <n v="9"/>
    <n v="1609.61"/>
    <n v="1152"/>
    <n v="457.61"/>
  </r>
  <r>
    <x v="21"/>
    <x v="9"/>
    <x v="9"/>
    <x v="1"/>
    <n v="5"/>
    <n v="880.15"/>
    <n v="640"/>
    <n v="240.15"/>
  </r>
  <r>
    <x v="22"/>
    <x v="9"/>
    <x v="9"/>
    <x v="1"/>
    <n v="8"/>
    <n v="1445.08"/>
    <n v="1024"/>
    <n v="421.08"/>
  </r>
  <r>
    <x v="23"/>
    <x v="9"/>
    <x v="9"/>
    <x v="1"/>
    <n v="8"/>
    <n v="1489.65"/>
    <n v="1024"/>
    <n v="465.65"/>
  </r>
  <r>
    <x v="24"/>
    <x v="9"/>
    <x v="9"/>
    <x v="1"/>
    <n v="10"/>
    <n v="1763.47"/>
    <n v="1280"/>
    <n v="483.47"/>
  </r>
  <r>
    <x v="25"/>
    <x v="9"/>
    <x v="9"/>
    <x v="1"/>
    <n v="7"/>
    <n v="1266.38"/>
    <n v="896"/>
    <n v="370.38"/>
  </r>
  <r>
    <x v="0"/>
    <x v="10"/>
    <x v="10"/>
    <x v="1"/>
    <n v="10"/>
    <n v="2067.52"/>
    <n v="1350"/>
    <n v="717.52"/>
  </r>
  <r>
    <x v="1"/>
    <x v="10"/>
    <x v="10"/>
    <x v="1"/>
    <n v="16"/>
    <n v="3389.04"/>
    <n v="2160"/>
    <n v="1229.04"/>
  </r>
  <r>
    <x v="2"/>
    <x v="10"/>
    <x v="10"/>
    <x v="1"/>
    <n v="6"/>
    <n v="1260.82"/>
    <n v="810"/>
    <n v="450.82"/>
  </r>
  <r>
    <x v="3"/>
    <x v="10"/>
    <x v="10"/>
    <x v="1"/>
    <n v="7"/>
    <n v="1422.7"/>
    <n v="945"/>
    <n v="477.7"/>
  </r>
  <r>
    <x v="4"/>
    <x v="10"/>
    <x v="10"/>
    <x v="1"/>
    <n v="10"/>
    <n v="2140.99"/>
    <n v="1350"/>
    <n v="790.99"/>
  </r>
  <r>
    <x v="5"/>
    <x v="10"/>
    <x v="10"/>
    <x v="1"/>
    <n v="10"/>
    <n v="2008.22"/>
    <n v="1350"/>
    <n v="658.22"/>
  </r>
  <r>
    <x v="6"/>
    <x v="10"/>
    <x v="10"/>
    <x v="1"/>
    <n v="8"/>
    <n v="1719.42"/>
    <n v="1080"/>
    <n v="639.42"/>
  </r>
  <r>
    <x v="7"/>
    <x v="10"/>
    <x v="10"/>
    <x v="1"/>
    <n v="10"/>
    <n v="2073.15"/>
    <n v="1350"/>
    <n v="723.15"/>
  </r>
  <r>
    <x v="8"/>
    <x v="10"/>
    <x v="10"/>
    <x v="1"/>
    <n v="10"/>
    <n v="2105.22"/>
    <n v="1350"/>
    <n v="755.22"/>
  </r>
  <r>
    <x v="9"/>
    <x v="10"/>
    <x v="10"/>
    <x v="1"/>
    <n v="5"/>
    <n v="1019.32"/>
    <n v="675"/>
    <n v="344.32"/>
  </r>
  <r>
    <x v="10"/>
    <x v="10"/>
    <x v="10"/>
    <x v="1"/>
    <n v="12"/>
    <n v="2538.23"/>
    <n v="1620"/>
    <n v="918.23"/>
  </r>
  <r>
    <x v="11"/>
    <x v="10"/>
    <x v="10"/>
    <x v="1"/>
    <n v="6"/>
    <n v="1230.71"/>
    <n v="810"/>
    <n v="420.71"/>
  </r>
  <r>
    <x v="12"/>
    <x v="10"/>
    <x v="10"/>
    <x v="1"/>
    <n v="6"/>
    <n v="1266.75"/>
    <n v="810"/>
    <n v="456.75"/>
  </r>
  <r>
    <x v="13"/>
    <x v="10"/>
    <x v="10"/>
    <x v="1"/>
    <n v="10"/>
    <n v="2008.16"/>
    <n v="1350"/>
    <n v="658.16"/>
  </r>
  <r>
    <x v="14"/>
    <x v="10"/>
    <x v="10"/>
    <x v="1"/>
    <n v="13"/>
    <n v="2684.16"/>
    <n v="1755"/>
    <n v="929.16"/>
  </r>
  <r>
    <x v="15"/>
    <x v="10"/>
    <x v="10"/>
    <x v="1"/>
    <n v="11"/>
    <n v="2189.72"/>
    <n v="1485"/>
    <n v="704.72"/>
  </r>
  <r>
    <x v="16"/>
    <x v="10"/>
    <x v="10"/>
    <x v="1"/>
    <n v="21"/>
    <n v="4155.39"/>
    <n v="2835"/>
    <n v="1320.39"/>
  </r>
  <r>
    <x v="17"/>
    <x v="10"/>
    <x v="10"/>
    <x v="1"/>
    <n v="7"/>
    <n v="1433.36"/>
    <n v="945"/>
    <n v="488.36"/>
  </r>
  <r>
    <x v="18"/>
    <x v="10"/>
    <x v="10"/>
    <x v="1"/>
    <n v="11"/>
    <n v="2268.45"/>
    <n v="1485"/>
    <n v="783.45"/>
  </r>
  <r>
    <x v="19"/>
    <x v="10"/>
    <x v="10"/>
    <x v="1"/>
    <n v="6"/>
    <n v="1186.51"/>
    <n v="810"/>
    <n v="376.51"/>
  </r>
  <r>
    <x v="20"/>
    <x v="10"/>
    <x v="10"/>
    <x v="1"/>
    <n v="9"/>
    <n v="1797.78"/>
    <n v="1215"/>
    <n v="582.78"/>
  </r>
  <r>
    <x v="21"/>
    <x v="10"/>
    <x v="10"/>
    <x v="1"/>
    <n v="14"/>
    <n v="2750.44"/>
    <n v="1890"/>
    <n v="860.4400000000001"/>
  </r>
  <r>
    <x v="22"/>
    <x v="10"/>
    <x v="10"/>
    <x v="1"/>
    <n v="7"/>
    <n v="1451.52"/>
    <n v="945"/>
    <n v="506.52"/>
  </r>
  <r>
    <x v="23"/>
    <x v="10"/>
    <x v="10"/>
    <x v="1"/>
    <n v="9"/>
    <n v="1764.09"/>
    <n v="1215"/>
    <n v="549.09"/>
  </r>
  <r>
    <x v="24"/>
    <x v="10"/>
    <x v="10"/>
    <x v="1"/>
    <n v="10"/>
    <n v="2036.4"/>
    <n v="1350"/>
    <n v="686.4"/>
  </r>
  <r>
    <x v="25"/>
    <x v="10"/>
    <x v="10"/>
    <x v="1"/>
    <n v="8"/>
    <n v="1569.1"/>
    <n v="1080"/>
    <n v="489.1"/>
  </r>
  <r>
    <x v="0"/>
    <x v="11"/>
    <x v="11"/>
    <x v="1"/>
    <n v="2"/>
    <n v="457.9"/>
    <n v="292"/>
    <n v="165.9"/>
  </r>
  <r>
    <x v="1"/>
    <x v="11"/>
    <x v="11"/>
    <x v="1"/>
    <n v="1"/>
    <n v="232.68"/>
    <n v="146"/>
    <n v="86.68000000000001"/>
  </r>
  <r>
    <x v="2"/>
    <x v="11"/>
    <x v="11"/>
    <x v="1"/>
    <n v="5"/>
    <n v="1151.61"/>
    <n v="730"/>
    <n v="421.61"/>
  </r>
  <r>
    <x v="3"/>
    <x v="11"/>
    <x v="11"/>
    <x v="1"/>
    <n v="3"/>
    <n v="685.6799999999999"/>
    <n v="438"/>
    <n v="247.68"/>
  </r>
  <r>
    <x v="4"/>
    <x v="11"/>
    <x v="11"/>
    <x v="1"/>
    <n v="2"/>
    <n v="465.74"/>
    <n v="292"/>
    <n v="173.74"/>
  </r>
  <r>
    <x v="5"/>
    <x v="11"/>
    <x v="11"/>
    <x v="1"/>
    <n v="2"/>
    <n v="445"/>
    <n v="292"/>
    <n v="153"/>
  </r>
  <r>
    <x v="6"/>
    <x v="11"/>
    <x v="11"/>
    <x v="1"/>
    <n v="2"/>
    <n v="461.69"/>
    <n v="292"/>
    <n v="169.69"/>
  </r>
  <r>
    <x v="7"/>
    <x v="11"/>
    <x v="11"/>
    <x v="1"/>
    <n v="4"/>
    <n v="876.36"/>
    <n v="584"/>
    <n v="292.36"/>
  </r>
  <r>
    <x v="8"/>
    <x v="11"/>
    <x v="11"/>
    <x v="1"/>
    <n v="1"/>
    <n v="227.23"/>
    <n v="146"/>
    <n v="81.23"/>
  </r>
  <r>
    <x v="9"/>
    <x v="11"/>
    <x v="11"/>
    <x v="1"/>
    <n v="2"/>
    <n v="462.12"/>
    <n v="292"/>
    <n v="170.12"/>
  </r>
  <r>
    <x v="10"/>
    <x v="11"/>
    <x v="11"/>
    <x v="1"/>
    <n v="1"/>
    <n v="215.89"/>
    <n v="146"/>
    <n v="69.89"/>
  </r>
  <r>
    <x v="11"/>
    <x v="11"/>
    <x v="11"/>
    <x v="1"/>
    <n v="3"/>
    <n v="657.59"/>
    <n v="438"/>
    <n v="219.59"/>
  </r>
  <r>
    <x v="12"/>
    <x v="11"/>
    <x v="11"/>
    <x v="1"/>
    <n v="3"/>
    <n v="657.75"/>
    <n v="438"/>
    <n v="219.75"/>
  </r>
  <r>
    <x v="13"/>
    <x v="11"/>
    <x v="11"/>
    <x v="1"/>
    <n v="2"/>
    <n v="442.58"/>
    <n v="292"/>
    <n v="150.58"/>
  </r>
  <r>
    <x v="14"/>
    <x v="11"/>
    <x v="11"/>
    <x v="1"/>
    <n v="3"/>
    <n v="665.1799999999999"/>
    <n v="438"/>
    <n v="227.18"/>
  </r>
  <r>
    <x v="15"/>
    <x v="11"/>
    <x v="11"/>
    <x v="1"/>
    <n v="4"/>
    <n v="866.26"/>
    <n v="584"/>
    <n v="282.26"/>
  </r>
  <r>
    <x v="16"/>
    <x v="11"/>
    <x v="11"/>
    <x v="1"/>
    <n v="3"/>
    <n v="670.13"/>
    <n v="438"/>
    <n v="232.13"/>
  </r>
  <r>
    <x v="17"/>
    <x v="11"/>
    <x v="11"/>
    <x v="1"/>
    <n v="9"/>
    <n v="1936.8"/>
    <n v="1314"/>
    <n v="622.8"/>
  </r>
  <r>
    <x v="18"/>
    <x v="11"/>
    <x v="11"/>
    <x v="1"/>
    <n v="1"/>
    <n v="227.8"/>
    <n v="146"/>
    <n v="81.8"/>
  </r>
  <r>
    <x v="19"/>
    <x v="11"/>
    <x v="11"/>
    <x v="1"/>
    <n v="3"/>
    <n v="658.99"/>
    <n v="438"/>
    <n v="220.99"/>
  </r>
  <r>
    <x v="20"/>
    <x v="11"/>
    <x v="11"/>
    <x v="1"/>
    <n v="2"/>
    <n v="445.08"/>
    <n v="292"/>
    <n v="153.08"/>
  </r>
  <r>
    <x v="21"/>
    <x v="11"/>
    <x v="11"/>
    <x v="1"/>
    <n v="1"/>
    <n v="216.81"/>
    <n v="146"/>
    <n v="70.81"/>
  </r>
  <r>
    <x v="22"/>
    <x v="11"/>
    <x v="11"/>
    <x v="1"/>
    <n v="3"/>
    <n v="675.99"/>
    <n v="438"/>
    <n v="237.99"/>
  </r>
  <r>
    <x v="23"/>
    <x v="11"/>
    <x v="11"/>
    <x v="1"/>
    <n v="5"/>
    <n v="1071.73"/>
    <n v="730"/>
    <n v="341.73"/>
  </r>
  <r>
    <x v="24"/>
    <x v="11"/>
    <x v="11"/>
    <x v="1"/>
    <n v="4"/>
    <n v="906.4299999999999"/>
    <n v="584"/>
    <n v="322.43"/>
  </r>
  <r>
    <x v="25"/>
    <x v="11"/>
    <x v="11"/>
    <x v="1"/>
    <n v="3"/>
    <n v="670.35"/>
    <n v="438"/>
    <n v="232.35"/>
  </r>
  <r>
    <x v="0"/>
    <x v="12"/>
    <x v="12"/>
    <x v="2"/>
    <n v="11"/>
    <n v="11698.16"/>
    <n v="10461"/>
    <n v="1237.16"/>
  </r>
  <r>
    <x v="1"/>
    <x v="12"/>
    <x v="12"/>
    <x v="2"/>
    <n v="12"/>
    <n v="13204.31"/>
    <n v="11412"/>
    <n v="1792.31"/>
  </r>
  <r>
    <x v="2"/>
    <x v="12"/>
    <x v="12"/>
    <x v="2"/>
    <n v="14"/>
    <n v="14813.51"/>
    <n v="13314"/>
    <n v="1499.51"/>
  </r>
  <r>
    <x v="3"/>
    <x v="12"/>
    <x v="12"/>
    <x v="2"/>
    <n v="19"/>
    <n v="19926.85"/>
    <n v="18069"/>
    <n v="1857.85"/>
  </r>
  <r>
    <x v="4"/>
    <x v="12"/>
    <x v="12"/>
    <x v="2"/>
    <n v="12"/>
    <n v="12499.54"/>
    <n v="11412"/>
    <n v="1087.54"/>
  </r>
  <r>
    <x v="5"/>
    <x v="12"/>
    <x v="12"/>
    <x v="2"/>
    <n v="12"/>
    <n v="13308.48"/>
    <n v="11412"/>
    <n v="1896.48"/>
  </r>
  <r>
    <x v="6"/>
    <x v="12"/>
    <x v="12"/>
    <x v="2"/>
    <n v="9"/>
    <n v="9789.940000000001"/>
    <n v="8559"/>
    <n v="1230.94"/>
  </r>
  <r>
    <x v="7"/>
    <x v="12"/>
    <x v="12"/>
    <x v="2"/>
    <n v="9"/>
    <n v="9297.860000000001"/>
    <n v="8559"/>
    <n v="738.86"/>
  </r>
  <r>
    <x v="8"/>
    <x v="12"/>
    <x v="12"/>
    <x v="2"/>
    <n v="9"/>
    <n v="9347.120000000001"/>
    <n v="8559"/>
    <n v="788.12"/>
  </r>
  <r>
    <x v="9"/>
    <x v="12"/>
    <x v="12"/>
    <x v="2"/>
    <n v="11"/>
    <n v="11721.58"/>
    <n v="10461"/>
    <n v="1260.58"/>
  </r>
  <r>
    <x v="10"/>
    <x v="12"/>
    <x v="12"/>
    <x v="2"/>
    <n v="16"/>
    <n v="16201.52"/>
    <n v="15216"/>
    <n v="985.52"/>
  </r>
  <r>
    <x v="11"/>
    <x v="12"/>
    <x v="12"/>
    <x v="2"/>
    <n v="19"/>
    <n v="19615.97"/>
    <n v="18069"/>
    <n v="1546.97"/>
  </r>
  <r>
    <x v="12"/>
    <x v="12"/>
    <x v="12"/>
    <x v="2"/>
    <n v="11"/>
    <n v="11305.72"/>
    <n v="10461"/>
    <n v="844.72"/>
  </r>
  <r>
    <x v="13"/>
    <x v="12"/>
    <x v="12"/>
    <x v="2"/>
    <n v="10"/>
    <n v="10321.15"/>
    <n v="9510"/>
    <n v="811.15"/>
  </r>
  <r>
    <x v="14"/>
    <x v="12"/>
    <x v="12"/>
    <x v="2"/>
    <n v="8"/>
    <n v="8178.78"/>
    <n v="7608"/>
    <n v="570.78"/>
  </r>
  <r>
    <x v="15"/>
    <x v="12"/>
    <x v="12"/>
    <x v="2"/>
    <n v="8"/>
    <n v="8220.08"/>
    <n v="7608"/>
    <n v="612.08"/>
  </r>
  <r>
    <x v="16"/>
    <x v="12"/>
    <x v="12"/>
    <x v="2"/>
    <n v="9"/>
    <n v="9408.65"/>
    <n v="8559"/>
    <n v="849.65"/>
  </r>
  <r>
    <x v="17"/>
    <x v="12"/>
    <x v="12"/>
    <x v="2"/>
    <n v="12"/>
    <n v="12601.2"/>
    <n v="11412"/>
    <n v="1189.2"/>
  </r>
  <r>
    <x v="18"/>
    <x v="12"/>
    <x v="12"/>
    <x v="2"/>
    <n v="9"/>
    <n v="9348.5"/>
    <n v="8559"/>
    <n v="789.5"/>
  </r>
  <r>
    <x v="19"/>
    <x v="12"/>
    <x v="12"/>
    <x v="2"/>
    <n v="15"/>
    <n v="15140.32"/>
    <n v="14265"/>
    <n v="875.3200000000001"/>
  </r>
  <r>
    <x v="20"/>
    <x v="12"/>
    <x v="12"/>
    <x v="2"/>
    <n v="13"/>
    <n v="13102.06"/>
    <n v="12363"/>
    <n v="739.0599999999999"/>
  </r>
  <r>
    <x v="21"/>
    <x v="12"/>
    <x v="12"/>
    <x v="2"/>
    <n v="6"/>
    <n v="5934.54"/>
    <n v="5706"/>
    <n v="228.54"/>
  </r>
  <r>
    <x v="22"/>
    <x v="12"/>
    <x v="12"/>
    <x v="2"/>
    <n v="8"/>
    <n v="8160.85"/>
    <n v="7608"/>
    <n v="552.85"/>
  </r>
  <r>
    <x v="23"/>
    <x v="12"/>
    <x v="12"/>
    <x v="2"/>
    <n v="10"/>
    <n v="9635.26"/>
    <n v="9510"/>
    <n v="125.26"/>
  </r>
  <r>
    <x v="24"/>
    <x v="12"/>
    <x v="12"/>
    <x v="2"/>
    <n v="8"/>
    <n v="7990.79"/>
    <n v="7608"/>
    <n v="382.79"/>
  </r>
  <r>
    <x v="25"/>
    <x v="12"/>
    <x v="12"/>
    <x v="2"/>
    <n v="5"/>
    <n v="4893.79"/>
    <n v="4755"/>
    <n v="138.79"/>
  </r>
  <r>
    <x v="0"/>
    <x v="13"/>
    <x v="13"/>
    <x v="2"/>
    <n v="9"/>
    <n v="9924.129999999999"/>
    <n v="8757"/>
    <n v="1167.13"/>
  </r>
  <r>
    <x v="1"/>
    <x v="13"/>
    <x v="13"/>
    <x v="2"/>
    <n v="9"/>
    <n v="10154.42"/>
    <n v="8757"/>
    <n v="1397.42"/>
  </r>
  <r>
    <x v="2"/>
    <x v="13"/>
    <x v="13"/>
    <x v="2"/>
    <n v="10"/>
    <n v="10693.96"/>
    <n v="9730"/>
    <n v="963.96"/>
  </r>
  <r>
    <x v="3"/>
    <x v="13"/>
    <x v="13"/>
    <x v="2"/>
    <n v="4"/>
    <n v="4550.54"/>
    <n v="3892"/>
    <n v="658.54"/>
  </r>
  <r>
    <x v="4"/>
    <x v="13"/>
    <x v="13"/>
    <x v="2"/>
    <n v="10"/>
    <n v="11156.25"/>
    <n v="9730"/>
    <n v="1426.25"/>
  </r>
  <r>
    <x v="5"/>
    <x v="13"/>
    <x v="13"/>
    <x v="2"/>
    <n v="5"/>
    <n v="5411.13"/>
    <n v="4865"/>
    <n v="546.13"/>
  </r>
  <r>
    <x v="6"/>
    <x v="13"/>
    <x v="13"/>
    <x v="2"/>
    <n v="10"/>
    <n v="10581.92"/>
    <n v="9730"/>
    <n v="851.92"/>
  </r>
  <r>
    <x v="7"/>
    <x v="13"/>
    <x v="13"/>
    <x v="2"/>
    <n v="16"/>
    <n v="17217.57"/>
    <n v="15568"/>
    <n v="1649.57"/>
  </r>
  <r>
    <x v="8"/>
    <x v="13"/>
    <x v="13"/>
    <x v="2"/>
    <n v="12"/>
    <n v="13186.62"/>
    <n v="11676"/>
    <n v="1510.62"/>
  </r>
  <r>
    <x v="9"/>
    <x v="13"/>
    <x v="13"/>
    <x v="2"/>
    <n v="11"/>
    <n v="11953.08"/>
    <n v="10703"/>
    <n v="1250.08"/>
  </r>
  <r>
    <x v="10"/>
    <x v="13"/>
    <x v="13"/>
    <x v="2"/>
    <n v="11"/>
    <n v="11809.73"/>
    <n v="10703"/>
    <n v="1106.73"/>
  </r>
  <r>
    <x v="11"/>
    <x v="13"/>
    <x v="13"/>
    <x v="2"/>
    <n v="16"/>
    <n v="16723.07"/>
    <n v="15568"/>
    <n v="1155.07"/>
  </r>
  <r>
    <x v="12"/>
    <x v="13"/>
    <x v="13"/>
    <x v="2"/>
    <n v="11"/>
    <n v="11464.48"/>
    <n v="10703"/>
    <n v="761.48"/>
  </r>
  <r>
    <x v="13"/>
    <x v="13"/>
    <x v="13"/>
    <x v="2"/>
    <n v="8"/>
    <n v="8372.870000000001"/>
    <n v="7784"/>
    <n v="588.87"/>
  </r>
  <r>
    <x v="14"/>
    <x v="13"/>
    <x v="13"/>
    <x v="2"/>
    <n v="8"/>
    <n v="8445.43"/>
    <n v="7784"/>
    <n v="661.4299999999999"/>
  </r>
  <r>
    <x v="15"/>
    <x v="13"/>
    <x v="13"/>
    <x v="2"/>
    <n v="11"/>
    <n v="11684.71"/>
    <n v="10703"/>
    <n v="981.71"/>
  </r>
  <r>
    <x v="16"/>
    <x v="13"/>
    <x v="13"/>
    <x v="2"/>
    <n v="11"/>
    <n v="11154.78"/>
    <n v="10703"/>
    <n v="451.78"/>
  </r>
  <r>
    <x v="17"/>
    <x v="13"/>
    <x v="13"/>
    <x v="2"/>
    <n v="6"/>
    <n v="6323.91"/>
    <n v="5838"/>
    <n v="485.91"/>
  </r>
  <r>
    <x v="18"/>
    <x v="13"/>
    <x v="13"/>
    <x v="2"/>
    <n v="6"/>
    <n v="6088.75"/>
    <n v="5838"/>
    <n v="250.75"/>
  </r>
  <r>
    <x v="19"/>
    <x v="13"/>
    <x v="13"/>
    <x v="2"/>
    <n v="10"/>
    <n v="10408.73"/>
    <n v="9730"/>
    <n v="678.73"/>
  </r>
  <r>
    <x v="20"/>
    <x v="13"/>
    <x v="13"/>
    <x v="2"/>
    <n v="7"/>
    <n v="7248.25"/>
    <n v="6811"/>
    <n v="437.25"/>
  </r>
  <r>
    <x v="21"/>
    <x v="13"/>
    <x v="13"/>
    <x v="2"/>
    <n v="5"/>
    <n v="5007.82"/>
    <n v="4865"/>
    <n v="142.82"/>
  </r>
  <r>
    <x v="22"/>
    <x v="13"/>
    <x v="13"/>
    <x v="2"/>
    <n v="12"/>
    <n v="12579.8"/>
    <n v="11676"/>
    <n v="903.8"/>
  </r>
  <r>
    <x v="23"/>
    <x v="13"/>
    <x v="13"/>
    <x v="2"/>
    <n v="4"/>
    <n v="3920.32"/>
    <n v="3892"/>
    <n v="28.32"/>
  </r>
  <r>
    <x v="24"/>
    <x v="13"/>
    <x v="13"/>
    <x v="2"/>
    <n v="4"/>
    <n v="3900.56"/>
    <n v="3892"/>
    <n v="8.56"/>
  </r>
  <r>
    <x v="25"/>
    <x v="13"/>
    <x v="13"/>
    <x v="2"/>
    <n v="6"/>
    <n v="6005.91"/>
    <n v="5838"/>
    <n v="167.91"/>
  </r>
  <r>
    <x v="0"/>
    <x v="14"/>
    <x v="14"/>
    <x v="2"/>
    <n v="9"/>
    <n v="11012.29"/>
    <n v="9261"/>
    <n v="1751.29"/>
  </r>
  <r>
    <x v="1"/>
    <x v="14"/>
    <x v="14"/>
    <x v="2"/>
    <n v="8"/>
    <n v="9521.25"/>
    <n v="8232"/>
    <n v="1289.25"/>
  </r>
  <r>
    <x v="2"/>
    <x v="14"/>
    <x v="14"/>
    <x v="2"/>
    <n v="6"/>
    <n v="7268.33"/>
    <n v="6174"/>
    <n v="1094.33"/>
  </r>
  <r>
    <x v="3"/>
    <x v="14"/>
    <x v="14"/>
    <x v="2"/>
    <n v="8"/>
    <n v="9520.51"/>
    <n v="8232"/>
    <n v="1288.51"/>
  </r>
  <r>
    <x v="4"/>
    <x v="14"/>
    <x v="14"/>
    <x v="2"/>
    <n v="11"/>
    <n v="12754.73"/>
    <n v="11319"/>
    <n v="1435.73"/>
  </r>
  <r>
    <x v="5"/>
    <x v="14"/>
    <x v="14"/>
    <x v="2"/>
    <n v="8"/>
    <n v="9687.030000000001"/>
    <n v="8232"/>
    <n v="1455.03"/>
  </r>
  <r>
    <x v="6"/>
    <x v="14"/>
    <x v="14"/>
    <x v="2"/>
    <n v="5"/>
    <n v="5794.37"/>
    <n v="5145"/>
    <n v="649.37"/>
  </r>
  <r>
    <x v="7"/>
    <x v="14"/>
    <x v="14"/>
    <x v="2"/>
    <n v="5"/>
    <n v="6053.37"/>
    <n v="5145"/>
    <n v="908.37"/>
  </r>
  <r>
    <x v="8"/>
    <x v="14"/>
    <x v="14"/>
    <x v="2"/>
    <n v="8"/>
    <n v="9614.85"/>
    <n v="8232"/>
    <n v="1382.85"/>
  </r>
  <r>
    <x v="9"/>
    <x v="14"/>
    <x v="14"/>
    <x v="2"/>
    <n v="13"/>
    <n v="14823.55"/>
    <n v="13377"/>
    <n v="1446.55"/>
  </r>
  <r>
    <x v="10"/>
    <x v="14"/>
    <x v="14"/>
    <x v="2"/>
    <n v="8"/>
    <n v="9582.370000000001"/>
    <n v="8232"/>
    <n v="1350.37"/>
  </r>
  <r>
    <x v="11"/>
    <x v="14"/>
    <x v="14"/>
    <x v="2"/>
    <n v="14"/>
    <n v="16313.01"/>
    <n v="14406"/>
    <n v="1907.01"/>
  </r>
  <r>
    <x v="12"/>
    <x v="14"/>
    <x v="14"/>
    <x v="2"/>
    <n v="13"/>
    <n v="14951.48"/>
    <n v="13377"/>
    <n v="1574.48"/>
  </r>
  <r>
    <x v="13"/>
    <x v="14"/>
    <x v="14"/>
    <x v="2"/>
    <n v="9"/>
    <n v="10267.52"/>
    <n v="9261"/>
    <n v="1006.52"/>
  </r>
  <r>
    <x v="14"/>
    <x v="14"/>
    <x v="14"/>
    <x v="2"/>
    <n v="8"/>
    <n v="9153.41"/>
    <n v="8232"/>
    <n v="921.41"/>
  </r>
  <r>
    <x v="15"/>
    <x v="14"/>
    <x v="14"/>
    <x v="2"/>
    <n v="8"/>
    <n v="9508.43"/>
    <n v="8232"/>
    <n v="1276.43"/>
  </r>
  <r>
    <x v="16"/>
    <x v="14"/>
    <x v="14"/>
    <x v="2"/>
    <n v="18"/>
    <n v="20871.8"/>
    <n v="18522"/>
    <n v="2349.8"/>
  </r>
  <r>
    <x v="17"/>
    <x v="14"/>
    <x v="14"/>
    <x v="2"/>
    <n v="12"/>
    <n v="13855.42"/>
    <n v="12348"/>
    <n v="1507.42"/>
  </r>
  <r>
    <x v="18"/>
    <x v="14"/>
    <x v="14"/>
    <x v="2"/>
    <n v="7"/>
    <n v="7948.49"/>
    <n v="7203"/>
    <n v="745.49"/>
  </r>
  <r>
    <x v="19"/>
    <x v="14"/>
    <x v="14"/>
    <x v="2"/>
    <n v="14"/>
    <n v="16124.57"/>
    <n v="14406"/>
    <n v="1718.57"/>
  </r>
  <r>
    <x v="20"/>
    <x v="14"/>
    <x v="14"/>
    <x v="2"/>
    <n v="11"/>
    <n v="13005.96"/>
    <n v="11319"/>
    <n v="1686.96"/>
  </r>
  <r>
    <x v="21"/>
    <x v="14"/>
    <x v="14"/>
    <x v="2"/>
    <n v="8"/>
    <n v="9286.91"/>
    <n v="8232"/>
    <n v="1054.91"/>
  </r>
  <r>
    <x v="22"/>
    <x v="14"/>
    <x v="14"/>
    <x v="2"/>
    <n v="10"/>
    <n v="11143.12"/>
    <n v="10290"/>
    <n v="853.12"/>
  </r>
  <r>
    <x v="23"/>
    <x v="14"/>
    <x v="14"/>
    <x v="2"/>
    <n v="6"/>
    <n v="6792.57"/>
    <n v="6174"/>
    <n v="618.5700000000001"/>
  </r>
  <r>
    <x v="24"/>
    <x v="14"/>
    <x v="14"/>
    <x v="2"/>
    <n v="14"/>
    <n v="15653.07"/>
    <n v="14406"/>
    <n v="1247.07"/>
  </r>
  <r>
    <x v="25"/>
    <x v="14"/>
    <x v="14"/>
    <x v="2"/>
    <n v="14"/>
    <n v="15478"/>
    <n v="14406"/>
    <n v="1072"/>
  </r>
  <r>
    <x v="0"/>
    <x v="15"/>
    <x v="15"/>
    <x v="2"/>
    <n v="11"/>
    <n v="17866.19"/>
    <n v="15433"/>
    <n v="2433.19"/>
  </r>
  <r>
    <x v="1"/>
    <x v="15"/>
    <x v="15"/>
    <x v="2"/>
    <n v="9"/>
    <n v="14533.51"/>
    <n v="12627"/>
    <n v="1906.51"/>
  </r>
  <r>
    <x v="2"/>
    <x v="15"/>
    <x v="15"/>
    <x v="2"/>
    <n v="8"/>
    <n v="12691.23"/>
    <n v="11224"/>
    <n v="1467.23"/>
  </r>
  <r>
    <x v="3"/>
    <x v="15"/>
    <x v="15"/>
    <x v="2"/>
    <n v="7"/>
    <n v="11275.07"/>
    <n v="9821"/>
    <n v="1454.07"/>
  </r>
  <r>
    <x v="4"/>
    <x v="15"/>
    <x v="15"/>
    <x v="2"/>
    <n v="12"/>
    <n v="18718.91"/>
    <n v="16836"/>
    <n v="1882.91"/>
  </r>
  <r>
    <x v="5"/>
    <x v="15"/>
    <x v="15"/>
    <x v="2"/>
    <n v="10"/>
    <n v="16090.01"/>
    <n v="14030"/>
    <n v="2060.01"/>
  </r>
  <r>
    <x v="6"/>
    <x v="15"/>
    <x v="15"/>
    <x v="2"/>
    <n v="10"/>
    <n v="16026.47"/>
    <n v="14030"/>
    <n v="1996.47"/>
  </r>
  <r>
    <x v="7"/>
    <x v="15"/>
    <x v="15"/>
    <x v="2"/>
    <n v="12"/>
    <n v="18644.9"/>
    <n v="16836"/>
    <n v="1808.9"/>
  </r>
  <r>
    <x v="8"/>
    <x v="15"/>
    <x v="15"/>
    <x v="2"/>
    <n v="11"/>
    <n v="18021.51"/>
    <n v="15433"/>
    <n v="2588.51"/>
  </r>
  <r>
    <x v="9"/>
    <x v="15"/>
    <x v="15"/>
    <x v="2"/>
    <n v="7"/>
    <n v="10852.69"/>
    <n v="9821"/>
    <n v="1031.69"/>
  </r>
  <r>
    <x v="10"/>
    <x v="15"/>
    <x v="15"/>
    <x v="2"/>
    <n v="11"/>
    <n v="17401.87"/>
    <n v="15433"/>
    <n v="1968.87"/>
  </r>
  <r>
    <x v="11"/>
    <x v="15"/>
    <x v="15"/>
    <x v="2"/>
    <n v="12"/>
    <n v="19244.27"/>
    <n v="16836"/>
    <n v="2408.27"/>
  </r>
  <r>
    <x v="12"/>
    <x v="15"/>
    <x v="15"/>
    <x v="2"/>
    <n v="8"/>
    <n v="12610.65"/>
    <n v="11224"/>
    <n v="1386.65"/>
  </r>
  <r>
    <x v="13"/>
    <x v="15"/>
    <x v="15"/>
    <x v="2"/>
    <n v="10"/>
    <n v="15738.43"/>
    <n v="14030"/>
    <n v="1708.43"/>
  </r>
  <r>
    <x v="14"/>
    <x v="15"/>
    <x v="15"/>
    <x v="2"/>
    <n v="7"/>
    <n v="10751.61"/>
    <n v="9821"/>
    <n v="930.61"/>
  </r>
  <r>
    <x v="15"/>
    <x v="15"/>
    <x v="15"/>
    <x v="2"/>
    <n v="8"/>
    <n v="12387.63"/>
    <n v="11224"/>
    <n v="1163.63"/>
  </r>
  <r>
    <x v="16"/>
    <x v="15"/>
    <x v="15"/>
    <x v="2"/>
    <n v="13"/>
    <n v="20331.73"/>
    <n v="18239"/>
    <n v="2092.73"/>
  </r>
  <r>
    <x v="17"/>
    <x v="15"/>
    <x v="15"/>
    <x v="2"/>
    <n v="4"/>
    <n v="6223.66"/>
    <n v="5612"/>
    <n v="611.66"/>
  </r>
  <r>
    <x v="18"/>
    <x v="15"/>
    <x v="15"/>
    <x v="2"/>
    <n v="8"/>
    <n v="12099.69"/>
    <n v="11224"/>
    <n v="875.6900000000001"/>
  </r>
  <r>
    <x v="19"/>
    <x v="15"/>
    <x v="15"/>
    <x v="2"/>
    <n v="12"/>
    <n v="18671.36"/>
    <n v="16836"/>
    <n v="1835.36"/>
  </r>
  <r>
    <x v="20"/>
    <x v="15"/>
    <x v="15"/>
    <x v="2"/>
    <n v="10"/>
    <n v="15348.81"/>
    <n v="14030"/>
    <n v="1318.81"/>
  </r>
  <r>
    <x v="21"/>
    <x v="15"/>
    <x v="15"/>
    <x v="2"/>
    <n v="12"/>
    <n v="18742.73"/>
    <n v="16836"/>
    <n v="1906.73"/>
  </r>
  <r>
    <x v="22"/>
    <x v="15"/>
    <x v="15"/>
    <x v="2"/>
    <n v="8"/>
    <n v="12735.42"/>
    <n v="11224"/>
    <n v="1511.42"/>
  </r>
  <r>
    <x v="23"/>
    <x v="15"/>
    <x v="15"/>
    <x v="2"/>
    <n v="6"/>
    <n v="9504.75"/>
    <n v="8418"/>
    <n v="1086.75"/>
  </r>
  <r>
    <x v="24"/>
    <x v="15"/>
    <x v="15"/>
    <x v="2"/>
    <n v="6"/>
    <n v="9345.43"/>
    <n v="8418"/>
    <n v="927.4299999999999"/>
  </r>
  <r>
    <x v="25"/>
    <x v="15"/>
    <x v="15"/>
    <x v="2"/>
    <n v="10"/>
    <n v="14998.05"/>
    <n v="14030"/>
    <n v="968.05"/>
  </r>
  <r>
    <x v="0"/>
    <x v="16"/>
    <x v="16"/>
    <x v="2"/>
    <n v="11"/>
    <n v="17831.32"/>
    <n v="15631"/>
    <n v="2200.32"/>
  </r>
  <r>
    <x v="1"/>
    <x v="16"/>
    <x v="16"/>
    <x v="2"/>
    <n v="11"/>
    <n v="18147.87"/>
    <n v="15631"/>
    <n v="2516.87"/>
  </r>
  <r>
    <x v="2"/>
    <x v="16"/>
    <x v="16"/>
    <x v="2"/>
    <n v="16"/>
    <n v="26845.96"/>
    <n v="22736"/>
    <n v="4109.96"/>
  </r>
  <r>
    <x v="3"/>
    <x v="16"/>
    <x v="16"/>
    <x v="2"/>
    <n v="13"/>
    <n v="20429.04"/>
    <n v="18473"/>
    <n v="1956.04"/>
  </r>
  <r>
    <x v="4"/>
    <x v="16"/>
    <x v="16"/>
    <x v="2"/>
    <n v="5"/>
    <n v="7809.16"/>
    <n v="7105"/>
    <n v="704.16"/>
  </r>
  <r>
    <x v="5"/>
    <x v="16"/>
    <x v="16"/>
    <x v="2"/>
    <n v="13"/>
    <n v="20964.86"/>
    <n v="18473"/>
    <n v="2491.86"/>
  </r>
  <r>
    <x v="6"/>
    <x v="16"/>
    <x v="16"/>
    <x v="2"/>
    <n v="10"/>
    <n v="15653.49"/>
    <n v="14210"/>
    <n v="1443.49"/>
  </r>
  <r>
    <x v="7"/>
    <x v="16"/>
    <x v="16"/>
    <x v="2"/>
    <n v="16"/>
    <n v="25055.54"/>
    <n v="22736"/>
    <n v="2319.54"/>
  </r>
  <r>
    <x v="8"/>
    <x v="16"/>
    <x v="16"/>
    <x v="2"/>
    <n v="11"/>
    <n v="17827.65"/>
    <n v="15631"/>
    <n v="2196.65"/>
  </r>
  <r>
    <x v="9"/>
    <x v="16"/>
    <x v="16"/>
    <x v="2"/>
    <n v="10"/>
    <n v="15236.59"/>
    <n v="14210"/>
    <n v="1026.59"/>
  </r>
  <r>
    <x v="10"/>
    <x v="16"/>
    <x v="16"/>
    <x v="2"/>
    <n v="8"/>
    <n v="12337.3"/>
    <n v="11368"/>
    <n v="969.3"/>
  </r>
  <r>
    <x v="11"/>
    <x v="16"/>
    <x v="16"/>
    <x v="2"/>
    <n v="12"/>
    <n v="19256.03"/>
    <n v="17052"/>
    <n v="2204.03"/>
  </r>
  <r>
    <x v="12"/>
    <x v="16"/>
    <x v="16"/>
    <x v="2"/>
    <n v="14"/>
    <n v="21864.52"/>
    <n v="19894"/>
    <n v="1970.52"/>
  </r>
  <r>
    <x v="13"/>
    <x v="16"/>
    <x v="16"/>
    <x v="2"/>
    <n v="8"/>
    <n v="12115.41"/>
    <n v="11368"/>
    <n v="747.41"/>
  </r>
  <r>
    <x v="14"/>
    <x v="16"/>
    <x v="16"/>
    <x v="2"/>
    <n v="6"/>
    <n v="9060.85"/>
    <n v="8526"/>
    <n v="534.85"/>
  </r>
  <r>
    <x v="15"/>
    <x v="16"/>
    <x v="16"/>
    <x v="2"/>
    <n v="12"/>
    <n v="17807.13"/>
    <n v="17052"/>
    <n v="755.13"/>
  </r>
  <r>
    <x v="16"/>
    <x v="16"/>
    <x v="16"/>
    <x v="2"/>
    <n v="10"/>
    <n v="15488.41"/>
    <n v="14210"/>
    <n v="1278.41"/>
  </r>
  <r>
    <x v="17"/>
    <x v="16"/>
    <x v="16"/>
    <x v="2"/>
    <n v="7"/>
    <n v="10399.02"/>
    <n v="9947"/>
    <n v="452.02"/>
  </r>
  <r>
    <x v="18"/>
    <x v="16"/>
    <x v="16"/>
    <x v="2"/>
    <n v="10"/>
    <n v="14931.82"/>
    <n v="14210"/>
    <n v="721.8200000000001"/>
  </r>
  <r>
    <x v="19"/>
    <x v="16"/>
    <x v="16"/>
    <x v="2"/>
    <n v="10"/>
    <n v="14612.24"/>
    <n v="14210"/>
    <n v="402.24"/>
  </r>
  <r>
    <x v="20"/>
    <x v="16"/>
    <x v="16"/>
    <x v="2"/>
    <n v="9"/>
    <n v="13430.05"/>
    <n v="12789"/>
    <n v="641.05"/>
  </r>
  <r>
    <x v="21"/>
    <x v="16"/>
    <x v="16"/>
    <x v="2"/>
    <n v="14"/>
    <n v="20908.38"/>
    <n v="19894"/>
    <n v="1014.38"/>
  </r>
  <r>
    <x v="22"/>
    <x v="16"/>
    <x v="16"/>
    <x v="2"/>
    <n v="11"/>
    <n v="15816.53"/>
    <n v="15631"/>
    <n v="185.53"/>
  </r>
  <r>
    <x v="23"/>
    <x v="16"/>
    <x v="16"/>
    <x v="2"/>
    <n v="9"/>
    <n v="13425.31"/>
    <n v="12789"/>
    <n v="636.3099999999999"/>
  </r>
  <r>
    <x v="24"/>
    <x v="16"/>
    <x v="16"/>
    <x v="2"/>
    <n v="6"/>
    <n v="8977.969999999999"/>
    <n v="8526"/>
    <n v="451.97"/>
  </r>
  <r>
    <x v="25"/>
    <x v="16"/>
    <x v="16"/>
    <x v="2"/>
    <n v="12"/>
    <n v="17553.4"/>
    <n v="17052"/>
    <n v="501.4"/>
  </r>
  <r>
    <x v="0"/>
    <x v="17"/>
    <x v="17"/>
    <x v="2"/>
    <n v="1"/>
    <n v="1253"/>
    <n v="1056"/>
    <n v="197"/>
  </r>
  <r>
    <x v="1"/>
    <x v="17"/>
    <x v="17"/>
    <x v="2"/>
    <n v="1"/>
    <n v="1185.93"/>
    <n v="1056"/>
    <n v="129.93"/>
  </r>
  <r>
    <x v="2"/>
    <x v="17"/>
    <x v="17"/>
    <x v="2"/>
    <n v="5"/>
    <n v="6104.95"/>
    <n v="5280"/>
    <n v="824.95"/>
  </r>
  <r>
    <x v="3"/>
    <x v="17"/>
    <x v="17"/>
    <x v="2"/>
    <n v="3"/>
    <n v="3685.46"/>
    <n v="3168"/>
    <n v="517.46"/>
  </r>
  <r>
    <x v="4"/>
    <x v="17"/>
    <x v="17"/>
    <x v="2"/>
    <n v="3"/>
    <n v="3618.44"/>
    <n v="3168"/>
    <n v="450.44"/>
  </r>
  <r>
    <x v="5"/>
    <x v="17"/>
    <x v="17"/>
    <x v="2"/>
    <n v="2"/>
    <n v="2384.61"/>
    <n v="2112"/>
    <n v="272.61"/>
  </r>
  <r>
    <x v="6"/>
    <x v="17"/>
    <x v="17"/>
    <x v="2"/>
    <n v="1"/>
    <n v="1200.44"/>
    <n v="1056"/>
    <n v="144.44"/>
  </r>
  <r>
    <x v="7"/>
    <x v="17"/>
    <x v="17"/>
    <x v="2"/>
    <n v="4"/>
    <n v="4966.83"/>
    <n v="4224"/>
    <n v="742.83"/>
  </r>
  <r>
    <x v="8"/>
    <x v="17"/>
    <x v="17"/>
    <x v="2"/>
    <n v="4"/>
    <n v="4695.37"/>
    <n v="4224"/>
    <n v="471.37"/>
  </r>
  <r>
    <x v="9"/>
    <x v="17"/>
    <x v="17"/>
    <x v="2"/>
    <n v="1"/>
    <n v="1227.09"/>
    <n v="1056"/>
    <n v="171.09"/>
  </r>
  <r>
    <x v="10"/>
    <x v="17"/>
    <x v="17"/>
    <x v="2"/>
    <n v="5"/>
    <n v="5977.03"/>
    <n v="5280"/>
    <n v="697.03"/>
  </r>
  <r>
    <x v="11"/>
    <x v="17"/>
    <x v="17"/>
    <x v="2"/>
    <n v="2"/>
    <n v="2427.83"/>
    <n v="2112"/>
    <n v="315.83"/>
  </r>
  <r>
    <x v="12"/>
    <x v="17"/>
    <x v="17"/>
    <x v="2"/>
    <n v="3"/>
    <n v="3477.43"/>
    <n v="3168"/>
    <n v="309.43"/>
  </r>
  <r>
    <x v="13"/>
    <x v="17"/>
    <x v="17"/>
    <x v="2"/>
    <n v="4"/>
    <n v="4866.52"/>
    <n v="4224"/>
    <n v="642.52"/>
  </r>
  <r>
    <x v="14"/>
    <x v="17"/>
    <x v="17"/>
    <x v="2"/>
    <n v="2"/>
    <n v="2443.9"/>
    <n v="2112"/>
    <n v="331.9"/>
  </r>
  <r>
    <x v="15"/>
    <x v="17"/>
    <x v="17"/>
    <x v="2"/>
    <n v="2"/>
    <n v="2406.49"/>
    <n v="2112"/>
    <n v="294.49"/>
  </r>
  <r>
    <x v="16"/>
    <x v="17"/>
    <x v="17"/>
    <x v="2"/>
    <n v="3"/>
    <n v="3560.39"/>
    <n v="3168"/>
    <n v="392.39"/>
  </r>
  <r>
    <x v="17"/>
    <x v="17"/>
    <x v="17"/>
    <x v="2"/>
    <n v="3"/>
    <n v="3456.13"/>
    <n v="3168"/>
    <n v="288.13"/>
  </r>
  <r>
    <x v="18"/>
    <x v="17"/>
    <x v="17"/>
    <x v="2"/>
    <n v="6"/>
    <n v="7174.24"/>
    <n v="6336"/>
    <n v="838.24"/>
  </r>
  <r>
    <x v="19"/>
    <x v="17"/>
    <x v="17"/>
    <x v="2"/>
    <n v="5"/>
    <n v="5854.42"/>
    <n v="5280"/>
    <n v="574.42"/>
  </r>
  <r>
    <x v="20"/>
    <x v="17"/>
    <x v="17"/>
    <x v="2"/>
    <n v="4"/>
    <n v="4713.37"/>
    <n v="4224"/>
    <n v="489.37"/>
  </r>
  <r>
    <x v="21"/>
    <x v="17"/>
    <x v="17"/>
    <x v="2"/>
    <n v="5"/>
    <n v="5784.46"/>
    <n v="5280"/>
    <n v="504.46"/>
  </r>
  <r>
    <x v="22"/>
    <x v="17"/>
    <x v="17"/>
    <x v="2"/>
    <n v="3"/>
    <n v="3453.81"/>
    <n v="3168"/>
    <n v="285.81"/>
  </r>
  <r>
    <x v="23"/>
    <x v="17"/>
    <x v="17"/>
    <x v="2"/>
    <n v="3"/>
    <n v="3609.36"/>
    <n v="3168"/>
    <n v="441.36"/>
  </r>
  <r>
    <x v="24"/>
    <x v="17"/>
    <x v="17"/>
    <x v="2"/>
    <n v="4"/>
    <n v="4656.18"/>
    <n v="4224"/>
    <n v="432.18"/>
  </r>
  <r>
    <x v="25"/>
    <x v="17"/>
    <x v="17"/>
    <x v="2"/>
    <n v="3"/>
    <n v="3398.65"/>
    <n v="3168"/>
    <n v="230.65"/>
  </r>
  <r>
    <x v="0"/>
    <x v="24"/>
    <x v="30"/>
    <x v="5"/>
    <n v="4"/>
    <n v="4206.5"/>
    <n v="3588"/>
    <n v="618.5"/>
  </r>
  <r>
    <x v="1"/>
    <x v="24"/>
    <x v="30"/>
    <x v="5"/>
    <n v="2"/>
    <n v="2225.62"/>
    <n v="1794"/>
    <n v="431.62"/>
  </r>
  <r>
    <x v="2"/>
    <x v="24"/>
    <x v="30"/>
    <x v="5"/>
    <n v="6"/>
    <n v="6300.03"/>
    <n v="5382"/>
    <n v="918.03"/>
  </r>
  <r>
    <x v="3"/>
    <x v="24"/>
    <x v="30"/>
    <x v="5"/>
    <n v="3"/>
    <n v="3196.6"/>
    <n v="2691"/>
    <n v="505.6"/>
  </r>
  <r>
    <x v="4"/>
    <x v="24"/>
    <x v="30"/>
    <x v="5"/>
    <n v="6"/>
    <n v="6613.32"/>
    <n v="5382"/>
    <n v="1231.32"/>
  </r>
  <r>
    <x v="5"/>
    <x v="24"/>
    <x v="30"/>
    <x v="5"/>
    <n v="2"/>
    <n v="2109.19"/>
    <n v="1794"/>
    <n v="315.19"/>
  </r>
  <r>
    <x v="6"/>
    <x v="24"/>
    <x v="30"/>
    <x v="5"/>
    <n v="2"/>
    <n v="2096.1"/>
    <n v="1794"/>
    <n v="302.1"/>
  </r>
  <r>
    <x v="7"/>
    <x v="24"/>
    <x v="30"/>
    <x v="5"/>
    <n v="4"/>
    <n v="4377.32"/>
    <n v="3588"/>
    <n v="789.3200000000001"/>
  </r>
  <r>
    <x v="8"/>
    <x v="24"/>
    <x v="30"/>
    <x v="5"/>
    <n v="2"/>
    <n v="2065.43"/>
    <n v="1794"/>
    <n v="271.43"/>
  </r>
  <r>
    <x v="9"/>
    <x v="24"/>
    <x v="30"/>
    <x v="5"/>
    <n v="5"/>
    <n v="5166.88"/>
    <n v="4485"/>
    <n v="681.88"/>
  </r>
  <r>
    <x v="10"/>
    <x v="24"/>
    <x v="30"/>
    <x v="5"/>
    <n v="3"/>
    <n v="3184.17"/>
    <n v="2691"/>
    <n v="493.17"/>
  </r>
  <r>
    <x v="11"/>
    <x v="24"/>
    <x v="30"/>
    <x v="5"/>
    <n v="4"/>
    <n v="4249.49"/>
    <n v="3588"/>
    <n v="661.49"/>
  </r>
  <r>
    <x v="12"/>
    <x v="24"/>
    <x v="30"/>
    <x v="5"/>
    <n v="2"/>
    <n v="2059.86"/>
    <n v="1794"/>
    <n v="265.86"/>
  </r>
  <r>
    <x v="13"/>
    <x v="24"/>
    <x v="30"/>
    <x v="5"/>
    <n v="1"/>
    <n v="1072.15"/>
    <n v="897"/>
    <n v="175.15"/>
  </r>
  <r>
    <x v="14"/>
    <x v="24"/>
    <x v="30"/>
    <x v="5"/>
    <n v="3"/>
    <n v="3221.27"/>
    <n v="2691"/>
    <n v="530.27"/>
  </r>
  <r>
    <x v="15"/>
    <x v="24"/>
    <x v="30"/>
    <x v="5"/>
    <n v="4"/>
    <n v="4164.62"/>
    <n v="3588"/>
    <n v="576.62"/>
  </r>
  <r>
    <x v="16"/>
    <x v="24"/>
    <x v="30"/>
    <x v="5"/>
    <n v="2"/>
    <n v="2099.76"/>
    <n v="1794"/>
    <n v="305.76"/>
  </r>
  <r>
    <x v="17"/>
    <x v="24"/>
    <x v="30"/>
    <x v="5"/>
    <n v="6"/>
    <n v="6389.85"/>
    <n v="5382"/>
    <n v="1007.85"/>
  </r>
  <r>
    <x v="18"/>
    <x v="24"/>
    <x v="30"/>
    <x v="5"/>
    <n v="3"/>
    <n v="3244.17"/>
    <n v="2691"/>
    <n v="553.17"/>
  </r>
  <r>
    <x v="19"/>
    <x v="24"/>
    <x v="30"/>
    <x v="5"/>
    <n v="4"/>
    <n v="4144.48"/>
    <n v="3588"/>
    <n v="556.48"/>
  </r>
  <r>
    <x v="20"/>
    <x v="24"/>
    <x v="30"/>
    <x v="5"/>
    <n v="2"/>
    <n v="2067.26"/>
    <n v="1794"/>
    <n v="273.26"/>
  </r>
  <r>
    <x v="21"/>
    <x v="24"/>
    <x v="30"/>
    <x v="5"/>
    <n v="3"/>
    <n v="3072.03"/>
    <n v="2691"/>
    <n v="381.03"/>
  </r>
  <r>
    <x v="22"/>
    <x v="24"/>
    <x v="30"/>
    <x v="5"/>
    <n v="2"/>
    <n v="2094.85"/>
    <n v="1794"/>
    <n v="300.85"/>
  </r>
  <r>
    <x v="23"/>
    <x v="24"/>
    <x v="30"/>
    <x v="5"/>
    <n v="4"/>
    <n v="4189.6"/>
    <n v="3588"/>
    <n v="601.6"/>
  </r>
  <r>
    <x v="24"/>
    <x v="24"/>
    <x v="30"/>
    <x v="5"/>
    <n v="3"/>
    <n v="3143.21"/>
    <n v="2691"/>
    <n v="452.21"/>
  </r>
  <r>
    <x v="25"/>
    <x v="24"/>
    <x v="30"/>
    <x v="5"/>
    <n v="3"/>
    <n v="3185.84"/>
    <n v="2691"/>
    <n v="494.84"/>
  </r>
  <r>
    <x v="0"/>
    <x v="25"/>
    <x v="31"/>
    <x v="5"/>
    <n v="0"/>
    <n v="0"/>
    <n v="0"/>
    <n v="0"/>
  </r>
  <r>
    <x v="1"/>
    <x v="25"/>
    <x v="31"/>
    <x v="5"/>
    <n v="3"/>
    <n v="3596.28"/>
    <n v="2979"/>
    <n v="617.28"/>
  </r>
  <r>
    <x v="2"/>
    <x v="25"/>
    <x v="31"/>
    <x v="5"/>
    <n v="6"/>
    <n v="7032.52"/>
    <n v="5958"/>
    <n v="1074.52"/>
  </r>
  <r>
    <x v="3"/>
    <x v="25"/>
    <x v="31"/>
    <x v="5"/>
    <n v="3"/>
    <n v="3559.98"/>
    <n v="2979"/>
    <n v="580.98"/>
  </r>
  <r>
    <x v="4"/>
    <x v="25"/>
    <x v="31"/>
    <x v="5"/>
    <n v="3"/>
    <n v="3657.27"/>
    <n v="2979"/>
    <n v="678.27"/>
  </r>
  <r>
    <x v="5"/>
    <x v="25"/>
    <x v="31"/>
    <x v="5"/>
    <n v="3"/>
    <n v="3617.14"/>
    <n v="2979"/>
    <n v="638.14"/>
  </r>
  <r>
    <x v="6"/>
    <x v="25"/>
    <x v="31"/>
    <x v="5"/>
    <n v="5"/>
    <n v="5857.4"/>
    <n v="4965"/>
    <n v="892.4"/>
  </r>
  <r>
    <x v="7"/>
    <x v="25"/>
    <x v="31"/>
    <x v="5"/>
    <n v="5"/>
    <n v="5741.8"/>
    <n v="4965"/>
    <n v="776.8"/>
  </r>
  <r>
    <x v="8"/>
    <x v="25"/>
    <x v="31"/>
    <x v="5"/>
    <n v="7"/>
    <n v="7828.08"/>
    <n v="6951"/>
    <n v="877.08"/>
  </r>
  <r>
    <x v="9"/>
    <x v="25"/>
    <x v="31"/>
    <x v="5"/>
    <n v="4"/>
    <n v="4680.12"/>
    <n v="3972"/>
    <n v="708.12"/>
  </r>
  <r>
    <x v="10"/>
    <x v="25"/>
    <x v="31"/>
    <x v="5"/>
    <n v="7"/>
    <n v="7795.09"/>
    <n v="6951"/>
    <n v="844.09"/>
  </r>
  <r>
    <x v="11"/>
    <x v="25"/>
    <x v="31"/>
    <x v="5"/>
    <n v="9"/>
    <n v="10638.5"/>
    <n v="8937"/>
    <n v="1701.5"/>
  </r>
  <r>
    <x v="12"/>
    <x v="25"/>
    <x v="31"/>
    <x v="5"/>
    <n v="5"/>
    <n v="5800.79"/>
    <n v="4965"/>
    <n v="835.79"/>
  </r>
  <r>
    <x v="13"/>
    <x v="25"/>
    <x v="31"/>
    <x v="5"/>
    <n v="5"/>
    <n v="5477.07"/>
    <n v="4965"/>
    <n v="512.0700000000001"/>
  </r>
  <r>
    <x v="14"/>
    <x v="25"/>
    <x v="31"/>
    <x v="5"/>
    <n v="5"/>
    <n v="5705.75"/>
    <n v="4965"/>
    <n v="740.75"/>
  </r>
  <r>
    <x v="15"/>
    <x v="25"/>
    <x v="31"/>
    <x v="5"/>
    <n v="6"/>
    <n v="6982.05"/>
    <n v="5958"/>
    <n v="1024.05"/>
  </r>
  <r>
    <x v="16"/>
    <x v="25"/>
    <x v="31"/>
    <x v="5"/>
    <n v="8"/>
    <n v="9242.73"/>
    <n v="7944"/>
    <n v="1298.73"/>
  </r>
  <r>
    <x v="17"/>
    <x v="25"/>
    <x v="31"/>
    <x v="5"/>
    <n v="3"/>
    <n v="3373.33"/>
    <n v="2979"/>
    <n v="394.33"/>
  </r>
  <r>
    <x v="18"/>
    <x v="25"/>
    <x v="31"/>
    <x v="5"/>
    <n v="4"/>
    <n v="4547.69"/>
    <n v="3972"/>
    <n v="575.6900000000001"/>
  </r>
  <r>
    <x v="19"/>
    <x v="25"/>
    <x v="31"/>
    <x v="5"/>
    <n v="0"/>
    <n v="0"/>
    <n v="0"/>
    <n v="0"/>
  </r>
  <r>
    <x v="20"/>
    <x v="25"/>
    <x v="31"/>
    <x v="5"/>
    <n v="6"/>
    <n v="6792.98"/>
    <n v="5958"/>
    <n v="834.98"/>
  </r>
  <r>
    <x v="21"/>
    <x v="25"/>
    <x v="31"/>
    <x v="5"/>
    <n v="4"/>
    <n v="4486.22"/>
    <n v="3972"/>
    <n v="514.22"/>
  </r>
  <r>
    <x v="22"/>
    <x v="25"/>
    <x v="31"/>
    <x v="5"/>
    <n v="2"/>
    <n v="2214.07"/>
    <n v="1986"/>
    <n v="228.07"/>
  </r>
  <r>
    <x v="23"/>
    <x v="25"/>
    <x v="31"/>
    <x v="5"/>
    <n v="1"/>
    <n v="1049.8"/>
    <n v="993"/>
    <n v="56.8"/>
  </r>
  <r>
    <x v="24"/>
    <x v="25"/>
    <x v="31"/>
    <x v="5"/>
    <n v="2"/>
    <n v="2094.66"/>
    <n v="1986"/>
    <n v="108.66"/>
  </r>
  <r>
    <x v="25"/>
    <x v="25"/>
    <x v="31"/>
    <x v="5"/>
    <n v="2"/>
    <n v="2109.79"/>
    <n v="1986"/>
    <n v="123.79"/>
  </r>
  <r>
    <x v="0"/>
    <x v="26"/>
    <x v="32"/>
    <x v="5"/>
    <n v="3"/>
    <n v="3361.95"/>
    <n v="2805"/>
    <n v="556.95"/>
  </r>
  <r>
    <x v="1"/>
    <x v="26"/>
    <x v="32"/>
    <x v="5"/>
    <n v="5"/>
    <n v="5428.71"/>
    <n v="4675"/>
    <n v="753.71"/>
  </r>
  <r>
    <x v="2"/>
    <x v="26"/>
    <x v="32"/>
    <x v="5"/>
    <n v="3"/>
    <n v="3348.82"/>
    <n v="2805"/>
    <n v="543.8200000000001"/>
  </r>
  <r>
    <x v="3"/>
    <x v="26"/>
    <x v="32"/>
    <x v="5"/>
    <n v="2"/>
    <n v="2301.36"/>
    <n v="1870"/>
    <n v="431.36"/>
  </r>
  <r>
    <x v="4"/>
    <x v="26"/>
    <x v="32"/>
    <x v="5"/>
    <n v="4"/>
    <n v="4339.12"/>
    <n v="3740"/>
    <n v="599.12"/>
  </r>
  <r>
    <x v="5"/>
    <x v="26"/>
    <x v="32"/>
    <x v="5"/>
    <n v="6"/>
    <n v="6666.22"/>
    <n v="5610"/>
    <n v="1056.22"/>
  </r>
  <r>
    <x v="6"/>
    <x v="26"/>
    <x v="32"/>
    <x v="5"/>
    <n v="3"/>
    <n v="3206.31"/>
    <n v="2805"/>
    <n v="401.31"/>
  </r>
  <r>
    <x v="7"/>
    <x v="26"/>
    <x v="32"/>
    <x v="5"/>
    <n v="3"/>
    <n v="3388.45"/>
    <n v="2805"/>
    <n v="583.45"/>
  </r>
  <r>
    <x v="8"/>
    <x v="26"/>
    <x v="32"/>
    <x v="5"/>
    <n v="3"/>
    <n v="3301.6"/>
    <n v="2805"/>
    <n v="496.6"/>
  </r>
  <r>
    <x v="9"/>
    <x v="26"/>
    <x v="32"/>
    <x v="5"/>
    <n v="4"/>
    <n v="4397.63"/>
    <n v="3740"/>
    <n v="657.63"/>
  </r>
  <r>
    <x v="10"/>
    <x v="26"/>
    <x v="32"/>
    <x v="5"/>
    <n v="4"/>
    <n v="4193.96"/>
    <n v="3740"/>
    <n v="453.96"/>
  </r>
  <r>
    <x v="11"/>
    <x v="26"/>
    <x v="32"/>
    <x v="5"/>
    <n v="4"/>
    <n v="4465.81"/>
    <n v="3740"/>
    <n v="725.8099999999999"/>
  </r>
  <r>
    <x v="12"/>
    <x v="26"/>
    <x v="32"/>
    <x v="5"/>
    <n v="3"/>
    <n v="3126.37"/>
    <n v="2805"/>
    <n v="321.37"/>
  </r>
  <r>
    <x v="13"/>
    <x v="26"/>
    <x v="32"/>
    <x v="5"/>
    <n v="1"/>
    <n v="1107.15"/>
    <n v="935"/>
    <n v="172.15"/>
  </r>
  <r>
    <x v="14"/>
    <x v="26"/>
    <x v="32"/>
    <x v="5"/>
    <n v="2"/>
    <n v="2058.53"/>
    <n v="1870"/>
    <n v="188.53"/>
  </r>
  <r>
    <x v="15"/>
    <x v="26"/>
    <x v="32"/>
    <x v="5"/>
    <n v="2"/>
    <n v="2169.88"/>
    <n v="1870"/>
    <n v="299.88"/>
  </r>
  <r>
    <x v="16"/>
    <x v="26"/>
    <x v="32"/>
    <x v="5"/>
    <n v="3"/>
    <n v="3244.29"/>
    <n v="2805"/>
    <n v="439.29"/>
  </r>
  <r>
    <x v="17"/>
    <x v="26"/>
    <x v="32"/>
    <x v="5"/>
    <n v="3"/>
    <n v="3253.46"/>
    <n v="2805"/>
    <n v="448.46"/>
  </r>
  <r>
    <x v="18"/>
    <x v="26"/>
    <x v="32"/>
    <x v="5"/>
    <n v="3"/>
    <n v="3095.28"/>
    <n v="2805"/>
    <n v="290.28"/>
  </r>
  <r>
    <x v="19"/>
    <x v="26"/>
    <x v="32"/>
    <x v="5"/>
    <n v="3"/>
    <n v="3189.71"/>
    <n v="2805"/>
    <n v="384.71"/>
  </r>
  <r>
    <x v="20"/>
    <x v="26"/>
    <x v="32"/>
    <x v="5"/>
    <n v="2"/>
    <n v="2066.95"/>
    <n v="1870"/>
    <n v="196.95"/>
  </r>
  <r>
    <x v="21"/>
    <x v="26"/>
    <x v="32"/>
    <x v="5"/>
    <n v="7"/>
    <n v="7364.74"/>
    <n v="6545"/>
    <n v="819.74"/>
  </r>
  <r>
    <x v="22"/>
    <x v="26"/>
    <x v="32"/>
    <x v="5"/>
    <n v="4"/>
    <n v="4202.6"/>
    <n v="3740"/>
    <n v="462.6"/>
  </r>
  <r>
    <x v="23"/>
    <x v="26"/>
    <x v="32"/>
    <x v="5"/>
    <n v="5"/>
    <n v="5058.41"/>
    <n v="4675"/>
    <n v="383.41"/>
  </r>
  <r>
    <x v="24"/>
    <x v="26"/>
    <x v="32"/>
    <x v="5"/>
    <n v="4"/>
    <n v="4034.36"/>
    <n v="3740"/>
    <n v="294.36"/>
  </r>
  <r>
    <x v="25"/>
    <x v="26"/>
    <x v="32"/>
    <x v="5"/>
    <n v="4"/>
    <n v="3995.69"/>
    <n v="3740"/>
    <n v="255.69"/>
  </r>
  <r>
    <x v="0"/>
    <x v="27"/>
    <x v="33"/>
    <x v="5"/>
    <n v="7"/>
    <n v="3945.34"/>
    <n v="3199"/>
    <n v="746.34"/>
  </r>
  <r>
    <x v="1"/>
    <x v="27"/>
    <x v="33"/>
    <x v="5"/>
    <n v="8"/>
    <n v="4527.92"/>
    <n v="3656"/>
    <n v="871.92"/>
  </r>
  <r>
    <x v="2"/>
    <x v="27"/>
    <x v="33"/>
    <x v="5"/>
    <n v="6"/>
    <n v="3178.53"/>
    <n v="2742"/>
    <n v="436.53"/>
  </r>
  <r>
    <x v="3"/>
    <x v="27"/>
    <x v="33"/>
    <x v="5"/>
    <n v="4"/>
    <n v="2126.33"/>
    <n v="1828"/>
    <n v="298.33"/>
  </r>
  <r>
    <x v="4"/>
    <x v="27"/>
    <x v="33"/>
    <x v="5"/>
    <n v="6"/>
    <n v="3338.53"/>
    <n v="2742"/>
    <n v="596.53"/>
  </r>
  <r>
    <x v="5"/>
    <x v="27"/>
    <x v="33"/>
    <x v="5"/>
    <n v="6"/>
    <n v="3253.48"/>
    <n v="2742"/>
    <n v="511.48"/>
  </r>
  <r>
    <x v="6"/>
    <x v="27"/>
    <x v="33"/>
    <x v="5"/>
    <n v="3"/>
    <n v="1639.88"/>
    <n v="1371"/>
    <n v="268.88"/>
  </r>
  <r>
    <x v="7"/>
    <x v="27"/>
    <x v="33"/>
    <x v="5"/>
    <n v="6"/>
    <n v="3259.57"/>
    <n v="2742"/>
    <n v="517.5700000000001"/>
  </r>
  <r>
    <x v="8"/>
    <x v="27"/>
    <x v="33"/>
    <x v="5"/>
    <n v="4"/>
    <n v="2123.34"/>
    <n v="1828"/>
    <n v="295.34"/>
  </r>
  <r>
    <x v="9"/>
    <x v="27"/>
    <x v="33"/>
    <x v="5"/>
    <n v="3"/>
    <n v="1567.03"/>
    <n v="1371"/>
    <n v="196.03"/>
  </r>
  <r>
    <x v="10"/>
    <x v="27"/>
    <x v="33"/>
    <x v="5"/>
    <n v="3"/>
    <n v="1553.87"/>
    <n v="1371"/>
    <n v="182.87"/>
  </r>
  <r>
    <x v="11"/>
    <x v="27"/>
    <x v="33"/>
    <x v="5"/>
    <n v="5"/>
    <n v="2569.25"/>
    <n v="2285"/>
    <n v="284.25"/>
  </r>
  <r>
    <x v="12"/>
    <x v="27"/>
    <x v="33"/>
    <x v="5"/>
    <n v="4"/>
    <n v="2156.06"/>
    <n v="1828"/>
    <n v="328.06"/>
  </r>
  <r>
    <x v="13"/>
    <x v="27"/>
    <x v="33"/>
    <x v="5"/>
    <n v="5"/>
    <n v="2643.63"/>
    <n v="2285"/>
    <n v="358.63"/>
  </r>
  <r>
    <x v="14"/>
    <x v="27"/>
    <x v="33"/>
    <x v="5"/>
    <n v="4"/>
    <n v="2147.43"/>
    <n v="1828"/>
    <n v="319.43"/>
  </r>
  <r>
    <x v="15"/>
    <x v="27"/>
    <x v="33"/>
    <x v="5"/>
    <n v="2"/>
    <n v="1049.01"/>
    <n v="914"/>
    <n v="135.01"/>
  </r>
  <r>
    <x v="16"/>
    <x v="27"/>
    <x v="33"/>
    <x v="5"/>
    <n v="1"/>
    <n v="510.06"/>
    <n v="457"/>
    <n v="53.06"/>
  </r>
  <r>
    <x v="17"/>
    <x v="27"/>
    <x v="33"/>
    <x v="5"/>
    <n v="3"/>
    <n v="1570.93"/>
    <n v="1371"/>
    <n v="199.93"/>
  </r>
  <r>
    <x v="18"/>
    <x v="27"/>
    <x v="33"/>
    <x v="5"/>
    <n v="6"/>
    <n v="2970.78"/>
    <n v="2742"/>
    <n v="228.78"/>
  </r>
  <r>
    <x v="19"/>
    <x v="27"/>
    <x v="33"/>
    <x v="5"/>
    <n v="9"/>
    <n v="4472.69"/>
    <n v="4113"/>
    <n v="359.69"/>
  </r>
  <r>
    <x v="20"/>
    <x v="27"/>
    <x v="33"/>
    <x v="5"/>
    <n v="6"/>
    <n v="3051.96"/>
    <n v="2742"/>
    <n v="309.96"/>
  </r>
  <r>
    <x v="21"/>
    <x v="27"/>
    <x v="33"/>
    <x v="5"/>
    <n v="7"/>
    <n v="3505.74"/>
    <n v="3199"/>
    <n v="306.74"/>
  </r>
  <r>
    <x v="22"/>
    <x v="27"/>
    <x v="33"/>
    <x v="5"/>
    <n v="4"/>
    <n v="1938.07"/>
    <n v="1828"/>
    <n v="110.07"/>
  </r>
  <r>
    <x v="23"/>
    <x v="27"/>
    <x v="33"/>
    <x v="5"/>
    <n v="5"/>
    <n v="2550.44"/>
    <n v="2285"/>
    <n v="265.44"/>
  </r>
  <r>
    <x v="24"/>
    <x v="27"/>
    <x v="33"/>
    <x v="5"/>
    <n v="4"/>
    <n v="2064.76"/>
    <n v="1828"/>
    <n v="236.76"/>
  </r>
  <r>
    <x v="25"/>
    <x v="27"/>
    <x v="33"/>
    <x v="5"/>
    <n v="4"/>
    <n v="2015.79"/>
    <n v="1828"/>
    <n v="187.79"/>
  </r>
  <r>
    <x v="0"/>
    <x v="28"/>
    <x v="34"/>
    <x v="5"/>
    <n v="7"/>
    <n v="5522.16"/>
    <n v="4732"/>
    <n v="790.16"/>
  </r>
  <r>
    <x v="1"/>
    <x v="28"/>
    <x v="34"/>
    <x v="5"/>
    <n v="2"/>
    <n v="1669.11"/>
    <n v="1352"/>
    <n v="317.11"/>
  </r>
  <r>
    <x v="2"/>
    <x v="28"/>
    <x v="34"/>
    <x v="5"/>
    <n v="4"/>
    <n v="3350.59"/>
    <n v="2704"/>
    <n v="646.59"/>
  </r>
  <r>
    <x v="3"/>
    <x v="28"/>
    <x v="34"/>
    <x v="5"/>
    <n v="5"/>
    <n v="4080.15"/>
    <n v="3380"/>
    <n v="700.15"/>
  </r>
  <r>
    <x v="4"/>
    <x v="28"/>
    <x v="34"/>
    <x v="5"/>
    <n v="5"/>
    <n v="4129.19"/>
    <n v="3380"/>
    <n v="749.1900000000001"/>
  </r>
  <r>
    <x v="5"/>
    <x v="28"/>
    <x v="34"/>
    <x v="5"/>
    <n v="5"/>
    <n v="4188.9"/>
    <n v="3380"/>
    <n v="808.9"/>
  </r>
  <r>
    <x v="6"/>
    <x v="28"/>
    <x v="34"/>
    <x v="5"/>
    <n v="7"/>
    <n v="5622.1"/>
    <n v="4732"/>
    <n v="890.1"/>
  </r>
  <r>
    <x v="7"/>
    <x v="28"/>
    <x v="34"/>
    <x v="5"/>
    <n v="6"/>
    <n v="4980.49"/>
    <n v="4056"/>
    <n v="924.49"/>
  </r>
  <r>
    <x v="8"/>
    <x v="28"/>
    <x v="34"/>
    <x v="5"/>
    <n v="1"/>
    <n v="813.55"/>
    <n v="676"/>
    <n v="137.55"/>
  </r>
  <r>
    <x v="9"/>
    <x v="28"/>
    <x v="34"/>
    <x v="5"/>
    <n v="3"/>
    <n v="2471.43"/>
    <n v="2028"/>
    <n v="443.43"/>
  </r>
  <r>
    <x v="10"/>
    <x v="28"/>
    <x v="34"/>
    <x v="5"/>
    <n v="6"/>
    <n v="4893.78"/>
    <n v="4056"/>
    <n v="837.78"/>
  </r>
  <r>
    <x v="11"/>
    <x v="28"/>
    <x v="34"/>
    <x v="5"/>
    <n v="3"/>
    <n v="2488.16"/>
    <n v="2028"/>
    <n v="460.16"/>
  </r>
  <r>
    <x v="12"/>
    <x v="28"/>
    <x v="34"/>
    <x v="5"/>
    <n v="7"/>
    <n v="5674.38"/>
    <n v="4732"/>
    <n v="942.38"/>
  </r>
  <r>
    <x v="13"/>
    <x v="28"/>
    <x v="34"/>
    <x v="5"/>
    <n v="3"/>
    <n v="2461.02"/>
    <n v="2028"/>
    <n v="433.02"/>
  </r>
  <r>
    <x v="14"/>
    <x v="28"/>
    <x v="34"/>
    <x v="5"/>
    <n v="4"/>
    <n v="3279.69"/>
    <n v="2704"/>
    <n v="575.6900000000001"/>
  </r>
  <r>
    <x v="15"/>
    <x v="28"/>
    <x v="34"/>
    <x v="5"/>
    <n v="3"/>
    <n v="2414.3"/>
    <n v="2028"/>
    <n v="386.3"/>
  </r>
  <r>
    <x v="16"/>
    <x v="28"/>
    <x v="34"/>
    <x v="5"/>
    <n v="4"/>
    <n v="3072.36"/>
    <n v="2704"/>
    <n v="368.36"/>
  </r>
  <r>
    <x v="17"/>
    <x v="28"/>
    <x v="34"/>
    <x v="5"/>
    <n v="4"/>
    <n v="3247.56"/>
    <n v="2704"/>
    <n v="543.5599999999999"/>
  </r>
  <r>
    <x v="18"/>
    <x v="28"/>
    <x v="34"/>
    <x v="5"/>
    <n v="7"/>
    <n v="5687.58"/>
    <n v="4732"/>
    <n v="955.58"/>
  </r>
  <r>
    <x v="19"/>
    <x v="28"/>
    <x v="34"/>
    <x v="5"/>
    <n v="3"/>
    <n v="2364.89"/>
    <n v="2028"/>
    <n v="336.89"/>
  </r>
  <r>
    <x v="20"/>
    <x v="28"/>
    <x v="34"/>
    <x v="5"/>
    <n v="3"/>
    <n v="2315.75"/>
    <n v="2028"/>
    <n v="287.75"/>
  </r>
  <r>
    <x v="21"/>
    <x v="28"/>
    <x v="34"/>
    <x v="5"/>
    <n v="2"/>
    <n v="1623.96"/>
    <n v="1352"/>
    <n v="271.96"/>
  </r>
  <r>
    <x v="22"/>
    <x v="28"/>
    <x v="34"/>
    <x v="5"/>
    <n v="2"/>
    <n v="1549.97"/>
    <n v="1352"/>
    <n v="197.97"/>
  </r>
  <r>
    <x v="23"/>
    <x v="28"/>
    <x v="34"/>
    <x v="5"/>
    <n v="1"/>
    <n v="768.85"/>
    <n v="676"/>
    <n v="92.84999999999999"/>
  </r>
  <r>
    <x v="24"/>
    <x v="28"/>
    <x v="34"/>
    <x v="5"/>
    <n v="3"/>
    <n v="2304.65"/>
    <n v="2028"/>
    <n v="276.65"/>
  </r>
  <r>
    <x v="25"/>
    <x v="28"/>
    <x v="34"/>
    <x v="5"/>
    <n v="5"/>
    <n v="4008.01"/>
    <n v="3380"/>
    <n v="628.01"/>
  </r>
  <r>
    <x v="0"/>
    <x v="29"/>
    <x v="35"/>
    <x v="5"/>
    <n v="2"/>
    <n v="1994.26"/>
    <n v="1626"/>
    <n v="368.26"/>
  </r>
  <r>
    <x v="1"/>
    <x v="29"/>
    <x v="35"/>
    <x v="5"/>
    <n v="1"/>
    <n v="1002.38"/>
    <n v="813"/>
    <n v="189.38"/>
  </r>
  <r>
    <x v="2"/>
    <x v="29"/>
    <x v="35"/>
    <x v="5"/>
    <n v="0"/>
    <n v="0"/>
    <n v="0"/>
    <n v="0"/>
  </r>
  <r>
    <x v="3"/>
    <x v="29"/>
    <x v="35"/>
    <x v="5"/>
    <n v="2"/>
    <n v="1975.79"/>
    <n v="1626"/>
    <n v="349.79"/>
  </r>
  <r>
    <x v="4"/>
    <x v="29"/>
    <x v="35"/>
    <x v="5"/>
    <n v="1"/>
    <n v="962.4299999999999"/>
    <n v="813"/>
    <n v="149.43"/>
  </r>
  <r>
    <x v="5"/>
    <x v="29"/>
    <x v="35"/>
    <x v="5"/>
    <n v="1"/>
    <n v="997.39"/>
    <n v="813"/>
    <n v="184.39"/>
  </r>
  <r>
    <x v="6"/>
    <x v="29"/>
    <x v="35"/>
    <x v="5"/>
    <n v="0"/>
    <n v="0"/>
    <n v="0"/>
    <n v="0"/>
  </r>
  <r>
    <x v="7"/>
    <x v="29"/>
    <x v="35"/>
    <x v="5"/>
    <n v="1"/>
    <n v="999.8"/>
    <n v="813"/>
    <n v="186.8"/>
  </r>
  <r>
    <x v="8"/>
    <x v="29"/>
    <x v="35"/>
    <x v="5"/>
    <n v="2"/>
    <n v="1983.61"/>
    <n v="1626"/>
    <n v="357.61"/>
  </r>
  <r>
    <x v="9"/>
    <x v="29"/>
    <x v="35"/>
    <x v="5"/>
    <n v="1"/>
    <n v="980.26"/>
    <n v="813"/>
    <n v="167.26"/>
  </r>
  <r>
    <x v="10"/>
    <x v="29"/>
    <x v="35"/>
    <x v="5"/>
    <n v="0"/>
    <n v="0"/>
    <n v="0"/>
    <n v="0"/>
  </r>
  <r>
    <x v="11"/>
    <x v="29"/>
    <x v="35"/>
    <x v="5"/>
    <n v="3"/>
    <n v="2806.53"/>
    <n v="2439"/>
    <n v="367.53"/>
  </r>
  <r>
    <x v="12"/>
    <x v="29"/>
    <x v="35"/>
    <x v="5"/>
    <n v="1"/>
    <n v="933.25"/>
    <n v="813"/>
    <n v="120.25"/>
  </r>
  <r>
    <x v="13"/>
    <x v="29"/>
    <x v="35"/>
    <x v="5"/>
    <n v="0"/>
    <n v="0"/>
    <n v="0"/>
    <n v="0"/>
  </r>
  <r>
    <x v="14"/>
    <x v="29"/>
    <x v="35"/>
    <x v="5"/>
    <n v="1"/>
    <n v="991.71"/>
    <n v="813"/>
    <n v="178.71"/>
  </r>
  <r>
    <x v="15"/>
    <x v="29"/>
    <x v="35"/>
    <x v="5"/>
    <n v="2"/>
    <n v="1950.95"/>
    <n v="1626"/>
    <n v="324.95"/>
  </r>
  <r>
    <x v="16"/>
    <x v="29"/>
    <x v="35"/>
    <x v="5"/>
    <n v="2"/>
    <n v="1872.72"/>
    <n v="1626"/>
    <n v="246.72"/>
  </r>
  <r>
    <x v="17"/>
    <x v="29"/>
    <x v="35"/>
    <x v="5"/>
    <n v="1"/>
    <n v="981.83"/>
    <n v="813"/>
    <n v="168.83"/>
  </r>
  <r>
    <x v="18"/>
    <x v="29"/>
    <x v="35"/>
    <x v="5"/>
    <n v="3"/>
    <n v="2790.69"/>
    <n v="2439"/>
    <n v="351.69"/>
  </r>
  <r>
    <x v="19"/>
    <x v="29"/>
    <x v="35"/>
    <x v="5"/>
    <n v="2"/>
    <n v="1866"/>
    <n v="1626"/>
    <n v="240"/>
  </r>
  <r>
    <x v="20"/>
    <x v="29"/>
    <x v="35"/>
    <x v="5"/>
    <n v="4"/>
    <n v="3768.15"/>
    <n v="3252"/>
    <n v="516.15"/>
  </r>
  <r>
    <x v="21"/>
    <x v="29"/>
    <x v="35"/>
    <x v="5"/>
    <n v="0"/>
    <n v="0"/>
    <n v="0"/>
    <n v="0"/>
  </r>
  <r>
    <x v="22"/>
    <x v="29"/>
    <x v="35"/>
    <x v="5"/>
    <n v="0"/>
    <n v="0"/>
    <n v="0"/>
    <n v="0"/>
  </r>
  <r>
    <x v="23"/>
    <x v="29"/>
    <x v="35"/>
    <x v="5"/>
    <n v="0"/>
    <n v="0"/>
    <n v="0"/>
    <n v="0"/>
  </r>
  <r>
    <x v="24"/>
    <x v="29"/>
    <x v="35"/>
    <x v="5"/>
    <n v="1"/>
    <n v="950.49"/>
    <n v="813"/>
    <n v="137.49"/>
  </r>
  <r>
    <x v="25"/>
    <x v="29"/>
    <x v="35"/>
    <x v="5"/>
    <n v="0"/>
    <n v="0"/>
    <n v="0"/>
    <n v="0"/>
  </r>
  <r>
    <x v="0"/>
    <x v="0"/>
    <x v="0"/>
    <x v="0"/>
    <n v="1"/>
    <n v="60.28"/>
    <n v="26"/>
    <n v="34.28"/>
  </r>
  <r>
    <x v="1"/>
    <x v="0"/>
    <x v="0"/>
    <x v="0"/>
    <n v="2"/>
    <n v="127.82"/>
    <n v="52"/>
    <n v="75.81999999999999"/>
  </r>
  <r>
    <x v="2"/>
    <x v="0"/>
    <x v="0"/>
    <x v="0"/>
    <n v="3"/>
    <n v="192.07"/>
    <n v="78"/>
    <n v="114.07"/>
  </r>
  <r>
    <x v="3"/>
    <x v="0"/>
    <x v="0"/>
    <x v="0"/>
    <n v="5"/>
    <n v="313.69"/>
    <n v="130"/>
    <n v="183.69"/>
  </r>
  <r>
    <x v="4"/>
    <x v="0"/>
    <x v="0"/>
    <x v="0"/>
    <n v="3"/>
    <n v="181.71"/>
    <n v="78"/>
    <n v="103.71"/>
  </r>
  <r>
    <x v="5"/>
    <x v="0"/>
    <x v="0"/>
    <x v="0"/>
    <n v="2"/>
    <n v="125.34"/>
    <n v="52"/>
    <n v="73.34"/>
  </r>
  <r>
    <x v="6"/>
    <x v="0"/>
    <x v="0"/>
    <x v="0"/>
    <n v="5"/>
    <n v="294.95"/>
    <n v="130"/>
    <n v="164.95"/>
  </r>
  <r>
    <x v="7"/>
    <x v="0"/>
    <x v="0"/>
    <x v="0"/>
    <n v="1"/>
    <n v="62.29"/>
    <n v="26"/>
    <n v="36.29"/>
  </r>
  <r>
    <x v="8"/>
    <x v="0"/>
    <x v="0"/>
    <x v="0"/>
    <n v="3"/>
    <n v="186.76"/>
    <n v="78"/>
    <n v="108.76"/>
  </r>
  <r>
    <x v="9"/>
    <x v="0"/>
    <x v="0"/>
    <x v="0"/>
    <n v="4"/>
    <n v="243.71"/>
    <n v="104"/>
    <n v="139.71"/>
  </r>
  <r>
    <x v="10"/>
    <x v="0"/>
    <x v="0"/>
    <x v="0"/>
    <n v="2"/>
    <n v="123.26"/>
    <n v="52"/>
    <n v="71.26000000000001"/>
  </r>
  <r>
    <x v="11"/>
    <x v="0"/>
    <x v="0"/>
    <x v="0"/>
    <n v="3"/>
    <n v="175.39"/>
    <n v="78"/>
    <n v="97.39"/>
  </r>
  <r>
    <x v="12"/>
    <x v="0"/>
    <x v="0"/>
    <x v="0"/>
    <n v="5"/>
    <n v="291.13"/>
    <n v="130"/>
    <n v="161.13"/>
  </r>
  <r>
    <x v="13"/>
    <x v="0"/>
    <x v="0"/>
    <x v="0"/>
    <n v="2"/>
    <n v="118.45"/>
    <n v="52"/>
    <n v="66.45"/>
  </r>
  <r>
    <x v="14"/>
    <x v="0"/>
    <x v="0"/>
    <x v="0"/>
    <n v="2"/>
    <n v="117.05"/>
    <n v="52"/>
    <n v="65.05"/>
  </r>
  <r>
    <x v="15"/>
    <x v="0"/>
    <x v="0"/>
    <x v="0"/>
    <n v="5"/>
    <n v="288.24"/>
    <n v="130"/>
    <n v="158.24"/>
  </r>
  <r>
    <x v="16"/>
    <x v="0"/>
    <x v="0"/>
    <x v="0"/>
    <n v="2"/>
    <n v="114.95"/>
    <n v="52"/>
    <n v="62.95"/>
  </r>
  <r>
    <x v="17"/>
    <x v="0"/>
    <x v="0"/>
    <x v="0"/>
    <n v="9"/>
    <n v="532.96"/>
    <n v="234"/>
    <n v="298.96"/>
  </r>
  <r>
    <x v="18"/>
    <x v="0"/>
    <x v="0"/>
    <x v="0"/>
    <n v="3"/>
    <n v="178.96"/>
    <n v="78"/>
    <n v="100.96"/>
  </r>
  <r>
    <x v="19"/>
    <x v="0"/>
    <x v="0"/>
    <x v="0"/>
    <n v="3"/>
    <n v="178.86"/>
    <n v="78"/>
    <n v="100.86"/>
  </r>
  <r>
    <x v="20"/>
    <x v="0"/>
    <x v="0"/>
    <x v="0"/>
    <n v="7"/>
    <n v="401.89"/>
    <n v="182"/>
    <n v="219.89"/>
  </r>
  <r>
    <x v="21"/>
    <x v="0"/>
    <x v="0"/>
    <x v="0"/>
    <n v="5"/>
    <n v="275.34"/>
    <n v="130"/>
    <n v="145.34"/>
  </r>
  <r>
    <x v="22"/>
    <x v="0"/>
    <x v="0"/>
    <x v="0"/>
    <n v="1"/>
    <n v="56.34"/>
    <n v="26"/>
    <n v="30.34"/>
  </r>
  <r>
    <x v="23"/>
    <x v="0"/>
    <x v="0"/>
    <x v="0"/>
    <n v="4"/>
    <n v="232.15"/>
    <n v="104"/>
    <n v="128.15"/>
  </r>
  <r>
    <x v="24"/>
    <x v="0"/>
    <x v="0"/>
    <x v="0"/>
    <n v="2"/>
    <n v="112.51"/>
    <n v="52"/>
    <n v="60.51"/>
  </r>
  <r>
    <x v="25"/>
    <x v="0"/>
    <x v="0"/>
    <x v="0"/>
    <n v="1"/>
    <n v="55.32"/>
    <n v="26"/>
    <n v="29.32"/>
  </r>
  <r>
    <x v="0"/>
    <x v="1"/>
    <x v="1"/>
    <x v="0"/>
    <n v="6"/>
    <n v="318.98"/>
    <n v="132"/>
    <n v="186.98"/>
  </r>
  <r>
    <x v="1"/>
    <x v="1"/>
    <x v="1"/>
    <x v="0"/>
    <n v="3"/>
    <n v="162.47"/>
    <n v="66"/>
    <n v="96.47"/>
  </r>
  <r>
    <x v="2"/>
    <x v="1"/>
    <x v="1"/>
    <x v="0"/>
    <n v="1"/>
    <n v="52.9"/>
    <n v="22"/>
    <n v="30.9"/>
  </r>
  <r>
    <x v="3"/>
    <x v="1"/>
    <x v="1"/>
    <x v="0"/>
    <n v="2"/>
    <n v="107.71"/>
    <n v="44"/>
    <n v="63.71"/>
  </r>
  <r>
    <x v="4"/>
    <x v="1"/>
    <x v="1"/>
    <x v="0"/>
    <n v="2"/>
    <n v="104.46"/>
    <n v="44"/>
    <n v="60.46"/>
  </r>
  <r>
    <x v="5"/>
    <x v="1"/>
    <x v="1"/>
    <x v="0"/>
    <n v="3"/>
    <n v="155.19"/>
    <n v="66"/>
    <n v="89.19"/>
  </r>
  <r>
    <x v="6"/>
    <x v="1"/>
    <x v="1"/>
    <x v="0"/>
    <n v="1"/>
    <n v="53.01"/>
    <n v="22"/>
    <n v="31.01"/>
  </r>
  <r>
    <x v="7"/>
    <x v="1"/>
    <x v="1"/>
    <x v="0"/>
    <n v="3"/>
    <n v="157.28"/>
    <n v="66"/>
    <n v="91.28"/>
  </r>
  <r>
    <x v="8"/>
    <x v="1"/>
    <x v="1"/>
    <x v="0"/>
    <n v="2"/>
    <n v="102.16"/>
    <n v="44"/>
    <n v="58.16"/>
  </r>
  <r>
    <x v="9"/>
    <x v="1"/>
    <x v="1"/>
    <x v="0"/>
    <n v="4"/>
    <n v="206.57"/>
    <n v="88"/>
    <n v="118.57"/>
  </r>
  <r>
    <x v="10"/>
    <x v="1"/>
    <x v="1"/>
    <x v="0"/>
    <n v="6"/>
    <n v="305.57"/>
    <n v="132"/>
    <n v="173.57"/>
  </r>
  <r>
    <x v="11"/>
    <x v="1"/>
    <x v="1"/>
    <x v="0"/>
    <n v="2"/>
    <n v="106.67"/>
    <n v="44"/>
    <n v="62.67"/>
  </r>
  <r>
    <x v="12"/>
    <x v="1"/>
    <x v="1"/>
    <x v="0"/>
    <n v="4"/>
    <n v="201.22"/>
    <n v="88"/>
    <n v="113.22"/>
  </r>
  <r>
    <x v="13"/>
    <x v="1"/>
    <x v="1"/>
    <x v="0"/>
    <n v="1"/>
    <n v="52.35"/>
    <n v="22"/>
    <n v="30.35"/>
  </r>
  <r>
    <x v="14"/>
    <x v="1"/>
    <x v="1"/>
    <x v="0"/>
    <n v="2"/>
    <n v="103.66"/>
    <n v="44"/>
    <n v="59.66"/>
  </r>
  <r>
    <x v="15"/>
    <x v="1"/>
    <x v="1"/>
    <x v="0"/>
    <n v="2"/>
    <n v="99.62"/>
    <n v="44"/>
    <n v="55.62"/>
  </r>
  <r>
    <x v="16"/>
    <x v="1"/>
    <x v="1"/>
    <x v="0"/>
    <n v="4"/>
    <n v="201.72"/>
    <n v="88"/>
    <n v="113.72"/>
  </r>
  <r>
    <x v="17"/>
    <x v="1"/>
    <x v="1"/>
    <x v="0"/>
    <n v="5"/>
    <n v="261.46"/>
    <n v="110"/>
    <n v="151.46"/>
  </r>
  <r>
    <x v="18"/>
    <x v="1"/>
    <x v="1"/>
    <x v="0"/>
    <n v="0"/>
    <n v="0"/>
    <n v="0"/>
    <n v="0"/>
  </r>
  <r>
    <x v="19"/>
    <x v="1"/>
    <x v="1"/>
    <x v="0"/>
    <n v="4"/>
    <n v="202.51"/>
    <n v="88"/>
    <n v="114.51"/>
  </r>
  <r>
    <x v="20"/>
    <x v="1"/>
    <x v="1"/>
    <x v="0"/>
    <n v="0"/>
    <n v="0"/>
    <n v="0"/>
    <n v="0"/>
  </r>
  <r>
    <x v="21"/>
    <x v="1"/>
    <x v="1"/>
    <x v="0"/>
    <n v="0"/>
    <n v="0"/>
    <n v="0"/>
    <n v="0"/>
  </r>
  <r>
    <x v="22"/>
    <x v="1"/>
    <x v="1"/>
    <x v="0"/>
    <n v="0"/>
    <n v="0"/>
    <n v="0"/>
    <n v="0"/>
  </r>
  <r>
    <x v="23"/>
    <x v="1"/>
    <x v="1"/>
    <x v="0"/>
    <n v="4"/>
    <n v="203.1"/>
    <n v="88"/>
    <n v="115.1"/>
  </r>
  <r>
    <x v="24"/>
    <x v="1"/>
    <x v="1"/>
    <x v="0"/>
    <n v="2"/>
    <n v="101.14"/>
    <n v="44"/>
    <n v="57.14"/>
  </r>
  <r>
    <x v="25"/>
    <x v="1"/>
    <x v="1"/>
    <x v="0"/>
    <n v="2"/>
    <n v="96.09999999999999"/>
    <n v="44"/>
    <n v="52.1"/>
  </r>
  <r>
    <x v="0"/>
    <x v="2"/>
    <x v="2"/>
    <x v="0"/>
    <n v="1"/>
    <n v="44.96"/>
    <n v="19"/>
    <n v="25.96"/>
  </r>
  <r>
    <x v="1"/>
    <x v="2"/>
    <x v="2"/>
    <x v="0"/>
    <n v="4"/>
    <n v="189.44"/>
    <n v="76"/>
    <n v="113.44"/>
  </r>
  <r>
    <x v="2"/>
    <x v="2"/>
    <x v="2"/>
    <x v="0"/>
    <n v="7"/>
    <n v="313.78"/>
    <n v="133"/>
    <n v="180.78"/>
  </r>
  <r>
    <x v="3"/>
    <x v="2"/>
    <x v="2"/>
    <x v="0"/>
    <n v="3"/>
    <n v="134.43"/>
    <n v="57"/>
    <n v="77.43000000000001"/>
  </r>
  <r>
    <x v="4"/>
    <x v="2"/>
    <x v="2"/>
    <x v="0"/>
    <n v="2"/>
    <n v="88.61"/>
    <n v="38"/>
    <n v="50.61"/>
  </r>
  <r>
    <x v="5"/>
    <x v="2"/>
    <x v="2"/>
    <x v="0"/>
    <n v="2"/>
    <n v="88.69"/>
    <n v="38"/>
    <n v="50.69"/>
  </r>
  <r>
    <x v="6"/>
    <x v="2"/>
    <x v="2"/>
    <x v="0"/>
    <n v="1"/>
    <n v="44.33"/>
    <n v="19"/>
    <n v="25.33"/>
  </r>
  <r>
    <x v="7"/>
    <x v="2"/>
    <x v="2"/>
    <x v="0"/>
    <n v="0"/>
    <n v="0"/>
    <n v="0"/>
    <n v="0"/>
  </r>
  <r>
    <x v="8"/>
    <x v="2"/>
    <x v="2"/>
    <x v="0"/>
    <n v="4"/>
    <n v="174.56"/>
    <n v="76"/>
    <n v="98.56"/>
  </r>
  <r>
    <x v="9"/>
    <x v="2"/>
    <x v="2"/>
    <x v="0"/>
    <n v="4"/>
    <n v="182.93"/>
    <n v="76"/>
    <n v="106.93"/>
  </r>
  <r>
    <x v="10"/>
    <x v="2"/>
    <x v="2"/>
    <x v="0"/>
    <n v="4"/>
    <n v="176.23"/>
    <n v="76"/>
    <n v="100.23"/>
  </r>
  <r>
    <x v="11"/>
    <x v="2"/>
    <x v="2"/>
    <x v="0"/>
    <n v="4"/>
    <n v="173.33"/>
    <n v="76"/>
    <n v="97.33"/>
  </r>
  <r>
    <x v="12"/>
    <x v="2"/>
    <x v="2"/>
    <x v="0"/>
    <n v="1"/>
    <n v="43.22"/>
    <n v="19"/>
    <n v="24.22"/>
  </r>
  <r>
    <x v="13"/>
    <x v="2"/>
    <x v="2"/>
    <x v="0"/>
    <n v="3"/>
    <n v="137.22"/>
    <n v="57"/>
    <n v="80.22"/>
  </r>
  <r>
    <x v="14"/>
    <x v="2"/>
    <x v="2"/>
    <x v="0"/>
    <n v="3"/>
    <n v="131.57"/>
    <n v="57"/>
    <n v="74.56999999999999"/>
  </r>
  <r>
    <x v="15"/>
    <x v="2"/>
    <x v="2"/>
    <x v="0"/>
    <n v="2"/>
    <n v="86.48999999999999"/>
    <n v="38"/>
    <n v="48.49"/>
  </r>
  <r>
    <x v="16"/>
    <x v="2"/>
    <x v="2"/>
    <x v="0"/>
    <n v="2"/>
    <n v="85.88"/>
    <n v="38"/>
    <n v="47.88"/>
  </r>
  <r>
    <x v="17"/>
    <x v="2"/>
    <x v="2"/>
    <x v="0"/>
    <n v="1"/>
    <n v="42.59"/>
    <n v="19"/>
    <n v="23.59"/>
  </r>
  <r>
    <x v="18"/>
    <x v="2"/>
    <x v="2"/>
    <x v="0"/>
    <n v="3"/>
    <n v="131.43"/>
    <n v="57"/>
    <n v="74.43000000000001"/>
  </r>
  <r>
    <x v="19"/>
    <x v="2"/>
    <x v="2"/>
    <x v="0"/>
    <n v="2"/>
    <n v="86.92"/>
    <n v="38"/>
    <n v="48.92"/>
  </r>
  <r>
    <x v="20"/>
    <x v="2"/>
    <x v="2"/>
    <x v="0"/>
    <n v="2"/>
    <n v="86.02"/>
    <n v="38"/>
    <n v="48.02"/>
  </r>
  <r>
    <x v="21"/>
    <x v="2"/>
    <x v="2"/>
    <x v="0"/>
    <n v="1"/>
    <n v="43.84"/>
    <n v="19"/>
    <n v="24.84"/>
  </r>
  <r>
    <x v="22"/>
    <x v="2"/>
    <x v="2"/>
    <x v="0"/>
    <n v="4"/>
    <n v="165.8"/>
    <n v="76"/>
    <n v="89.8"/>
  </r>
  <r>
    <x v="23"/>
    <x v="2"/>
    <x v="2"/>
    <x v="0"/>
    <n v="0"/>
    <n v="0"/>
    <n v="0"/>
    <n v="0"/>
  </r>
  <r>
    <x v="24"/>
    <x v="2"/>
    <x v="2"/>
    <x v="0"/>
    <n v="3"/>
    <n v="128.7"/>
    <n v="57"/>
    <n v="71.7"/>
  </r>
  <r>
    <x v="25"/>
    <x v="2"/>
    <x v="2"/>
    <x v="0"/>
    <n v="1"/>
    <n v="42.22"/>
    <n v="19"/>
    <n v="23.22"/>
  </r>
  <r>
    <x v="0"/>
    <x v="3"/>
    <x v="3"/>
    <x v="0"/>
    <n v="4"/>
    <n v="184.32"/>
    <n v="76"/>
    <n v="108.32"/>
  </r>
  <r>
    <x v="1"/>
    <x v="3"/>
    <x v="3"/>
    <x v="0"/>
    <n v="4"/>
    <n v="179.12"/>
    <n v="76"/>
    <n v="103.12"/>
  </r>
  <r>
    <x v="2"/>
    <x v="3"/>
    <x v="3"/>
    <x v="0"/>
    <n v="4"/>
    <n v="178.99"/>
    <n v="76"/>
    <n v="102.99"/>
  </r>
  <r>
    <x v="3"/>
    <x v="3"/>
    <x v="3"/>
    <x v="0"/>
    <n v="0"/>
    <n v="0"/>
    <n v="0"/>
    <n v="0"/>
  </r>
  <r>
    <x v="4"/>
    <x v="3"/>
    <x v="3"/>
    <x v="0"/>
    <n v="2"/>
    <n v="88.14"/>
    <n v="38"/>
    <n v="50.14"/>
  </r>
  <r>
    <x v="5"/>
    <x v="3"/>
    <x v="3"/>
    <x v="0"/>
    <n v="4"/>
    <n v="173.7"/>
    <n v="76"/>
    <n v="97.7"/>
  </r>
  <r>
    <x v="6"/>
    <x v="3"/>
    <x v="3"/>
    <x v="0"/>
    <n v="5"/>
    <n v="226.03"/>
    <n v="95"/>
    <n v="131.03"/>
  </r>
  <r>
    <x v="7"/>
    <x v="3"/>
    <x v="3"/>
    <x v="0"/>
    <n v="0"/>
    <n v="0"/>
    <n v="0"/>
    <n v="0"/>
  </r>
  <r>
    <x v="8"/>
    <x v="3"/>
    <x v="3"/>
    <x v="0"/>
    <n v="4"/>
    <n v="171.55"/>
    <n v="76"/>
    <n v="95.55"/>
  </r>
  <r>
    <x v="9"/>
    <x v="3"/>
    <x v="3"/>
    <x v="0"/>
    <n v="2"/>
    <n v="85.95999999999999"/>
    <n v="38"/>
    <n v="47.96"/>
  </r>
  <r>
    <x v="10"/>
    <x v="3"/>
    <x v="3"/>
    <x v="0"/>
    <n v="4"/>
    <n v="175.75"/>
    <n v="76"/>
    <n v="99.75"/>
  </r>
  <r>
    <x v="11"/>
    <x v="3"/>
    <x v="3"/>
    <x v="0"/>
    <n v="9"/>
    <n v="389.53"/>
    <n v="171"/>
    <n v="218.53"/>
  </r>
  <r>
    <x v="12"/>
    <x v="3"/>
    <x v="3"/>
    <x v="0"/>
    <n v="0"/>
    <n v="0"/>
    <n v="0"/>
    <n v="0"/>
  </r>
  <r>
    <x v="13"/>
    <x v="3"/>
    <x v="3"/>
    <x v="0"/>
    <n v="7"/>
    <n v="302.34"/>
    <n v="133"/>
    <n v="169.34"/>
  </r>
  <r>
    <x v="14"/>
    <x v="3"/>
    <x v="3"/>
    <x v="0"/>
    <n v="2"/>
    <n v="89.06"/>
    <n v="38"/>
    <n v="51.06"/>
  </r>
  <r>
    <x v="15"/>
    <x v="3"/>
    <x v="3"/>
    <x v="0"/>
    <n v="5"/>
    <n v="209.97"/>
    <n v="95"/>
    <n v="114.97"/>
  </r>
  <r>
    <x v="16"/>
    <x v="3"/>
    <x v="3"/>
    <x v="0"/>
    <n v="9"/>
    <n v="389.48"/>
    <n v="171"/>
    <n v="218.48"/>
  </r>
  <r>
    <x v="17"/>
    <x v="3"/>
    <x v="3"/>
    <x v="0"/>
    <n v="1"/>
    <n v="41.34"/>
    <n v="19"/>
    <n v="22.34"/>
  </r>
  <r>
    <x v="18"/>
    <x v="3"/>
    <x v="3"/>
    <x v="0"/>
    <n v="3"/>
    <n v="129.29"/>
    <n v="57"/>
    <n v="72.29000000000001"/>
  </r>
  <r>
    <x v="19"/>
    <x v="3"/>
    <x v="3"/>
    <x v="0"/>
    <n v="2"/>
    <n v="85.70999999999999"/>
    <n v="38"/>
    <n v="47.71"/>
  </r>
  <r>
    <x v="20"/>
    <x v="3"/>
    <x v="3"/>
    <x v="0"/>
    <n v="3"/>
    <n v="129.67"/>
    <n v="57"/>
    <n v="72.67"/>
  </r>
  <r>
    <x v="21"/>
    <x v="3"/>
    <x v="3"/>
    <x v="0"/>
    <n v="6"/>
    <n v="244.31"/>
    <n v="114"/>
    <n v="130.31"/>
  </r>
  <r>
    <x v="22"/>
    <x v="3"/>
    <x v="3"/>
    <x v="0"/>
    <n v="0"/>
    <n v="0"/>
    <n v="0"/>
    <n v="0"/>
  </r>
  <r>
    <x v="23"/>
    <x v="3"/>
    <x v="3"/>
    <x v="0"/>
    <n v="0"/>
    <n v="0"/>
    <n v="0"/>
    <n v="0"/>
  </r>
  <r>
    <x v="24"/>
    <x v="3"/>
    <x v="3"/>
    <x v="0"/>
    <n v="3"/>
    <n v="127.32"/>
    <n v="57"/>
    <n v="70.31999999999999"/>
  </r>
  <r>
    <x v="25"/>
    <x v="3"/>
    <x v="3"/>
    <x v="0"/>
    <n v="2"/>
    <n v="82.61"/>
    <n v="38"/>
    <n v="44.61"/>
  </r>
  <r>
    <x v="0"/>
    <x v="4"/>
    <x v="4"/>
    <x v="0"/>
    <n v="2"/>
    <n v="110.43"/>
    <n v="46"/>
    <n v="64.43000000000001"/>
  </r>
  <r>
    <x v="1"/>
    <x v="4"/>
    <x v="4"/>
    <x v="0"/>
    <n v="3"/>
    <n v="166.02"/>
    <n v="69"/>
    <n v="97.02"/>
  </r>
  <r>
    <x v="2"/>
    <x v="4"/>
    <x v="4"/>
    <x v="0"/>
    <n v="1"/>
    <n v="56.93"/>
    <n v="23"/>
    <n v="33.93"/>
  </r>
  <r>
    <x v="3"/>
    <x v="4"/>
    <x v="4"/>
    <x v="0"/>
    <n v="4"/>
    <n v="221.07"/>
    <n v="92"/>
    <n v="129.07"/>
  </r>
  <r>
    <x v="4"/>
    <x v="4"/>
    <x v="4"/>
    <x v="0"/>
    <n v="2"/>
    <n v="111.65"/>
    <n v="46"/>
    <n v="65.65000000000001"/>
  </r>
  <r>
    <x v="5"/>
    <x v="4"/>
    <x v="4"/>
    <x v="0"/>
    <n v="0"/>
    <n v="0"/>
    <n v="0"/>
    <n v="0"/>
  </r>
  <r>
    <x v="6"/>
    <x v="4"/>
    <x v="4"/>
    <x v="0"/>
    <n v="4"/>
    <n v="214.96"/>
    <n v="92"/>
    <n v="122.96"/>
  </r>
  <r>
    <x v="7"/>
    <x v="4"/>
    <x v="4"/>
    <x v="0"/>
    <n v="4"/>
    <n v="223.61"/>
    <n v="92"/>
    <n v="131.61"/>
  </r>
  <r>
    <x v="8"/>
    <x v="4"/>
    <x v="4"/>
    <x v="0"/>
    <n v="1"/>
    <n v="54.63"/>
    <n v="23"/>
    <n v="31.63"/>
  </r>
  <r>
    <x v="9"/>
    <x v="4"/>
    <x v="4"/>
    <x v="0"/>
    <n v="2"/>
    <n v="106.74"/>
    <n v="46"/>
    <n v="60.74"/>
  </r>
  <r>
    <x v="10"/>
    <x v="4"/>
    <x v="4"/>
    <x v="0"/>
    <n v="2"/>
    <n v="103.94"/>
    <n v="46"/>
    <n v="57.94"/>
  </r>
  <r>
    <x v="11"/>
    <x v="4"/>
    <x v="4"/>
    <x v="0"/>
    <n v="1"/>
    <n v="52.16"/>
    <n v="23"/>
    <n v="29.16"/>
  </r>
  <r>
    <x v="12"/>
    <x v="4"/>
    <x v="4"/>
    <x v="0"/>
    <n v="3"/>
    <n v="162.47"/>
    <n v="69"/>
    <n v="93.47"/>
  </r>
  <r>
    <x v="13"/>
    <x v="4"/>
    <x v="4"/>
    <x v="0"/>
    <n v="5"/>
    <n v="258.47"/>
    <n v="115"/>
    <n v="143.47"/>
  </r>
  <r>
    <x v="14"/>
    <x v="4"/>
    <x v="4"/>
    <x v="0"/>
    <n v="6"/>
    <n v="306.33"/>
    <n v="138"/>
    <n v="168.33"/>
  </r>
  <r>
    <x v="15"/>
    <x v="4"/>
    <x v="4"/>
    <x v="0"/>
    <n v="3"/>
    <n v="153.25"/>
    <n v="69"/>
    <n v="84.25"/>
  </r>
  <r>
    <x v="16"/>
    <x v="4"/>
    <x v="4"/>
    <x v="0"/>
    <n v="5"/>
    <n v="254.86"/>
    <n v="115"/>
    <n v="139.86"/>
  </r>
  <r>
    <x v="17"/>
    <x v="4"/>
    <x v="4"/>
    <x v="0"/>
    <n v="4"/>
    <n v="211.68"/>
    <n v="92"/>
    <n v="119.68"/>
  </r>
  <r>
    <x v="18"/>
    <x v="4"/>
    <x v="4"/>
    <x v="0"/>
    <n v="0"/>
    <n v="0"/>
    <n v="0"/>
    <n v="0"/>
  </r>
  <r>
    <x v="19"/>
    <x v="4"/>
    <x v="4"/>
    <x v="0"/>
    <n v="1"/>
    <n v="50.29"/>
    <n v="23"/>
    <n v="27.29"/>
  </r>
  <r>
    <x v="20"/>
    <x v="4"/>
    <x v="4"/>
    <x v="0"/>
    <n v="2"/>
    <n v="99.89"/>
    <n v="46"/>
    <n v="53.89"/>
  </r>
  <r>
    <x v="21"/>
    <x v="4"/>
    <x v="4"/>
    <x v="0"/>
    <n v="4"/>
    <n v="211.92"/>
    <n v="92"/>
    <n v="119.92"/>
  </r>
  <r>
    <x v="22"/>
    <x v="4"/>
    <x v="4"/>
    <x v="0"/>
    <n v="1"/>
    <n v="50.78"/>
    <n v="23"/>
    <n v="27.78"/>
  </r>
  <r>
    <x v="23"/>
    <x v="4"/>
    <x v="4"/>
    <x v="0"/>
    <n v="2"/>
    <n v="98.64"/>
    <n v="46"/>
    <n v="52.64"/>
  </r>
  <r>
    <x v="24"/>
    <x v="4"/>
    <x v="4"/>
    <x v="0"/>
    <n v="1"/>
    <n v="51.24"/>
    <n v="23"/>
    <n v="28.24"/>
  </r>
  <r>
    <x v="25"/>
    <x v="4"/>
    <x v="4"/>
    <x v="0"/>
    <n v="1"/>
    <n v="51.25"/>
    <n v="23"/>
    <n v="28.25"/>
  </r>
  <r>
    <x v="0"/>
    <x v="5"/>
    <x v="5"/>
    <x v="0"/>
    <n v="1"/>
    <n v="48.32"/>
    <n v="20"/>
    <n v="28.32"/>
  </r>
  <r>
    <x v="1"/>
    <x v="5"/>
    <x v="5"/>
    <x v="0"/>
    <n v="0"/>
    <n v="0"/>
    <n v="0"/>
    <n v="0"/>
  </r>
  <r>
    <x v="2"/>
    <x v="5"/>
    <x v="5"/>
    <x v="0"/>
    <n v="3"/>
    <n v="142.39"/>
    <n v="60"/>
    <n v="82.39"/>
  </r>
  <r>
    <x v="3"/>
    <x v="5"/>
    <x v="5"/>
    <x v="0"/>
    <n v="0"/>
    <n v="0"/>
    <n v="0"/>
    <n v="0"/>
  </r>
  <r>
    <x v="4"/>
    <x v="5"/>
    <x v="5"/>
    <x v="0"/>
    <n v="0"/>
    <n v="0"/>
    <n v="0"/>
    <n v="0"/>
  </r>
  <r>
    <x v="5"/>
    <x v="5"/>
    <x v="5"/>
    <x v="0"/>
    <n v="0"/>
    <n v="0"/>
    <n v="0"/>
    <n v="0"/>
  </r>
  <r>
    <x v="6"/>
    <x v="5"/>
    <x v="5"/>
    <x v="0"/>
    <n v="1"/>
    <n v="47.73"/>
    <n v="20"/>
    <n v="27.73"/>
  </r>
  <r>
    <x v="7"/>
    <x v="5"/>
    <x v="5"/>
    <x v="0"/>
    <n v="2"/>
    <n v="91.90000000000001"/>
    <n v="40"/>
    <n v="51.9"/>
  </r>
  <r>
    <x v="8"/>
    <x v="5"/>
    <x v="5"/>
    <x v="0"/>
    <n v="1"/>
    <n v="47.93"/>
    <n v="20"/>
    <n v="27.93"/>
  </r>
  <r>
    <x v="9"/>
    <x v="5"/>
    <x v="5"/>
    <x v="0"/>
    <n v="1"/>
    <n v="46.68"/>
    <n v="20"/>
    <n v="26.68"/>
  </r>
  <r>
    <x v="10"/>
    <x v="5"/>
    <x v="5"/>
    <x v="0"/>
    <n v="0"/>
    <n v="0"/>
    <n v="0"/>
    <n v="0"/>
  </r>
  <r>
    <x v="11"/>
    <x v="5"/>
    <x v="5"/>
    <x v="0"/>
    <n v="2"/>
    <n v="91.14"/>
    <n v="40"/>
    <n v="51.14"/>
  </r>
  <r>
    <x v="12"/>
    <x v="5"/>
    <x v="5"/>
    <x v="0"/>
    <n v="0"/>
    <n v="0"/>
    <n v="0"/>
    <n v="0"/>
  </r>
  <r>
    <x v="13"/>
    <x v="5"/>
    <x v="5"/>
    <x v="0"/>
    <n v="2"/>
    <n v="91.53"/>
    <n v="40"/>
    <n v="51.53"/>
  </r>
  <r>
    <x v="14"/>
    <x v="5"/>
    <x v="5"/>
    <x v="0"/>
    <n v="0"/>
    <n v="0"/>
    <n v="0"/>
    <n v="0"/>
  </r>
  <r>
    <x v="15"/>
    <x v="5"/>
    <x v="5"/>
    <x v="0"/>
    <n v="1"/>
    <n v="45.27"/>
    <n v="20"/>
    <n v="25.27"/>
  </r>
  <r>
    <x v="16"/>
    <x v="5"/>
    <x v="5"/>
    <x v="0"/>
    <n v="1"/>
    <n v="43.35"/>
    <n v="20"/>
    <n v="23.35"/>
  </r>
  <r>
    <x v="17"/>
    <x v="5"/>
    <x v="5"/>
    <x v="0"/>
    <n v="0"/>
    <n v="0"/>
    <n v="0"/>
    <n v="0"/>
  </r>
  <r>
    <x v="18"/>
    <x v="5"/>
    <x v="5"/>
    <x v="0"/>
    <n v="0"/>
    <n v="0"/>
    <n v="0"/>
    <n v="0"/>
  </r>
  <r>
    <x v="19"/>
    <x v="5"/>
    <x v="5"/>
    <x v="0"/>
    <n v="1"/>
    <n v="44.95"/>
    <n v="20"/>
    <n v="24.95"/>
  </r>
  <r>
    <x v="20"/>
    <x v="5"/>
    <x v="5"/>
    <x v="0"/>
    <n v="1"/>
    <n v="44.05"/>
    <n v="20"/>
    <n v="24.05"/>
  </r>
  <r>
    <x v="21"/>
    <x v="5"/>
    <x v="5"/>
    <x v="0"/>
    <n v="0"/>
    <n v="0"/>
    <n v="0"/>
    <n v="0"/>
  </r>
  <r>
    <x v="22"/>
    <x v="5"/>
    <x v="5"/>
    <x v="0"/>
    <n v="1"/>
    <n v="42.51"/>
    <n v="20"/>
    <n v="22.51"/>
  </r>
  <r>
    <x v="23"/>
    <x v="5"/>
    <x v="5"/>
    <x v="0"/>
    <n v="3"/>
    <n v="129.21"/>
    <n v="60"/>
    <n v="69.20999999999999"/>
  </r>
  <r>
    <x v="24"/>
    <x v="5"/>
    <x v="5"/>
    <x v="0"/>
    <n v="1"/>
    <n v="42.11"/>
    <n v="20"/>
    <n v="22.11"/>
  </r>
  <r>
    <x v="25"/>
    <x v="5"/>
    <x v="5"/>
    <x v="0"/>
    <n v="0"/>
    <n v="0"/>
    <n v="0"/>
    <n v="0"/>
  </r>
</pivotCacheRecords>
</file>

<file path=xl/pivotCache/pivotCacheRecords2.xml><?xml version="1.0" encoding="utf-8"?>
<pivotCacheRecords xmlns="http://schemas.openxmlformats.org/spreadsheetml/2006/main" count="936">
  <r>
    <x v="0"/>
    <x v="30"/>
    <x v="24"/>
    <x v="4"/>
    <n v="4"/>
    <n v="6478.3"/>
    <n v="5116"/>
    <n v="1362.3"/>
  </r>
  <r>
    <x v="1"/>
    <x v="30"/>
    <x v="24"/>
    <x v="4"/>
    <n v="7"/>
    <n v="11431.17"/>
    <n v="8953"/>
    <n v="2478.17"/>
  </r>
  <r>
    <x v="2"/>
    <x v="30"/>
    <x v="24"/>
    <x v="4"/>
    <n v="6"/>
    <n v="9102.92"/>
    <n v="7674"/>
    <n v="1428.92"/>
  </r>
  <r>
    <x v="3"/>
    <x v="30"/>
    <x v="24"/>
    <x v="4"/>
    <n v="7"/>
    <n v="10701.69"/>
    <n v="8953"/>
    <n v="1748.69"/>
  </r>
  <r>
    <x v="4"/>
    <x v="30"/>
    <x v="24"/>
    <x v="4"/>
    <n v="3"/>
    <n v="4783.97"/>
    <n v="3837"/>
    <n v="946.97"/>
  </r>
  <r>
    <x v="5"/>
    <x v="30"/>
    <x v="24"/>
    <x v="4"/>
    <n v="7"/>
    <n v="10889.7"/>
    <n v="8953"/>
    <n v="1936.7"/>
  </r>
  <r>
    <x v="6"/>
    <x v="30"/>
    <x v="24"/>
    <x v="4"/>
    <n v="6"/>
    <n v="9033.09"/>
    <n v="7674"/>
    <n v="1359.09"/>
  </r>
  <r>
    <x v="7"/>
    <x v="30"/>
    <x v="24"/>
    <x v="4"/>
    <n v="9"/>
    <n v="13747.5"/>
    <n v="11511"/>
    <n v="2236.5"/>
  </r>
  <r>
    <x v="8"/>
    <x v="30"/>
    <x v="24"/>
    <x v="4"/>
    <n v="6"/>
    <n v="8946.66"/>
    <n v="7674"/>
    <n v="1272.66"/>
  </r>
  <r>
    <x v="9"/>
    <x v="30"/>
    <x v="24"/>
    <x v="4"/>
    <n v="8"/>
    <n v="12545.79"/>
    <n v="10232"/>
    <n v="2313.79"/>
  </r>
  <r>
    <x v="10"/>
    <x v="30"/>
    <x v="24"/>
    <x v="4"/>
    <n v="5"/>
    <n v="7804.26"/>
    <n v="6395"/>
    <n v="1409.26"/>
  </r>
  <r>
    <x v="11"/>
    <x v="30"/>
    <x v="24"/>
    <x v="4"/>
    <n v="4"/>
    <n v="5996.11"/>
    <n v="5116"/>
    <n v="880.11"/>
  </r>
  <r>
    <x v="12"/>
    <x v="30"/>
    <x v="24"/>
    <x v="4"/>
    <n v="3"/>
    <n v="4496.64"/>
    <n v="3837"/>
    <n v="659.64"/>
  </r>
  <r>
    <x v="13"/>
    <x v="30"/>
    <x v="24"/>
    <x v="4"/>
    <n v="9"/>
    <n v="13928.11"/>
    <n v="11511"/>
    <n v="2417.11"/>
  </r>
  <r>
    <x v="14"/>
    <x v="30"/>
    <x v="24"/>
    <x v="4"/>
    <n v="2"/>
    <n v="2909.4"/>
    <n v="2558"/>
    <n v="351.4"/>
  </r>
  <r>
    <x v="15"/>
    <x v="30"/>
    <x v="24"/>
    <x v="4"/>
    <n v="3"/>
    <n v="4558.07"/>
    <n v="3837"/>
    <n v="721.0700000000001"/>
  </r>
  <r>
    <x v="16"/>
    <x v="30"/>
    <x v="24"/>
    <x v="4"/>
    <n v="5"/>
    <n v="7324.3"/>
    <n v="6395"/>
    <n v="929.3"/>
  </r>
  <r>
    <x v="17"/>
    <x v="30"/>
    <x v="24"/>
    <x v="4"/>
    <n v="10"/>
    <n v="14837.02"/>
    <n v="12790"/>
    <n v="2047.02"/>
  </r>
  <r>
    <x v="18"/>
    <x v="30"/>
    <x v="24"/>
    <x v="4"/>
    <n v="5"/>
    <n v="7354.1"/>
    <n v="6395"/>
    <n v="959.1"/>
  </r>
  <r>
    <x v="19"/>
    <x v="30"/>
    <x v="24"/>
    <x v="4"/>
    <n v="9"/>
    <n v="12732.74"/>
    <n v="11511"/>
    <n v="1221.74"/>
  </r>
  <r>
    <x v="20"/>
    <x v="30"/>
    <x v="24"/>
    <x v="4"/>
    <n v="5"/>
    <n v="7330.4"/>
    <n v="6395"/>
    <n v="935.4"/>
  </r>
  <r>
    <x v="21"/>
    <x v="30"/>
    <x v="24"/>
    <x v="4"/>
    <n v="7"/>
    <n v="10083.11"/>
    <n v="8953"/>
    <n v="1130.11"/>
  </r>
  <r>
    <x v="22"/>
    <x v="30"/>
    <x v="24"/>
    <x v="4"/>
    <n v="9"/>
    <n v="12548.14"/>
    <n v="11511"/>
    <n v="1037.14"/>
  </r>
  <r>
    <x v="23"/>
    <x v="30"/>
    <x v="24"/>
    <x v="4"/>
    <n v="1"/>
    <n v="1410.88"/>
    <n v="1279"/>
    <n v="131.88"/>
  </r>
  <r>
    <x v="24"/>
    <x v="30"/>
    <x v="24"/>
    <x v="4"/>
    <n v="2"/>
    <n v="2880.28"/>
    <n v="2558"/>
    <n v="322.28"/>
  </r>
  <r>
    <x v="25"/>
    <x v="30"/>
    <x v="24"/>
    <x v="4"/>
    <n v="2"/>
    <n v="2809.71"/>
    <n v="2558"/>
    <n v="251.71"/>
  </r>
  <r>
    <x v="0"/>
    <x v="31"/>
    <x v="25"/>
    <x v="4"/>
    <n v="6"/>
    <n v="9138.09"/>
    <n v="7200"/>
    <n v="1938.09"/>
  </r>
  <r>
    <x v="1"/>
    <x v="31"/>
    <x v="25"/>
    <x v="4"/>
    <n v="3"/>
    <n v="4477.58"/>
    <n v="3600"/>
    <n v="877.58"/>
  </r>
  <r>
    <x v="2"/>
    <x v="31"/>
    <x v="25"/>
    <x v="4"/>
    <n v="9"/>
    <n v="13362.18"/>
    <n v="10800"/>
    <n v="2562.18"/>
  </r>
  <r>
    <x v="3"/>
    <x v="31"/>
    <x v="25"/>
    <x v="4"/>
    <n v="9"/>
    <n v="12750.27"/>
    <n v="10800"/>
    <n v="1950.27"/>
  </r>
  <r>
    <x v="4"/>
    <x v="31"/>
    <x v="25"/>
    <x v="4"/>
    <n v="8"/>
    <n v="11587.75"/>
    <n v="9600"/>
    <n v="1987.75"/>
  </r>
  <r>
    <x v="5"/>
    <x v="31"/>
    <x v="25"/>
    <x v="4"/>
    <n v="6"/>
    <n v="8571.139999999999"/>
    <n v="7200"/>
    <n v="1371.14"/>
  </r>
  <r>
    <x v="6"/>
    <x v="31"/>
    <x v="25"/>
    <x v="4"/>
    <n v="6"/>
    <n v="8861.48"/>
    <n v="7200"/>
    <n v="1661.48"/>
  </r>
  <r>
    <x v="7"/>
    <x v="31"/>
    <x v="25"/>
    <x v="4"/>
    <n v="3"/>
    <n v="4457.56"/>
    <n v="3600"/>
    <n v="857.5599999999999"/>
  </r>
  <r>
    <x v="8"/>
    <x v="31"/>
    <x v="25"/>
    <x v="4"/>
    <n v="7"/>
    <n v="10215.48"/>
    <n v="8400"/>
    <n v="1815.48"/>
  </r>
  <r>
    <x v="9"/>
    <x v="31"/>
    <x v="25"/>
    <x v="4"/>
    <n v="6"/>
    <n v="8600.26"/>
    <n v="7200"/>
    <n v="1400.26"/>
  </r>
  <r>
    <x v="10"/>
    <x v="31"/>
    <x v="25"/>
    <x v="4"/>
    <n v="7"/>
    <n v="10195.23"/>
    <n v="8400"/>
    <n v="1795.23"/>
  </r>
  <r>
    <x v="11"/>
    <x v="31"/>
    <x v="25"/>
    <x v="4"/>
    <n v="13"/>
    <n v="18346.73"/>
    <n v="15600"/>
    <n v="2746.73"/>
  </r>
  <r>
    <x v="12"/>
    <x v="31"/>
    <x v="25"/>
    <x v="4"/>
    <n v="6"/>
    <n v="8685.08"/>
    <n v="7200"/>
    <n v="1485.08"/>
  </r>
  <r>
    <x v="13"/>
    <x v="31"/>
    <x v="25"/>
    <x v="4"/>
    <n v="9"/>
    <n v="12293.9"/>
    <n v="10800"/>
    <n v="1493.9"/>
  </r>
  <r>
    <x v="14"/>
    <x v="31"/>
    <x v="25"/>
    <x v="4"/>
    <n v="6"/>
    <n v="8663.209999999999"/>
    <n v="7200"/>
    <n v="1463.21"/>
  </r>
  <r>
    <x v="15"/>
    <x v="31"/>
    <x v="25"/>
    <x v="4"/>
    <n v="4"/>
    <n v="5507.76"/>
    <n v="4800"/>
    <n v="707.76"/>
  </r>
  <r>
    <x v="16"/>
    <x v="31"/>
    <x v="25"/>
    <x v="4"/>
    <n v="7"/>
    <n v="9654.23"/>
    <n v="8400"/>
    <n v="1254.23"/>
  </r>
  <r>
    <x v="17"/>
    <x v="31"/>
    <x v="25"/>
    <x v="4"/>
    <n v="2"/>
    <n v="2768.49"/>
    <n v="2400"/>
    <n v="368.49"/>
  </r>
  <r>
    <x v="18"/>
    <x v="31"/>
    <x v="25"/>
    <x v="4"/>
    <n v="4"/>
    <n v="5579.8"/>
    <n v="4800"/>
    <n v="779.8"/>
  </r>
  <r>
    <x v="19"/>
    <x v="31"/>
    <x v="25"/>
    <x v="4"/>
    <n v="8"/>
    <n v="10720.97"/>
    <n v="9600"/>
    <n v="1120.97"/>
  </r>
  <r>
    <x v="20"/>
    <x v="31"/>
    <x v="25"/>
    <x v="4"/>
    <n v="6"/>
    <n v="8200.41"/>
    <n v="7200"/>
    <n v="1000.41"/>
  </r>
  <r>
    <x v="21"/>
    <x v="31"/>
    <x v="25"/>
    <x v="4"/>
    <n v="5"/>
    <n v="6670.8"/>
    <n v="6000"/>
    <n v="670.8"/>
  </r>
  <r>
    <x v="22"/>
    <x v="31"/>
    <x v="25"/>
    <x v="4"/>
    <n v="11"/>
    <n v="14535.27"/>
    <n v="13200"/>
    <n v="1335.27"/>
  </r>
  <r>
    <x v="23"/>
    <x v="31"/>
    <x v="25"/>
    <x v="4"/>
    <n v="6"/>
    <n v="8362.76"/>
    <n v="7200"/>
    <n v="1162.76"/>
  </r>
  <r>
    <x v="24"/>
    <x v="31"/>
    <x v="25"/>
    <x v="4"/>
    <n v="11"/>
    <n v="14947.4"/>
    <n v="13200"/>
    <n v="1747.4"/>
  </r>
  <r>
    <x v="25"/>
    <x v="31"/>
    <x v="25"/>
    <x v="4"/>
    <n v="5"/>
    <n v="6904.14"/>
    <n v="6000"/>
    <n v="904.14"/>
  </r>
  <r>
    <x v="0"/>
    <x v="32"/>
    <x v="26"/>
    <x v="4"/>
    <n v="6"/>
    <n v="8006.39"/>
    <n v="6492"/>
    <n v="1514.39"/>
  </r>
  <r>
    <x v="1"/>
    <x v="32"/>
    <x v="26"/>
    <x v="4"/>
    <n v="5"/>
    <n v="6868.49"/>
    <n v="5410"/>
    <n v="1458.49"/>
  </r>
  <r>
    <x v="2"/>
    <x v="32"/>
    <x v="26"/>
    <x v="4"/>
    <n v="11"/>
    <n v="14746.73"/>
    <n v="11902"/>
    <n v="2844.73"/>
  </r>
  <r>
    <x v="3"/>
    <x v="32"/>
    <x v="26"/>
    <x v="4"/>
    <n v="10"/>
    <n v="13278.59"/>
    <n v="10820"/>
    <n v="2458.59"/>
  </r>
  <r>
    <x v="4"/>
    <x v="32"/>
    <x v="26"/>
    <x v="4"/>
    <n v="7"/>
    <n v="9373.120000000001"/>
    <n v="7574"/>
    <n v="1799.12"/>
  </r>
  <r>
    <x v="5"/>
    <x v="32"/>
    <x v="26"/>
    <x v="4"/>
    <n v="6"/>
    <n v="7943.19"/>
    <n v="6492"/>
    <n v="1451.19"/>
  </r>
  <r>
    <x v="6"/>
    <x v="32"/>
    <x v="26"/>
    <x v="4"/>
    <n v="9"/>
    <n v="12259.91"/>
    <n v="9738"/>
    <n v="2521.91"/>
  </r>
  <r>
    <x v="7"/>
    <x v="32"/>
    <x v="26"/>
    <x v="4"/>
    <n v="8"/>
    <n v="10502"/>
    <n v="8656"/>
    <n v="1846"/>
  </r>
  <r>
    <x v="8"/>
    <x v="32"/>
    <x v="26"/>
    <x v="4"/>
    <n v="5"/>
    <n v="6726.28"/>
    <n v="5410"/>
    <n v="1316.28"/>
  </r>
  <r>
    <x v="9"/>
    <x v="32"/>
    <x v="26"/>
    <x v="4"/>
    <n v="6"/>
    <n v="8004.28"/>
    <n v="6492"/>
    <n v="1512.28"/>
  </r>
  <r>
    <x v="10"/>
    <x v="32"/>
    <x v="26"/>
    <x v="4"/>
    <n v="7"/>
    <n v="9069.07"/>
    <n v="7574"/>
    <n v="1495.07"/>
  </r>
  <r>
    <x v="11"/>
    <x v="32"/>
    <x v="26"/>
    <x v="4"/>
    <n v="5"/>
    <n v="6499.15"/>
    <n v="5410"/>
    <n v="1089.15"/>
  </r>
  <r>
    <x v="12"/>
    <x v="32"/>
    <x v="26"/>
    <x v="4"/>
    <n v="10"/>
    <n v="12807.07"/>
    <n v="10820"/>
    <n v="1987.07"/>
  </r>
  <r>
    <x v="13"/>
    <x v="32"/>
    <x v="26"/>
    <x v="4"/>
    <n v="4"/>
    <n v="5168.95"/>
    <n v="4328"/>
    <n v="840.95"/>
  </r>
  <r>
    <x v="14"/>
    <x v="32"/>
    <x v="26"/>
    <x v="4"/>
    <n v="3"/>
    <n v="3925.27"/>
    <n v="3246"/>
    <n v="679.27"/>
  </r>
  <r>
    <x v="15"/>
    <x v="32"/>
    <x v="26"/>
    <x v="4"/>
    <n v="2"/>
    <n v="2573.97"/>
    <n v="2164"/>
    <n v="409.97"/>
  </r>
  <r>
    <x v="16"/>
    <x v="32"/>
    <x v="26"/>
    <x v="4"/>
    <n v="7"/>
    <n v="9409.030000000001"/>
    <n v="7574"/>
    <n v="1835.03"/>
  </r>
  <r>
    <x v="17"/>
    <x v="32"/>
    <x v="26"/>
    <x v="4"/>
    <n v="7"/>
    <n v="8878.35"/>
    <n v="7574"/>
    <n v="1304.35"/>
  </r>
  <r>
    <x v="18"/>
    <x v="32"/>
    <x v="26"/>
    <x v="4"/>
    <n v="8"/>
    <n v="10764.68"/>
    <n v="8656"/>
    <n v="2108.68"/>
  </r>
  <r>
    <x v="19"/>
    <x v="32"/>
    <x v="26"/>
    <x v="4"/>
    <n v="3"/>
    <n v="3965.9"/>
    <n v="3246"/>
    <n v="719.9"/>
  </r>
  <r>
    <x v="20"/>
    <x v="32"/>
    <x v="26"/>
    <x v="4"/>
    <n v="6"/>
    <n v="7614.39"/>
    <n v="6492"/>
    <n v="1122.39"/>
  </r>
  <r>
    <x v="21"/>
    <x v="32"/>
    <x v="26"/>
    <x v="4"/>
    <n v="8"/>
    <n v="10590.38"/>
    <n v="8656"/>
    <n v="1934.38"/>
  </r>
  <r>
    <x v="22"/>
    <x v="32"/>
    <x v="26"/>
    <x v="4"/>
    <n v="5"/>
    <n v="6680.24"/>
    <n v="5410"/>
    <n v="1270.24"/>
  </r>
  <r>
    <x v="23"/>
    <x v="32"/>
    <x v="26"/>
    <x v="4"/>
    <n v="4"/>
    <n v="5177.16"/>
    <n v="4328"/>
    <n v="849.16"/>
  </r>
  <r>
    <x v="24"/>
    <x v="32"/>
    <x v="26"/>
    <x v="4"/>
    <n v="3"/>
    <n v="3808.92"/>
    <n v="3246"/>
    <n v="562.92"/>
  </r>
  <r>
    <x v="25"/>
    <x v="32"/>
    <x v="26"/>
    <x v="4"/>
    <n v="10"/>
    <n v="13097.96"/>
    <n v="10820"/>
    <n v="2277.96"/>
  </r>
  <r>
    <x v="0"/>
    <x v="33"/>
    <x v="27"/>
    <x v="4"/>
    <n v="9"/>
    <n v="11468.66"/>
    <n v="9567"/>
    <n v="1901.66"/>
  </r>
  <r>
    <x v="1"/>
    <x v="33"/>
    <x v="27"/>
    <x v="4"/>
    <n v="3"/>
    <n v="3928.21"/>
    <n v="3189"/>
    <n v="739.21"/>
  </r>
  <r>
    <x v="2"/>
    <x v="33"/>
    <x v="27"/>
    <x v="4"/>
    <n v="6"/>
    <n v="7650.14"/>
    <n v="6378"/>
    <n v="1272.14"/>
  </r>
  <r>
    <x v="3"/>
    <x v="33"/>
    <x v="27"/>
    <x v="4"/>
    <n v="7"/>
    <n v="9175.450000000001"/>
    <n v="7441"/>
    <n v="1734.45"/>
  </r>
  <r>
    <x v="4"/>
    <x v="33"/>
    <x v="27"/>
    <x v="4"/>
    <n v="6"/>
    <n v="8106.95"/>
    <n v="6378"/>
    <n v="1728.95"/>
  </r>
  <r>
    <x v="5"/>
    <x v="33"/>
    <x v="27"/>
    <x v="4"/>
    <n v="3"/>
    <n v="3795.6"/>
    <n v="3189"/>
    <n v="606.6"/>
  </r>
  <r>
    <x v="6"/>
    <x v="33"/>
    <x v="27"/>
    <x v="4"/>
    <n v="10"/>
    <n v="13106.19"/>
    <n v="10630"/>
    <n v="2476.19"/>
  </r>
  <r>
    <x v="7"/>
    <x v="33"/>
    <x v="27"/>
    <x v="4"/>
    <n v="7"/>
    <n v="8953.91"/>
    <n v="7441"/>
    <n v="1512.91"/>
  </r>
  <r>
    <x v="8"/>
    <x v="33"/>
    <x v="27"/>
    <x v="4"/>
    <n v="7"/>
    <n v="8926.799999999999"/>
    <n v="7441"/>
    <n v="1485.8"/>
  </r>
  <r>
    <x v="9"/>
    <x v="33"/>
    <x v="27"/>
    <x v="4"/>
    <n v="5"/>
    <n v="6470.09"/>
    <n v="5315"/>
    <n v="1155.09"/>
  </r>
  <r>
    <x v="10"/>
    <x v="33"/>
    <x v="27"/>
    <x v="4"/>
    <n v="6"/>
    <n v="7567.23"/>
    <n v="6378"/>
    <n v="1189.23"/>
  </r>
  <r>
    <x v="11"/>
    <x v="33"/>
    <x v="27"/>
    <x v="4"/>
    <n v="7"/>
    <n v="9294.33"/>
    <n v="7441"/>
    <n v="1853.33"/>
  </r>
  <r>
    <x v="12"/>
    <x v="33"/>
    <x v="27"/>
    <x v="4"/>
    <n v="5"/>
    <n v="6353.96"/>
    <n v="5315"/>
    <n v="1038.96"/>
  </r>
  <r>
    <x v="13"/>
    <x v="33"/>
    <x v="27"/>
    <x v="4"/>
    <n v="2"/>
    <n v="2571.41"/>
    <n v="2126"/>
    <n v="445.41"/>
  </r>
  <r>
    <x v="14"/>
    <x v="33"/>
    <x v="27"/>
    <x v="4"/>
    <n v="4"/>
    <n v="5243.39"/>
    <n v="4252"/>
    <n v="991.39"/>
  </r>
  <r>
    <x v="15"/>
    <x v="33"/>
    <x v="27"/>
    <x v="4"/>
    <n v="8"/>
    <n v="10011.61"/>
    <n v="8504"/>
    <n v="1507.61"/>
  </r>
  <r>
    <x v="16"/>
    <x v="33"/>
    <x v="27"/>
    <x v="4"/>
    <n v="6"/>
    <n v="7962.44"/>
    <n v="6378"/>
    <n v="1584.44"/>
  </r>
  <r>
    <x v="17"/>
    <x v="33"/>
    <x v="27"/>
    <x v="4"/>
    <n v="4"/>
    <n v="5061.82"/>
    <n v="4252"/>
    <n v="809.8200000000001"/>
  </r>
  <r>
    <x v="18"/>
    <x v="33"/>
    <x v="27"/>
    <x v="4"/>
    <n v="4"/>
    <n v="5142.01"/>
    <n v="4252"/>
    <n v="890.01"/>
  </r>
  <r>
    <x v="19"/>
    <x v="33"/>
    <x v="27"/>
    <x v="4"/>
    <n v="11"/>
    <n v="14000.86"/>
    <n v="11693"/>
    <n v="2307.86"/>
  </r>
  <r>
    <x v="20"/>
    <x v="33"/>
    <x v="27"/>
    <x v="4"/>
    <n v="10"/>
    <n v="12418.76"/>
    <n v="10630"/>
    <n v="1788.76"/>
  </r>
  <r>
    <x v="21"/>
    <x v="33"/>
    <x v="27"/>
    <x v="4"/>
    <n v="6"/>
    <n v="7516.26"/>
    <n v="6378"/>
    <n v="1138.26"/>
  </r>
  <r>
    <x v="22"/>
    <x v="33"/>
    <x v="27"/>
    <x v="4"/>
    <n v="6"/>
    <n v="7736.57"/>
    <n v="6378"/>
    <n v="1358.57"/>
  </r>
  <r>
    <x v="23"/>
    <x v="33"/>
    <x v="27"/>
    <x v="4"/>
    <n v="4"/>
    <n v="5105.82"/>
    <n v="4252"/>
    <n v="853.8200000000001"/>
  </r>
  <r>
    <x v="24"/>
    <x v="33"/>
    <x v="27"/>
    <x v="4"/>
    <n v="6"/>
    <n v="7862.92"/>
    <n v="6378"/>
    <n v="1484.92"/>
  </r>
  <r>
    <x v="25"/>
    <x v="33"/>
    <x v="27"/>
    <x v="4"/>
    <n v="5"/>
    <n v="6551.83"/>
    <n v="5315"/>
    <n v="1236.83"/>
  </r>
  <r>
    <x v="0"/>
    <x v="34"/>
    <x v="28"/>
    <x v="4"/>
    <n v="4"/>
    <n v="3576.24"/>
    <n v="2992"/>
    <n v="584.24"/>
  </r>
  <r>
    <x v="1"/>
    <x v="34"/>
    <x v="28"/>
    <x v="4"/>
    <n v="4"/>
    <n v="3560.76"/>
    <n v="2992"/>
    <n v="568.76"/>
  </r>
  <r>
    <x v="2"/>
    <x v="34"/>
    <x v="28"/>
    <x v="4"/>
    <n v="4"/>
    <n v="3603.5"/>
    <n v="2992"/>
    <n v="611.5"/>
  </r>
  <r>
    <x v="3"/>
    <x v="34"/>
    <x v="28"/>
    <x v="4"/>
    <n v="5"/>
    <n v="4477.64"/>
    <n v="3740"/>
    <n v="737.64"/>
  </r>
  <r>
    <x v="4"/>
    <x v="34"/>
    <x v="28"/>
    <x v="4"/>
    <n v="3"/>
    <n v="2663.14"/>
    <n v="2244"/>
    <n v="419.14"/>
  </r>
  <r>
    <x v="5"/>
    <x v="34"/>
    <x v="28"/>
    <x v="4"/>
    <n v="7"/>
    <n v="6163.24"/>
    <n v="5236"/>
    <n v="927.24"/>
  </r>
  <r>
    <x v="6"/>
    <x v="34"/>
    <x v="28"/>
    <x v="4"/>
    <n v="6"/>
    <n v="5571.85"/>
    <n v="4488"/>
    <n v="1083.85"/>
  </r>
  <r>
    <x v="7"/>
    <x v="34"/>
    <x v="28"/>
    <x v="4"/>
    <n v="5"/>
    <n v="4391.39"/>
    <n v="3740"/>
    <n v="651.39"/>
  </r>
  <r>
    <x v="8"/>
    <x v="34"/>
    <x v="28"/>
    <x v="4"/>
    <n v="6"/>
    <n v="5375.88"/>
    <n v="4488"/>
    <n v="887.88"/>
  </r>
  <r>
    <x v="9"/>
    <x v="34"/>
    <x v="28"/>
    <x v="4"/>
    <n v="2"/>
    <n v="1811.38"/>
    <n v="1496"/>
    <n v="315.38"/>
  </r>
  <r>
    <x v="10"/>
    <x v="34"/>
    <x v="28"/>
    <x v="4"/>
    <n v="7"/>
    <n v="6012.88"/>
    <n v="5236"/>
    <n v="776.88"/>
  </r>
  <r>
    <x v="11"/>
    <x v="34"/>
    <x v="28"/>
    <x v="4"/>
    <n v="8"/>
    <n v="6897.56"/>
    <n v="5984"/>
    <n v="913.5599999999999"/>
  </r>
  <r>
    <x v="12"/>
    <x v="34"/>
    <x v="28"/>
    <x v="4"/>
    <n v="7"/>
    <n v="6254.66"/>
    <n v="5236"/>
    <n v="1018.66"/>
  </r>
  <r>
    <x v="13"/>
    <x v="34"/>
    <x v="28"/>
    <x v="4"/>
    <n v="4"/>
    <n v="3490.43"/>
    <n v="2992"/>
    <n v="498.43"/>
  </r>
  <r>
    <x v="14"/>
    <x v="34"/>
    <x v="28"/>
    <x v="4"/>
    <n v="3"/>
    <n v="2627.93"/>
    <n v="2244"/>
    <n v="383.93"/>
  </r>
  <r>
    <x v="15"/>
    <x v="34"/>
    <x v="28"/>
    <x v="4"/>
    <n v="7"/>
    <n v="6072.88"/>
    <n v="5236"/>
    <n v="836.88"/>
  </r>
  <r>
    <x v="16"/>
    <x v="34"/>
    <x v="28"/>
    <x v="4"/>
    <n v="8"/>
    <n v="7082.71"/>
    <n v="5984"/>
    <n v="1098.71"/>
  </r>
  <r>
    <x v="17"/>
    <x v="34"/>
    <x v="28"/>
    <x v="4"/>
    <n v="4"/>
    <n v="3480.15"/>
    <n v="2992"/>
    <n v="488.15"/>
  </r>
  <r>
    <x v="18"/>
    <x v="34"/>
    <x v="28"/>
    <x v="4"/>
    <n v="8"/>
    <n v="7052.97"/>
    <n v="5984"/>
    <n v="1068.97"/>
  </r>
  <r>
    <x v="19"/>
    <x v="34"/>
    <x v="28"/>
    <x v="4"/>
    <n v="6"/>
    <n v="4991.25"/>
    <n v="4488"/>
    <n v="503.25"/>
  </r>
  <r>
    <x v="20"/>
    <x v="34"/>
    <x v="28"/>
    <x v="4"/>
    <n v="3"/>
    <n v="2509.91"/>
    <n v="2244"/>
    <n v="265.91"/>
  </r>
  <r>
    <x v="21"/>
    <x v="34"/>
    <x v="28"/>
    <x v="4"/>
    <n v="4"/>
    <n v="3317.73"/>
    <n v="2992"/>
    <n v="325.73"/>
  </r>
  <r>
    <x v="22"/>
    <x v="34"/>
    <x v="28"/>
    <x v="4"/>
    <n v="6"/>
    <n v="4992.97"/>
    <n v="4488"/>
    <n v="504.97"/>
  </r>
  <r>
    <x v="23"/>
    <x v="34"/>
    <x v="28"/>
    <x v="4"/>
    <n v="6"/>
    <n v="5220.21"/>
    <n v="4488"/>
    <n v="732.21"/>
  </r>
  <r>
    <x v="24"/>
    <x v="34"/>
    <x v="28"/>
    <x v="4"/>
    <n v="3"/>
    <n v="2447.65"/>
    <n v="2244"/>
    <n v="203.65"/>
  </r>
  <r>
    <x v="25"/>
    <x v="34"/>
    <x v="28"/>
    <x v="4"/>
    <n v="3"/>
    <n v="2465.26"/>
    <n v="2244"/>
    <n v="221.26"/>
  </r>
  <r>
    <x v="0"/>
    <x v="35"/>
    <x v="29"/>
    <x v="4"/>
    <n v="1"/>
    <n v="1797.83"/>
    <n v="1449"/>
    <n v="348.83"/>
  </r>
  <r>
    <x v="1"/>
    <x v="35"/>
    <x v="29"/>
    <x v="4"/>
    <n v="3"/>
    <n v="5359.86"/>
    <n v="4347"/>
    <n v="1012.86"/>
  </r>
  <r>
    <x v="2"/>
    <x v="35"/>
    <x v="29"/>
    <x v="4"/>
    <n v="1"/>
    <n v="1812.41"/>
    <n v="1449"/>
    <n v="363.41"/>
  </r>
  <r>
    <x v="3"/>
    <x v="35"/>
    <x v="29"/>
    <x v="4"/>
    <n v="4"/>
    <n v="7039.76"/>
    <n v="5796"/>
    <n v="1243.76"/>
  </r>
  <r>
    <x v="4"/>
    <x v="35"/>
    <x v="29"/>
    <x v="4"/>
    <n v="2"/>
    <n v="3583.4"/>
    <n v="2898"/>
    <n v="685.4"/>
  </r>
  <r>
    <x v="5"/>
    <x v="35"/>
    <x v="29"/>
    <x v="4"/>
    <n v="3"/>
    <n v="5187.29"/>
    <n v="4347"/>
    <n v="840.29"/>
  </r>
  <r>
    <x v="6"/>
    <x v="35"/>
    <x v="29"/>
    <x v="4"/>
    <n v="3"/>
    <n v="5413.85"/>
    <n v="4347"/>
    <n v="1066.85"/>
  </r>
  <r>
    <x v="7"/>
    <x v="35"/>
    <x v="29"/>
    <x v="4"/>
    <n v="1"/>
    <n v="1804.69"/>
    <n v="1449"/>
    <n v="355.69"/>
  </r>
  <r>
    <x v="8"/>
    <x v="35"/>
    <x v="29"/>
    <x v="4"/>
    <n v="1"/>
    <n v="1734.65"/>
    <n v="1449"/>
    <n v="285.65"/>
  </r>
  <r>
    <x v="9"/>
    <x v="35"/>
    <x v="29"/>
    <x v="4"/>
    <n v="0"/>
    <n v="0"/>
    <n v="0"/>
    <n v="0"/>
  </r>
  <r>
    <x v="10"/>
    <x v="35"/>
    <x v="29"/>
    <x v="4"/>
    <n v="1"/>
    <n v="1696.31"/>
    <n v="1449"/>
    <n v="247.31"/>
  </r>
  <r>
    <x v="11"/>
    <x v="35"/>
    <x v="29"/>
    <x v="4"/>
    <n v="4"/>
    <n v="6608.4"/>
    <n v="5796"/>
    <n v="812.4"/>
  </r>
  <r>
    <x v="12"/>
    <x v="35"/>
    <x v="29"/>
    <x v="4"/>
    <n v="2"/>
    <n v="3504.24"/>
    <n v="2898"/>
    <n v="606.24"/>
  </r>
  <r>
    <x v="13"/>
    <x v="35"/>
    <x v="29"/>
    <x v="4"/>
    <n v="3"/>
    <n v="5243.52"/>
    <n v="4347"/>
    <n v="896.52"/>
  </r>
  <r>
    <x v="14"/>
    <x v="35"/>
    <x v="29"/>
    <x v="4"/>
    <n v="0"/>
    <n v="0"/>
    <n v="0"/>
    <n v="0"/>
  </r>
  <r>
    <x v="15"/>
    <x v="35"/>
    <x v="29"/>
    <x v="4"/>
    <n v="2"/>
    <n v="3372.96"/>
    <n v="2898"/>
    <n v="474.96"/>
  </r>
  <r>
    <x v="16"/>
    <x v="35"/>
    <x v="29"/>
    <x v="4"/>
    <n v="3"/>
    <n v="4872"/>
    <n v="4347"/>
    <n v="525"/>
  </r>
  <r>
    <x v="17"/>
    <x v="35"/>
    <x v="29"/>
    <x v="4"/>
    <n v="4"/>
    <n v="6863.03"/>
    <n v="5796"/>
    <n v="1067.03"/>
  </r>
  <r>
    <x v="18"/>
    <x v="35"/>
    <x v="29"/>
    <x v="4"/>
    <n v="4"/>
    <n v="6757.33"/>
    <n v="5796"/>
    <n v="961.33"/>
  </r>
  <r>
    <x v="19"/>
    <x v="35"/>
    <x v="29"/>
    <x v="4"/>
    <n v="1"/>
    <n v="1635.11"/>
    <n v="1449"/>
    <n v="186.11"/>
  </r>
  <r>
    <x v="20"/>
    <x v="35"/>
    <x v="29"/>
    <x v="4"/>
    <n v="3"/>
    <n v="4836.96"/>
    <n v="4347"/>
    <n v="489.96"/>
  </r>
  <r>
    <x v="21"/>
    <x v="35"/>
    <x v="29"/>
    <x v="4"/>
    <n v="3"/>
    <n v="5018.42"/>
    <n v="4347"/>
    <n v="671.42"/>
  </r>
  <r>
    <x v="22"/>
    <x v="35"/>
    <x v="29"/>
    <x v="4"/>
    <n v="2"/>
    <n v="3260.36"/>
    <n v="2898"/>
    <n v="362.36"/>
  </r>
  <r>
    <x v="23"/>
    <x v="35"/>
    <x v="29"/>
    <x v="4"/>
    <n v="2"/>
    <n v="3240.81"/>
    <n v="2898"/>
    <n v="342.81"/>
  </r>
  <r>
    <x v="24"/>
    <x v="35"/>
    <x v="29"/>
    <x v="4"/>
    <n v="4"/>
    <n v="6438.04"/>
    <n v="5796"/>
    <n v="642.04"/>
  </r>
  <r>
    <x v="25"/>
    <x v="35"/>
    <x v="29"/>
    <x v="4"/>
    <n v="5"/>
    <n v="8336.91"/>
    <n v="7245"/>
    <n v="1091.91"/>
  </r>
  <r>
    <x v="0"/>
    <x v="18"/>
    <x v="18"/>
    <x v="3"/>
    <n v="4"/>
    <n v="1601.72"/>
    <n v="1140"/>
    <n v="461.72"/>
  </r>
  <r>
    <x v="1"/>
    <x v="18"/>
    <x v="18"/>
    <x v="3"/>
    <n v="4"/>
    <n v="1610.61"/>
    <n v="1140"/>
    <n v="470.61"/>
  </r>
  <r>
    <x v="2"/>
    <x v="18"/>
    <x v="18"/>
    <x v="3"/>
    <n v="3"/>
    <n v="1165.48"/>
    <n v="855"/>
    <n v="310.48"/>
  </r>
  <r>
    <x v="3"/>
    <x v="18"/>
    <x v="18"/>
    <x v="3"/>
    <n v="7"/>
    <n v="2735.76"/>
    <n v="1995"/>
    <n v="740.76"/>
  </r>
  <r>
    <x v="4"/>
    <x v="18"/>
    <x v="18"/>
    <x v="3"/>
    <n v="6"/>
    <n v="2289.81"/>
    <n v="1710"/>
    <n v="579.8099999999999"/>
  </r>
  <r>
    <x v="5"/>
    <x v="18"/>
    <x v="18"/>
    <x v="3"/>
    <n v="5"/>
    <n v="1912.27"/>
    <n v="1425"/>
    <n v="487.27"/>
  </r>
  <r>
    <x v="6"/>
    <x v="18"/>
    <x v="18"/>
    <x v="3"/>
    <n v="0"/>
    <n v="0"/>
    <n v="0"/>
    <n v="0"/>
  </r>
  <r>
    <x v="7"/>
    <x v="18"/>
    <x v="18"/>
    <x v="3"/>
    <n v="9"/>
    <n v="3391.88"/>
    <n v="2565"/>
    <n v="826.88"/>
  </r>
  <r>
    <x v="8"/>
    <x v="18"/>
    <x v="18"/>
    <x v="3"/>
    <n v="5"/>
    <n v="2000.84"/>
    <n v="1425"/>
    <n v="575.84"/>
  </r>
  <r>
    <x v="9"/>
    <x v="18"/>
    <x v="18"/>
    <x v="3"/>
    <n v="5"/>
    <n v="1993.28"/>
    <n v="1425"/>
    <n v="568.28"/>
  </r>
  <r>
    <x v="10"/>
    <x v="18"/>
    <x v="18"/>
    <x v="3"/>
    <n v="1"/>
    <n v="397.33"/>
    <n v="285"/>
    <n v="112.33"/>
  </r>
  <r>
    <x v="11"/>
    <x v="18"/>
    <x v="18"/>
    <x v="3"/>
    <n v="3"/>
    <n v="1123.17"/>
    <n v="855"/>
    <n v="268.17"/>
  </r>
  <r>
    <x v="12"/>
    <x v="18"/>
    <x v="18"/>
    <x v="3"/>
    <n v="2"/>
    <n v="783.65"/>
    <n v="570"/>
    <n v="213.65"/>
  </r>
  <r>
    <x v="13"/>
    <x v="18"/>
    <x v="18"/>
    <x v="3"/>
    <n v="3"/>
    <n v="1187.17"/>
    <n v="855"/>
    <n v="332.17"/>
  </r>
  <r>
    <x v="14"/>
    <x v="18"/>
    <x v="18"/>
    <x v="3"/>
    <n v="2"/>
    <n v="792.5599999999999"/>
    <n v="570"/>
    <n v="222.56"/>
  </r>
  <r>
    <x v="15"/>
    <x v="18"/>
    <x v="18"/>
    <x v="3"/>
    <n v="6"/>
    <n v="2229.87"/>
    <n v="1710"/>
    <n v="519.87"/>
  </r>
  <r>
    <x v="16"/>
    <x v="18"/>
    <x v="18"/>
    <x v="3"/>
    <n v="2"/>
    <n v="781"/>
    <n v="570"/>
    <n v="211"/>
  </r>
  <r>
    <x v="17"/>
    <x v="18"/>
    <x v="18"/>
    <x v="3"/>
    <n v="6"/>
    <n v="2329.46"/>
    <n v="1710"/>
    <n v="619.46"/>
  </r>
  <r>
    <x v="18"/>
    <x v="18"/>
    <x v="18"/>
    <x v="3"/>
    <n v="4"/>
    <n v="1498.21"/>
    <n v="1140"/>
    <n v="358.21"/>
  </r>
  <r>
    <x v="19"/>
    <x v="18"/>
    <x v="18"/>
    <x v="3"/>
    <n v="3"/>
    <n v="1172.16"/>
    <n v="855"/>
    <n v="317.16"/>
  </r>
  <r>
    <x v="20"/>
    <x v="18"/>
    <x v="18"/>
    <x v="3"/>
    <n v="6"/>
    <n v="2359.24"/>
    <n v="1710"/>
    <n v="649.24"/>
  </r>
  <r>
    <x v="21"/>
    <x v="18"/>
    <x v="18"/>
    <x v="3"/>
    <n v="6"/>
    <n v="2313.96"/>
    <n v="1710"/>
    <n v="603.96"/>
  </r>
  <r>
    <x v="22"/>
    <x v="18"/>
    <x v="18"/>
    <x v="3"/>
    <n v="4"/>
    <n v="1549.38"/>
    <n v="1140"/>
    <n v="409.38"/>
  </r>
  <r>
    <x v="23"/>
    <x v="18"/>
    <x v="18"/>
    <x v="3"/>
    <n v="4"/>
    <n v="1532.86"/>
    <n v="1140"/>
    <n v="392.86"/>
  </r>
  <r>
    <x v="24"/>
    <x v="18"/>
    <x v="18"/>
    <x v="3"/>
    <n v="5"/>
    <n v="1924.46"/>
    <n v="1425"/>
    <n v="499.46"/>
  </r>
  <r>
    <x v="25"/>
    <x v="18"/>
    <x v="18"/>
    <x v="3"/>
    <n v="2"/>
    <n v="761.87"/>
    <n v="570"/>
    <n v="191.87"/>
  </r>
  <r>
    <x v="0"/>
    <x v="19"/>
    <x v="19"/>
    <x v="3"/>
    <n v="5"/>
    <n v="3617.05"/>
    <n v="2620"/>
    <n v="997.05"/>
  </r>
  <r>
    <x v="1"/>
    <x v="19"/>
    <x v="19"/>
    <x v="3"/>
    <n v="7"/>
    <n v="5068.08"/>
    <n v="3668"/>
    <n v="1400.08"/>
  </r>
  <r>
    <x v="2"/>
    <x v="19"/>
    <x v="19"/>
    <x v="3"/>
    <n v="1"/>
    <n v="705.03"/>
    <n v="524"/>
    <n v="181.03"/>
  </r>
  <r>
    <x v="3"/>
    <x v="19"/>
    <x v="19"/>
    <x v="3"/>
    <n v="4"/>
    <n v="2791.91"/>
    <n v="2096"/>
    <n v="695.91"/>
  </r>
  <r>
    <x v="4"/>
    <x v="19"/>
    <x v="19"/>
    <x v="3"/>
    <n v="3"/>
    <n v="2130.87"/>
    <n v="1572"/>
    <n v="558.87"/>
  </r>
  <r>
    <x v="5"/>
    <x v="19"/>
    <x v="19"/>
    <x v="3"/>
    <n v="3"/>
    <n v="2182.45"/>
    <n v="1572"/>
    <n v="610.45"/>
  </r>
  <r>
    <x v="6"/>
    <x v="19"/>
    <x v="19"/>
    <x v="3"/>
    <n v="5"/>
    <n v="3521.62"/>
    <n v="2620"/>
    <n v="901.62"/>
  </r>
  <r>
    <x v="7"/>
    <x v="19"/>
    <x v="19"/>
    <x v="3"/>
    <n v="6"/>
    <n v="4400.94"/>
    <n v="3144"/>
    <n v="1256.94"/>
  </r>
  <r>
    <x v="8"/>
    <x v="19"/>
    <x v="19"/>
    <x v="3"/>
    <n v="7"/>
    <n v="4954.1"/>
    <n v="3668"/>
    <n v="1286.1"/>
  </r>
  <r>
    <x v="9"/>
    <x v="19"/>
    <x v="19"/>
    <x v="3"/>
    <n v="2"/>
    <n v="1454.89"/>
    <n v="1048"/>
    <n v="406.89"/>
  </r>
  <r>
    <x v="10"/>
    <x v="19"/>
    <x v="19"/>
    <x v="3"/>
    <n v="4"/>
    <n v="2823.9"/>
    <n v="2096"/>
    <n v="727.9"/>
  </r>
  <r>
    <x v="11"/>
    <x v="19"/>
    <x v="19"/>
    <x v="3"/>
    <n v="2"/>
    <n v="1415.97"/>
    <n v="1048"/>
    <n v="367.97"/>
  </r>
  <r>
    <x v="12"/>
    <x v="19"/>
    <x v="19"/>
    <x v="3"/>
    <n v="6"/>
    <n v="4352.56"/>
    <n v="3144"/>
    <n v="1208.56"/>
  </r>
  <r>
    <x v="13"/>
    <x v="19"/>
    <x v="19"/>
    <x v="3"/>
    <n v="7"/>
    <n v="4891.92"/>
    <n v="3668"/>
    <n v="1223.92"/>
  </r>
  <r>
    <x v="14"/>
    <x v="19"/>
    <x v="19"/>
    <x v="3"/>
    <n v="3"/>
    <n v="2174.04"/>
    <n v="1572"/>
    <n v="602.04"/>
  </r>
  <r>
    <x v="15"/>
    <x v="19"/>
    <x v="19"/>
    <x v="3"/>
    <n v="5"/>
    <n v="3500.42"/>
    <n v="2620"/>
    <n v="880.42"/>
  </r>
  <r>
    <x v="16"/>
    <x v="19"/>
    <x v="19"/>
    <x v="3"/>
    <n v="6"/>
    <n v="4181.96"/>
    <n v="3144"/>
    <n v="1037.96"/>
  </r>
  <r>
    <x v="17"/>
    <x v="19"/>
    <x v="19"/>
    <x v="3"/>
    <n v="3"/>
    <n v="2184.98"/>
    <n v="1572"/>
    <n v="612.98"/>
  </r>
  <r>
    <x v="18"/>
    <x v="19"/>
    <x v="19"/>
    <x v="3"/>
    <n v="3"/>
    <n v="2178.16"/>
    <n v="1572"/>
    <n v="606.16"/>
  </r>
  <r>
    <x v="19"/>
    <x v="19"/>
    <x v="19"/>
    <x v="3"/>
    <n v="4"/>
    <n v="2724.32"/>
    <n v="2096"/>
    <n v="628.3200000000001"/>
  </r>
  <r>
    <x v="20"/>
    <x v="19"/>
    <x v="19"/>
    <x v="3"/>
    <n v="6"/>
    <n v="4217.26"/>
    <n v="3144"/>
    <n v="1073.26"/>
  </r>
  <r>
    <x v="21"/>
    <x v="19"/>
    <x v="19"/>
    <x v="3"/>
    <n v="1"/>
    <n v="721.58"/>
    <n v="524"/>
    <n v="197.58"/>
  </r>
  <r>
    <x v="22"/>
    <x v="19"/>
    <x v="19"/>
    <x v="3"/>
    <n v="2"/>
    <n v="1411.39"/>
    <n v="1048"/>
    <n v="363.39"/>
  </r>
  <r>
    <x v="23"/>
    <x v="19"/>
    <x v="19"/>
    <x v="3"/>
    <n v="1"/>
    <n v="707.79"/>
    <n v="524"/>
    <n v="183.79"/>
  </r>
  <r>
    <x v="24"/>
    <x v="19"/>
    <x v="19"/>
    <x v="3"/>
    <n v="5"/>
    <n v="3602.8"/>
    <n v="2620"/>
    <n v="982.8"/>
  </r>
  <r>
    <x v="25"/>
    <x v="19"/>
    <x v="19"/>
    <x v="3"/>
    <n v="3"/>
    <n v="2024.12"/>
    <n v="1572"/>
    <n v="452.12"/>
  </r>
  <r>
    <x v="0"/>
    <x v="20"/>
    <x v="20"/>
    <x v="3"/>
    <n v="6"/>
    <n v="2652.41"/>
    <n v="1938"/>
    <n v="714.41"/>
  </r>
  <r>
    <x v="1"/>
    <x v="20"/>
    <x v="20"/>
    <x v="3"/>
    <n v="3"/>
    <n v="1348.83"/>
    <n v="969"/>
    <n v="379.83"/>
  </r>
  <r>
    <x v="2"/>
    <x v="20"/>
    <x v="20"/>
    <x v="3"/>
    <n v="3"/>
    <n v="1311.38"/>
    <n v="969"/>
    <n v="342.38"/>
  </r>
  <r>
    <x v="3"/>
    <x v="20"/>
    <x v="20"/>
    <x v="3"/>
    <n v="4"/>
    <n v="1744.41"/>
    <n v="1292"/>
    <n v="452.41"/>
  </r>
  <r>
    <x v="4"/>
    <x v="20"/>
    <x v="20"/>
    <x v="3"/>
    <n v="7"/>
    <n v="3024.14"/>
    <n v="2261"/>
    <n v="763.14"/>
  </r>
  <r>
    <x v="5"/>
    <x v="20"/>
    <x v="20"/>
    <x v="3"/>
    <n v="0"/>
    <n v="0"/>
    <n v="0"/>
    <n v="0"/>
  </r>
  <r>
    <x v="6"/>
    <x v="20"/>
    <x v="20"/>
    <x v="3"/>
    <n v="4"/>
    <n v="1800.21"/>
    <n v="1292"/>
    <n v="508.21"/>
  </r>
  <r>
    <x v="7"/>
    <x v="20"/>
    <x v="20"/>
    <x v="3"/>
    <n v="3"/>
    <n v="1337.78"/>
    <n v="969"/>
    <n v="368.78"/>
  </r>
  <r>
    <x v="8"/>
    <x v="20"/>
    <x v="20"/>
    <x v="3"/>
    <n v="6"/>
    <n v="2585.26"/>
    <n v="1938"/>
    <n v="647.26"/>
  </r>
  <r>
    <x v="9"/>
    <x v="20"/>
    <x v="20"/>
    <x v="3"/>
    <n v="1"/>
    <n v="429.06"/>
    <n v="323"/>
    <n v="106.06"/>
  </r>
  <r>
    <x v="10"/>
    <x v="20"/>
    <x v="20"/>
    <x v="3"/>
    <n v="4"/>
    <n v="1701.34"/>
    <n v="1292"/>
    <n v="409.34"/>
  </r>
  <r>
    <x v="11"/>
    <x v="20"/>
    <x v="20"/>
    <x v="3"/>
    <n v="5"/>
    <n v="2243.17"/>
    <n v="1615"/>
    <n v="628.17"/>
  </r>
  <r>
    <x v="12"/>
    <x v="20"/>
    <x v="20"/>
    <x v="3"/>
    <n v="2"/>
    <n v="897.75"/>
    <n v="646"/>
    <n v="251.75"/>
  </r>
  <r>
    <x v="13"/>
    <x v="20"/>
    <x v="20"/>
    <x v="3"/>
    <n v="8"/>
    <n v="3482.65"/>
    <n v="2584"/>
    <n v="898.65"/>
  </r>
  <r>
    <x v="14"/>
    <x v="20"/>
    <x v="20"/>
    <x v="3"/>
    <n v="4"/>
    <n v="1726.37"/>
    <n v="1292"/>
    <n v="434.37"/>
  </r>
  <r>
    <x v="15"/>
    <x v="20"/>
    <x v="20"/>
    <x v="3"/>
    <n v="8"/>
    <n v="3560.76"/>
    <n v="2584"/>
    <n v="976.76"/>
  </r>
  <r>
    <x v="16"/>
    <x v="20"/>
    <x v="20"/>
    <x v="3"/>
    <n v="2"/>
    <n v="856.73"/>
    <n v="646"/>
    <n v="210.73"/>
  </r>
  <r>
    <x v="17"/>
    <x v="20"/>
    <x v="20"/>
    <x v="3"/>
    <n v="1"/>
    <n v="424.78"/>
    <n v="323"/>
    <n v="101.78"/>
  </r>
  <r>
    <x v="18"/>
    <x v="20"/>
    <x v="20"/>
    <x v="3"/>
    <n v="8"/>
    <n v="3389.45"/>
    <n v="2584"/>
    <n v="805.45"/>
  </r>
  <r>
    <x v="19"/>
    <x v="20"/>
    <x v="20"/>
    <x v="3"/>
    <n v="2"/>
    <n v="858"/>
    <n v="646"/>
    <n v="212"/>
  </r>
  <r>
    <x v="20"/>
    <x v="20"/>
    <x v="20"/>
    <x v="3"/>
    <n v="3"/>
    <n v="1282.23"/>
    <n v="969"/>
    <n v="313.23"/>
  </r>
  <r>
    <x v="21"/>
    <x v="20"/>
    <x v="20"/>
    <x v="3"/>
    <n v="5"/>
    <n v="2186.31"/>
    <n v="1615"/>
    <n v="571.3099999999999"/>
  </r>
  <r>
    <x v="22"/>
    <x v="20"/>
    <x v="20"/>
    <x v="3"/>
    <n v="7"/>
    <n v="2956.65"/>
    <n v="2261"/>
    <n v="695.65"/>
  </r>
  <r>
    <x v="23"/>
    <x v="20"/>
    <x v="20"/>
    <x v="3"/>
    <n v="2"/>
    <n v="868.3"/>
    <n v="646"/>
    <n v="222.3"/>
  </r>
  <r>
    <x v="24"/>
    <x v="20"/>
    <x v="20"/>
    <x v="3"/>
    <n v="5"/>
    <n v="2095.32"/>
    <n v="1615"/>
    <n v="480.32"/>
  </r>
  <r>
    <x v="25"/>
    <x v="20"/>
    <x v="20"/>
    <x v="3"/>
    <n v="3"/>
    <n v="1269.26"/>
    <n v="969"/>
    <n v="300.26"/>
  </r>
  <r>
    <x v="0"/>
    <x v="21"/>
    <x v="21"/>
    <x v="3"/>
    <n v="4"/>
    <n v="2342.81"/>
    <n v="1648"/>
    <n v="694.8099999999999"/>
  </r>
  <r>
    <x v="1"/>
    <x v="21"/>
    <x v="21"/>
    <x v="3"/>
    <n v="5"/>
    <n v="2777.19"/>
    <n v="2060"/>
    <n v="717.1900000000001"/>
  </r>
  <r>
    <x v="2"/>
    <x v="21"/>
    <x v="21"/>
    <x v="3"/>
    <n v="3"/>
    <n v="1682.55"/>
    <n v="1236"/>
    <n v="446.55"/>
  </r>
  <r>
    <x v="3"/>
    <x v="21"/>
    <x v="21"/>
    <x v="3"/>
    <n v="1"/>
    <n v="579.9299999999999"/>
    <n v="412"/>
    <n v="167.93"/>
  </r>
  <r>
    <x v="4"/>
    <x v="21"/>
    <x v="21"/>
    <x v="3"/>
    <n v="3"/>
    <n v="1723.49"/>
    <n v="1236"/>
    <n v="487.49"/>
  </r>
  <r>
    <x v="5"/>
    <x v="21"/>
    <x v="21"/>
    <x v="3"/>
    <n v="4"/>
    <n v="2250.06"/>
    <n v="1648"/>
    <n v="602.0599999999999"/>
  </r>
  <r>
    <x v="6"/>
    <x v="21"/>
    <x v="21"/>
    <x v="3"/>
    <n v="3"/>
    <n v="1628.59"/>
    <n v="1236"/>
    <n v="392.59"/>
  </r>
  <r>
    <x v="7"/>
    <x v="21"/>
    <x v="21"/>
    <x v="3"/>
    <n v="5"/>
    <n v="2710.99"/>
    <n v="2060"/>
    <n v="650.99"/>
  </r>
  <r>
    <x v="8"/>
    <x v="21"/>
    <x v="21"/>
    <x v="3"/>
    <n v="3"/>
    <n v="1637.57"/>
    <n v="1236"/>
    <n v="401.57"/>
  </r>
  <r>
    <x v="9"/>
    <x v="21"/>
    <x v="21"/>
    <x v="3"/>
    <n v="3"/>
    <n v="1665.06"/>
    <n v="1236"/>
    <n v="429.06"/>
  </r>
  <r>
    <x v="10"/>
    <x v="21"/>
    <x v="21"/>
    <x v="3"/>
    <n v="4"/>
    <n v="2139.86"/>
    <n v="1648"/>
    <n v="491.86"/>
  </r>
  <r>
    <x v="11"/>
    <x v="21"/>
    <x v="21"/>
    <x v="3"/>
    <n v="3"/>
    <n v="1660.34"/>
    <n v="1236"/>
    <n v="424.34"/>
  </r>
  <r>
    <x v="12"/>
    <x v="21"/>
    <x v="21"/>
    <x v="3"/>
    <n v="4"/>
    <n v="2107.29"/>
    <n v="1648"/>
    <n v="459.29"/>
  </r>
  <r>
    <x v="13"/>
    <x v="21"/>
    <x v="21"/>
    <x v="3"/>
    <n v="2"/>
    <n v="1097.75"/>
    <n v="824"/>
    <n v="273.75"/>
  </r>
  <r>
    <x v="14"/>
    <x v="21"/>
    <x v="21"/>
    <x v="3"/>
    <n v="1"/>
    <n v="536.6"/>
    <n v="412"/>
    <n v="124.6"/>
  </r>
  <r>
    <x v="15"/>
    <x v="21"/>
    <x v="21"/>
    <x v="3"/>
    <n v="3"/>
    <n v="1620.13"/>
    <n v="1236"/>
    <n v="384.13"/>
  </r>
  <r>
    <x v="16"/>
    <x v="21"/>
    <x v="21"/>
    <x v="3"/>
    <n v="5"/>
    <n v="2742.17"/>
    <n v="2060"/>
    <n v="682.17"/>
  </r>
  <r>
    <x v="17"/>
    <x v="21"/>
    <x v="21"/>
    <x v="3"/>
    <n v="1"/>
    <n v="534.97"/>
    <n v="412"/>
    <n v="122.97"/>
  </r>
  <r>
    <x v="18"/>
    <x v="21"/>
    <x v="21"/>
    <x v="3"/>
    <n v="5"/>
    <n v="2707.1"/>
    <n v="2060"/>
    <n v="647.1"/>
  </r>
  <r>
    <x v="19"/>
    <x v="21"/>
    <x v="21"/>
    <x v="3"/>
    <n v="5"/>
    <n v="2570.41"/>
    <n v="2060"/>
    <n v="510.41"/>
  </r>
  <r>
    <x v="20"/>
    <x v="21"/>
    <x v="21"/>
    <x v="3"/>
    <n v="0"/>
    <n v="0"/>
    <n v="0"/>
    <n v="0"/>
  </r>
  <r>
    <x v="21"/>
    <x v="21"/>
    <x v="21"/>
    <x v="3"/>
    <n v="2"/>
    <n v="1026.21"/>
    <n v="824"/>
    <n v="202.21"/>
  </r>
  <r>
    <x v="22"/>
    <x v="21"/>
    <x v="21"/>
    <x v="3"/>
    <n v="1"/>
    <n v="517.38"/>
    <n v="412"/>
    <n v="105.38"/>
  </r>
  <r>
    <x v="23"/>
    <x v="21"/>
    <x v="21"/>
    <x v="3"/>
    <n v="3"/>
    <n v="1583.73"/>
    <n v="1236"/>
    <n v="347.73"/>
  </r>
  <r>
    <x v="24"/>
    <x v="21"/>
    <x v="21"/>
    <x v="3"/>
    <n v="7"/>
    <n v="3550.36"/>
    <n v="2884"/>
    <n v="666.36"/>
  </r>
  <r>
    <x v="25"/>
    <x v="21"/>
    <x v="21"/>
    <x v="3"/>
    <n v="3"/>
    <n v="1539.26"/>
    <n v="1236"/>
    <n v="303.26"/>
  </r>
  <r>
    <x v="0"/>
    <x v="22"/>
    <x v="22"/>
    <x v="3"/>
    <n v="1"/>
    <n v="727.03"/>
    <n v="533"/>
    <n v="194.03"/>
  </r>
  <r>
    <x v="1"/>
    <x v="22"/>
    <x v="22"/>
    <x v="3"/>
    <n v="4"/>
    <n v="2893.66"/>
    <n v="2132"/>
    <n v="761.66"/>
  </r>
  <r>
    <x v="2"/>
    <x v="22"/>
    <x v="22"/>
    <x v="3"/>
    <n v="4"/>
    <n v="2952.56"/>
    <n v="2132"/>
    <n v="820.5599999999999"/>
  </r>
  <r>
    <x v="3"/>
    <x v="22"/>
    <x v="22"/>
    <x v="3"/>
    <n v="4"/>
    <n v="2884.29"/>
    <n v="2132"/>
    <n v="752.29"/>
  </r>
  <r>
    <x v="4"/>
    <x v="22"/>
    <x v="22"/>
    <x v="3"/>
    <n v="6"/>
    <n v="4338.28"/>
    <n v="3198"/>
    <n v="1140.28"/>
  </r>
  <r>
    <x v="5"/>
    <x v="22"/>
    <x v="22"/>
    <x v="3"/>
    <n v="6"/>
    <n v="4453.63"/>
    <n v="3198"/>
    <n v="1255.63"/>
  </r>
  <r>
    <x v="6"/>
    <x v="22"/>
    <x v="22"/>
    <x v="3"/>
    <n v="8"/>
    <n v="5804.69"/>
    <n v="4264"/>
    <n v="1540.69"/>
  </r>
  <r>
    <x v="7"/>
    <x v="22"/>
    <x v="22"/>
    <x v="3"/>
    <n v="2"/>
    <n v="1502.11"/>
    <n v="1066"/>
    <n v="436.11"/>
  </r>
  <r>
    <x v="8"/>
    <x v="22"/>
    <x v="22"/>
    <x v="3"/>
    <n v="5"/>
    <n v="3623.25"/>
    <n v="2665"/>
    <n v="958.25"/>
  </r>
  <r>
    <x v="9"/>
    <x v="22"/>
    <x v="22"/>
    <x v="3"/>
    <n v="9"/>
    <n v="6544.6"/>
    <n v="4797"/>
    <n v="1747.6"/>
  </r>
  <r>
    <x v="10"/>
    <x v="22"/>
    <x v="22"/>
    <x v="3"/>
    <n v="5"/>
    <n v="3738.74"/>
    <n v="2665"/>
    <n v="1073.74"/>
  </r>
  <r>
    <x v="11"/>
    <x v="22"/>
    <x v="22"/>
    <x v="3"/>
    <n v="5"/>
    <n v="3626.47"/>
    <n v="2665"/>
    <n v="961.47"/>
  </r>
  <r>
    <x v="12"/>
    <x v="22"/>
    <x v="22"/>
    <x v="3"/>
    <n v="4"/>
    <n v="2948.54"/>
    <n v="2132"/>
    <n v="816.54"/>
  </r>
  <r>
    <x v="13"/>
    <x v="22"/>
    <x v="22"/>
    <x v="3"/>
    <n v="4"/>
    <n v="2828.21"/>
    <n v="2132"/>
    <n v="696.21"/>
  </r>
  <r>
    <x v="14"/>
    <x v="22"/>
    <x v="22"/>
    <x v="3"/>
    <n v="3"/>
    <n v="2170.66"/>
    <n v="1599"/>
    <n v="571.66"/>
  </r>
  <r>
    <x v="15"/>
    <x v="22"/>
    <x v="22"/>
    <x v="3"/>
    <n v="5"/>
    <n v="3609.3"/>
    <n v="2665"/>
    <n v="944.3"/>
  </r>
  <r>
    <x v="16"/>
    <x v="22"/>
    <x v="22"/>
    <x v="3"/>
    <n v="4"/>
    <n v="2967.36"/>
    <n v="2132"/>
    <n v="835.36"/>
  </r>
  <r>
    <x v="17"/>
    <x v="22"/>
    <x v="22"/>
    <x v="3"/>
    <n v="6"/>
    <n v="4308.69"/>
    <n v="3198"/>
    <n v="1110.69"/>
  </r>
  <r>
    <x v="18"/>
    <x v="22"/>
    <x v="22"/>
    <x v="3"/>
    <n v="11"/>
    <n v="8025.29"/>
    <n v="5863"/>
    <n v="2162.29"/>
  </r>
  <r>
    <x v="19"/>
    <x v="22"/>
    <x v="22"/>
    <x v="3"/>
    <n v="5"/>
    <n v="3518.24"/>
    <n v="2665"/>
    <n v="853.24"/>
  </r>
  <r>
    <x v="20"/>
    <x v="22"/>
    <x v="22"/>
    <x v="3"/>
    <n v="5"/>
    <n v="3580.78"/>
    <n v="2665"/>
    <n v="915.78"/>
  </r>
  <r>
    <x v="21"/>
    <x v="22"/>
    <x v="22"/>
    <x v="3"/>
    <n v="8"/>
    <n v="5689.54"/>
    <n v="4264"/>
    <n v="1425.54"/>
  </r>
  <r>
    <x v="22"/>
    <x v="22"/>
    <x v="22"/>
    <x v="3"/>
    <n v="3"/>
    <n v="2103.4"/>
    <n v="1599"/>
    <n v="504.4"/>
  </r>
  <r>
    <x v="23"/>
    <x v="22"/>
    <x v="22"/>
    <x v="3"/>
    <n v="5"/>
    <n v="3488.44"/>
    <n v="2665"/>
    <n v="823.4400000000001"/>
  </r>
  <r>
    <x v="24"/>
    <x v="22"/>
    <x v="22"/>
    <x v="3"/>
    <n v="6"/>
    <n v="4252.51"/>
    <n v="3198"/>
    <n v="1054.51"/>
  </r>
  <r>
    <x v="25"/>
    <x v="22"/>
    <x v="22"/>
    <x v="3"/>
    <n v="2"/>
    <n v="1370.93"/>
    <n v="1066"/>
    <n v="304.93"/>
  </r>
  <r>
    <x v="0"/>
    <x v="23"/>
    <x v="23"/>
    <x v="3"/>
    <n v="5"/>
    <n v="3143.91"/>
    <n v="2315"/>
    <n v="828.91"/>
  </r>
  <r>
    <x v="1"/>
    <x v="23"/>
    <x v="23"/>
    <x v="3"/>
    <n v="3"/>
    <n v="1948.41"/>
    <n v="1389"/>
    <n v="559.41"/>
  </r>
  <r>
    <x v="2"/>
    <x v="23"/>
    <x v="23"/>
    <x v="3"/>
    <n v="2"/>
    <n v="1243.25"/>
    <n v="926"/>
    <n v="317.25"/>
  </r>
  <r>
    <x v="3"/>
    <x v="23"/>
    <x v="23"/>
    <x v="3"/>
    <n v="0"/>
    <n v="0"/>
    <n v="0"/>
    <n v="0"/>
  </r>
  <r>
    <x v="4"/>
    <x v="23"/>
    <x v="23"/>
    <x v="3"/>
    <n v="1"/>
    <n v="619.37"/>
    <n v="463"/>
    <n v="156.37"/>
  </r>
  <r>
    <x v="5"/>
    <x v="23"/>
    <x v="23"/>
    <x v="3"/>
    <n v="3"/>
    <n v="1839.86"/>
    <n v="1389"/>
    <n v="450.86"/>
  </r>
  <r>
    <x v="6"/>
    <x v="23"/>
    <x v="23"/>
    <x v="3"/>
    <n v="1"/>
    <n v="603.77"/>
    <n v="463"/>
    <n v="140.77"/>
  </r>
  <r>
    <x v="7"/>
    <x v="23"/>
    <x v="23"/>
    <x v="3"/>
    <n v="0"/>
    <n v="0"/>
    <n v="0"/>
    <n v="0"/>
  </r>
  <r>
    <x v="8"/>
    <x v="23"/>
    <x v="23"/>
    <x v="3"/>
    <n v="3"/>
    <n v="1881.01"/>
    <n v="1389"/>
    <n v="492.01"/>
  </r>
  <r>
    <x v="9"/>
    <x v="23"/>
    <x v="23"/>
    <x v="3"/>
    <n v="1"/>
    <n v="597.58"/>
    <n v="463"/>
    <n v="134.58"/>
  </r>
  <r>
    <x v="10"/>
    <x v="23"/>
    <x v="23"/>
    <x v="3"/>
    <n v="0"/>
    <n v="0"/>
    <n v="0"/>
    <n v="0"/>
  </r>
  <r>
    <x v="11"/>
    <x v="23"/>
    <x v="23"/>
    <x v="3"/>
    <n v="2"/>
    <n v="1256.83"/>
    <n v="926"/>
    <n v="330.83"/>
  </r>
  <r>
    <x v="12"/>
    <x v="23"/>
    <x v="23"/>
    <x v="3"/>
    <n v="2"/>
    <n v="1220.39"/>
    <n v="926"/>
    <n v="294.39"/>
  </r>
  <r>
    <x v="13"/>
    <x v="23"/>
    <x v="23"/>
    <x v="3"/>
    <n v="3"/>
    <n v="1830.42"/>
    <n v="1389"/>
    <n v="441.42"/>
  </r>
  <r>
    <x v="14"/>
    <x v="23"/>
    <x v="23"/>
    <x v="3"/>
    <n v="1"/>
    <n v="586.95"/>
    <n v="463"/>
    <n v="123.95"/>
  </r>
  <r>
    <x v="15"/>
    <x v="23"/>
    <x v="23"/>
    <x v="3"/>
    <n v="1"/>
    <n v="612"/>
    <n v="463"/>
    <n v="149"/>
  </r>
  <r>
    <x v="16"/>
    <x v="23"/>
    <x v="23"/>
    <x v="3"/>
    <n v="0"/>
    <n v="0"/>
    <n v="0"/>
    <n v="0"/>
  </r>
  <r>
    <x v="17"/>
    <x v="23"/>
    <x v="23"/>
    <x v="3"/>
    <n v="2"/>
    <n v="1165.62"/>
    <n v="926"/>
    <n v="239.62"/>
  </r>
  <r>
    <x v="18"/>
    <x v="23"/>
    <x v="23"/>
    <x v="3"/>
    <n v="0"/>
    <n v="0"/>
    <n v="0"/>
    <n v="0"/>
  </r>
  <r>
    <x v="19"/>
    <x v="23"/>
    <x v="23"/>
    <x v="3"/>
    <n v="1"/>
    <n v="604.66"/>
    <n v="463"/>
    <n v="141.66"/>
  </r>
  <r>
    <x v="20"/>
    <x v="23"/>
    <x v="23"/>
    <x v="3"/>
    <n v="2"/>
    <n v="1152.65"/>
    <n v="926"/>
    <n v="226.65"/>
  </r>
  <r>
    <x v="21"/>
    <x v="23"/>
    <x v="23"/>
    <x v="3"/>
    <n v="0"/>
    <n v="0"/>
    <n v="0"/>
    <n v="0"/>
  </r>
  <r>
    <x v="22"/>
    <x v="23"/>
    <x v="23"/>
    <x v="3"/>
    <n v="1"/>
    <n v="594.64"/>
    <n v="463"/>
    <n v="131.64"/>
  </r>
  <r>
    <x v="23"/>
    <x v="23"/>
    <x v="23"/>
    <x v="3"/>
    <n v="1"/>
    <n v="561.89"/>
    <n v="463"/>
    <n v="98.89"/>
  </r>
  <r>
    <x v="24"/>
    <x v="23"/>
    <x v="23"/>
    <x v="3"/>
    <n v="2"/>
    <n v="1185.16"/>
    <n v="926"/>
    <n v="259.16"/>
  </r>
  <r>
    <x v="25"/>
    <x v="23"/>
    <x v="23"/>
    <x v="3"/>
    <n v="0"/>
    <n v="0"/>
    <n v="0"/>
    <n v="0"/>
  </r>
  <r>
    <x v="0"/>
    <x v="6"/>
    <x v="6"/>
    <x v="1"/>
    <n v="9"/>
    <n v="2760.09"/>
    <n v="1782"/>
    <n v="978.09"/>
  </r>
  <r>
    <x v="1"/>
    <x v="6"/>
    <x v="6"/>
    <x v="1"/>
    <n v="7"/>
    <n v="2164.16"/>
    <n v="1386"/>
    <n v="778.16"/>
  </r>
  <r>
    <x v="2"/>
    <x v="6"/>
    <x v="6"/>
    <x v="1"/>
    <n v="11"/>
    <n v="3371.12"/>
    <n v="2178"/>
    <n v="1193.12"/>
  </r>
  <r>
    <x v="3"/>
    <x v="6"/>
    <x v="6"/>
    <x v="1"/>
    <n v="6"/>
    <n v="1842.06"/>
    <n v="1188"/>
    <n v="654.0599999999999"/>
  </r>
  <r>
    <x v="4"/>
    <x v="6"/>
    <x v="6"/>
    <x v="1"/>
    <n v="10"/>
    <n v="3077.21"/>
    <n v="1980"/>
    <n v="1097.21"/>
  </r>
  <r>
    <x v="5"/>
    <x v="6"/>
    <x v="6"/>
    <x v="1"/>
    <n v="8"/>
    <n v="2371.26"/>
    <n v="1584"/>
    <n v="787.26"/>
  </r>
  <r>
    <x v="6"/>
    <x v="6"/>
    <x v="6"/>
    <x v="1"/>
    <n v="10"/>
    <n v="2973.21"/>
    <n v="1980"/>
    <n v="993.21"/>
  </r>
  <r>
    <x v="7"/>
    <x v="6"/>
    <x v="6"/>
    <x v="1"/>
    <n v="10"/>
    <n v="3140.5"/>
    <n v="1980"/>
    <n v="1160.5"/>
  </r>
  <r>
    <x v="8"/>
    <x v="6"/>
    <x v="6"/>
    <x v="1"/>
    <n v="14"/>
    <n v="4178.48"/>
    <n v="2772"/>
    <n v="1406.48"/>
  </r>
  <r>
    <x v="9"/>
    <x v="6"/>
    <x v="6"/>
    <x v="1"/>
    <n v="10"/>
    <n v="3065.31"/>
    <n v="1980"/>
    <n v="1085.31"/>
  </r>
  <r>
    <x v="10"/>
    <x v="6"/>
    <x v="6"/>
    <x v="1"/>
    <n v="17"/>
    <n v="5256.47"/>
    <n v="3366"/>
    <n v="1890.47"/>
  </r>
  <r>
    <x v="11"/>
    <x v="6"/>
    <x v="6"/>
    <x v="1"/>
    <n v="6"/>
    <n v="1793.44"/>
    <n v="1188"/>
    <n v="605.4400000000001"/>
  </r>
  <r>
    <x v="12"/>
    <x v="6"/>
    <x v="6"/>
    <x v="1"/>
    <n v="5"/>
    <n v="1556.04"/>
    <n v="990"/>
    <n v="566.04"/>
  </r>
  <r>
    <x v="13"/>
    <x v="6"/>
    <x v="6"/>
    <x v="1"/>
    <n v="10"/>
    <n v="3106.02"/>
    <n v="1980"/>
    <n v="1126.02"/>
  </r>
  <r>
    <x v="14"/>
    <x v="6"/>
    <x v="6"/>
    <x v="1"/>
    <n v="9"/>
    <n v="2664.15"/>
    <n v="1782"/>
    <n v="882.15"/>
  </r>
  <r>
    <x v="15"/>
    <x v="6"/>
    <x v="6"/>
    <x v="1"/>
    <n v="6"/>
    <n v="1827.46"/>
    <n v="1188"/>
    <n v="639.46"/>
  </r>
  <r>
    <x v="16"/>
    <x v="6"/>
    <x v="6"/>
    <x v="1"/>
    <n v="14"/>
    <n v="4087.41"/>
    <n v="2772"/>
    <n v="1315.41"/>
  </r>
  <r>
    <x v="17"/>
    <x v="6"/>
    <x v="6"/>
    <x v="1"/>
    <n v="6"/>
    <n v="1778.57"/>
    <n v="1188"/>
    <n v="590.5700000000001"/>
  </r>
  <r>
    <x v="18"/>
    <x v="6"/>
    <x v="6"/>
    <x v="1"/>
    <n v="9"/>
    <n v="2614.35"/>
    <n v="1782"/>
    <n v="832.35"/>
  </r>
  <r>
    <x v="19"/>
    <x v="6"/>
    <x v="6"/>
    <x v="1"/>
    <n v="5"/>
    <n v="1522.25"/>
    <n v="990"/>
    <n v="532.25"/>
  </r>
  <r>
    <x v="20"/>
    <x v="6"/>
    <x v="6"/>
    <x v="1"/>
    <n v="7"/>
    <n v="2160.38"/>
    <n v="1386"/>
    <n v="774.38"/>
  </r>
  <r>
    <x v="21"/>
    <x v="6"/>
    <x v="6"/>
    <x v="1"/>
    <n v="9"/>
    <n v="2668.43"/>
    <n v="1782"/>
    <n v="886.4299999999999"/>
  </r>
  <r>
    <x v="22"/>
    <x v="6"/>
    <x v="6"/>
    <x v="1"/>
    <n v="5"/>
    <n v="1488.2"/>
    <n v="990"/>
    <n v="498.2"/>
  </r>
  <r>
    <x v="23"/>
    <x v="6"/>
    <x v="6"/>
    <x v="1"/>
    <n v="8"/>
    <n v="2372.07"/>
    <n v="1584"/>
    <n v="788.0700000000001"/>
  </r>
  <r>
    <x v="24"/>
    <x v="6"/>
    <x v="6"/>
    <x v="1"/>
    <n v="5"/>
    <n v="1511.88"/>
    <n v="990"/>
    <n v="521.88"/>
  </r>
  <r>
    <x v="25"/>
    <x v="6"/>
    <x v="6"/>
    <x v="1"/>
    <n v="11"/>
    <n v="3144.21"/>
    <n v="2178"/>
    <n v="966.21"/>
  </r>
  <r>
    <x v="0"/>
    <x v="7"/>
    <x v="7"/>
    <x v="1"/>
    <n v="11"/>
    <n v="2737.65"/>
    <n v="1716"/>
    <n v="1021.65"/>
  </r>
  <r>
    <x v="1"/>
    <x v="7"/>
    <x v="7"/>
    <x v="1"/>
    <n v="6"/>
    <n v="1446.29"/>
    <n v="936"/>
    <n v="510.29"/>
  </r>
  <r>
    <x v="2"/>
    <x v="7"/>
    <x v="7"/>
    <x v="1"/>
    <n v="8"/>
    <n v="1880.84"/>
    <n v="1248"/>
    <n v="632.84"/>
  </r>
  <r>
    <x v="3"/>
    <x v="7"/>
    <x v="7"/>
    <x v="1"/>
    <n v="7"/>
    <n v="1737.46"/>
    <n v="1092"/>
    <n v="645.46"/>
  </r>
  <r>
    <x v="4"/>
    <x v="7"/>
    <x v="7"/>
    <x v="1"/>
    <n v="11"/>
    <n v="2700.67"/>
    <n v="1716"/>
    <n v="984.67"/>
  </r>
  <r>
    <x v="5"/>
    <x v="7"/>
    <x v="7"/>
    <x v="1"/>
    <n v="13"/>
    <n v="3210.49"/>
    <n v="2028"/>
    <n v="1182.49"/>
  </r>
  <r>
    <x v="6"/>
    <x v="7"/>
    <x v="7"/>
    <x v="1"/>
    <n v="12"/>
    <n v="2832.98"/>
    <n v="1872"/>
    <n v="960.98"/>
  </r>
  <r>
    <x v="7"/>
    <x v="7"/>
    <x v="7"/>
    <x v="1"/>
    <n v="7"/>
    <n v="1634.31"/>
    <n v="1092"/>
    <n v="542.3099999999999"/>
  </r>
  <r>
    <x v="8"/>
    <x v="7"/>
    <x v="7"/>
    <x v="1"/>
    <n v="11"/>
    <n v="2690.28"/>
    <n v="1716"/>
    <n v="974.28"/>
  </r>
  <r>
    <x v="9"/>
    <x v="7"/>
    <x v="7"/>
    <x v="1"/>
    <n v="15"/>
    <n v="3649.28"/>
    <n v="2340"/>
    <n v="1309.28"/>
  </r>
  <r>
    <x v="10"/>
    <x v="7"/>
    <x v="7"/>
    <x v="1"/>
    <n v="5"/>
    <n v="1217.79"/>
    <n v="780"/>
    <n v="437.79"/>
  </r>
  <r>
    <x v="11"/>
    <x v="7"/>
    <x v="7"/>
    <x v="1"/>
    <n v="9"/>
    <n v="2203.95"/>
    <n v="1404"/>
    <n v="799.95"/>
  </r>
  <r>
    <x v="12"/>
    <x v="7"/>
    <x v="7"/>
    <x v="1"/>
    <n v="11"/>
    <n v="2597.26"/>
    <n v="1716"/>
    <n v="881.26"/>
  </r>
  <r>
    <x v="13"/>
    <x v="7"/>
    <x v="7"/>
    <x v="1"/>
    <n v="11"/>
    <n v="2700.95"/>
    <n v="1716"/>
    <n v="984.95"/>
  </r>
  <r>
    <x v="14"/>
    <x v="7"/>
    <x v="7"/>
    <x v="1"/>
    <n v="13"/>
    <n v="3193.56"/>
    <n v="2028"/>
    <n v="1165.56"/>
  </r>
  <r>
    <x v="15"/>
    <x v="7"/>
    <x v="7"/>
    <x v="1"/>
    <n v="8"/>
    <n v="1948.72"/>
    <n v="1248"/>
    <n v="700.72"/>
  </r>
  <r>
    <x v="16"/>
    <x v="7"/>
    <x v="7"/>
    <x v="1"/>
    <n v="9"/>
    <n v="2081.51"/>
    <n v="1404"/>
    <n v="677.51"/>
  </r>
  <r>
    <x v="17"/>
    <x v="7"/>
    <x v="7"/>
    <x v="1"/>
    <n v="11"/>
    <n v="2683.35"/>
    <n v="1716"/>
    <n v="967.35"/>
  </r>
  <r>
    <x v="18"/>
    <x v="7"/>
    <x v="7"/>
    <x v="1"/>
    <n v="9"/>
    <n v="2093.38"/>
    <n v="1404"/>
    <n v="689.38"/>
  </r>
  <r>
    <x v="19"/>
    <x v="7"/>
    <x v="7"/>
    <x v="1"/>
    <n v="11"/>
    <n v="2668.63"/>
    <n v="1716"/>
    <n v="952.63"/>
  </r>
  <r>
    <x v="20"/>
    <x v="7"/>
    <x v="7"/>
    <x v="1"/>
    <n v="12"/>
    <n v="2800.51"/>
    <n v="1872"/>
    <n v="928.51"/>
  </r>
  <r>
    <x v="21"/>
    <x v="7"/>
    <x v="7"/>
    <x v="1"/>
    <n v="4"/>
    <n v="935.78"/>
    <n v="624"/>
    <n v="311.78"/>
  </r>
  <r>
    <x v="22"/>
    <x v="7"/>
    <x v="7"/>
    <x v="1"/>
    <n v="11"/>
    <n v="2651.42"/>
    <n v="1716"/>
    <n v="935.42"/>
  </r>
  <r>
    <x v="23"/>
    <x v="7"/>
    <x v="7"/>
    <x v="1"/>
    <n v="9"/>
    <n v="2164.55"/>
    <n v="1404"/>
    <n v="760.55"/>
  </r>
  <r>
    <x v="24"/>
    <x v="7"/>
    <x v="7"/>
    <x v="1"/>
    <n v="3"/>
    <n v="715.0700000000001"/>
    <n v="468"/>
    <n v="247.07"/>
  </r>
  <r>
    <x v="25"/>
    <x v="7"/>
    <x v="7"/>
    <x v="1"/>
    <n v="6"/>
    <n v="1444.69"/>
    <n v="936"/>
    <n v="508.69"/>
  </r>
  <r>
    <x v="0"/>
    <x v="8"/>
    <x v="8"/>
    <x v="1"/>
    <n v="6"/>
    <n v="1276.03"/>
    <n v="834"/>
    <n v="442.03"/>
  </r>
  <r>
    <x v="1"/>
    <x v="8"/>
    <x v="8"/>
    <x v="1"/>
    <n v="9"/>
    <n v="1880.92"/>
    <n v="1251"/>
    <n v="629.92"/>
  </r>
  <r>
    <x v="2"/>
    <x v="8"/>
    <x v="8"/>
    <x v="1"/>
    <n v="7"/>
    <n v="1491.91"/>
    <n v="973"/>
    <n v="518.91"/>
  </r>
  <r>
    <x v="3"/>
    <x v="8"/>
    <x v="8"/>
    <x v="1"/>
    <n v="8"/>
    <n v="1671.48"/>
    <n v="1112"/>
    <n v="559.48"/>
  </r>
  <r>
    <x v="4"/>
    <x v="8"/>
    <x v="8"/>
    <x v="1"/>
    <n v="10"/>
    <n v="2070.3"/>
    <n v="1390"/>
    <n v="680.3"/>
  </r>
  <r>
    <x v="5"/>
    <x v="8"/>
    <x v="8"/>
    <x v="1"/>
    <n v="7"/>
    <n v="1507.71"/>
    <n v="973"/>
    <n v="534.71"/>
  </r>
  <r>
    <x v="6"/>
    <x v="8"/>
    <x v="8"/>
    <x v="1"/>
    <n v="8"/>
    <n v="1680.67"/>
    <n v="1112"/>
    <n v="568.67"/>
  </r>
  <r>
    <x v="7"/>
    <x v="8"/>
    <x v="8"/>
    <x v="1"/>
    <n v="15"/>
    <n v="3148.18"/>
    <n v="2085"/>
    <n v="1063.18"/>
  </r>
  <r>
    <x v="8"/>
    <x v="8"/>
    <x v="8"/>
    <x v="1"/>
    <n v="11"/>
    <n v="2266.25"/>
    <n v="1529"/>
    <n v="737.25"/>
  </r>
  <r>
    <x v="9"/>
    <x v="8"/>
    <x v="8"/>
    <x v="1"/>
    <n v="6"/>
    <n v="1206.2"/>
    <n v="834"/>
    <n v="372.2"/>
  </r>
  <r>
    <x v="10"/>
    <x v="8"/>
    <x v="8"/>
    <x v="1"/>
    <n v="7"/>
    <n v="1492.2"/>
    <n v="973"/>
    <n v="519.2"/>
  </r>
  <r>
    <x v="11"/>
    <x v="8"/>
    <x v="8"/>
    <x v="1"/>
    <n v="11"/>
    <n v="2285.16"/>
    <n v="1529"/>
    <n v="756.16"/>
  </r>
  <r>
    <x v="12"/>
    <x v="8"/>
    <x v="8"/>
    <x v="1"/>
    <n v="11"/>
    <n v="2307.62"/>
    <n v="1529"/>
    <n v="778.62"/>
  </r>
  <r>
    <x v="13"/>
    <x v="8"/>
    <x v="8"/>
    <x v="1"/>
    <n v="6"/>
    <n v="1240.28"/>
    <n v="834"/>
    <n v="406.28"/>
  </r>
  <r>
    <x v="14"/>
    <x v="8"/>
    <x v="8"/>
    <x v="1"/>
    <n v="5"/>
    <n v="1044.83"/>
    <n v="695"/>
    <n v="349.83"/>
  </r>
  <r>
    <x v="15"/>
    <x v="8"/>
    <x v="8"/>
    <x v="1"/>
    <n v="5"/>
    <n v="1050.32"/>
    <n v="695"/>
    <n v="355.32"/>
  </r>
  <r>
    <x v="16"/>
    <x v="8"/>
    <x v="8"/>
    <x v="1"/>
    <n v="6"/>
    <n v="1179.93"/>
    <n v="834"/>
    <n v="345.93"/>
  </r>
  <r>
    <x v="17"/>
    <x v="8"/>
    <x v="8"/>
    <x v="1"/>
    <n v="13"/>
    <n v="2627.08"/>
    <n v="1807"/>
    <n v="820.08"/>
  </r>
  <r>
    <x v="18"/>
    <x v="8"/>
    <x v="8"/>
    <x v="1"/>
    <n v="7"/>
    <n v="1399.3"/>
    <n v="973"/>
    <n v="426.3"/>
  </r>
  <r>
    <x v="19"/>
    <x v="8"/>
    <x v="8"/>
    <x v="1"/>
    <n v="14"/>
    <n v="2820.09"/>
    <n v="1946"/>
    <n v="874.09"/>
  </r>
  <r>
    <x v="20"/>
    <x v="8"/>
    <x v="8"/>
    <x v="1"/>
    <n v="4"/>
    <n v="780.5"/>
    <n v="556"/>
    <n v="224.5"/>
  </r>
  <r>
    <x v="21"/>
    <x v="8"/>
    <x v="8"/>
    <x v="1"/>
    <n v="8"/>
    <n v="1556.32"/>
    <n v="1112"/>
    <n v="444.32"/>
  </r>
  <r>
    <x v="22"/>
    <x v="8"/>
    <x v="8"/>
    <x v="1"/>
    <n v="7"/>
    <n v="1418.98"/>
    <n v="973"/>
    <n v="445.98"/>
  </r>
  <r>
    <x v="23"/>
    <x v="8"/>
    <x v="8"/>
    <x v="1"/>
    <n v="5"/>
    <n v="1008.02"/>
    <n v="695"/>
    <n v="313.02"/>
  </r>
  <r>
    <x v="24"/>
    <x v="8"/>
    <x v="8"/>
    <x v="1"/>
    <n v="10"/>
    <n v="1891.99"/>
    <n v="1390"/>
    <n v="501.99"/>
  </r>
  <r>
    <x v="25"/>
    <x v="8"/>
    <x v="8"/>
    <x v="1"/>
    <n v="10"/>
    <n v="1976.66"/>
    <n v="1390"/>
    <n v="586.66"/>
  </r>
  <r>
    <x v="0"/>
    <x v="9"/>
    <x v="9"/>
    <x v="1"/>
    <n v="7"/>
    <n v="1434.78"/>
    <n v="896"/>
    <n v="538.78"/>
  </r>
  <r>
    <x v="1"/>
    <x v="9"/>
    <x v="9"/>
    <x v="1"/>
    <n v="8"/>
    <n v="1617.99"/>
    <n v="1024"/>
    <n v="593.99"/>
  </r>
  <r>
    <x v="2"/>
    <x v="9"/>
    <x v="9"/>
    <x v="1"/>
    <n v="9"/>
    <n v="1715.68"/>
    <n v="1152"/>
    <n v="563.6799999999999"/>
  </r>
  <r>
    <x v="3"/>
    <x v="9"/>
    <x v="9"/>
    <x v="1"/>
    <n v="7"/>
    <n v="1401.24"/>
    <n v="896"/>
    <n v="505.24"/>
  </r>
  <r>
    <x v="4"/>
    <x v="9"/>
    <x v="9"/>
    <x v="1"/>
    <n v="12"/>
    <n v="2388.36"/>
    <n v="1536"/>
    <n v="852.36"/>
  </r>
  <r>
    <x v="5"/>
    <x v="9"/>
    <x v="9"/>
    <x v="1"/>
    <n v="5"/>
    <n v="974.26"/>
    <n v="640"/>
    <n v="334.26"/>
  </r>
  <r>
    <x v="6"/>
    <x v="9"/>
    <x v="9"/>
    <x v="1"/>
    <n v="7"/>
    <n v="1332.49"/>
    <n v="896"/>
    <n v="436.49"/>
  </r>
  <r>
    <x v="7"/>
    <x v="9"/>
    <x v="9"/>
    <x v="1"/>
    <n v="6"/>
    <n v="1167.44"/>
    <n v="768"/>
    <n v="399.44"/>
  </r>
  <r>
    <x v="8"/>
    <x v="9"/>
    <x v="9"/>
    <x v="1"/>
    <n v="7"/>
    <n v="1394.47"/>
    <n v="896"/>
    <n v="498.47"/>
  </r>
  <r>
    <x v="9"/>
    <x v="9"/>
    <x v="9"/>
    <x v="1"/>
    <n v="12"/>
    <n v="2320.05"/>
    <n v="1536"/>
    <n v="784.05"/>
  </r>
  <r>
    <x v="10"/>
    <x v="9"/>
    <x v="9"/>
    <x v="1"/>
    <n v="9"/>
    <n v="1777.31"/>
    <n v="1152"/>
    <n v="625.3099999999999"/>
  </r>
  <r>
    <x v="11"/>
    <x v="9"/>
    <x v="9"/>
    <x v="1"/>
    <n v="9"/>
    <n v="1662.41"/>
    <n v="1152"/>
    <n v="510.41"/>
  </r>
  <r>
    <x v="12"/>
    <x v="9"/>
    <x v="9"/>
    <x v="1"/>
    <n v="9"/>
    <n v="1692.22"/>
    <n v="1152"/>
    <n v="540.22"/>
  </r>
  <r>
    <x v="13"/>
    <x v="9"/>
    <x v="9"/>
    <x v="1"/>
    <n v="9"/>
    <n v="1710.92"/>
    <n v="1152"/>
    <n v="558.92"/>
  </r>
  <r>
    <x v="14"/>
    <x v="9"/>
    <x v="9"/>
    <x v="1"/>
    <n v="9"/>
    <n v="1715.58"/>
    <n v="1152"/>
    <n v="563.58"/>
  </r>
  <r>
    <x v="15"/>
    <x v="9"/>
    <x v="9"/>
    <x v="1"/>
    <n v="9"/>
    <n v="1643.93"/>
    <n v="1152"/>
    <n v="491.93"/>
  </r>
  <r>
    <x v="16"/>
    <x v="9"/>
    <x v="9"/>
    <x v="1"/>
    <n v="13"/>
    <n v="2446.6"/>
    <n v="1664"/>
    <n v="782.6"/>
  </r>
  <r>
    <x v="17"/>
    <x v="9"/>
    <x v="9"/>
    <x v="1"/>
    <n v="5"/>
    <n v="898.0599999999999"/>
    <n v="640"/>
    <n v="258.06"/>
  </r>
  <r>
    <x v="18"/>
    <x v="9"/>
    <x v="9"/>
    <x v="1"/>
    <n v="10"/>
    <n v="1860.73"/>
    <n v="1280"/>
    <n v="580.73"/>
  </r>
  <r>
    <x v="19"/>
    <x v="9"/>
    <x v="9"/>
    <x v="1"/>
    <n v="7"/>
    <n v="1274.06"/>
    <n v="896"/>
    <n v="378.06"/>
  </r>
  <r>
    <x v="20"/>
    <x v="9"/>
    <x v="9"/>
    <x v="1"/>
    <n v="9"/>
    <n v="1609.61"/>
    <n v="1152"/>
    <n v="457.61"/>
  </r>
  <r>
    <x v="21"/>
    <x v="9"/>
    <x v="9"/>
    <x v="1"/>
    <n v="5"/>
    <n v="880.15"/>
    <n v="640"/>
    <n v="240.15"/>
  </r>
  <r>
    <x v="22"/>
    <x v="9"/>
    <x v="9"/>
    <x v="1"/>
    <n v="8"/>
    <n v="1445.08"/>
    <n v="1024"/>
    <n v="421.08"/>
  </r>
  <r>
    <x v="23"/>
    <x v="9"/>
    <x v="9"/>
    <x v="1"/>
    <n v="8"/>
    <n v="1489.65"/>
    <n v="1024"/>
    <n v="465.65"/>
  </r>
  <r>
    <x v="24"/>
    <x v="9"/>
    <x v="9"/>
    <x v="1"/>
    <n v="10"/>
    <n v="1763.47"/>
    <n v="1280"/>
    <n v="483.47"/>
  </r>
  <r>
    <x v="25"/>
    <x v="9"/>
    <x v="9"/>
    <x v="1"/>
    <n v="7"/>
    <n v="1266.38"/>
    <n v="896"/>
    <n v="370.38"/>
  </r>
  <r>
    <x v="0"/>
    <x v="10"/>
    <x v="10"/>
    <x v="1"/>
    <n v="10"/>
    <n v="2067.52"/>
    <n v="1350"/>
    <n v="717.52"/>
  </r>
  <r>
    <x v="1"/>
    <x v="10"/>
    <x v="10"/>
    <x v="1"/>
    <n v="16"/>
    <n v="3389.04"/>
    <n v="2160"/>
    <n v="1229.04"/>
  </r>
  <r>
    <x v="2"/>
    <x v="10"/>
    <x v="10"/>
    <x v="1"/>
    <n v="6"/>
    <n v="1260.82"/>
    <n v="810"/>
    <n v="450.82"/>
  </r>
  <r>
    <x v="3"/>
    <x v="10"/>
    <x v="10"/>
    <x v="1"/>
    <n v="7"/>
    <n v="1422.7"/>
    <n v="945"/>
    <n v="477.7"/>
  </r>
  <r>
    <x v="4"/>
    <x v="10"/>
    <x v="10"/>
    <x v="1"/>
    <n v="10"/>
    <n v="2140.99"/>
    <n v="1350"/>
    <n v="790.99"/>
  </r>
  <r>
    <x v="5"/>
    <x v="10"/>
    <x v="10"/>
    <x v="1"/>
    <n v="10"/>
    <n v="2008.22"/>
    <n v="1350"/>
    <n v="658.22"/>
  </r>
  <r>
    <x v="6"/>
    <x v="10"/>
    <x v="10"/>
    <x v="1"/>
    <n v="8"/>
    <n v="1719.42"/>
    <n v="1080"/>
    <n v="639.42"/>
  </r>
  <r>
    <x v="7"/>
    <x v="10"/>
    <x v="10"/>
    <x v="1"/>
    <n v="10"/>
    <n v="2073.15"/>
    <n v="1350"/>
    <n v="723.15"/>
  </r>
  <r>
    <x v="8"/>
    <x v="10"/>
    <x v="10"/>
    <x v="1"/>
    <n v="10"/>
    <n v="2105.22"/>
    <n v="1350"/>
    <n v="755.22"/>
  </r>
  <r>
    <x v="9"/>
    <x v="10"/>
    <x v="10"/>
    <x v="1"/>
    <n v="5"/>
    <n v="1019.32"/>
    <n v="675"/>
    <n v="344.32"/>
  </r>
  <r>
    <x v="10"/>
    <x v="10"/>
    <x v="10"/>
    <x v="1"/>
    <n v="12"/>
    <n v="2538.23"/>
    <n v="1620"/>
    <n v="918.23"/>
  </r>
  <r>
    <x v="11"/>
    <x v="10"/>
    <x v="10"/>
    <x v="1"/>
    <n v="6"/>
    <n v="1230.71"/>
    <n v="810"/>
    <n v="420.71"/>
  </r>
  <r>
    <x v="12"/>
    <x v="10"/>
    <x v="10"/>
    <x v="1"/>
    <n v="6"/>
    <n v="1266.75"/>
    <n v="810"/>
    <n v="456.75"/>
  </r>
  <r>
    <x v="13"/>
    <x v="10"/>
    <x v="10"/>
    <x v="1"/>
    <n v="10"/>
    <n v="2008.16"/>
    <n v="1350"/>
    <n v="658.16"/>
  </r>
  <r>
    <x v="14"/>
    <x v="10"/>
    <x v="10"/>
    <x v="1"/>
    <n v="13"/>
    <n v="2684.16"/>
    <n v="1755"/>
    <n v="929.16"/>
  </r>
  <r>
    <x v="15"/>
    <x v="10"/>
    <x v="10"/>
    <x v="1"/>
    <n v="11"/>
    <n v="2189.72"/>
    <n v="1485"/>
    <n v="704.72"/>
  </r>
  <r>
    <x v="16"/>
    <x v="10"/>
    <x v="10"/>
    <x v="1"/>
    <n v="21"/>
    <n v="4155.39"/>
    <n v="2835"/>
    <n v="1320.39"/>
  </r>
  <r>
    <x v="17"/>
    <x v="10"/>
    <x v="10"/>
    <x v="1"/>
    <n v="7"/>
    <n v="1433.36"/>
    <n v="945"/>
    <n v="488.36"/>
  </r>
  <r>
    <x v="18"/>
    <x v="10"/>
    <x v="10"/>
    <x v="1"/>
    <n v="11"/>
    <n v="2268.45"/>
    <n v="1485"/>
    <n v="783.45"/>
  </r>
  <r>
    <x v="19"/>
    <x v="10"/>
    <x v="10"/>
    <x v="1"/>
    <n v="6"/>
    <n v="1186.51"/>
    <n v="810"/>
    <n v="376.51"/>
  </r>
  <r>
    <x v="20"/>
    <x v="10"/>
    <x v="10"/>
    <x v="1"/>
    <n v="9"/>
    <n v="1797.78"/>
    <n v="1215"/>
    <n v="582.78"/>
  </r>
  <r>
    <x v="21"/>
    <x v="10"/>
    <x v="10"/>
    <x v="1"/>
    <n v="14"/>
    <n v="2750.44"/>
    <n v="1890"/>
    <n v="860.4400000000001"/>
  </r>
  <r>
    <x v="22"/>
    <x v="10"/>
    <x v="10"/>
    <x v="1"/>
    <n v="7"/>
    <n v="1451.52"/>
    <n v="945"/>
    <n v="506.52"/>
  </r>
  <r>
    <x v="23"/>
    <x v="10"/>
    <x v="10"/>
    <x v="1"/>
    <n v="9"/>
    <n v="1764.09"/>
    <n v="1215"/>
    <n v="549.09"/>
  </r>
  <r>
    <x v="24"/>
    <x v="10"/>
    <x v="10"/>
    <x v="1"/>
    <n v="10"/>
    <n v="2036.4"/>
    <n v="1350"/>
    <n v="686.4"/>
  </r>
  <r>
    <x v="25"/>
    <x v="10"/>
    <x v="10"/>
    <x v="1"/>
    <n v="8"/>
    <n v="1569.1"/>
    <n v="1080"/>
    <n v="489.1"/>
  </r>
  <r>
    <x v="0"/>
    <x v="11"/>
    <x v="11"/>
    <x v="1"/>
    <n v="2"/>
    <n v="457.9"/>
    <n v="292"/>
    <n v="165.9"/>
  </r>
  <r>
    <x v="1"/>
    <x v="11"/>
    <x v="11"/>
    <x v="1"/>
    <n v="1"/>
    <n v="232.68"/>
    <n v="146"/>
    <n v="86.68000000000001"/>
  </r>
  <r>
    <x v="2"/>
    <x v="11"/>
    <x v="11"/>
    <x v="1"/>
    <n v="5"/>
    <n v="1151.61"/>
    <n v="730"/>
    <n v="421.61"/>
  </r>
  <r>
    <x v="3"/>
    <x v="11"/>
    <x v="11"/>
    <x v="1"/>
    <n v="3"/>
    <n v="685.6799999999999"/>
    <n v="438"/>
    <n v="247.68"/>
  </r>
  <r>
    <x v="4"/>
    <x v="11"/>
    <x v="11"/>
    <x v="1"/>
    <n v="2"/>
    <n v="465.74"/>
    <n v="292"/>
    <n v="173.74"/>
  </r>
  <r>
    <x v="5"/>
    <x v="11"/>
    <x v="11"/>
    <x v="1"/>
    <n v="2"/>
    <n v="445"/>
    <n v="292"/>
    <n v="153"/>
  </r>
  <r>
    <x v="6"/>
    <x v="11"/>
    <x v="11"/>
    <x v="1"/>
    <n v="2"/>
    <n v="461.69"/>
    <n v="292"/>
    <n v="169.69"/>
  </r>
  <r>
    <x v="7"/>
    <x v="11"/>
    <x v="11"/>
    <x v="1"/>
    <n v="4"/>
    <n v="876.36"/>
    <n v="584"/>
    <n v="292.36"/>
  </r>
  <r>
    <x v="8"/>
    <x v="11"/>
    <x v="11"/>
    <x v="1"/>
    <n v="1"/>
    <n v="227.23"/>
    <n v="146"/>
    <n v="81.23"/>
  </r>
  <r>
    <x v="9"/>
    <x v="11"/>
    <x v="11"/>
    <x v="1"/>
    <n v="2"/>
    <n v="462.12"/>
    <n v="292"/>
    <n v="170.12"/>
  </r>
  <r>
    <x v="10"/>
    <x v="11"/>
    <x v="11"/>
    <x v="1"/>
    <n v="1"/>
    <n v="215.89"/>
    <n v="146"/>
    <n v="69.89"/>
  </r>
  <r>
    <x v="11"/>
    <x v="11"/>
    <x v="11"/>
    <x v="1"/>
    <n v="3"/>
    <n v="657.59"/>
    <n v="438"/>
    <n v="219.59"/>
  </r>
  <r>
    <x v="12"/>
    <x v="11"/>
    <x v="11"/>
    <x v="1"/>
    <n v="3"/>
    <n v="657.75"/>
    <n v="438"/>
    <n v="219.75"/>
  </r>
  <r>
    <x v="13"/>
    <x v="11"/>
    <x v="11"/>
    <x v="1"/>
    <n v="2"/>
    <n v="442.58"/>
    <n v="292"/>
    <n v="150.58"/>
  </r>
  <r>
    <x v="14"/>
    <x v="11"/>
    <x v="11"/>
    <x v="1"/>
    <n v="3"/>
    <n v="665.1799999999999"/>
    <n v="438"/>
    <n v="227.18"/>
  </r>
  <r>
    <x v="15"/>
    <x v="11"/>
    <x v="11"/>
    <x v="1"/>
    <n v="4"/>
    <n v="866.26"/>
    <n v="584"/>
    <n v="282.26"/>
  </r>
  <r>
    <x v="16"/>
    <x v="11"/>
    <x v="11"/>
    <x v="1"/>
    <n v="3"/>
    <n v="670.13"/>
    <n v="438"/>
    <n v="232.13"/>
  </r>
  <r>
    <x v="17"/>
    <x v="11"/>
    <x v="11"/>
    <x v="1"/>
    <n v="9"/>
    <n v="1936.8"/>
    <n v="1314"/>
    <n v="622.8"/>
  </r>
  <r>
    <x v="18"/>
    <x v="11"/>
    <x v="11"/>
    <x v="1"/>
    <n v="1"/>
    <n v="227.8"/>
    <n v="146"/>
    <n v="81.8"/>
  </r>
  <r>
    <x v="19"/>
    <x v="11"/>
    <x v="11"/>
    <x v="1"/>
    <n v="3"/>
    <n v="658.99"/>
    <n v="438"/>
    <n v="220.99"/>
  </r>
  <r>
    <x v="20"/>
    <x v="11"/>
    <x v="11"/>
    <x v="1"/>
    <n v="2"/>
    <n v="445.08"/>
    <n v="292"/>
    <n v="153.08"/>
  </r>
  <r>
    <x v="21"/>
    <x v="11"/>
    <x v="11"/>
    <x v="1"/>
    <n v="1"/>
    <n v="216.81"/>
    <n v="146"/>
    <n v="70.81"/>
  </r>
  <r>
    <x v="22"/>
    <x v="11"/>
    <x v="11"/>
    <x v="1"/>
    <n v="3"/>
    <n v="675.99"/>
    <n v="438"/>
    <n v="237.99"/>
  </r>
  <r>
    <x v="23"/>
    <x v="11"/>
    <x v="11"/>
    <x v="1"/>
    <n v="5"/>
    <n v="1071.73"/>
    <n v="730"/>
    <n v="341.73"/>
  </r>
  <r>
    <x v="24"/>
    <x v="11"/>
    <x v="11"/>
    <x v="1"/>
    <n v="4"/>
    <n v="906.4299999999999"/>
    <n v="584"/>
    <n v="322.43"/>
  </r>
  <r>
    <x v="25"/>
    <x v="11"/>
    <x v="11"/>
    <x v="1"/>
    <n v="3"/>
    <n v="670.35"/>
    <n v="438"/>
    <n v="232.35"/>
  </r>
  <r>
    <x v="0"/>
    <x v="12"/>
    <x v="12"/>
    <x v="2"/>
    <n v="11"/>
    <n v="11698.16"/>
    <n v="10461"/>
    <n v="1237.16"/>
  </r>
  <r>
    <x v="1"/>
    <x v="12"/>
    <x v="12"/>
    <x v="2"/>
    <n v="12"/>
    <n v="13204.31"/>
    <n v="11412"/>
    <n v="1792.31"/>
  </r>
  <r>
    <x v="2"/>
    <x v="12"/>
    <x v="12"/>
    <x v="2"/>
    <n v="14"/>
    <n v="14813.51"/>
    <n v="13314"/>
    <n v="1499.51"/>
  </r>
  <r>
    <x v="3"/>
    <x v="12"/>
    <x v="12"/>
    <x v="2"/>
    <n v="19"/>
    <n v="19926.85"/>
    <n v="18069"/>
    <n v="1857.85"/>
  </r>
  <r>
    <x v="4"/>
    <x v="12"/>
    <x v="12"/>
    <x v="2"/>
    <n v="12"/>
    <n v="12499.54"/>
    <n v="11412"/>
    <n v="1087.54"/>
  </r>
  <r>
    <x v="5"/>
    <x v="12"/>
    <x v="12"/>
    <x v="2"/>
    <n v="12"/>
    <n v="13308.48"/>
    <n v="11412"/>
    <n v="1896.48"/>
  </r>
  <r>
    <x v="6"/>
    <x v="12"/>
    <x v="12"/>
    <x v="2"/>
    <n v="9"/>
    <n v="9789.940000000001"/>
    <n v="8559"/>
    <n v="1230.94"/>
  </r>
  <r>
    <x v="7"/>
    <x v="12"/>
    <x v="12"/>
    <x v="2"/>
    <n v="9"/>
    <n v="9297.860000000001"/>
    <n v="8559"/>
    <n v="738.86"/>
  </r>
  <r>
    <x v="8"/>
    <x v="12"/>
    <x v="12"/>
    <x v="2"/>
    <n v="9"/>
    <n v="9347.120000000001"/>
    <n v="8559"/>
    <n v="788.12"/>
  </r>
  <r>
    <x v="9"/>
    <x v="12"/>
    <x v="12"/>
    <x v="2"/>
    <n v="11"/>
    <n v="11721.58"/>
    <n v="10461"/>
    <n v="1260.58"/>
  </r>
  <r>
    <x v="10"/>
    <x v="12"/>
    <x v="12"/>
    <x v="2"/>
    <n v="16"/>
    <n v="16201.52"/>
    <n v="15216"/>
    <n v="985.52"/>
  </r>
  <r>
    <x v="11"/>
    <x v="12"/>
    <x v="12"/>
    <x v="2"/>
    <n v="19"/>
    <n v="19615.97"/>
    <n v="18069"/>
    <n v="1546.97"/>
  </r>
  <r>
    <x v="12"/>
    <x v="12"/>
    <x v="12"/>
    <x v="2"/>
    <n v="11"/>
    <n v="11305.72"/>
    <n v="10461"/>
    <n v="844.72"/>
  </r>
  <r>
    <x v="13"/>
    <x v="12"/>
    <x v="12"/>
    <x v="2"/>
    <n v="10"/>
    <n v="10321.15"/>
    <n v="9510"/>
    <n v="811.15"/>
  </r>
  <r>
    <x v="14"/>
    <x v="12"/>
    <x v="12"/>
    <x v="2"/>
    <n v="8"/>
    <n v="8178.78"/>
    <n v="7608"/>
    <n v="570.78"/>
  </r>
  <r>
    <x v="15"/>
    <x v="12"/>
    <x v="12"/>
    <x v="2"/>
    <n v="8"/>
    <n v="8220.08"/>
    <n v="7608"/>
    <n v="612.08"/>
  </r>
  <r>
    <x v="16"/>
    <x v="12"/>
    <x v="12"/>
    <x v="2"/>
    <n v="9"/>
    <n v="9408.65"/>
    <n v="8559"/>
    <n v="849.65"/>
  </r>
  <r>
    <x v="17"/>
    <x v="12"/>
    <x v="12"/>
    <x v="2"/>
    <n v="12"/>
    <n v="12601.2"/>
    <n v="11412"/>
    <n v="1189.2"/>
  </r>
  <r>
    <x v="18"/>
    <x v="12"/>
    <x v="12"/>
    <x v="2"/>
    <n v="9"/>
    <n v="9348.5"/>
    <n v="8559"/>
    <n v="789.5"/>
  </r>
  <r>
    <x v="19"/>
    <x v="12"/>
    <x v="12"/>
    <x v="2"/>
    <n v="15"/>
    <n v="15140.32"/>
    <n v="14265"/>
    <n v="875.3200000000001"/>
  </r>
  <r>
    <x v="20"/>
    <x v="12"/>
    <x v="12"/>
    <x v="2"/>
    <n v="13"/>
    <n v="13102.06"/>
    <n v="12363"/>
    <n v="739.0599999999999"/>
  </r>
  <r>
    <x v="21"/>
    <x v="12"/>
    <x v="12"/>
    <x v="2"/>
    <n v="6"/>
    <n v="5934.54"/>
    <n v="5706"/>
    <n v="228.54"/>
  </r>
  <r>
    <x v="22"/>
    <x v="12"/>
    <x v="12"/>
    <x v="2"/>
    <n v="8"/>
    <n v="8160.85"/>
    <n v="7608"/>
    <n v="552.85"/>
  </r>
  <r>
    <x v="23"/>
    <x v="12"/>
    <x v="12"/>
    <x v="2"/>
    <n v="10"/>
    <n v="9635.26"/>
    <n v="9510"/>
    <n v="125.26"/>
  </r>
  <r>
    <x v="24"/>
    <x v="12"/>
    <x v="12"/>
    <x v="2"/>
    <n v="8"/>
    <n v="7990.79"/>
    <n v="7608"/>
    <n v="382.79"/>
  </r>
  <r>
    <x v="25"/>
    <x v="12"/>
    <x v="12"/>
    <x v="2"/>
    <n v="5"/>
    <n v="4893.79"/>
    <n v="4755"/>
    <n v="138.79"/>
  </r>
  <r>
    <x v="0"/>
    <x v="13"/>
    <x v="13"/>
    <x v="2"/>
    <n v="9"/>
    <n v="9924.129999999999"/>
    <n v="8757"/>
    <n v="1167.13"/>
  </r>
  <r>
    <x v="1"/>
    <x v="13"/>
    <x v="13"/>
    <x v="2"/>
    <n v="9"/>
    <n v="10154.42"/>
    <n v="8757"/>
    <n v="1397.42"/>
  </r>
  <r>
    <x v="2"/>
    <x v="13"/>
    <x v="13"/>
    <x v="2"/>
    <n v="10"/>
    <n v="10693.96"/>
    <n v="9730"/>
    <n v="963.96"/>
  </r>
  <r>
    <x v="3"/>
    <x v="13"/>
    <x v="13"/>
    <x v="2"/>
    <n v="4"/>
    <n v="4550.54"/>
    <n v="3892"/>
    <n v="658.54"/>
  </r>
  <r>
    <x v="4"/>
    <x v="13"/>
    <x v="13"/>
    <x v="2"/>
    <n v="10"/>
    <n v="11156.25"/>
    <n v="9730"/>
    <n v="1426.25"/>
  </r>
  <r>
    <x v="5"/>
    <x v="13"/>
    <x v="13"/>
    <x v="2"/>
    <n v="5"/>
    <n v="5411.13"/>
    <n v="4865"/>
    <n v="546.13"/>
  </r>
  <r>
    <x v="6"/>
    <x v="13"/>
    <x v="13"/>
    <x v="2"/>
    <n v="10"/>
    <n v="10581.92"/>
    <n v="9730"/>
    <n v="851.92"/>
  </r>
  <r>
    <x v="7"/>
    <x v="13"/>
    <x v="13"/>
    <x v="2"/>
    <n v="16"/>
    <n v="17217.57"/>
    <n v="15568"/>
    <n v="1649.57"/>
  </r>
  <r>
    <x v="8"/>
    <x v="13"/>
    <x v="13"/>
    <x v="2"/>
    <n v="12"/>
    <n v="13186.62"/>
    <n v="11676"/>
    <n v="1510.62"/>
  </r>
  <r>
    <x v="9"/>
    <x v="13"/>
    <x v="13"/>
    <x v="2"/>
    <n v="11"/>
    <n v="11953.08"/>
    <n v="10703"/>
    <n v="1250.08"/>
  </r>
  <r>
    <x v="10"/>
    <x v="13"/>
    <x v="13"/>
    <x v="2"/>
    <n v="11"/>
    <n v="11809.73"/>
    <n v="10703"/>
    <n v="1106.73"/>
  </r>
  <r>
    <x v="11"/>
    <x v="13"/>
    <x v="13"/>
    <x v="2"/>
    <n v="16"/>
    <n v="16723.07"/>
    <n v="15568"/>
    <n v="1155.07"/>
  </r>
  <r>
    <x v="12"/>
    <x v="13"/>
    <x v="13"/>
    <x v="2"/>
    <n v="11"/>
    <n v="11464.48"/>
    <n v="10703"/>
    <n v="761.48"/>
  </r>
  <r>
    <x v="13"/>
    <x v="13"/>
    <x v="13"/>
    <x v="2"/>
    <n v="8"/>
    <n v="8372.870000000001"/>
    <n v="7784"/>
    <n v="588.87"/>
  </r>
  <r>
    <x v="14"/>
    <x v="13"/>
    <x v="13"/>
    <x v="2"/>
    <n v="8"/>
    <n v="8445.43"/>
    <n v="7784"/>
    <n v="661.4299999999999"/>
  </r>
  <r>
    <x v="15"/>
    <x v="13"/>
    <x v="13"/>
    <x v="2"/>
    <n v="11"/>
    <n v="11684.71"/>
    <n v="10703"/>
    <n v="981.71"/>
  </r>
  <r>
    <x v="16"/>
    <x v="13"/>
    <x v="13"/>
    <x v="2"/>
    <n v="11"/>
    <n v="11154.78"/>
    <n v="10703"/>
    <n v="451.78"/>
  </r>
  <r>
    <x v="17"/>
    <x v="13"/>
    <x v="13"/>
    <x v="2"/>
    <n v="6"/>
    <n v="6323.91"/>
    <n v="5838"/>
    <n v="485.91"/>
  </r>
  <r>
    <x v="18"/>
    <x v="13"/>
    <x v="13"/>
    <x v="2"/>
    <n v="6"/>
    <n v="6088.75"/>
    <n v="5838"/>
    <n v="250.75"/>
  </r>
  <r>
    <x v="19"/>
    <x v="13"/>
    <x v="13"/>
    <x v="2"/>
    <n v="10"/>
    <n v="10408.73"/>
    <n v="9730"/>
    <n v="678.73"/>
  </r>
  <r>
    <x v="20"/>
    <x v="13"/>
    <x v="13"/>
    <x v="2"/>
    <n v="7"/>
    <n v="7248.25"/>
    <n v="6811"/>
    <n v="437.25"/>
  </r>
  <r>
    <x v="21"/>
    <x v="13"/>
    <x v="13"/>
    <x v="2"/>
    <n v="5"/>
    <n v="5007.82"/>
    <n v="4865"/>
    <n v="142.82"/>
  </r>
  <r>
    <x v="22"/>
    <x v="13"/>
    <x v="13"/>
    <x v="2"/>
    <n v="12"/>
    <n v="12579.8"/>
    <n v="11676"/>
    <n v="903.8"/>
  </r>
  <r>
    <x v="23"/>
    <x v="13"/>
    <x v="13"/>
    <x v="2"/>
    <n v="4"/>
    <n v="3920.32"/>
    <n v="3892"/>
    <n v="28.32"/>
  </r>
  <r>
    <x v="24"/>
    <x v="13"/>
    <x v="13"/>
    <x v="2"/>
    <n v="4"/>
    <n v="3900.56"/>
    <n v="3892"/>
    <n v="8.56"/>
  </r>
  <r>
    <x v="25"/>
    <x v="13"/>
    <x v="13"/>
    <x v="2"/>
    <n v="6"/>
    <n v="6005.91"/>
    <n v="5838"/>
    <n v="167.91"/>
  </r>
  <r>
    <x v="0"/>
    <x v="14"/>
    <x v="14"/>
    <x v="2"/>
    <n v="9"/>
    <n v="11012.29"/>
    <n v="9261"/>
    <n v="1751.29"/>
  </r>
  <r>
    <x v="1"/>
    <x v="14"/>
    <x v="14"/>
    <x v="2"/>
    <n v="8"/>
    <n v="9521.25"/>
    <n v="8232"/>
    <n v="1289.25"/>
  </r>
  <r>
    <x v="2"/>
    <x v="14"/>
    <x v="14"/>
    <x v="2"/>
    <n v="6"/>
    <n v="7268.33"/>
    <n v="6174"/>
    <n v="1094.33"/>
  </r>
  <r>
    <x v="3"/>
    <x v="14"/>
    <x v="14"/>
    <x v="2"/>
    <n v="8"/>
    <n v="9520.51"/>
    <n v="8232"/>
    <n v="1288.51"/>
  </r>
  <r>
    <x v="4"/>
    <x v="14"/>
    <x v="14"/>
    <x v="2"/>
    <n v="11"/>
    <n v="12754.73"/>
    <n v="11319"/>
    <n v="1435.73"/>
  </r>
  <r>
    <x v="5"/>
    <x v="14"/>
    <x v="14"/>
    <x v="2"/>
    <n v="8"/>
    <n v="9687.030000000001"/>
    <n v="8232"/>
    <n v="1455.03"/>
  </r>
  <r>
    <x v="6"/>
    <x v="14"/>
    <x v="14"/>
    <x v="2"/>
    <n v="5"/>
    <n v="5794.37"/>
    <n v="5145"/>
    <n v="649.37"/>
  </r>
  <r>
    <x v="7"/>
    <x v="14"/>
    <x v="14"/>
    <x v="2"/>
    <n v="5"/>
    <n v="6053.37"/>
    <n v="5145"/>
    <n v="908.37"/>
  </r>
  <r>
    <x v="8"/>
    <x v="14"/>
    <x v="14"/>
    <x v="2"/>
    <n v="8"/>
    <n v="9614.85"/>
    <n v="8232"/>
    <n v="1382.85"/>
  </r>
  <r>
    <x v="9"/>
    <x v="14"/>
    <x v="14"/>
    <x v="2"/>
    <n v="13"/>
    <n v="14823.55"/>
    <n v="13377"/>
    <n v="1446.55"/>
  </r>
  <r>
    <x v="10"/>
    <x v="14"/>
    <x v="14"/>
    <x v="2"/>
    <n v="8"/>
    <n v="9582.370000000001"/>
    <n v="8232"/>
    <n v="1350.37"/>
  </r>
  <r>
    <x v="11"/>
    <x v="14"/>
    <x v="14"/>
    <x v="2"/>
    <n v="14"/>
    <n v="16313.01"/>
    <n v="14406"/>
    <n v="1907.01"/>
  </r>
  <r>
    <x v="12"/>
    <x v="14"/>
    <x v="14"/>
    <x v="2"/>
    <n v="13"/>
    <n v="14951.48"/>
    <n v="13377"/>
    <n v="1574.48"/>
  </r>
  <r>
    <x v="13"/>
    <x v="14"/>
    <x v="14"/>
    <x v="2"/>
    <n v="9"/>
    <n v="10267.52"/>
    <n v="9261"/>
    <n v="1006.52"/>
  </r>
  <r>
    <x v="14"/>
    <x v="14"/>
    <x v="14"/>
    <x v="2"/>
    <n v="8"/>
    <n v="9153.41"/>
    <n v="8232"/>
    <n v="921.41"/>
  </r>
  <r>
    <x v="15"/>
    <x v="14"/>
    <x v="14"/>
    <x v="2"/>
    <n v="8"/>
    <n v="9508.43"/>
    <n v="8232"/>
    <n v="1276.43"/>
  </r>
  <r>
    <x v="16"/>
    <x v="14"/>
    <x v="14"/>
    <x v="2"/>
    <n v="18"/>
    <n v="20871.8"/>
    <n v="18522"/>
    <n v="2349.8"/>
  </r>
  <r>
    <x v="17"/>
    <x v="14"/>
    <x v="14"/>
    <x v="2"/>
    <n v="12"/>
    <n v="13855.42"/>
    <n v="12348"/>
    <n v="1507.42"/>
  </r>
  <r>
    <x v="18"/>
    <x v="14"/>
    <x v="14"/>
    <x v="2"/>
    <n v="7"/>
    <n v="7948.49"/>
    <n v="7203"/>
    <n v="745.49"/>
  </r>
  <r>
    <x v="19"/>
    <x v="14"/>
    <x v="14"/>
    <x v="2"/>
    <n v="14"/>
    <n v="16124.57"/>
    <n v="14406"/>
    <n v="1718.57"/>
  </r>
  <r>
    <x v="20"/>
    <x v="14"/>
    <x v="14"/>
    <x v="2"/>
    <n v="11"/>
    <n v="13005.96"/>
    <n v="11319"/>
    <n v="1686.96"/>
  </r>
  <r>
    <x v="21"/>
    <x v="14"/>
    <x v="14"/>
    <x v="2"/>
    <n v="8"/>
    <n v="9286.91"/>
    <n v="8232"/>
    <n v="1054.91"/>
  </r>
  <r>
    <x v="22"/>
    <x v="14"/>
    <x v="14"/>
    <x v="2"/>
    <n v="10"/>
    <n v="11143.12"/>
    <n v="10290"/>
    <n v="853.12"/>
  </r>
  <r>
    <x v="23"/>
    <x v="14"/>
    <x v="14"/>
    <x v="2"/>
    <n v="6"/>
    <n v="6792.57"/>
    <n v="6174"/>
    <n v="618.5700000000001"/>
  </r>
  <r>
    <x v="24"/>
    <x v="14"/>
    <x v="14"/>
    <x v="2"/>
    <n v="14"/>
    <n v="15653.07"/>
    <n v="14406"/>
    <n v="1247.07"/>
  </r>
  <r>
    <x v="25"/>
    <x v="14"/>
    <x v="14"/>
    <x v="2"/>
    <n v="14"/>
    <n v="15478"/>
    <n v="14406"/>
    <n v="1072"/>
  </r>
  <r>
    <x v="0"/>
    <x v="15"/>
    <x v="15"/>
    <x v="2"/>
    <n v="11"/>
    <n v="17866.19"/>
    <n v="15433"/>
    <n v="2433.19"/>
  </r>
  <r>
    <x v="1"/>
    <x v="15"/>
    <x v="15"/>
    <x v="2"/>
    <n v="9"/>
    <n v="14533.51"/>
    <n v="12627"/>
    <n v="1906.51"/>
  </r>
  <r>
    <x v="2"/>
    <x v="15"/>
    <x v="15"/>
    <x v="2"/>
    <n v="8"/>
    <n v="12691.23"/>
    <n v="11224"/>
    <n v="1467.23"/>
  </r>
  <r>
    <x v="3"/>
    <x v="15"/>
    <x v="15"/>
    <x v="2"/>
    <n v="7"/>
    <n v="11275.07"/>
    <n v="9821"/>
    <n v="1454.07"/>
  </r>
  <r>
    <x v="4"/>
    <x v="15"/>
    <x v="15"/>
    <x v="2"/>
    <n v="12"/>
    <n v="18718.91"/>
    <n v="16836"/>
    <n v="1882.91"/>
  </r>
  <r>
    <x v="5"/>
    <x v="15"/>
    <x v="15"/>
    <x v="2"/>
    <n v="10"/>
    <n v="16090.01"/>
    <n v="14030"/>
    <n v="2060.01"/>
  </r>
  <r>
    <x v="6"/>
    <x v="15"/>
    <x v="15"/>
    <x v="2"/>
    <n v="10"/>
    <n v="16026.47"/>
    <n v="14030"/>
    <n v="1996.47"/>
  </r>
  <r>
    <x v="7"/>
    <x v="15"/>
    <x v="15"/>
    <x v="2"/>
    <n v="12"/>
    <n v="18644.9"/>
    <n v="16836"/>
    <n v="1808.9"/>
  </r>
  <r>
    <x v="8"/>
    <x v="15"/>
    <x v="15"/>
    <x v="2"/>
    <n v="11"/>
    <n v="18021.51"/>
    <n v="15433"/>
    <n v="2588.51"/>
  </r>
  <r>
    <x v="9"/>
    <x v="15"/>
    <x v="15"/>
    <x v="2"/>
    <n v="7"/>
    <n v="10852.69"/>
    <n v="9821"/>
    <n v="1031.69"/>
  </r>
  <r>
    <x v="10"/>
    <x v="15"/>
    <x v="15"/>
    <x v="2"/>
    <n v="11"/>
    <n v="17401.87"/>
    <n v="15433"/>
    <n v="1968.87"/>
  </r>
  <r>
    <x v="11"/>
    <x v="15"/>
    <x v="15"/>
    <x v="2"/>
    <n v="12"/>
    <n v="19244.27"/>
    <n v="16836"/>
    <n v="2408.27"/>
  </r>
  <r>
    <x v="12"/>
    <x v="15"/>
    <x v="15"/>
    <x v="2"/>
    <n v="8"/>
    <n v="12610.65"/>
    <n v="11224"/>
    <n v="1386.65"/>
  </r>
  <r>
    <x v="13"/>
    <x v="15"/>
    <x v="15"/>
    <x v="2"/>
    <n v="10"/>
    <n v="15738.43"/>
    <n v="14030"/>
    <n v="1708.43"/>
  </r>
  <r>
    <x v="14"/>
    <x v="15"/>
    <x v="15"/>
    <x v="2"/>
    <n v="7"/>
    <n v="10751.61"/>
    <n v="9821"/>
    <n v="930.61"/>
  </r>
  <r>
    <x v="15"/>
    <x v="15"/>
    <x v="15"/>
    <x v="2"/>
    <n v="8"/>
    <n v="12387.63"/>
    <n v="11224"/>
    <n v="1163.63"/>
  </r>
  <r>
    <x v="16"/>
    <x v="15"/>
    <x v="15"/>
    <x v="2"/>
    <n v="13"/>
    <n v="20331.73"/>
    <n v="18239"/>
    <n v="2092.73"/>
  </r>
  <r>
    <x v="17"/>
    <x v="15"/>
    <x v="15"/>
    <x v="2"/>
    <n v="4"/>
    <n v="6223.66"/>
    <n v="5612"/>
    <n v="611.66"/>
  </r>
  <r>
    <x v="18"/>
    <x v="15"/>
    <x v="15"/>
    <x v="2"/>
    <n v="8"/>
    <n v="12099.69"/>
    <n v="11224"/>
    <n v="875.6900000000001"/>
  </r>
  <r>
    <x v="19"/>
    <x v="15"/>
    <x v="15"/>
    <x v="2"/>
    <n v="12"/>
    <n v="18671.36"/>
    <n v="16836"/>
    <n v="1835.36"/>
  </r>
  <r>
    <x v="20"/>
    <x v="15"/>
    <x v="15"/>
    <x v="2"/>
    <n v="10"/>
    <n v="15348.81"/>
    <n v="14030"/>
    <n v="1318.81"/>
  </r>
  <r>
    <x v="21"/>
    <x v="15"/>
    <x v="15"/>
    <x v="2"/>
    <n v="12"/>
    <n v="18742.73"/>
    <n v="16836"/>
    <n v="1906.73"/>
  </r>
  <r>
    <x v="22"/>
    <x v="15"/>
    <x v="15"/>
    <x v="2"/>
    <n v="8"/>
    <n v="12735.42"/>
    <n v="11224"/>
    <n v="1511.42"/>
  </r>
  <r>
    <x v="23"/>
    <x v="15"/>
    <x v="15"/>
    <x v="2"/>
    <n v="6"/>
    <n v="9504.75"/>
    <n v="8418"/>
    <n v="1086.75"/>
  </r>
  <r>
    <x v="24"/>
    <x v="15"/>
    <x v="15"/>
    <x v="2"/>
    <n v="6"/>
    <n v="9345.43"/>
    <n v="8418"/>
    <n v="927.4299999999999"/>
  </r>
  <r>
    <x v="25"/>
    <x v="15"/>
    <x v="15"/>
    <x v="2"/>
    <n v="10"/>
    <n v="14998.05"/>
    <n v="14030"/>
    <n v="968.05"/>
  </r>
  <r>
    <x v="0"/>
    <x v="16"/>
    <x v="16"/>
    <x v="2"/>
    <n v="11"/>
    <n v="17831.32"/>
    <n v="15631"/>
    <n v="2200.32"/>
  </r>
  <r>
    <x v="1"/>
    <x v="16"/>
    <x v="16"/>
    <x v="2"/>
    <n v="11"/>
    <n v="18147.87"/>
    <n v="15631"/>
    <n v="2516.87"/>
  </r>
  <r>
    <x v="2"/>
    <x v="16"/>
    <x v="16"/>
    <x v="2"/>
    <n v="16"/>
    <n v="26845.96"/>
    <n v="22736"/>
    <n v="4109.96"/>
  </r>
  <r>
    <x v="3"/>
    <x v="16"/>
    <x v="16"/>
    <x v="2"/>
    <n v="13"/>
    <n v="20429.04"/>
    <n v="18473"/>
    <n v="1956.04"/>
  </r>
  <r>
    <x v="4"/>
    <x v="16"/>
    <x v="16"/>
    <x v="2"/>
    <n v="5"/>
    <n v="7809.16"/>
    <n v="7105"/>
    <n v="704.16"/>
  </r>
  <r>
    <x v="5"/>
    <x v="16"/>
    <x v="16"/>
    <x v="2"/>
    <n v="13"/>
    <n v="20964.86"/>
    <n v="18473"/>
    <n v="2491.86"/>
  </r>
  <r>
    <x v="6"/>
    <x v="16"/>
    <x v="16"/>
    <x v="2"/>
    <n v="10"/>
    <n v="15653.49"/>
    <n v="14210"/>
    <n v="1443.49"/>
  </r>
  <r>
    <x v="7"/>
    <x v="16"/>
    <x v="16"/>
    <x v="2"/>
    <n v="16"/>
    <n v="25055.54"/>
    <n v="22736"/>
    <n v="2319.54"/>
  </r>
  <r>
    <x v="8"/>
    <x v="16"/>
    <x v="16"/>
    <x v="2"/>
    <n v="11"/>
    <n v="17827.65"/>
    <n v="15631"/>
    <n v="2196.65"/>
  </r>
  <r>
    <x v="9"/>
    <x v="16"/>
    <x v="16"/>
    <x v="2"/>
    <n v="10"/>
    <n v="15236.59"/>
    <n v="14210"/>
    <n v="1026.59"/>
  </r>
  <r>
    <x v="10"/>
    <x v="16"/>
    <x v="16"/>
    <x v="2"/>
    <n v="8"/>
    <n v="12337.3"/>
    <n v="11368"/>
    <n v="969.3"/>
  </r>
  <r>
    <x v="11"/>
    <x v="16"/>
    <x v="16"/>
    <x v="2"/>
    <n v="12"/>
    <n v="19256.03"/>
    <n v="17052"/>
    <n v="2204.03"/>
  </r>
  <r>
    <x v="12"/>
    <x v="16"/>
    <x v="16"/>
    <x v="2"/>
    <n v="14"/>
    <n v="21864.52"/>
    <n v="19894"/>
    <n v="1970.52"/>
  </r>
  <r>
    <x v="13"/>
    <x v="16"/>
    <x v="16"/>
    <x v="2"/>
    <n v="8"/>
    <n v="12115.41"/>
    <n v="11368"/>
    <n v="747.41"/>
  </r>
  <r>
    <x v="14"/>
    <x v="16"/>
    <x v="16"/>
    <x v="2"/>
    <n v="6"/>
    <n v="9060.85"/>
    <n v="8526"/>
    <n v="534.85"/>
  </r>
  <r>
    <x v="15"/>
    <x v="16"/>
    <x v="16"/>
    <x v="2"/>
    <n v="12"/>
    <n v="17807.13"/>
    <n v="17052"/>
    <n v="755.13"/>
  </r>
  <r>
    <x v="16"/>
    <x v="16"/>
    <x v="16"/>
    <x v="2"/>
    <n v="10"/>
    <n v="15488.41"/>
    <n v="14210"/>
    <n v="1278.41"/>
  </r>
  <r>
    <x v="17"/>
    <x v="16"/>
    <x v="16"/>
    <x v="2"/>
    <n v="7"/>
    <n v="10399.02"/>
    <n v="9947"/>
    <n v="452.02"/>
  </r>
  <r>
    <x v="18"/>
    <x v="16"/>
    <x v="16"/>
    <x v="2"/>
    <n v="10"/>
    <n v="14931.82"/>
    <n v="14210"/>
    <n v="721.8200000000001"/>
  </r>
  <r>
    <x v="19"/>
    <x v="16"/>
    <x v="16"/>
    <x v="2"/>
    <n v="10"/>
    <n v="14612.24"/>
    <n v="14210"/>
    <n v="402.24"/>
  </r>
  <r>
    <x v="20"/>
    <x v="16"/>
    <x v="16"/>
    <x v="2"/>
    <n v="9"/>
    <n v="13430.05"/>
    <n v="12789"/>
    <n v="641.05"/>
  </r>
  <r>
    <x v="21"/>
    <x v="16"/>
    <x v="16"/>
    <x v="2"/>
    <n v="14"/>
    <n v="20908.38"/>
    <n v="19894"/>
    <n v="1014.38"/>
  </r>
  <r>
    <x v="22"/>
    <x v="16"/>
    <x v="16"/>
    <x v="2"/>
    <n v="11"/>
    <n v="15816.53"/>
    <n v="15631"/>
    <n v="185.53"/>
  </r>
  <r>
    <x v="23"/>
    <x v="16"/>
    <x v="16"/>
    <x v="2"/>
    <n v="9"/>
    <n v="13425.31"/>
    <n v="12789"/>
    <n v="636.3099999999999"/>
  </r>
  <r>
    <x v="24"/>
    <x v="16"/>
    <x v="16"/>
    <x v="2"/>
    <n v="6"/>
    <n v="8977.969999999999"/>
    <n v="8526"/>
    <n v="451.97"/>
  </r>
  <r>
    <x v="25"/>
    <x v="16"/>
    <x v="16"/>
    <x v="2"/>
    <n v="12"/>
    <n v="17553.4"/>
    <n v="17052"/>
    <n v="501.4"/>
  </r>
  <r>
    <x v="0"/>
    <x v="17"/>
    <x v="17"/>
    <x v="2"/>
    <n v="1"/>
    <n v="1253"/>
    <n v="1056"/>
    <n v="197"/>
  </r>
  <r>
    <x v="1"/>
    <x v="17"/>
    <x v="17"/>
    <x v="2"/>
    <n v="1"/>
    <n v="1185.93"/>
    <n v="1056"/>
    <n v="129.93"/>
  </r>
  <r>
    <x v="2"/>
    <x v="17"/>
    <x v="17"/>
    <x v="2"/>
    <n v="5"/>
    <n v="6104.95"/>
    <n v="5280"/>
    <n v="824.95"/>
  </r>
  <r>
    <x v="3"/>
    <x v="17"/>
    <x v="17"/>
    <x v="2"/>
    <n v="3"/>
    <n v="3685.46"/>
    <n v="3168"/>
    <n v="517.46"/>
  </r>
  <r>
    <x v="4"/>
    <x v="17"/>
    <x v="17"/>
    <x v="2"/>
    <n v="3"/>
    <n v="3618.44"/>
    <n v="3168"/>
    <n v="450.44"/>
  </r>
  <r>
    <x v="5"/>
    <x v="17"/>
    <x v="17"/>
    <x v="2"/>
    <n v="2"/>
    <n v="2384.61"/>
    <n v="2112"/>
    <n v="272.61"/>
  </r>
  <r>
    <x v="6"/>
    <x v="17"/>
    <x v="17"/>
    <x v="2"/>
    <n v="1"/>
    <n v="1200.44"/>
    <n v="1056"/>
    <n v="144.44"/>
  </r>
  <r>
    <x v="7"/>
    <x v="17"/>
    <x v="17"/>
    <x v="2"/>
    <n v="4"/>
    <n v="4966.83"/>
    <n v="4224"/>
    <n v="742.83"/>
  </r>
  <r>
    <x v="8"/>
    <x v="17"/>
    <x v="17"/>
    <x v="2"/>
    <n v="4"/>
    <n v="4695.37"/>
    <n v="4224"/>
    <n v="471.37"/>
  </r>
  <r>
    <x v="9"/>
    <x v="17"/>
    <x v="17"/>
    <x v="2"/>
    <n v="1"/>
    <n v="1227.09"/>
    <n v="1056"/>
    <n v="171.09"/>
  </r>
  <r>
    <x v="10"/>
    <x v="17"/>
    <x v="17"/>
    <x v="2"/>
    <n v="5"/>
    <n v="5977.03"/>
    <n v="5280"/>
    <n v="697.03"/>
  </r>
  <r>
    <x v="11"/>
    <x v="17"/>
    <x v="17"/>
    <x v="2"/>
    <n v="2"/>
    <n v="2427.83"/>
    <n v="2112"/>
    <n v="315.83"/>
  </r>
  <r>
    <x v="12"/>
    <x v="17"/>
    <x v="17"/>
    <x v="2"/>
    <n v="3"/>
    <n v="3477.43"/>
    <n v="3168"/>
    <n v="309.43"/>
  </r>
  <r>
    <x v="13"/>
    <x v="17"/>
    <x v="17"/>
    <x v="2"/>
    <n v="4"/>
    <n v="4866.52"/>
    <n v="4224"/>
    <n v="642.52"/>
  </r>
  <r>
    <x v="14"/>
    <x v="17"/>
    <x v="17"/>
    <x v="2"/>
    <n v="2"/>
    <n v="2443.9"/>
    <n v="2112"/>
    <n v="331.9"/>
  </r>
  <r>
    <x v="15"/>
    <x v="17"/>
    <x v="17"/>
    <x v="2"/>
    <n v="2"/>
    <n v="2406.49"/>
    <n v="2112"/>
    <n v="294.49"/>
  </r>
  <r>
    <x v="16"/>
    <x v="17"/>
    <x v="17"/>
    <x v="2"/>
    <n v="3"/>
    <n v="3560.39"/>
    <n v="3168"/>
    <n v="392.39"/>
  </r>
  <r>
    <x v="17"/>
    <x v="17"/>
    <x v="17"/>
    <x v="2"/>
    <n v="3"/>
    <n v="3456.13"/>
    <n v="3168"/>
    <n v="288.13"/>
  </r>
  <r>
    <x v="18"/>
    <x v="17"/>
    <x v="17"/>
    <x v="2"/>
    <n v="6"/>
    <n v="7174.24"/>
    <n v="6336"/>
    <n v="838.24"/>
  </r>
  <r>
    <x v="19"/>
    <x v="17"/>
    <x v="17"/>
    <x v="2"/>
    <n v="5"/>
    <n v="5854.42"/>
    <n v="5280"/>
    <n v="574.42"/>
  </r>
  <r>
    <x v="20"/>
    <x v="17"/>
    <x v="17"/>
    <x v="2"/>
    <n v="4"/>
    <n v="4713.37"/>
    <n v="4224"/>
    <n v="489.37"/>
  </r>
  <r>
    <x v="21"/>
    <x v="17"/>
    <x v="17"/>
    <x v="2"/>
    <n v="5"/>
    <n v="5784.46"/>
    <n v="5280"/>
    <n v="504.46"/>
  </r>
  <r>
    <x v="22"/>
    <x v="17"/>
    <x v="17"/>
    <x v="2"/>
    <n v="3"/>
    <n v="3453.81"/>
    <n v="3168"/>
    <n v="285.81"/>
  </r>
  <r>
    <x v="23"/>
    <x v="17"/>
    <x v="17"/>
    <x v="2"/>
    <n v="3"/>
    <n v="3609.36"/>
    <n v="3168"/>
    <n v="441.36"/>
  </r>
  <r>
    <x v="24"/>
    <x v="17"/>
    <x v="17"/>
    <x v="2"/>
    <n v="4"/>
    <n v="4656.18"/>
    <n v="4224"/>
    <n v="432.18"/>
  </r>
  <r>
    <x v="25"/>
    <x v="17"/>
    <x v="17"/>
    <x v="2"/>
    <n v="3"/>
    <n v="3398.65"/>
    <n v="3168"/>
    <n v="230.65"/>
  </r>
  <r>
    <x v="0"/>
    <x v="24"/>
    <x v="30"/>
    <x v="5"/>
    <n v="4"/>
    <n v="4206.5"/>
    <n v="3588"/>
    <n v="618.5"/>
  </r>
  <r>
    <x v="1"/>
    <x v="24"/>
    <x v="30"/>
    <x v="5"/>
    <n v="2"/>
    <n v="2225.62"/>
    <n v="1794"/>
    <n v="431.62"/>
  </r>
  <r>
    <x v="2"/>
    <x v="24"/>
    <x v="30"/>
    <x v="5"/>
    <n v="6"/>
    <n v="6300.03"/>
    <n v="5382"/>
    <n v="918.03"/>
  </r>
  <r>
    <x v="3"/>
    <x v="24"/>
    <x v="30"/>
    <x v="5"/>
    <n v="3"/>
    <n v="3196.6"/>
    <n v="2691"/>
    <n v="505.6"/>
  </r>
  <r>
    <x v="4"/>
    <x v="24"/>
    <x v="30"/>
    <x v="5"/>
    <n v="6"/>
    <n v="6613.32"/>
    <n v="5382"/>
    <n v="1231.32"/>
  </r>
  <r>
    <x v="5"/>
    <x v="24"/>
    <x v="30"/>
    <x v="5"/>
    <n v="2"/>
    <n v="2109.19"/>
    <n v="1794"/>
    <n v="315.19"/>
  </r>
  <r>
    <x v="6"/>
    <x v="24"/>
    <x v="30"/>
    <x v="5"/>
    <n v="2"/>
    <n v="2096.1"/>
    <n v="1794"/>
    <n v="302.1"/>
  </r>
  <r>
    <x v="7"/>
    <x v="24"/>
    <x v="30"/>
    <x v="5"/>
    <n v="4"/>
    <n v="4377.32"/>
    <n v="3588"/>
    <n v="789.3200000000001"/>
  </r>
  <r>
    <x v="8"/>
    <x v="24"/>
    <x v="30"/>
    <x v="5"/>
    <n v="2"/>
    <n v="2065.43"/>
    <n v="1794"/>
    <n v="271.43"/>
  </r>
  <r>
    <x v="9"/>
    <x v="24"/>
    <x v="30"/>
    <x v="5"/>
    <n v="5"/>
    <n v="5166.88"/>
    <n v="4485"/>
    <n v="681.88"/>
  </r>
  <r>
    <x v="10"/>
    <x v="24"/>
    <x v="30"/>
    <x v="5"/>
    <n v="3"/>
    <n v="3184.17"/>
    <n v="2691"/>
    <n v="493.17"/>
  </r>
  <r>
    <x v="11"/>
    <x v="24"/>
    <x v="30"/>
    <x v="5"/>
    <n v="4"/>
    <n v="4249.49"/>
    <n v="3588"/>
    <n v="661.49"/>
  </r>
  <r>
    <x v="12"/>
    <x v="24"/>
    <x v="30"/>
    <x v="5"/>
    <n v="2"/>
    <n v="2059.86"/>
    <n v="1794"/>
    <n v="265.86"/>
  </r>
  <r>
    <x v="13"/>
    <x v="24"/>
    <x v="30"/>
    <x v="5"/>
    <n v="1"/>
    <n v="1072.15"/>
    <n v="897"/>
    <n v="175.15"/>
  </r>
  <r>
    <x v="14"/>
    <x v="24"/>
    <x v="30"/>
    <x v="5"/>
    <n v="3"/>
    <n v="3221.27"/>
    <n v="2691"/>
    <n v="530.27"/>
  </r>
  <r>
    <x v="15"/>
    <x v="24"/>
    <x v="30"/>
    <x v="5"/>
    <n v="4"/>
    <n v="4164.62"/>
    <n v="3588"/>
    <n v="576.62"/>
  </r>
  <r>
    <x v="16"/>
    <x v="24"/>
    <x v="30"/>
    <x v="5"/>
    <n v="2"/>
    <n v="2099.76"/>
    <n v="1794"/>
    <n v="305.76"/>
  </r>
  <r>
    <x v="17"/>
    <x v="24"/>
    <x v="30"/>
    <x v="5"/>
    <n v="6"/>
    <n v="6389.85"/>
    <n v="5382"/>
    <n v="1007.85"/>
  </r>
  <r>
    <x v="18"/>
    <x v="24"/>
    <x v="30"/>
    <x v="5"/>
    <n v="3"/>
    <n v="3244.17"/>
    <n v="2691"/>
    <n v="553.17"/>
  </r>
  <r>
    <x v="19"/>
    <x v="24"/>
    <x v="30"/>
    <x v="5"/>
    <n v="4"/>
    <n v="4144.48"/>
    <n v="3588"/>
    <n v="556.48"/>
  </r>
  <r>
    <x v="20"/>
    <x v="24"/>
    <x v="30"/>
    <x v="5"/>
    <n v="2"/>
    <n v="2067.26"/>
    <n v="1794"/>
    <n v="273.26"/>
  </r>
  <r>
    <x v="21"/>
    <x v="24"/>
    <x v="30"/>
    <x v="5"/>
    <n v="3"/>
    <n v="3072.03"/>
    <n v="2691"/>
    <n v="381.03"/>
  </r>
  <r>
    <x v="22"/>
    <x v="24"/>
    <x v="30"/>
    <x v="5"/>
    <n v="2"/>
    <n v="2094.85"/>
    <n v="1794"/>
    <n v="300.85"/>
  </r>
  <r>
    <x v="23"/>
    <x v="24"/>
    <x v="30"/>
    <x v="5"/>
    <n v="4"/>
    <n v="4189.6"/>
    <n v="3588"/>
    <n v="601.6"/>
  </r>
  <r>
    <x v="24"/>
    <x v="24"/>
    <x v="30"/>
    <x v="5"/>
    <n v="3"/>
    <n v="3143.21"/>
    <n v="2691"/>
    <n v="452.21"/>
  </r>
  <r>
    <x v="25"/>
    <x v="24"/>
    <x v="30"/>
    <x v="5"/>
    <n v="3"/>
    <n v="3185.84"/>
    <n v="2691"/>
    <n v="494.84"/>
  </r>
  <r>
    <x v="0"/>
    <x v="25"/>
    <x v="31"/>
    <x v="5"/>
    <n v="0"/>
    <n v="0"/>
    <n v="0"/>
    <n v="0"/>
  </r>
  <r>
    <x v="1"/>
    <x v="25"/>
    <x v="31"/>
    <x v="5"/>
    <n v="3"/>
    <n v="3596.28"/>
    <n v="2979"/>
    <n v="617.28"/>
  </r>
  <r>
    <x v="2"/>
    <x v="25"/>
    <x v="31"/>
    <x v="5"/>
    <n v="6"/>
    <n v="7032.52"/>
    <n v="5958"/>
    <n v="1074.52"/>
  </r>
  <r>
    <x v="3"/>
    <x v="25"/>
    <x v="31"/>
    <x v="5"/>
    <n v="3"/>
    <n v="3559.98"/>
    <n v="2979"/>
    <n v="580.98"/>
  </r>
  <r>
    <x v="4"/>
    <x v="25"/>
    <x v="31"/>
    <x v="5"/>
    <n v="3"/>
    <n v="3657.27"/>
    <n v="2979"/>
    <n v="678.27"/>
  </r>
  <r>
    <x v="5"/>
    <x v="25"/>
    <x v="31"/>
    <x v="5"/>
    <n v="3"/>
    <n v="3617.14"/>
    <n v="2979"/>
    <n v="638.14"/>
  </r>
  <r>
    <x v="6"/>
    <x v="25"/>
    <x v="31"/>
    <x v="5"/>
    <n v="5"/>
    <n v="5857.4"/>
    <n v="4965"/>
    <n v="892.4"/>
  </r>
  <r>
    <x v="7"/>
    <x v="25"/>
    <x v="31"/>
    <x v="5"/>
    <n v="5"/>
    <n v="5741.8"/>
    <n v="4965"/>
    <n v="776.8"/>
  </r>
  <r>
    <x v="8"/>
    <x v="25"/>
    <x v="31"/>
    <x v="5"/>
    <n v="7"/>
    <n v="7828.08"/>
    <n v="6951"/>
    <n v="877.08"/>
  </r>
  <r>
    <x v="9"/>
    <x v="25"/>
    <x v="31"/>
    <x v="5"/>
    <n v="4"/>
    <n v="4680.12"/>
    <n v="3972"/>
    <n v="708.12"/>
  </r>
  <r>
    <x v="10"/>
    <x v="25"/>
    <x v="31"/>
    <x v="5"/>
    <n v="7"/>
    <n v="7795.09"/>
    <n v="6951"/>
    <n v="844.09"/>
  </r>
  <r>
    <x v="11"/>
    <x v="25"/>
    <x v="31"/>
    <x v="5"/>
    <n v="9"/>
    <n v="10638.5"/>
    <n v="8937"/>
    <n v="1701.5"/>
  </r>
  <r>
    <x v="12"/>
    <x v="25"/>
    <x v="31"/>
    <x v="5"/>
    <n v="5"/>
    <n v="5800.79"/>
    <n v="4965"/>
    <n v="835.79"/>
  </r>
  <r>
    <x v="13"/>
    <x v="25"/>
    <x v="31"/>
    <x v="5"/>
    <n v="5"/>
    <n v="5477.07"/>
    <n v="4965"/>
    <n v="512.0700000000001"/>
  </r>
  <r>
    <x v="14"/>
    <x v="25"/>
    <x v="31"/>
    <x v="5"/>
    <n v="5"/>
    <n v="5705.75"/>
    <n v="4965"/>
    <n v="740.75"/>
  </r>
  <r>
    <x v="15"/>
    <x v="25"/>
    <x v="31"/>
    <x v="5"/>
    <n v="6"/>
    <n v="6982.05"/>
    <n v="5958"/>
    <n v="1024.05"/>
  </r>
  <r>
    <x v="16"/>
    <x v="25"/>
    <x v="31"/>
    <x v="5"/>
    <n v="8"/>
    <n v="9242.73"/>
    <n v="7944"/>
    <n v="1298.73"/>
  </r>
  <r>
    <x v="17"/>
    <x v="25"/>
    <x v="31"/>
    <x v="5"/>
    <n v="3"/>
    <n v="3373.33"/>
    <n v="2979"/>
    <n v="394.33"/>
  </r>
  <r>
    <x v="18"/>
    <x v="25"/>
    <x v="31"/>
    <x v="5"/>
    <n v="4"/>
    <n v="4547.69"/>
    <n v="3972"/>
    <n v="575.6900000000001"/>
  </r>
  <r>
    <x v="19"/>
    <x v="25"/>
    <x v="31"/>
    <x v="5"/>
    <n v="0"/>
    <n v="0"/>
    <n v="0"/>
    <n v="0"/>
  </r>
  <r>
    <x v="20"/>
    <x v="25"/>
    <x v="31"/>
    <x v="5"/>
    <n v="6"/>
    <n v="6792.98"/>
    <n v="5958"/>
    <n v="834.98"/>
  </r>
  <r>
    <x v="21"/>
    <x v="25"/>
    <x v="31"/>
    <x v="5"/>
    <n v="4"/>
    <n v="4486.22"/>
    <n v="3972"/>
    <n v="514.22"/>
  </r>
  <r>
    <x v="22"/>
    <x v="25"/>
    <x v="31"/>
    <x v="5"/>
    <n v="2"/>
    <n v="2214.07"/>
    <n v="1986"/>
    <n v="228.07"/>
  </r>
  <r>
    <x v="23"/>
    <x v="25"/>
    <x v="31"/>
    <x v="5"/>
    <n v="1"/>
    <n v="1049.8"/>
    <n v="993"/>
    <n v="56.8"/>
  </r>
  <r>
    <x v="24"/>
    <x v="25"/>
    <x v="31"/>
    <x v="5"/>
    <n v="2"/>
    <n v="2094.66"/>
    <n v="1986"/>
    <n v="108.66"/>
  </r>
  <r>
    <x v="25"/>
    <x v="25"/>
    <x v="31"/>
    <x v="5"/>
    <n v="2"/>
    <n v="2109.79"/>
    <n v="1986"/>
    <n v="123.79"/>
  </r>
  <r>
    <x v="0"/>
    <x v="26"/>
    <x v="32"/>
    <x v="5"/>
    <n v="3"/>
    <n v="3361.95"/>
    <n v="2805"/>
    <n v="556.95"/>
  </r>
  <r>
    <x v="1"/>
    <x v="26"/>
    <x v="32"/>
    <x v="5"/>
    <n v="5"/>
    <n v="5428.71"/>
    <n v="4675"/>
    <n v="753.71"/>
  </r>
  <r>
    <x v="2"/>
    <x v="26"/>
    <x v="32"/>
    <x v="5"/>
    <n v="3"/>
    <n v="3348.82"/>
    <n v="2805"/>
    <n v="543.8200000000001"/>
  </r>
  <r>
    <x v="3"/>
    <x v="26"/>
    <x v="32"/>
    <x v="5"/>
    <n v="2"/>
    <n v="2301.36"/>
    <n v="1870"/>
    <n v="431.36"/>
  </r>
  <r>
    <x v="4"/>
    <x v="26"/>
    <x v="32"/>
    <x v="5"/>
    <n v="4"/>
    <n v="4339.12"/>
    <n v="3740"/>
    <n v="599.12"/>
  </r>
  <r>
    <x v="5"/>
    <x v="26"/>
    <x v="32"/>
    <x v="5"/>
    <n v="6"/>
    <n v="6666.22"/>
    <n v="5610"/>
    <n v="1056.22"/>
  </r>
  <r>
    <x v="6"/>
    <x v="26"/>
    <x v="32"/>
    <x v="5"/>
    <n v="3"/>
    <n v="3206.31"/>
    <n v="2805"/>
    <n v="401.31"/>
  </r>
  <r>
    <x v="7"/>
    <x v="26"/>
    <x v="32"/>
    <x v="5"/>
    <n v="3"/>
    <n v="3388.45"/>
    <n v="2805"/>
    <n v="583.45"/>
  </r>
  <r>
    <x v="8"/>
    <x v="26"/>
    <x v="32"/>
    <x v="5"/>
    <n v="3"/>
    <n v="3301.6"/>
    <n v="2805"/>
    <n v="496.6"/>
  </r>
  <r>
    <x v="9"/>
    <x v="26"/>
    <x v="32"/>
    <x v="5"/>
    <n v="4"/>
    <n v="4397.63"/>
    <n v="3740"/>
    <n v="657.63"/>
  </r>
  <r>
    <x v="10"/>
    <x v="26"/>
    <x v="32"/>
    <x v="5"/>
    <n v="4"/>
    <n v="4193.96"/>
    <n v="3740"/>
    <n v="453.96"/>
  </r>
  <r>
    <x v="11"/>
    <x v="26"/>
    <x v="32"/>
    <x v="5"/>
    <n v="4"/>
    <n v="4465.81"/>
    <n v="3740"/>
    <n v="725.8099999999999"/>
  </r>
  <r>
    <x v="12"/>
    <x v="26"/>
    <x v="32"/>
    <x v="5"/>
    <n v="3"/>
    <n v="3126.37"/>
    <n v="2805"/>
    <n v="321.37"/>
  </r>
  <r>
    <x v="13"/>
    <x v="26"/>
    <x v="32"/>
    <x v="5"/>
    <n v="1"/>
    <n v="1107.15"/>
    <n v="935"/>
    <n v="172.15"/>
  </r>
  <r>
    <x v="14"/>
    <x v="26"/>
    <x v="32"/>
    <x v="5"/>
    <n v="2"/>
    <n v="2058.53"/>
    <n v="1870"/>
    <n v="188.53"/>
  </r>
  <r>
    <x v="15"/>
    <x v="26"/>
    <x v="32"/>
    <x v="5"/>
    <n v="2"/>
    <n v="2169.88"/>
    <n v="1870"/>
    <n v="299.88"/>
  </r>
  <r>
    <x v="16"/>
    <x v="26"/>
    <x v="32"/>
    <x v="5"/>
    <n v="3"/>
    <n v="3244.29"/>
    <n v="2805"/>
    <n v="439.29"/>
  </r>
  <r>
    <x v="17"/>
    <x v="26"/>
    <x v="32"/>
    <x v="5"/>
    <n v="3"/>
    <n v="3253.46"/>
    <n v="2805"/>
    <n v="448.46"/>
  </r>
  <r>
    <x v="18"/>
    <x v="26"/>
    <x v="32"/>
    <x v="5"/>
    <n v="3"/>
    <n v="3095.28"/>
    <n v="2805"/>
    <n v="290.28"/>
  </r>
  <r>
    <x v="19"/>
    <x v="26"/>
    <x v="32"/>
    <x v="5"/>
    <n v="3"/>
    <n v="3189.71"/>
    <n v="2805"/>
    <n v="384.71"/>
  </r>
  <r>
    <x v="20"/>
    <x v="26"/>
    <x v="32"/>
    <x v="5"/>
    <n v="2"/>
    <n v="2066.95"/>
    <n v="1870"/>
    <n v="196.95"/>
  </r>
  <r>
    <x v="21"/>
    <x v="26"/>
    <x v="32"/>
    <x v="5"/>
    <n v="7"/>
    <n v="7364.74"/>
    <n v="6545"/>
    <n v="819.74"/>
  </r>
  <r>
    <x v="22"/>
    <x v="26"/>
    <x v="32"/>
    <x v="5"/>
    <n v="4"/>
    <n v="4202.6"/>
    <n v="3740"/>
    <n v="462.6"/>
  </r>
  <r>
    <x v="23"/>
    <x v="26"/>
    <x v="32"/>
    <x v="5"/>
    <n v="5"/>
    <n v="5058.41"/>
    <n v="4675"/>
    <n v="383.41"/>
  </r>
  <r>
    <x v="24"/>
    <x v="26"/>
    <x v="32"/>
    <x v="5"/>
    <n v="4"/>
    <n v="4034.36"/>
    <n v="3740"/>
    <n v="294.36"/>
  </r>
  <r>
    <x v="25"/>
    <x v="26"/>
    <x v="32"/>
    <x v="5"/>
    <n v="4"/>
    <n v="3995.69"/>
    <n v="3740"/>
    <n v="255.69"/>
  </r>
  <r>
    <x v="0"/>
    <x v="27"/>
    <x v="33"/>
    <x v="5"/>
    <n v="7"/>
    <n v="3945.34"/>
    <n v="3199"/>
    <n v="746.34"/>
  </r>
  <r>
    <x v="1"/>
    <x v="27"/>
    <x v="33"/>
    <x v="5"/>
    <n v="8"/>
    <n v="4527.92"/>
    <n v="3656"/>
    <n v="871.92"/>
  </r>
  <r>
    <x v="2"/>
    <x v="27"/>
    <x v="33"/>
    <x v="5"/>
    <n v="6"/>
    <n v="3178.53"/>
    <n v="2742"/>
    <n v="436.53"/>
  </r>
  <r>
    <x v="3"/>
    <x v="27"/>
    <x v="33"/>
    <x v="5"/>
    <n v="4"/>
    <n v="2126.33"/>
    <n v="1828"/>
    <n v="298.33"/>
  </r>
  <r>
    <x v="4"/>
    <x v="27"/>
    <x v="33"/>
    <x v="5"/>
    <n v="6"/>
    <n v="3338.53"/>
    <n v="2742"/>
    <n v="596.53"/>
  </r>
  <r>
    <x v="5"/>
    <x v="27"/>
    <x v="33"/>
    <x v="5"/>
    <n v="6"/>
    <n v="3253.48"/>
    <n v="2742"/>
    <n v="511.48"/>
  </r>
  <r>
    <x v="6"/>
    <x v="27"/>
    <x v="33"/>
    <x v="5"/>
    <n v="3"/>
    <n v="1639.88"/>
    <n v="1371"/>
    <n v="268.88"/>
  </r>
  <r>
    <x v="7"/>
    <x v="27"/>
    <x v="33"/>
    <x v="5"/>
    <n v="6"/>
    <n v="3259.57"/>
    <n v="2742"/>
    <n v="517.5700000000001"/>
  </r>
  <r>
    <x v="8"/>
    <x v="27"/>
    <x v="33"/>
    <x v="5"/>
    <n v="4"/>
    <n v="2123.34"/>
    <n v="1828"/>
    <n v="295.34"/>
  </r>
  <r>
    <x v="9"/>
    <x v="27"/>
    <x v="33"/>
    <x v="5"/>
    <n v="3"/>
    <n v="1567.03"/>
    <n v="1371"/>
    <n v="196.03"/>
  </r>
  <r>
    <x v="10"/>
    <x v="27"/>
    <x v="33"/>
    <x v="5"/>
    <n v="3"/>
    <n v="1553.87"/>
    <n v="1371"/>
    <n v="182.87"/>
  </r>
  <r>
    <x v="11"/>
    <x v="27"/>
    <x v="33"/>
    <x v="5"/>
    <n v="5"/>
    <n v="2569.25"/>
    <n v="2285"/>
    <n v="284.25"/>
  </r>
  <r>
    <x v="12"/>
    <x v="27"/>
    <x v="33"/>
    <x v="5"/>
    <n v="4"/>
    <n v="2156.06"/>
    <n v="1828"/>
    <n v="328.06"/>
  </r>
  <r>
    <x v="13"/>
    <x v="27"/>
    <x v="33"/>
    <x v="5"/>
    <n v="5"/>
    <n v="2643.63"/>
    <n v="2285"/>
    <n v="358.63"/>
  </r>
  <r>
    <x v="14"/>
    <x v="27"/>
    <x v="33"/>
    <x v="5"/>
    <n v="4"/>
    <n v="2147.43"/>
    <n v="1828"/>
    <n v="319.43"/>
  </r>
  <r>
    <x v="15"/>
    <x v="27"/>
    <x v="33"/>
    <x v="5"/>
    <n v="2"/>
    <n v="1049.01"/>
    <n v="914"/>
    <n v="135.01"/>
  </r>
  <r>
    <x v="16"/>
    <x v="27"/>
    <x v="33"/>
    <x v="5"/>
    <n v="1"/>
    <n v="510.06"/>
    <n v="457"/>
    <n v="53.06"/>
  </r>
  <r>
    <x v="17"/>
    <x v="27"/>
    <x v="33"/>
    <x v="5"/>
    <n v="3"/>
    <n v="1570.93"/>
    <n v="1371"/>
    <n v="199.93"/>
  </r>
  <r>
    <x v="18"/>
    <x v="27"/>
    <x v="33"/>
    <x v="5"/>
    <n v="6"/>
    <n v="2970.78"/>
    <n v="2742"/>
    <n v="228.78"/>
  </r>
  <r>
    <x v="19"/>
    <x v="27"/>
    <x v="33"/>
    <x v="5"/>
    <n v="9"/>
    <n v="4472.69"/>
    <n v="4113"/>
    <n v="359.69"/>
  </r>
  <r>
    <x v="20"/>
    <x v="27"/>
    <x v="33"/>
    <x v="5"/>
    <n v="6"/>
    <n v="3051.96"/>
    <n v="2742"/>
    <n v="309.96"/>
  </r>
  <r>
    <x v="21"/>
    <x v="27"/>
    <x v="33"/>
    <x v="5"/>
    <n v="7"/>
    <n v="3505.74"/>
    <n v="3199"/>
    <n v="306.74"/>
  </r>
  <r>
    <x v="22"/>
    <x v="27"/>
    <x v="33"/>
    <x v="5"/>
    <n v="4"/>
    <n v="1938.07"/>
    <n v="1828"/>
    <n v="110.07"/>
  </r>
  <r>
    <x v="23"/>
    <x v="27"/>
    <x v="33"/>
    <x v="5"/>
    <n v="5"/>
    <n v="2550.44"/>
    <n v="2285"/>
    <n v="265.44"/>
  </r>
  <r>
    <x v="24"/>
    <x v="27"/>
    <x v="33"/>
    <x v="5"/>
    <n v="4"/>
    <n v="2064.76"/>
    <n v="1828"/>
    <n v="236.76"/>
  </r>
  <r>
    <x v="25"/>
    <x v="27"/>
    <x v="33"/>
    <x v="5"/>
    <n v="4"/>
    <n v="2015.79"/>
    <n v="1828"/>
    <n v="187.79"/>
  </r>
  <r>
    <x v="0"/>
    <x v="28"/>
    <x v="34"/>
    <x v="5"/>
    <n v="7"/>
    <n v="5522.16"/>
    <n v="4732"/>
    <n v="790.16"/>
  </r>
  <r>
    <x v="1"/>
    <x v="28"/>
    <x v="34"/>
    <x v="5"/>
    <n v="2"/>
    <n v="1669.11"/>
    <n v="1352"/>
    <n v="317.11"/>
  </r>
  <r>
    <x v="2"/>
    <x v="28"/>
    <x v="34"/>
    <x v="5"/>
    <n v="4"/>
    <n v="3350.59"/>
    <n v="2704"/>
    <n v="646.59"/>
  </r>
  <r>
    <x v="3"/>
    <x v="28"/>
    <x v="34"/>
    <x v="5"/>
    <n v="5"/>
    <n v="4080.15"/>
    <n v="3380"/>
    <n v="700.15"/>
  </r>
  <r>
    <x v="4"/>
    <x v="28"/>
    <x v="34"/>
    <x v="5"/>
    <n v="5"/>
    <n v="4129.19"/>
    <n v="3380"/>
    <n v="749.1900000000001"/>
  </r>
  <r>
    <x v="5"/>
    <x v="28"/>
    <x v="34"/>
    <x v="5"/>
    <n v="5"/>
    <n v="4188.9"/>
    <n v="3380"/>
    <n v="808.9"/>
  </r>
  <r>
    <x v="6"/>
    <x v="28"/>
    <x v="34"/>
    <x v="5"/>
    <n v="7"/>
    <n v="5622.1"/>
    <n v="4732"/>
    <n v="890.1"/>
  </r>
  <r>
    <x v="7"/>
    <x v="28"/>
    <x v="34"/>
    <x v="5"/>
    <n v="6"/>
    <n v="4980.49"/>
    <n v="4056"/>
    <n v="924.49"/>
  </r>
  <r>
    <x v="8"/>
    <x v="28"/>
    <x v="34"/>
    <x v="5"/>
    <n v="1"/>
    <n v="813.55"/>
    <n v="676"/>
    <n v="137.55"/>
  </r>
  <r>
    <x v="9"/>
    <x v="28"/>
    <x v="34"/>
    <x v="5"/>
    <n v="3"/>
    <n v="2471.43"/>
    <n v="2028"/>
    <n v="443.43"/>
  </r>
  <r>
    <x v="10"/>
    <x v="28"/>
    <x v="34"/>
    <x v="5"/>
    <n v="6"/>
    <n v="4893.78"/>
    <n v="4056"/>
    <n v="837.78"/>
  </r>
  <r>
    <x v="11"/>
    <x v="28"/>
    <x v="34"/>
    <x v="5"/>
    <n v="3"/>
    <n v="2488.16"/>
    <n v="2028"/>
    <n v="460.16"/>
  </r>
  <r>
    <x v="12"/>
    <x v="28"/>
    <x v="34"/>
    <x v="5"/>
    <n v="7"/>
    <n v="5674.38"/>
    <n v="4732"/>
    <n v="942.38"/>
  </r>
  <r>
    <x v="13"/>
    <x v="28"/>
    <x v="34"/>
    <x v="5"/>
    <n v="3"/>
    <n v="2461.02"/>
    <n v="2028"/>
    <n v="433.02"/>
  </r>
  <r>
    <x v="14"/>
    <x v="28"/>
    <x v="34"/>
    <x v="5"/>
    <n v="4"/>
    <n v="3279.69"/>
    <n v="2704"/>
    <n v="575.6900000000001"/>
  </r>
  <r>
    <x v="15"/>
    <x v="28"/>
    <x v="34"/>
    <x v="5"/>
    <n v="3"/>
    <n v="2414.3"/>
    <n v="2028"/>
    <n v="386.3"/>
  </r>
  <r>
    <x v="16"/>
    <x v="28"/>
    <x v="34"/>
    <x v="5"/>
    <n v="4"/>
    <n v="3072.36"/>
    <n v="2704"/>
    <n v="368.36"/>
  </r>
  <r>
    <x v="17"/>
    <x v="28"/>
    <x v="34"/>
    <x v="5"/>
    <n v="4"/>
    <n v="3247.56"/>
    <n v="2704"/>
    <n v="543.5599999999999"/>
  </r>
  <r>
    <x v="18"/>
    <x v="28"/>
    <x v="34"/>
    <x v="5"/>
    <n v="7"/>
    <n v="5687.58"/>
    <n v="4732"/>
    <n v="955.58"/>
  </r>
  <r>
    <x v="19"/>
    <x v="28"/>
    <x v="34"/>
    <x v="5"/>
    <n v="3"/>
    <n v="2364.89"/>
    <n v="2028"/>
    <n v="336.89"/>
  </r>
  <r>
    <x v="20"/>
    <x v="28"/>
    <x v="34"/>
    <x v="5"/>
    <n v="3"/>
    <n v="2315.75"/>
    <n v="2028"/>
    <n v="287.75"/>
  </r>
  <r>
    <x v="21"/>
    <x v="28"/>
    <x v="34"/>
    <x v="5"/>
    <n v="2"/>
    <n v="1623.96"/>
    <n v="1352"/>
    <n v="271.96"/>
  </r>
  <r>
    <x v="22"/>
    <x v="28"/>
    <x v="34"/>
    <x v="5"/>
    <n v="2"/>
    <n v="1549.97"/>
    <n v="1352"/>
    <n v="197.97"/>
  </r>
  <r>
    <x v="23"/>
    <x v="28"/>
    <x v="34"/>
    <x v="5"/>
    <n v="1"/>
    <n v="768.85"/>
    <n v="676"/>
    <n v="92.84999999999999"/>
  </r>
  <r>
    <x v="24"/>
    <x v="28"/>
    <x v="34"/>
    <x v="5"/>
    <n v="3"/>
    <n v="2304.65"/>
    <n v="2028"/>
    <n v="276.65"/>
  </r>
  <r>
    <x v="25"/>
    <x v="28"/>
    <x v="34"/>
    <x v="5"/>
    <n v="5"/>
    <n v="4008.01"/>
    <n v="3380"/>
    <n v="628.01"/>
  </r>
  <r>
    <x v="0"/>
    <x v="29"/>
    <x v="35"/>
    <x v="5"/>
    <n v="2"/>
    <n v="1994.26"/>
    <n v="1626"/>
    <n v="368.26"/>
  </r>
  <r>
    <x v="1"/>
    <x v="29"/>
    <x v="35"/>
    <x v="5"/>
    <n v="1"/>
    <n v="1002.38"/>
    <n v="813"/>
    <n v="189.38"/>
  </r>
  <r>
    <x v="2"/>
    <x v="29"/>
    <x v="35"/>
    <x v="5"/>
    <n v="0"/>
    <n v="0"/>
    <n v="0"/>
    <n v="0"/>
  </r>
  <r>
    <x v="3"/>
    <x v="29"/>
    <x v="35"/>
    <x v="5"/>
    <n v="2"/>
    <n v="1975.79"/>
    <n v="1626"/>
    <n v="349.79"/>
  </r>
  <r>
    <x v="4"/>
    <x v="29"/>
    <x v="35"/>
    <x v="5"/>
    <n v="1"/>
    <n v="962.4299999999999"/>
    <n v="813"/>
    <n v="149.43"/>
  </r>
  <r>
    <x v="5"/>
    <x v="29"/>
    <x v="35"/>
    <x v="5"/>
    <n v="1"/>
    <n v="997.39"/>
    <n v="813"/>
    <n v="184.39"/>
  </r>
  <r>
    <x v="6"/>
    <x v="29"/>
    <x v="35"/>
    <x v="5"/>
    <n v="0"/>
    <n v="0"/>
    <n v="0"/>
    <n v="0"/>
  </r>
  <r>
    <x v="7"/>
    <x v="29"/>
    <x v="35"/>
    <x v="5"/>
    <n v="1"/>
    <n v="999.8"/>
    <n v="813"/>
    <n v="186.8"/>
  </r>
  <r>
    <x v="8"/>
    <x v="29"/>
    <x v="35"/>
    <x v="5"/>
    <n v="2"/>
    <n v="1983.61"/>
    <n v="1626"/>
    <n v="357.61"/>
  </r>
  <r>
    <x v="9"/>
    <x v="29"/>
    <x v="35"/>
    <x v="5"/>
    <n v="1"/>
    <n v="980.26"/>
    <n v="813"/>
    <n v="167.26"/>
  </r>
  <r>
    <x v="10"/>
    <x v="29"/>
    <x v="35"/>
    <x v="5"/>
    <n v="0"/>
    <n v="0"/>
    <n v="0"/>
    <n v="0"/>
  </r>
  <r>
    <x v="11"/>
    <x v="29"/>
    <x v="35"/>
    <x v="5"/>
    <n v="3"/>
    <n v="2806.53"/>
    <n v="2439"/>
    <n v="367.53"/>
  </r>
  <r>
    <x v="12"/>
    <x v="29"/>
    <x v="35"/>
    <x v="5"/>
    <n v="1"/>
    <n v="933.25"/>
    <n v="813"/>
    <n v="120.25"/>
  </r>
  <r>
    <x v="13"/>
    <x v="29"/>
    <x v="35"/>
    <x v="5"/>
    <n v="0"/>
    <n v="0"/>
    <n v="0"/>
    <n v="0"/>
  </r>
  <r>
    <x v="14"/>
    <x v="29"/>
    <x v="35"/>
    <x v="5"/>
    <n v="1"/>
    <n v="991.71"/>
    <n v="813"/>
    <n v="178.71"/>
  </r>
  <r>
    <x v="15"/>
    <x v="29"/>
    <x v="35"/>
    <x v="5"/>
    <n v="2"/>
    <n v="1950.95"/>
    <n v="1626"/>
    <n v="324.95"/>
  </r>
  <r>
    <x v="16"/>
    <x v="29"/>
    <x v="35"/>
    <x v="5"/>
    <n v="2"/>
    <n v="1872.72"/>
    <n v="1626"/>
    <n v="246.72"/>
  </r>
  <r>
    <x v="17"/>
    <x v="29"/>
    <x v="35"/>
    <x v="5"/>
    <n v="1"/>
    <n v="981.83"/>
    <n v="813"/>
    <n v="168.83"/>
  </r>
  <r>
    <x v="18"/>
    <x v="29"/>
    <x v="35"/>
    <x v="5"/>
    <n v="3"/>
    <n v="2790.69"/>
    <n v="2439"/>
    <n v="351.69"/>
  </r>
  <r>
    <x v="19"/>
    <x v="29"/>
    <x v="35"/>
    <x v="5"/>
    <n v="2"/>
    <n v="1866"/>
    <n v="1626"/>
    <n v="240"/>
  </r>
  <r>
    <x v="20"/>
    <x v="29"/>
    <x v="35"/>
    <x v="5"/>
    <n v="4"/>
    <n v="3768.15"/>
    <n v="3252"/>
    <n v="516.15"/>
  </r>
  <r>
    <x v="21"/>
    <x v="29"/>
    <x v="35"/>
    <x v="5"/>
    <n v="0"/>
    <n v="0"/>
    <n v="0"/>
    <n v="0"/>
  </r>
  <r>
    <x v="22"/>
    <x v="29"/>
    <x v="35"/>
    <x v="5"/>
    <n v="0"/>
    <n v="0"/>
    <n v="0"/>
    <n v="0"/>
  </r>
  <r>
    <x v="23"/>
    <x v="29"/>
    <x v="35"/>
    <x v="5"/>
    <n v="0"/>
    <n v="0"/>
    <n v="0"/>
    <n v="0"/>
  </r>
  <r>
    <x v="24"/>
    <x v="29"/>
    <x v="35"/>
    <x v="5"/>
    <n v="1"/>
    <n v="950.49"/>
    <n v="813"/>
    <n v="137.49"/>
  </r>
  <r>
    <x v="25"/>
    <x v="29"/>
    <x v="35"/>
    <x v="5"/>
    <n v="0"/>
    <n v="0"/>
    <n v="0"/>
    <n v="0"/>
  </r>
  <r>
    <x v="0"/>
    <x v="0"/>
    <x v="0"/>
    <x v="0"/>
    <n v="1"/>
    <n v="60.28"/>
    <n v="26"/>
    <n v="34.28"/>
  </r>
  <r>
    <x v="1"/>
    <x v="0"/>
    <x v="0"/>
    <x v="0"/>
    <n v="2"/>
    <n v="127.82"/>
    <n v="52"/>
    <n v="75.81999999999999"/>
  </r>
  <r>
    <x v="2"/>
    <x v="0"/>
    <x v="0"/>
    <x v="0"/>
    <n v="3"/>
    <n v="192.07"/>
    <n v="78"/>
    <n v="114.07"/>
  </r>
  <r>
    <x v="3"/>
    <x v="0"/>
    <x v="0"/>
    <x v="0"/>
    <n v="5"/>
    <n v="313.69"/>
    <n v="130"/>
    <n v="183.69"/>
  </r>
  <r>
    <x v="4"/>
    <x v="0"/>
    <x v="0"/>
    <x v="0"/>
    <n v="3"/>
    <n v="181.71"/>
    <n v="78"/>
    <n v="103.71"/>
  </r>
  <r>
    <x v="5"/>
    <x v="0"/>
    <x v="0"/>
    <x v="0"/>
    <n v="2"/>
    <n v="125.34"/>
    <n v="52"/>
    <n v="73.34"/>
  </r>
  <r>
    <x v="6"/>
    <x v="0"/>
    <x v="0"/>
    <x v="0"/>
    <n v="5"/>
    <n v="294.95"/>
    <n v="130"/>
    <n v="164.95"/>
  </r>
  <r>
    <x v="7"/>
    <x v="0"/>
    <x v="0"/>
    <x v="0"/>
    <n v="1"/>
    <n v="62.29"/>
    <n v="26"/>
    <n v="36.29"/>
  </r>
  <r>
    <x v="8"/>
    <x v="0"/>
    <x v="0"/>
    <x v="0"/>
    <n v="3"/>
    <n v="186.76"/>
    <n v="78"/>
    <n v="108.76"/>
  </r>
  <r>
    <x v="9"/>
    <x v="0"/>
    <x v="0"/>
    <x v="0"/>
    <n v="4"/>
    <n v="243.71"/>
    <n v="104"/>
    <n v="139.71"/>
  </r>
  <r>
    <x v="10"/>
    <x v="0"/>
    <x v="0"/>
    <x v="0"/>
    <n v="2"/>
    <n v="123.26"/>
    <n v="52"/>
    <n v="71.26000000000001"/>
  </r>
  <r>
    <x v="11"/>
    <x v="0"/>
    <x v="0"/>
    <x v="0"/>
    <n v="3"/>
    <n v="175.39"/>
    <n v="78"/>
    <n v="97.39"/>
  </r>
  <r>
    <x v="12"/>
    <x v="0"/>
    <x v="0"/>
    <x v="0"/>
    <n v="5"/>
    <n v="291.13"/>
    <n v="130"/>
    <n v="161.13"/>
  </r>
  <r>
    <x v="13"/>
    <x v="0"/>
    <x v="0"/>
    <x v="0"/>
    <n v="2"/>
    <n v="118.45"/>
    <n v="52"/>
    <n v="66.45"/>
  </r>
  <r>
    <x v="14"/>
    <x v="0"/>
    <x v="0"/>
    <x v="0"/>
    <n v="2"/>
    <n v="117.05"/>
    <n v="52"/>
    <n v="65.05"/>
  </r>
  <r>
    <x v="15"/>
    <x v="0"/>
    <x v="0"/>
    <x v="0"/>
    <n v="5"/>
    <n v="288.24"/>
    <n v="130"/>
    <n v="158.24"/>
  </r>
  <r>
    <x v="16"/>
    <x v="0"/>
    <x v="0"/>
    <x v="0"/>
    <n v="2"/>
    <n v="114.95"/>
    <n v="52"/>
    <n v="62.95"/>
  </r>
  <r>
    <x v="17"/>
    <x v="0"/>
    <x v="0"/>
    <x v="0"/>
    <n v="9"/>
    <n v="532.96"/>
    <n v="234"/>
    <n v="298.96"/>
  </r>
  <r>
    <x v="18"/>
    <x v="0"/>
    <x v="0"/>
    <x v="0"/>
    <n v="3"/>
    <n v="178.96"/>
    <n v="78"/>
    <n v="100.96"/>
  </r>
  <r>
    <x v="19"/>
    <x v="0"/>
    <x v="0"/>
    <x v="0"/>
    <n v="3"/>
    <n v="178.86"/>
    <n v="78"/>
    <n v="100.86"/>
  </r>
  <r>
    <x v="20"/>
    <x v="0"/>
    <x v="0"/>
    <x v="0"/>
    <n v="7"/>
    <n v="401.89"/>
    <n v="182"/>
    <n v="219.89"/>
  </r>
  <r>
    <x v="21"/>
    <x v="0"/>
    <x v="0"/>
    <x v="0"/>
    <n v="5"/>
    <n v="275.34"/>
    <n v="130"/>
    <n v="145.34"/>
  </r>
  <r>
    <x v="22"/>
    <x v="0"/>
    <x v="0"/>
    <x v="0"/>
    <n v="1"/>
    <n v="56.34"/>
    <n v="26"/>
    <n v="30.34"/>
  </r>
  <r>
    <x v="23"/>
    <x v="0"/>
    <x v="0"/>
    <x v="0"/>
    <n v="4"/>
    <n v="232.15"/>
    <n v="104"/>
    <n v="128.15"/>
  </r>
  <r>
    <x v="24"/>
    <x v="0"/>
    <x v="0"/>
    <x v="0"/>
    <n v="2"/>
    <n v="112.51"/>
    <n v="52"/>
    <n v="60.51"/>
  </r>
  <r>
    <x v="25"/>
    <x v="0"/>
    <x v="0"/>
    <x v="0"/>
    <n v="1"/>
    <n v="55.32"/>
    <n v="26"/>
    <n v="29.32"/>
  </r>
  <r>
    <x v="0"/>
    <x v="1"/>
    <x v="1"/>
    <x v="0"/>
    <n v="6"/>
    <n v="318.98"/>
    <n v="132"/>
    <n v="186.98"/>
  </r>
  <r>
    <x v="1"/>
    <x v="1"/>
    <x v="1"/>
    <x v="0"/>
    <n v="3"/>
    <n v="162.47"/>
    <n v="66"/>
    <n v="96.47"/>
  </r>
  <r>
    <x v="2"/>
    <x v="1"/>
    <x v="1"/>
    <x v="0"/>
    <n v="1"/>
    <n v="52.9"/>
    <n v="22"/>
    <n v="30.9"/>
  </r>
  <r>
    <x v="3"/>
    <x v="1"/>
    <x v="1"/>
    <x v="0"/>
    <n v="2"/>
    <n v="107.71"/>
    <n v="44"/>
    <n v="63.71"/>
  </r>
  <r>
    <x v="4"/>
    <x v="1"/>
    <x v="1"/>
    <x v="0"/>
    <n v="2"/>
    <n v="104.46"/>
    <n v="44"/>
    <n v="60.46"/>
  </r>
  <r>
    <x v="5"/>
    <x v="1"/>
    <x v="1"/>
    <x v="0"/>
    <n v="3"/>
    <n v="155.19"/>
    <n v="66"/>
    <n v="89.19"/>
  </r>
  <r>
    <x v="6"/>
    <x v="1"/>
    <x v="1"/>
    <x v="0"/>
    <n v="1"/>
    <n v="53.01"/>
    <n v="22"/>
    <n v="31.01"/>
  </r>
  <r>
    <x v="7"/>
    <x v="1"/>
    <x v="1"/>
    <x v="0"/>
    <n v="3"/>
    <n v="157.28"/>
    <n v="66"/>
    <n v="91.28"/>
  </r>
  <r>
    <x v="8"/>
    <x v="1"/>
    <x v="1"/>
    <x v="0"/>
    <n v="2"/>
    <n v="102.16"/>
    <n v="44"/>
    <n v="58.16"/>
  </r>
  <r>
    <x v="9"/>
    <x v="1"/>
    <x v="1"/>
    <x v="0"/>
    <n v="4"/>
    <n v="206.57"/>
    <n v="88"/>
    <n v="118.57"/>
  </r>
  <r>
    <x v="10"/>
    <x v="1"/>
    <x v="1"/>
    <x v="0"/>
    <n v="6"/>
    <n v="305.57"/>
    <n v="132"/>
    <n v="173.57"/>
  </r>
  <r>
    <x v="11"/>
    <x v="1"/>
    <x v="1"/>
    <x v="0"/>
    <n v="2"/>
    <n v="106.67"/>
    <n v="44"/>
    <n v="62.67"/>
  </r>
  <r>
    <x v="12"/>
    <x v="1"/>
    <x v="1"/>
    <x v="0"/>
    <n v="4"/>
    <n v="201.22"/>
    <n v="88"/>
    <n v="113.22"/>
  </r>
  <r>
    <x v="13"/>
    <x v="1"/>
    <x v="1"/>
    <x v="0"/>
    <n v="1"/>
    <n v="52.35"/>
    <n v="22"/>
    <n v="30.35"/>
  </r>
  <r>
    <x v="14"/>
    <x v="1"/>
    <x v="1"/>
    <x v="0"/>
    <n v="2"/>
    <n v="103.66"/>
    <n v="44"/>
    <n v="59.66"/>
  </r>
  <r>
    <x v="15"/>
    <x v="1"/>
    <x v="1"/>
    <x v="0"/>
    <n v="2"/>
    <n v="99.62"/>
    <n v="44"/>
    <n v="55.62"/>
  </r>
  <r>
    <x v="16"/>
    <x v="1"/>
    <x v="1"/>
    <x v="0"/>
    <n v="4"/>
    <n v="201.72"/>
    <n v="88"/>
    <n v="113.72"/>
  </r>
  <r>
    <x v="17"/>
    <x v="1"/>
    <x v="1"/>
    <x v="0"/>
    <n v="5"/>
    <n v="261.46"/>
    <n v="110"/>
    <n v="151.46"/>
  </r>
  <r>
    <x v="18"/>
    <x v="1"/>
    <x v="1"/>
    <x v="0"/>
    <n v="0"/>
    <n v="0"/>
    <n v="0"/>
    <n v="0"/>
  </r>
  <r>
    <x v="19"/>
    <x v="1"/>
    <x v="1"/>
    <x v="0"/>
    <n v="4"/>
    <n v="202.51"/>
    <n v="88"/>
    <n v="114.51"/>
  </r>
  <r>
    <x v="20"/>
    <x v="1"/>
    <x v="1"/>
    <x v="0"/>
    <n v="0"/>
    <n v="0"/>
    <n v="0"/>
    <n v="0"/>
  </r>
  <r>
    <x v="21"/>
    <x v="1"/>
    <x v="1"/>
    <x v="0"/>
    <n v="0"/>
    <n v="0"/>
    <n v="0"/>
    <n v="0"/>
  </r>
  <r>
    <x v="22"/>
    <x v="1"/>
    <x v="1"/>
    <x v="0"/>
    <n v="0"/>
    <n v="0"/>
    <n v="0"/>
    <n v="0"/>
  </r>
  <r>
    <x v="23"/>
    <x v="1"/>
    <x v="1"/>
    <x v="0"/>
    <n v="4"/>
    <n v="203.1"/>
    <n v="88"/>
    <n v="115.1"/>
  </r>
  <r>
    <x v="24"/>
    <x v="1"/>
    <x v="1"/>
    <x v="0"/>
    <n v="2"/>
    <n v="101.14"/>
    <n v="44"/>
    <n v="57.14"/>
  </r>
  <r>
    <x v="25"/>
    <x v="1"/>
    <x v="1"/>
    <x v="0"/>
    <n v="2"/>
    <n v="96.09999999999999"/>
    <n v="44"/>
    <n v="52.1"/>
  </r>
  <r>
    <x v="0"/>
    <x v="2"/>
    <x v="2"/>
    <x v="0"/>
    <n v="1"/>
    <n v="44.96"/>
    <n v="19"/>
    <n v="25.96"/>
  </r>
  <r>
    <x v="1"/>
    <x v="2"/>
    <x v="2"/>
    <x v="0"/>
    <n v="4"/>
    <n v="189.44"/>
    <n v="76"/>
    <n v="113.44"/>
  </r>
  <r>
    <x v="2"/>
    <x v="2"/>
    <x v="2"/>
    <x v="0"/>
    <n v="7"/>
    <n v="313.78"/>
    <n v="133"/>
    <n v="180.78"/>
  </r>
  <r>
    <x v="3"/>
    <x v="2"/>
    <x v="2"/>
    <x v="0"/>
    <n v="3"/>
    <n v="134.43"/>
    <n v="57"/>
    <n v="77.43000000000001"/>
  </r>
  <r>
    <x v="4"/>
    <x v="2"/>
    <x v="2"/>
    <x v="0"/>
    <n v="2"/>
    <n v="88.61"/>
    <n v="38"/>
    <n v="50.61"/>
  </r>
  <r>
    <x v="5"/>
    <x v="2"/>
    <x v="2"/>
    <x v="0"/>
    <n v="2"/>
    <n v="88.69"/>
    <n v="38"/>
    <n v="50.69"/>
  </r>
  <r>
    <x v="6"/>
    <x v="2"/>
    <x v="2"/>
    <x v="0"/>
    <n v="1"/>
    <n v="44.33"/>
    <n v="19"/>
    <n v="25.33"/>
  </r>
  <r>
    <x v="7"/>
    <x v="2"/>
    <x v="2"/>
    <x v="0"/>
    <n v="0"/>
    <n v="0"/>
    <n v="0"/>
    <n v="0"/>
  </r>
  <r>
    <x v="8"/>
    <x v="2"/>
    <x v="2"/>
    <x v="0"/>
    <n v="4"/>
    <n v="174.56"/>
    <n v="76"/>
    <n v="98.56"/>
  </r>
  <r>
    <x v="9"/>
    <x v="2"/>
    <x v="2"/>
    <x v="0"/>
    <n v="4"/>
    <n v="182.93"/>
    <n v="76"/>
    <n v="106.93"/>
  </r>
  <r>
    <x v="10"/>
    <x v="2"/>
    <x v="2"/>
    <x v="0"/>
    <n v="4"/>
    <n v="176.23"/>
    <n v="76"/>
    <n v="100.23"/>
  </r>
  <r>
    <x v="11"/>
    <x v="2"/>
    <x v="2"/>
    <x v="0"/>
    <n v="4"/>
    <n v="173.33"/>
    <n v="76"/>
    <n v="97.33"/>
  </r>
  <r>
    <x v="12"/>
    <x v="2"/>
    <x v="2"/>
    <x v="0"/>
    <n v="1"/>
    <n v="43.22"/>
    <n v="19"/>
    <n v="24.22"/>
  </r>
  <r>
    <x v="13"/>
    <x v="2"/>
    <x v="2"/>
    <x v="0"/>
    <n v="3"/>
    <n v="137.22"/>
    <n v="57"/>
    <n v="80.22"/>
  </r>
  <r>
    <x v="14"/>
    <x v="2"/>
    <x v="2"/>
    <x v="0"/>
    <n v="3"/>
    <n v="131.57"/>
    <n v="57"/>
    <n v="74.56999999999999"/>
  </r>
  <r>
    <x v="15"/>
    <x v="2"/>
    <x v="2"/>
    <x v="0"/>
    <n v="2"/>
    <n v="86.48999999999999"/>
    <n v="38"/>
    <n v="48.49"/>
  </r>
  <r>
    <x v="16"/>
    <x v="2"/>
    <x v="2"/>
    <x v="0"/>
    <n v="2"/>
    <n v="85.88"/>
    <n v="38"/>
    <n v="47.88"/>
  </r>
  <r>
    <x v="17"/>
    <x v="2"/>
    <x v="2"/>
    <x v="0"/>
    <n v="1"/>
    <n v="42.59"/>
    <n v="19"/>
    <n v="23.59"/>
  </r>
  <r>
    <x v="18"/>
    <x v="2"/>
    <x v="2"/>
    <x v="0"/>
    <n v="3"/>
    <n v="131.43"/>
    <n v="57"/>
    <n v="74.43000000000001"/>
  </r>
  <r>
    <x v="19"/>
    <x v="2"/>
    <x v="2"/>
    <x v="0"/>
    <n v="2"/>
    <n v="86.92"/>
    <n v="38"/>
    <n v="48.92"/>
  </r>
  <r>
    <x v="20"/>
    <x v="2"/>
    <x v="2"/>
    <x v="0"/>
    <n v="2"/>
    <n v="86.02"/>
    <n v="38"/>
    <n v="48.02"/>
  </r>
  <r>
    <x v="21"/>
    <x v="2"/>
    <x v="2"/>
    <x v="0"/>
    <n v="1"/>
    <n v="43.84"/>
    <n v="19"/>
    <n v="24.84"/>
  </r>
  <r>
    <x v="22"/>
    <x v="2"/>
    <x v="2"/>
    <x v="0"/>
    <n v="4"/>
    <n v="165.8"/>
    <n v="76"/>
    <n v="89.8"/>
  </r>
  <r>
    <x v="23"/>
    <x v="2"/>
    <x v="2"/>
    <x v="0"/>
    <n v="0"/>
    <n v="0"/>
    <n v="0"/>
    <n v="0"/>
  </r>
  <r>
    <x v="24"/>
    <x v="2"/>
    <x v="2"/>
    <x v="0"/>
    <n v="3"/>
    <n v="128.7"/>
    <n v="57"/>
    <n v="71.7"/>
  </r>
  <r>
    <x v="25"/>
    <x v="2"/>
    <x v="2"/>
    <x v="0"/>
    <n v="1"/>
    <n v="42.22"/>
    <n v="19"/>
    <n v="23.22"/>
  </r>
  <r>
    <x v="0"/>
    <x v="3"/>
    <x v="3"/>
    <x v="0"/>
    <n v="4"/>
    <n v="184.32"/>
    <n v="76"/>
    <n v="108.32"/>
  </r>
  <r>
    <x v="1"/>
    <x v="3"/>
    <x v="3"/>
    <x v="0"/>
    <n v="4"/>
    <n v="179.12"/>
    <n v="76"/>
    <n v="103.12"/>
  </r>
  <r>
    <x v="2"/>
    <x v="3"/>
    <x v="3"/>
    <x v="0"/>
    <n v="4"/>
    <n v="178.99"/>
    <n v="76"/>
    <n v="102.99"/>
  </r>
  <r>
    <x v="3"/>
    <x v="3"/>
    <x v="3"/>
    <x v="0"/>
    <n v="0"/>
    <n v="0"/>
    <n v="0"/>
    <n v="0"/>
  </r>
  <r>
    <x v="4"/>
    <x v="3"/>
    <x v="3"/>
    <x v="0"/>
    <n v="2"/>
    <n v="88.14"/>
    <n v="38"/>
    <n v="50.14"/>
  </r>
  <r>
    <x v="5"/>
    <x v="3"/>
    <x v="3"/>
    <x v="0"/>
    <n v="4"/>
    <n v="173.7"/>
    <n v="76"/>
    <n v="97.7"/>
  </r>
  <r>
    <x v="6"/>
    <x v="3"/>
    <x v="3"/>
    <x v="0"/>
    <n v="5"/>
    <n v="226.03"/>
    <n v="95"/>
    <n v="131.03"/>
  </r>
  <r>
    <x v="7"/>
    <x v="3"/>
    <x v="3"/>
    <x v="0"/>
    <n v="0"/>
    <n v="0"/>
    <n v="0"/>
    <n v="0"/>
  </r>
  <r>
    <x v="8"/>
    <x v="3"/>
    <x v="3"/>
    <x v="0"/>
    <n v="4"/>
    <n v="171.55"/>
    <n v="76"/>
    <n v="95.55"/>
  </r>
  <r>
    <x v="9"/>
    <x v="3"/>
    <x v="3"/>
    <x v="0"/>
    <n v="2"/>
    <n v="85.95999999999999"/>
    <n v="38"/>
    <n v="47.96"/>
  </r>
  <r>
    <x v="10"/>
    <x v="3"/>
    <x v="3"/>
    <x v="0"/>
    <n v="4"/>
    <n v="175.75"/>
    <n v="76"/>
    <n v="99.75"/>
  </r>
  <r>
    <x v="11"/>
    <x v="3"/>
    <x v="3"/>
    <x v="0"/>
    <n v="9"/>
    <n v="389.53"/>
    <n v="171"/>
    <n v="218.53"/>
  </r>
  <r>
    <x v="12"/>
    <x v="3"/>
    <x v="3"/>
    <x v="0"/>
    <n v="0"/>
    <n v="0"/>
    <n v="0"/>
    <n v="0"/>
  </r>
  <r>
    <x v="13"/>
    <x v="3"/>
    <x v="3"/>
    <x v="0"/>
    <n v="7"/>
    <n v="302.34"/>
    <n v="133"/>
    <n v="169.34"/>
  </r>
  <r>
    <x v="14"/>
    <x v="3"/>
    <x v="3"/>
    <x v="0"/>
    <n v="2"/>
    <n v="89.06"/>
    <n v="38"/>
    <n v="51.06"/>
  </r>
  <r>
    <x v="15"/>
    <x v="3"/>
    <x v="3"/>
    <x v="0"/>
    <n v="5"/>
    <n v="209.97"/>
    <n v="95"/>
    <n v="114.97"/>
  </r>
  <r>
    <x v="16"/>
    <x v="3"/>
    <x v="3"/>
    <x v="0"/>
    <n v="9"/>
    <n v="389.48"/>
    <n v="171"/>
    <n v="218.48"/>
  </r>
  <r>
    <x v="17"/>
    <x v="3"/>
    <x v="3"/>
    <x v="0"/>
    <n v="1"/>
    <n v="41.34"/>
    <n v="19"/>
    <n v="22.34"/>
  </r>
  <r>
    <x v="18"/>
    <x v="3"/>
    <x v="3"/>
    <x v="0"/>
    <n v="3"/>
    <n v="129.29"/>
    <n v="57"/>
    <n v="72.29000000000001"/>
  </r>
  <r>
    <x v="19"/>
    <x v="3"/>
    <x v="3"/>
    <x v="0"/>
    <n v="2"/>
    <n v="85.70999999999999"/>
    <n v="38"/>
    <n v="47.71"/>
  </r>
  <r>
    <x v="20"/>
    <x v="3"/>
    <x v="3"/>
    <x v="0"/>
    <n v="3"/>
    <n v="129.67"/>
    <n v="57"/>
    <n v="72.67"/>
  </r>
  <r>
    <x v="21"/>
    <x v="3"/>
    <x v="3"/>
    <x v="0"/>
    <n v="6"/>
    <n v="244.31"/>
    <n v="114"/>
    <n v="130.31"/>
  </r>
  <r>
    <x v="22"/>
    <x v="3"/>
    <x v="3"/>
    <x v="0"/>
    <n v="0"/>
    <n v="0"/>
    <n v="0"/>
    <n v="0"/>
  </r>
  <r>
    <x v="23"/>
    <x v="3"/>
    <x v="3"/>
    <x v="0"/>
    <n v="0"/>
    <n v="0"/>
    <n v="0"/>
    <n v="0"/>
  </r>
  <r>
    <x v="24"/>
    <x v="3"/>
    <x v="3"/>
    <x v="0"/>
    <n v="3"/>
    <n v="127.32"/>
    <n v="57"/>
    <n v="70.31999999999999"/>
  </r>
  <r>
    <x v="25"/>
    <x v="3"/>
    <x v="3"/>
    <x v="0"/>
    <n v="2"/>
    <n v="82.61"/>
    <n v="38"/>
    <n v="44.61"/>
  </r>
  <r>
    <x v="0"/>
    <x v="4"/>
    <x v="4"/>
    <x v="0"/>
    <n v="2"/>
    <n v="110.43"/>
    <n v="46"/>
    <n v="64.43000000000001"/>
  </r>
  <r>
    <x v="1"/>
    <x v="4"/>
    <x v="4"/>
    <x v="0"/>
    <n v="3"/>
    <n v="166.02"/>
    <n v="69"/>
    <n v="97.02"/>
  </r>
  <r>
    <x v="2"/>
    <x v="4"/>
    <x v="4"/>
    <x v="0"/>
    <n v="1"/>
    <n v="56.93"/>
    <n v="23"/>
    <n v="33.93"/>
  </r>
  <r>
    <x v="3"/>
    <x v="4"/>
    <x v="4"/>
    <x v="0"/>
    <n v="4"/>
    <n v="221.07"/>
    <n v="92"/>
    <n v="129.07"/>
  </r>
  <r>
    <x v="4"/>
    <x v="4"/>
    <x v="4"/>
    <x v="0"/>
    <n v="2"/>
    <n v="111.65"/>
    <n v="46"/>
    <n v="65.65000000000001"/>
  </r>
  <r>
    <x v="5"/>
    <x v="4"/>
    <x v="4"/>
    <x v="0"/>
    <n v="0"/>
    <n v="0"/>
    <n v="0"/>
    <n v="0"/>
  </r>
  <r>
    <x v="6"/>
    <x v="4"/>
    <x v="4"/>
    <x v="0"/>
    <n v="4"/>
    <n v="214.96"/>
    <n v="92"/>
    <n v="122.96"/>
  </r>
  <r>
    <x v="7"/>
    <x v="4"/>
    <x v="4"/>
    <x v="0"/>
    <n v="4"/>
    <n v="223.61"/>
    <n v="92"/>
    <n v="131.61"/>
  </r>
  <r>
    <x v="8"/>
    <x v="4"/>
    <x v="4"/>
    <x v="0"/>
    <n v="1"/>
    <n v="54.63"/>
    <n v="23"/>
    <n v="31.63"/>
  </r>
  <r>
    <x v="9"/>
    <x v="4"/>
    <x v="4"/>
    <x v="0"/>
    <n v="2"/>
    <n v="106.74"/>
    <n v="46"/>
    <n v="60.74"/>
  </r>
  <r>
    <x v="10"/>
    <x v="4"/>
    <x v="4"/>
    <x v="0"/>
    <n v="2"/>
    <n v="103.94"/>
    <n v="46"/>
    <n v="57.94"/>
  </r>
  <r>
    <x v="11"/>
    <x v="4"/>
    <x v="4"/>
    <x v="0"/>
    <n v="1"/>
    <n v="52.16"/>
    <n v="23"/>
    <n v="29.16"/>
  </r>
  <r>
    <x v="12"/>
    <x v="4"/>
    <x v="4"/>
    <x v="0"/>
    <n v="3"/>
    <n v="162.47"/>
    <n v="69"/>
    <n v="93.47"/>
  </r>
  <r>
    <x v="13"/>
    <x v="4"/>
    <x v="4"/>
    <x v="0"/>
    <n v="5"/>
    <n v="258.47"/>
    <n v="115"/>
    <n v="143.47"/>
  </r>
  <r>
    <x v="14"/>
    <x v="4"/>
    <x v="4"/>
    <x v="0"/>
    <n v="6"/>
    <n v="306.33"/>
    <n v="138"/>
    <n v="168.33"/>
  </r>
  <r>
    <x v="15"/>
    <x v="4"/>
    <x v="4"/>
    <x v="0"/>
    <n v="3"/>
    <n v="153.25"/>
    <n v="69"/>
    <n v="84.25"/>
  </r>
  <r>
    <x v="16"/>
    <x v="4"/>
    <x v="4"/>
    <x v="0"/>
    <n v="5"/>
    <n v="254.86"/>
    <n v="115"/>
    <n v="139.86"/>
  </r>
  <r>
    <x v="17"/>
    <x v="4"/>
    <x v="4"/>
    <x v="0"/>
    <n v="4"/>
    <n v="211.68"/>
    <n v="92"/>
    <n v="119.68"/>
  </r>
  <r>
    <x v="18"/>
    <x v="4"/>
    <x v="4"/>
    <x v="0"/>
    <n v="0"/>
    <n v="0"/>
    <n v="0"/>
    <n v="0"/>
  </r>
  <r>
    <x v="19"/>
    <x v="4"/>
    <x v="4"/>
    <x v="0"/>
    <n v="1"/>
    <n v="50.29"/>
    <n v="23"/>
    <n v="27.29"/>
  </r>
  <r>
    <x v="20"/>
    <x v="4"/>
    <x v="4"/>
    <x v="0"/>
    <n v="2"/>
    <n v="99.89"/>
    <n v="46"/>
    <n v="53.89"/>
  </r>
  <r>
    <x v="21"/>
    <x v="4"/>
    <x v="4"/>
    <x v="0"/>
    <n v="4"/>
    <n v="211.92"/>
    <n v="92"/>
    <n v="119.92"/>
  </r>
  <r>
    <x v="22"/>
    <x v="4"/>
    <x v="4"/>
    <x v="0"/>
    <n v="1"/>
    <n v="50.78"/>
    <n v="23"/>
    <n v="27.78"/>
  </r>
  <r>
    <x v="23"/>
    <x v="4"/>
    <x v="4"/>
    <x v="0"/>
    <n v="2"/>
    <n v="98.64"/>
    <n v="46"/>
    <n v="52.64"/>
  </r>
  <r>
    <x v="24"/>
    <x v="4"/>
    <x v="4"/>
    <x v="0"/>
    <n v="1"/>
    <n v="51.24"/>
    <n v="23"/>
    <n v="28.24"/>
  </r>
  <r>
    <x v="25"/>
    <x v="4"/>
    <x v="4"/>
    <x v="0"/>
    <n v="1"/>
    <n v="51.25"/>
    <n v="23"/>
    <n v="28.25"/>
  </r>
  <r>
    <x v="0"/>
    <x v="5"/>
    <x v="5"/>
    <x v="0"/>
    <n v="1"/>
    <n v="48.32"/>
    <n v="20"/>
    <n v="28.32"/>
  </r>
  <r>
    <x v="1"/>
    <x v="5"/>
    <x v="5"/>
    <x v="0"/>
    <n v="0"/>
    <n v="0"/>
    <n v="0"/>
    <n v="0"/>
  </r>
  <r>
    <x v="2"/>
    <x v="5"/>
    <x v="5"/>
    <x v="0"/>
    <n v="3"/>
    <n v="142.39"/>
    <n v="60"/>
    <n v="82.39"/>
  </r>
  <r>
    <x v="3"/>
    <x v="5"/>
    <x v="5"/>
    <x v="0"/>
    <n v="0"/>
    <n v="0"/>
    <n v="0"/>
    <n v="0"/>
  </r>
  <r>
    <x v="4"/>
    <x v="5"/>
    <x v="5"/>
    <x v="0"/>
    <n v="0"/>
    <n v="0"/>
    <n v="0"/>
    <n v="0"/>
  </r>
  <r>
    <x v="5"/>
    <x v="5"/>
    <x v="5"/>
    <x v="0"/>
    <n v="0"/>
    <n v="0"/>
    <n v="0"/>
    <n v="0"/>
  </r>
  <r>
    <x v="6"/>
    <x v="5"/>
    <x v="5"/>
    <x v="0"/>
    <n v="1"/>
    <n v="47.73"/>
    <n v="20"/>
    <n v="27.73"/>
  </r>
  <r>
    <x v="7"/>
    <x v="5"/>
    <x v="5"/>
    <x v="0"/>
    <n v="2"/>
    <n v="91.90000000000001"/>
    <n v="40"/>
    <n v="51.9"/>
  </r>
  <r>
    <x v="8"/>
    <x v="5"/>
    <x v="5"/>
    <x v="0"/>
    <n v="1"/>
    <n v="47.93"/>
    <n v="20"/>
    <n v="27.93"/>
  </r>
  <r>
    <x v="9"/>
    <x v="5"/>
    <x v="5"/>
    <x v="0"/>
    <n v="1"/>
    <n v="46.68"/>
    <n v="20"/>
    <n v="26.68"/>
  </r>
  <r>
    <x v="10"/>
    <x v="5"/>
    <x v="5"/>
    <x v="0"/>
    <n v="0"/>
    <n v="0"/>
    <n v="0"/>
    <n v="0"/>
  </r>
  <r>
    <x v="11"/>
    <x v="5"/>
    <x v="5"/>
    <x v="0"/>
    <n v="2"/>
    <n v="91.14"/>
    <n v="40"/>
    <n v="51.14"/>
  </r>
  <r>
    <x v="12"/>
    <x v="5"/>
    <x v="5"/>
    <x v="0"/>
    <n v="0"/>
    <n v="0"/>
    <n v="0"/>
    <n v="0"/>
  </r>
  <r>
    <x v="13"/>
    <x v="5"/>
    <x v="5"/>
    <x v="0"/>
    <n v="2"/>
    <n v="91.53"/>
    <n v="40"/>
    <n v="51.53"/>
  </r>
  <r>
    <x v="14"/>
    <x v="5"/>
    <x v="5"/>
    <x v="0"/>
    <n v="0"/>
    <n v="0"/>
    <n v="0"/>
    <n v="0"/>
  </r>
  <r>
    <x v="15"/>
    <x v="5"/>
    <x v="5"/>
    <x v="0"/>
    <n v="1"/>
    <n v="45.27"/>
    <n v="20"/>
    <n v="25.27"/>
  </r>
  <r>
    <x v="16"/>
    <x v="5"/>
    <x v="5"/>
    <x v="0"/>
    <n v="1"/>
    <n v="43.35"/>
    <n v="20"/>
    <n v="23.35"/>
  </r>
  <r>
    <x v="17"/>
    <x v="5"/>
    <x v="5"/>
    <x v="0"/>
    <n v="0"/>
    <n v="0"/>
    <n v="0"/>
    <n v="0"/>
  </r>
  <r>
    <x v="18"/>
    <x v="5"/>
    <x v="5"/>
    <x v="0"/>
    <n v="0"/>
    <n v="0"/>
    <n v="0"/>
    <n v="0"/>
  </r>
  <r>
    <x v="19"/>
    <x v="5"/>
    <x v="5"/>
    <x v="0"/>
    <n v="1"/>
    <n v="44.95"/>
    <n v="20"/>
    <n v="24.95"/>
  </r>
  <r>
    <x v="20"/>
    <x v="5"/>
    <x v="5"/>
    <x v="0"/>
    <n v="1"/>
    <n v="44.05"/>
    <n v="20"/>
    <n v="24.05"/>
  </r>
  <r>
    <x v="21"/>
    <x v="5"/>
    <x v="5"/>
    <x v="0"/>
    <n v="0"/>
    <n v="0"/>
    <n v="0"/>
    <n v="0"/>
  </r>
  <r>
    <x v="22"/>
    <x v="5"/>
    <x v="5"/>
    <x v="0"/>
    <n v="1"/>
    <n v="42.51"/>
    <n v="20"/>
    <n v="22.51"/>
  </r>
  <r>
    <x v="23"/>
    <x v="5"/>
    <x v="5"/>
    <x v="0"/>
    <n v="3"/>
    <n v="129.21"/>
    <n v="60"/>
    <n v="69.20999999999999"/>
  </r>
  <r>
    <x v="24"/>
    <x v="5"/>
    <x v="5"/>
    <x v="0"/>
    <n v="1"/>
    <n v="42.11"/>
    <n v="20"/>
    <n v="22.11"/>
  </r>
  <r>
    <x v="25"/>
    <x v="5"/>
    <x v="5"/>
    <x v="0"/>
    <n v="0"/>
    <n v="0"/>
    <n v="0"/>
    <n v="0"/>
  </r>
</pivotCacheRecords>
</file>

<file path=xl/pivotTables/_rels/pivotTable1.xml.rels><Relationships xmlns="http://schemas.openxmlformats.org/package/2006/relationships"><Relationship Type="http://schemas.openxmlformats.org/officeDocument/2006/relationships/pivotCacheDefinition" Target="/xl/pivotCache/pivotCacheDefinition1.xml" Id="rId1" /></Relationships>
</file>

<file path=xl/pivotTables/_rels/pivotTable2.xml.rels><Relationships xmlns="http://schemas.openxmlformats.org/package/2006/relationships"><Relationship Type="http://schemas.openxmlformats.org/officeDocument/2006/relationships/pivotCacheDefinition" Target="/xl/pivotCache/pivotCacheDefinition2.xml" Id="rId1" /></Relationships>
</file>

<file path=xl/pivotTables/pivotTable1.xml><?xml version="1.0" encoding="utf-8"?>
<pivotTableDefinition xmlns:r="http://schemas.openxmlformats.org/officeDocument/2006/relationships" xmlns="http://schemas.openxmlformats.org/spreadsheetml/2006/main" name="Pivot1" cacheId="1" dataOnRows="0" dataCaption="Values" showError="0" showMissing="1" updatedVersion="6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1" colGrandTotals="1" fieldPrintTitles="0" itemPrintTitles="1" mergeItem="0" showDropZones="1" createdVersion="6" indent="0" showEmptyRow="0" showEmptyCol="0" showHeaders="1" compact="1" outline="1" outlineData="1" compactData="1" published="0" gridDropZones="0" immersive="1" multipleFieldFilters="0" chartFormat="0" fieldListSortAscending="0" mdxSubqueries="0" applyNumberFormats="0" applyBorderFormats="0" applyFontFormats="0" applyPatternFormats="0" applyAlignmentFormats="0" applyWidthHeightFormats="1" r:id="rId1">
  <location ref="A6:B13" firstHeaderRow="1" firstDataRow="1" firstDataCol="1"/>
  <pivotFields count="8"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axis="axisRow" showDropDowns="1" compact="1" outline="1" subtotalTop="1" dragToRow="1" dragToCol="1" dragToPage="1" dragToData="1" dragOff="1" showAll="0" topAutoShow="1" itemPageCount="10" sortType="manual" defaultSubtotal="1">
      <items count="7">
        <item t="data" sd="1" x="0"/>
        <item t="data" sd="1" x="1"/>
        <item t="data" sd="1" x="2"/>
        <item t="data" sd="1" x="3"/>
        <item t="data" sd="1" x="4"/>
        <item t="data" sd="1" x="5"/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dataField="1" showDropDowns="1" compact="1" outline="1" subtotalTop="1" dragToRow="1" dragToCol="1" dragToPage="1" dragToData="1" dragOff="1" showAll="0" topAutoShow="1" itemPageCount="10" sortType="manual" defaultSubtotal="1"/>
  </pivotFields>
  <rowFields count="1">
    <field x="3"/>
  </rowFields>
  <rowItems count="7">
    <i t="data" r="0" i="0">
      <x v="0"/>
    </i>
    <i t="data" r="0" i="0">
      <x v="1"/>
    </i>
    <i t="data" r="0" i="0">
      <x v="2"/>
    </i>
    <i t="data" r="0" i="0">
      <x v="3"/>
    </i>
    <i t="data" r="0" i="0">
      <x v="4"/>
    </i>
    <i t="data" r="0" i="0">
      <x v="5"/>
    </i>
    <i t="grand" r="0" i="0">
      <x v="0"/>
    </i>
  </rowItems>
  <colItems count="1">
    <i t="data" r="0" i="0"/>
  </colItems>
  <dataFields count="1">
    <dataField name="Gross margin" fld="7" subtotal="sum" showDataAs="normal" baseField="0" baseItem="0" numFmtId="3"/>
  </dataFields>
  <pivotTableStyleInfo name="PivotStyleMedium2" showRowHeaders="1" showColHeaders="1" showRowStripes="0" showColStripes="0" showLastColumn="1"/>
</pivotTableDefinition>
</file>

<file path=xl/pivotTables/pivotTable2.xml><?xml version="1.0" encoding="utf-8"?>
<pivotTableDefinition xmlns:r="http://schemas.openxmlformats.org/officeDocument/2006/relationships" xmlns="http://schemas.openxmlformats.org/spreadsheetml/2006/main" name="Pivot2" cacheId="1" dataOnRows="0" dataCaption="Values" showError="0" showMissing="1" updatedVersion="6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1" colGrandTotals="1" fieldPrintTitles="0" itemPrintTitles="1" mergeItem="0" showDropZones="1" createdVersion="6" indent="0" showEmptyRow="0" showEmptyCol="0" showHeaders="1" compact="1" outline="1" outlineData="1" compactData="1" published="0" gridDropZones="0" immersive="1" multipleFieldFilters="0" chartFormat="0" fieldListSortAscending="0" mdxSubqueries="0" applyNumberFormats="0" applyBorderFormats="0" applyFontFormats="0" applyPatternFormats="0" applyAlignmentFormats="0" applyWidthHeightFormats="1" r:id="rId1">
  <location ref="A18:B45" firstHeaderRow="1" firstDataRow="1" firstDataCol="1"/>
  <pivotFields count="8">
    <pivotField axis="axisRow" showDropDowns="1" compact="1" outline="1" subtotalTop="1" dragToRow="1" dragToCol="1" dragToPage="1" dragToData="1" dragOff="1" showAll="0" topAutoShow="1" itemPageCount="10" sortType="manual" defaultSubtotal="1">
      <items count="27">
        <item t="data" sd="1" x="0"/>
        <item t="data" sd="1" x="1"/>
        <item t="data" sd="1" x="2"/>
        <item t="data" sd="1" x="3"/>
        <item t="data" sd="1" x="4"/>
        <item t="data" sd="1" x="5"/>
        <item t="data" sd="1" x="6"/>
        <item t="data" sd="1" x="7"/>
        <item t="data" sd="1" x="8"/>
        <item t="data" sd="1" x="9"/>
        <item t="data" sd="1" x="10"/>
        <item t="data" sd="1" x="11"/>
        <item t="data" sd="1" x="12"/>
        <item t="data" sd="1" x="13"/>
        <item t="data" sd="1" x="14"/>
        <item t="data" sd="1" x="15"/>
        <item t="data" sd="1" x="16"/>
        <item t="data" sd="1" x="17"/>
        <item t="data" sd="1" x="18"/>
        <item t="data" sd="1" x="19"/>
        <item t="data" sd="1" x="20"/>
        <item t="data" sd="1" x="21"/>
        <item t="data" sd="1" x="22"/>
        <item t="data" sd="1" x="23"/>
        <item t="data" sd="1" x="24"/>
        <item t="data" sd="1" x="25"/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dataField="1"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</pivotFields>
  <rowFields count="1">
    <field x="0"/>
  </rowFields>
  <rowItems count="27">
    <i t="data" r="0" i="0">
      <x v="0"/>
    </i>
    <i t="data" r="0" i="0">
      <x v="1"/>
    </i>
    <i t="data" r="0" i="0">
      <x v="2"/>
    </i>
    <i t="data" r="0" i="0">
      <x v="3"/>
    </i>
    <i t="data" r="0" i="0">
      <x v="4"/>
    </i>
    <i t="data" r="0" i="0">
      <x v="5"/>
    </i>
    <i t="data" r="0" i="0">
      <x v="6"/>
    </i>
    <i t="data" r="0" i="0">
      <x v="7"/>
    </i>
    <i t="data" r="0" i="0">
      <x v="8"/>
    </i>
    <i t="data" r="0" i="0">
      <x v="9"/>
    </i>
    <i t="data" r="0" i="0">
      <x v="10"/>
    </i>
    <i t="data" r="0" i="0">
      <x v="11"/>
    </i>
    <i t="data" r="0" i="0">
      <x v="12"/>
    </i>
    <i t="data" r="0" i="0">
      <x v="13"/>
    </i>
    <i t="data" r="0" i="0">
      <x v="14"/>
    </i>
    <i t="data" r="0" i="0">
      <x v="15"/>
    </i>
    <i t="data" r="0" i="0">
      <x v="16"/>
    </i>
    <i t="data" r="0" i="0">
      <x v="17"/>
    </i>
    <i t="data" r="0" i="0">
      <x v="18"/>
    </i>
    <i t="data" r="0" i="0">
      <x v="19"/>
    </i>
    <i t="data" r="0" i="0">
      <x v="20"/>
    </i>
    <i t="data" r="0" i="0">
      <x v="21"/>
    </i>
    <i t="data" r="0" i="0">
      <x v="22"/>
    </i>
    <i t="data" r="0" i="0">
      <x v="23"/>
    </i>
    <i t="data" r="0" i="0">
      <x v="24"/>
    </i>
    <i t="data" r="0" i="0">
      <x v="25"/>
    </i>
    <i t="grand" r="0" i="0">
      <x v="0"/>
    </i>
  </rowItems>
  <colItems count="1">
    <i t="data" r="0" i="0"/>
  </colItems>
  <dataFields count="1">
    <dataField name="Units" fld="4" subtotal="sum" showDataAs="normal" baseField="0" baseItem="0" numFmtId="3"/>
  </dataFields>
  <pivotTableStyleInfo name="PivotStyleMedium2" showRowHeaders="1" showColHeaders="1" showRowStripes="0" showColStripes="0" showLastColumn="1"/>
</pivotTableDefinition>
</file>

<file path=xl/tables/table1.xml><?xml version="1.0" encoding="utf-8"?>
<table xmlns="http://schemas.openxmlformats.org/spreadsheetml/2006/main" id="1" name="RawData" displayName="RawData" ref="A1:H937" headerRowCount="1">
  <autoFilter ref="A1:H937"/>
  <tableColumns count="8">
    <tableColumn id="1" name="Week"/>
    <tableColumn id="2" name="SKU"/>
    <tableColumn id="3" name="Product"/>
    <tableColumn id="4" name="Category"/>
    <tableColumn id="5" name="Units"/>
    <tableColumn id="6" name="Revenue"/>
    <tableColumn id="7" name="Cost"/>
    <tableColumn id="8" name="Gross margin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3.xml.rels><Relationships xmlns="http://schemas.openxmlformats.org/package/2006/relationships"><Relationship Type="http://schemas.openxmlformats.org/officeDocument/2006/relationships/pivotTable" Target="/xl/pivotTables/pivotTable1.xml" Id="rId1" /><Relationship Type="http://schemas.openxmlformats.org/officeDocument/2006/relationships/pivotTable" Target="/xl/pivotTables/pivotTable2.xml" Id="rId2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tabColor rgb="002A8FB8"/>
    <outlinePr summaryBelow="1" summaryRight="1"/>
    <pageSetUpPr fitToPage="1"/>
  </sheetPr>
  <dimension ref="A1:N11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1">
      <c r="A1" s="1" t="n"/>
      <c r="B1" s="2" t="inlineStr">
        <is>
          <t>SHELLY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</row>
    <row r="2" ht="26" customHeight="1">
      <c r="A2" s="1" t="n"/>
      <c r="B2" s="3" t="inlineStr">
        <is>
          <t>Consumer electronics report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</row>
    <row r="3">
      <c r="A3" s="1" t="n"/>
      <c r="B3" s="4" t="inlineStr">
        <is>
          <t>Demo data · industry pack</t>
        </is>
      </c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</row>
    <row r="5">
      <c r="B5" s="5" t="inlineStr">
        <is>
          <t>Category</t>
        </is>
      </c>
    </row>
    <row r="6">
      <c r="B6" s="6" t="inlineStr">
        <is>
          <t>All</t>
        </is>
      </c>
    </row>
    <row r="7">
      <c r="B7" s="7" t="inlineStr">
        <is>
          <t>Change the blue cell to filter the whole workbook.</t>
        </is>
      </c>
    </row>
    <row r="9">
      <c r="B9" s="8" t="inlineStr">
        <is>
          <t>UNITS</t>
        </is>
      </c>
      <c r="D9" s="9" t="n"/>
      <c r="E9" s="8" t="inlineStr">
        <is>
          <t>REVENUE</t>
        </is>
      </c>
      <c r="G9" s="9" t="n"/>
      <c r="H9" s="8" t="inlineStr">
        <is>
          <t>GROSS MARGIN</t>
        </is>
      </c>
      <c r="J9" s="9" t="n"/>
      <c r="K9" s="8" t="inlineStr">
        <is>
          <t>GM %</t>
        </is>
      </c>
      <c r="M9" s="9" t="n"/>
    </row>
    <row r="10">
      <c r="B10" s="10">
        <f>SUMIFS(Raw!$E$2:$E$937,Raw!$D$2:$D$937,CatCrit)</f>
        <v>4928</v>
      </c>
      <c r="D10" s="9" t="n"/>
      <c r="E10" s="11">
        <f>SUMIFS(Raw!$F$2:$F$937,Raw!$D$2:$D$937,CatCrit)</f>
        <v>3955026.23</v>
      </c>
      <c r="G10" s="9" t="n"/>
      <c r="H10" s="11">
        <f>SUMIFS(Raw!$H$2:$H$937,Raw!$D$2:$D$937,CatCrit)</f>
        <v>599343.23</v>
      </c>
      <c r="J10" s="9" t="n"/>
      <c r="K10" s="12">
        <f>IFERROR(SUMIFS(Raw!$H$2:$H$937,Raw!$D$2:$D$937,CatCrit)/SUMIFS(Raw!$F$2:$F$937,Raw!$D$2:$D$937,CatCrit),0)</f>
        <v>0.15153963466887</v>
      </c>
      <c r="M10" s="9" t="n"/>
    </row>
    <row r="11">
      <c r="B11" s="9" t="n"/>
      <c r="D11" s="9" t="n"/>
      <c r="E11" s="9" t="n"/>
      <c r="G11" s="9" t="n"/>
      <c r="H11" s="9" t="n"/>
      <c r="J11" s="9" t="n"/>
      <c r="K11" s="9" t="n"/>
      <c r="M11" s="9" t="n"/>
    </row>
  </sheetData>
  <mergeCells count="12">
    <mergeCell ref="H11:I11"/>
    <mergeCell ref="K11:L11"/>
    <mergeCell ref="B11:C11"/>
    <mergeCell ref="E10:F10"/>
    <mergeCell ref="H10:I10"/>
    <mergeCell ref="B10:C10"/>
    <mergeCell ref="E11:F11"/>
    <mergeCell ref="K9:L9"/>
    <mergeCell ref="K10:L10"/>
    <mergeCell ref="B9:C9"/>
    <mergeCell ref="E9:F9"/>
    <mergeCell ref="H9:I9"/>
  </mergeCells>
  <dataValidations count="1">
    <dataValidation sqref="B6" showDropDown="0" showInputMessage="0" showErrorMessage="0" allowBlank="0" promptTitle="Category" prompt="Pick a category or All" type="list">
      <formula1>=Lookup!$M$6:$M$12</formula1>
    </dataValidation>
  </dataValidations>
  <pageMargins left="0.75" right="0.75" top="1" bottom="1" header="0.5" footer="0.5"/>
  <pageSetup orientation="landscape" fitToHeight="0" fitToWidth="1"/>
  <drawing xmlns:r="http://schemas.openxmlformats.org/officeDocument/2006/relationships" r:id="rId1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tabColor rgb="000B1220"/>
    <outlinePr summaryBelow="1" summaryRight="1"/>
    <pageSetUpPr fitToPage="1"/>
  </sheetPr>
  <dimension ref="A1:P46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18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n"/>
      <c r="B1" s="2" t="inlineStr">
        <is>
          <t>SHELLY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</row>
    <row r="2" ht="26" customHeight="1">
      <c r="A2" s="1" t="n"/>
      <c r="B2" s="3" t="inlineStr">
        <is>
          <t>Model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</row>
    <row r="3">
      <c r="A3" s="1" t="n"/>
      <c r="B3" s="4" t="inlineStr">
        <is>
          <t>Live formulas over Raw, Lookup and Assumptions. Nothing on this sheet is typed in.</t>
        </is>
      </c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</row>
    <row r="5">
      <c r="B5" s="13" t="inlineStr">
        <is>
          <t>By category</t>
        </is>
      </c>
    </row>
    <row r="7" ht="28" customHeight="1">
      <c r="B7" s="14" t="inlineStr">
        <is>
          <t>Category</t>
        </is>
      </c>
      <c r="C7" s="14" t="inlineStr">
        <is>
          <t>Units</t>
        </is>
      </c>
      <c r="D7" s="14" t="inlineStr">
        <is>
          <t>Revenue</t>
        </is>
      </c>
      <c r="E7" s="14" t="inlineStr">
        <is>
          <t>Gross margin</t>
        </is>
      </c>
      <c r="F7" s="14" t="inlineStr">
        <is>
          <t>GM %</t>
        </is>
      </c>
    </row>
    <row r="8">
      <c r="B8" s="15" t="inlineStr">
        <is>
          <t>Accessory</t>
        </is>
      </c>
      <c r="C8" s="16">
        <f>SUMIFS(Raw!$E$2:$E$937,Raw!$D$2:$D$937,$B8)</f>
        <v>385</v>
      </c>
      <c r="D8" s="17">
        <f>SUMIFS(Raw!$F$2:$F$937,Raw!$D$2:$D$937,$B8)</f>
        <v>19286.93</v>
      </c>
      <c r="E8" s="17">
        <f>SUMIFS(Raw!$H$2:$H$937,Raw!$D$2:$D$937,$B8)</f>
        <v>10903.93</v>
      </c>
      <c r="F8" s="18">
        <f>IFERROR(SUMIFS(Raw!$H$2:$H$937,Raw!$D$2:$D$937,$B8)/SUMIFS(Raw!$F$2:$F$937,Raw!$D$2:$D$937,$B8),0)</f>
        <v>0.565353324764491</v>
      </c>
    </row>
    <row r="9">
      <c r="B9" s="15" t="inlineStr">
        <is>
          <t>Headphones</t>
        </is>
      </c>
      <c r="C9" s="16">
        <f>SUMIFS(Raw!$E$2:$E$937,Raw!$D$2:$D$937,$B9)</f>
        <v>1228</v>
      </c>
      <c r="D9" s="17">
        <f>SUMIFS(Raw!$F$2:$F$937,Raw!$D$2:$D$937,$B9)</f>
        <v>280266.49</v>
      </c>
      <c r="E9" s="17">
        <f>SUMIFS(Raw!$H$2:$H$937,Raw!$D$2:$D$937,$B9)</f>
        <v>94916.49</v>
      </c>
      <c r="F9" s="18">
        <f>IFERROR(SUMIFS(Raw!$H$2:$H$937,Raw!$D$2:$D$937,$B9)/SUMIFS(Raw!$F$2:$F$937,Raw!$D$2:$D$937,$B9),0)</f>
        <v>0.338665139738968</v>
      </c>
    </row>
    <row r="10">
      <c r="B10" s="15" t="inlineStr">
        <is>
          <t>Smartphone</t>
        </is>
      </c>
      <c r="C10" s="16">
        <f>SUMIFS(Raw!$E$2:$E$937,Raw!$D$2:$D$937,$B10)</f>
        <v>1370</v>
      </c>
      <c r="D10" s="17">
        <f>SUMIFS(Raw!$F$2:$F$937,Raw!$D$2:$D$937,$B10)</f>
        <v>1739846.44</v>
      </c>
      <c r="E10" s="17">
        <f>SUMIFS(Raw!$H$2:$H$937,Raw!$D$2:$D$937,$B10)</f>
        <v>165208.44</v>
      </c>
      <c r="F10" s="18">
        <f>IFERROR(SUMIFS(Raw!$H$2:$H$937,Raw!$D$2:$D$937,$B10)/SUMIFS(Raw!$F$2:$F$937,Raw!$D$2:$D$937,$B10),0)</f>
        <v>0.0949557594289758</v>
      </c>
    </row>
    <row r="11">
      <c r="B11" s="15" t="inlineStr">
        <is>
          <t>Soundbar</t>
        </is>
      </c>
      <c r="C11" s="16">
        <f>SUMIFS(Raw!$E$2:$E$937,Raw!$D$2:$D$937,$B11)</f>
        <v>567</v>
      </c>
      <c r="D11" s="17">
        <f>SUMIFS(Raw!$F$2:$F$937,Raw!$D$2:$D$937,$B11)</f>
        <v>322942.03</v>
      </c>
      <c r="E11" s="17">
        <f>SUMIFS(Raw!$H$2:$H$937,Raw!$D$2:$D$937,$B11)</f>
        <v>83096.03</v>
      </c>
      <c r="F11" s="18">
        <f>IFERROR(SUMIFS(Raw!$H$2:$H$937,Raw!$D$2:$D$937,$B11)/SUMIFS(Raw!$F$2:$F$937,Raw!$D$2:$D$937,$B11),0)</f>
        <v>0.257309431045566</v>
      </c>
    </row>
    <row r="12">
      <c r="B12" s="15" t="inlineStr">
        <is>
          <t>TV</t>
        </is>
      </c>
      <c r="C12" s="16">
        <f>SUMIFS(Raw!$E$2:$E$937,Raw!$D$2:$D$937,$B12)</f>
        <v>834</v>
      </c>
      <c r="D12" s="17">
        <f>SUMIFS(Raw!$F$2:$F$937,Raw!$D$2:$D$937,$B12)</f>
        <v>1101975.03</v>
      </c>
      <c r="E12" s="17">
        <f>SUMIFS(Raw!$H$2:$H$937,Raw!$D$2:$D$937,$B12)</f>
        <v>175456.03</v>
      </c>
      <c r="F12" s="18">
        <f>IFERROR(SUMIFS(Raw!$H$2:$H$937,Raw!$D$2:$D$937,$B12)/SUMIFS(Raw!$F$2:$F$937,Raw!$D$2:$D$937,$B12),0)</f>
        <v>0.159219605910671</v>
      </c>
    </row>
    <row r="13">
      <c r="B13" s="15" t="inlineStr">
        <is>
          <t>Tablet</t>
        </is>
      </c>
      <c r="C13" s="16">
        <f>SUMIFS(Raw!$E$2:$E$937,Raw!$D$2:$D$937,$B13)</f>
        <v>544</v>
      </c>
      <c r="D13" s="17">
        <f>SUMIFS(Raw!$F$2:$F$937,Raw!$D$2:$D$937,$B13)</f>
        <v>490709.31</v>
      </c>
      <c r="E13" s="17">
        <f>SUMIFS(Raw!$H$2:$H$937,Raw!$D$2:$D$937,$B13)</f>
        <v>69762.31</v>
      </c>
      <c r="F13" s="18">
        <f>IFERROR(SUMIFS(Raw!$H$2:$H$937,Raw!$D$2:$D$937,$B13)/SUMIFS(Raw!$F$2:$F$937,Raw!$D$2:$D$937,$B13),0)</f>
        <v>0.142166265400589</v>
      </c>
    </row>
    <row r="14">
      <c r="B14" s="19" t="inlineStr">
        <is>
          <t>Total</t>
        </is>
      </c>
      <c r="C14" s="20">
        <f>SUM(C8:C13)</f>
        <v>4928</v>
      </c>
      <c r="D14" s="21">
        <f>SUM(D8:D13)</f>
        <v>3955026.23</v>
      </c>
      <c r="E14" s="21">
        <f>SUM(E8:E13)</f>
        <v>599343.23</v>
      </c>
      <c r="F14" s="22" t="n"/>
    </row>
    <row r="17">
      <c r="B17" s="13" t="inlineStr">
        <is>
          <t>By week (follows the selector)</t>
        </is>
      </c>
    </row>
    <row r="19" ht="28" customHeight="1">
      <c r="B19" s="14" t="inlineStr">
        <is>
          <t>Week</t>
        </is>
      </c>
      <c r="C19" s="14" t="inlineStr">
        <is>
          <t>Units</t>
        </is>
      </c>
      <c r="D19" s="14" t="inlineStr">
        <is>
          <t>Revenue</t>
        </is>
      </c>
      <c r="E19" s="14" t="inlineStr">
        <is>
          <t>Gross margin</t>
        </is>
      </c>
    </row>
    <row r="20">
      <c r="B20" s="23" t="n">
        <v>46110</v>
      </c>
      <c r="C20" s="16">
        <f>SUMIFS(Raw!$E$2:$E$937,Raw!$D$2:$D$937,CatCrit,Raw!$A$2:$A$937,$B20)</f>
        <v>190</v>
      </c>
      <c r="D20" s="17">
        <f>SUMIFS(Raw!$F$2:$F$937,Raw!$D$2:$D$937,CatCrit,Raw!$A$2:$A$937,$B20)</f>
        <v>154667</v>
      </c>
      <c r="E20" s="17">
        <f>SUMIFS(Raw!$H$2:$H$937,Raw!$D$2:$D$937,CatCrit,Raw!$A$2:$A$937,$B20)</f>
        <v>27919</v>
      </c>
    </row>
    <row r="21">
      <c r="B21" s="23" t="n">
        <v>46117</v>
      </c>
      <c r="C21" s="16">
        <f>SUMIFS(Raw!$E$2:$E$937,Raw!$D$2:$D$937,CatCrit,Raw!$A$2:$A$937,$B21)</f>
        <v>185</v>
      </c>
      <c r="D21" s="17">
        <f>SUMIFS(Raw!$F$2:$F$937,Raw!$D$2:$D$937,CatCrit,Raw!$A$2:$A$937,$B21)</f>
        <v>148026.11</v>
      </c>
      <c r="E21" s="17">
        <f>SUMIFS(Raw!$H$2:$H$937,Raw!$D$2:$D$937,CatCrit,Raw!$A$2:$A$937,$B21)</f>
        <v>27951.11</v>
      </c>
    </row>
    <row r="22">
      <c r="B22" s="23" t="n">
        <v>46124</v>
      </c>
      <c r="C22" s="16">
        <f>SUMIFS(Raw!$E$2:$E$937,Raw!$D$2:$D$937,CatCrit,Raw!$A$2:$A$937,$B22)</f>
        <v>202</v>
      </c>
      <c r="D22" s="17">
        <f>SUMIFS(Raw!$F$2:$F$937,Raw!$D$2:$D$937,CatCrit,Raw!$A$2:$A$937,$B22)</f>
        <v>172775.6</v>
      </c>
      <c r="E22" s="17">
        <f>SUMIFS(Raw!$H$2:$H$937,Raw!$D$2:$D$937,CatCrit,Raw!$A$2:$A$937,$B22)</f>
        <v>29406.6</v>
      </c>
    </row>
    <row r="23">
      <c r="B23" s="23" t="n">
        <v>46131</v>
      </c>
      <c r="C23" s="16">
        <f>SUMIFS(Raw!$E$2:$E$937,Raw!$D$2:$D$937,CatCrit,Raw!$A$2:$A$937,$B23)</f>
        <v>187</v>
      </c>
      <c r="D23" s="17">
        <f>SUMIFS(Raw!$F$2:$F$937,Raw!$D$2:$D$937,CatCrit,Raw!$A$2:$A$937,$B23)</f>
        <v>164324.9</v>
      </c>
      <c r="E23" s="17">
        <f>SUMIFS(Raw!$H$2:$H$937,Raw!$D$2:$D$937,CatCrit,Raw!$A$2:$A$937,$B23)</f>
        <v>26824.9</v>
      </c>
    </row>
    <row r="24">
      <c r="B24" s="23" t="n">
        <v>46138</v>
      </c>
      <c r="C24" s="16">
        <f>SUMIFS(Raw!$E$2:$E$937,Raw!$D$2:$D$937,CatCrit,Raw!$A$2:$A$937,$B24)</f>
        <v>199</v>
      </c>
      <c r="D24" s="17">
        <f>SUMIFS(Raw!$F$2:$F$937,Raw!$D$2:$D$937,CatCrit,Raw!$A$2:$A$937,$B24)</f>
        <v>157239.02</v>
      </c>
      <c r="E24" s="17">
        <f>SUMIFS(Raw!$H$2:$H$937,Raw!$D$2:$D$937,CatCrit,Raw!$A$2:$A$937,$B24)</f>
        <v>27154.02</v>
      </c>
    </row>
    <row r="25">
      <c r="B25" s="23" t="n">
        <v>46145</v>
      </c>
      <c r="C25" s="16">
        <f>SUMIFS(Raw!$E$2:$E$937,Raw!$D$2:$D$937,CatCrit,Raw!$A$2:$A$937,$B25)</f>
        <v>182</v>
      </c>
      <c r="D25" s="17">
        <f>SUMIFS(Raw!$F$2:$F$937,Raw!$D$2:$D$937,CatCrit,Raw!$A$2:$A$937,$B25)</f>
        <v>154926.73</v>
      </c>
      <c r="E25" s="17">
        <f>SUMIFS(Raw!$H$2:$H$937,Raw!$D$2:$D$937,CatCrit,Raw!$A$2:$A$937,$B25)</f>
        <v>26736.73</v>
      </c>
    </row>
    <row r="26">
      <c r="B26" s="23" t="n">
        <v>46152</v>
      </c>
      <c r="C26" s="16">
        <f>SUMIFS(Raw!$E$2:$E$937,Raw!$D$2:$D$937,CatCrit,Raw!$A$2:$A$937,$B26)</f>
        <v>190</v>
      </c>
      <c r="D26" s="17">
        <f>SUMIFS(Raw!$F$2:$F$937,Raw!$D$2:$D$937,CatCrit,Raw!$A$2:$A$937,$B26)</f>
        <v>156955.14</v>
      </c>
      <c r="E26" s="17">
        <f>SUMIFS(Raw!$H$2:$H$937,Raw!$D$2:$D$937,CatCrit,Raw!$A$2:$A$937,$B26)</f>
        <v>26996.14</v>
      </c>
    </row>
    <row r="27">
      <c r="B27" s="23" t="n">
        <v>46159</v>
      </c>
      <c r="C27" s="16">
        <f>SUMIFS(Raw!$E$2:$E$937,Raw!$D$2:$D$937,CatCrit,Raw!$A$2:$A$937,$B27)</f>
        <v>207</v>
      </c>
      <c r="D27" s="17">
        <f>SUMIFS(Raw!$F$2:$F$937,Raw!$D$2:$D$937,CatCrit,Raw!$A$2:$A$937,$B27)</f>
        <v>173759.27</v>
      </c>
      <c r="E27" s="17">
        <f>SUMIFS(Raw!$H$2:$H$937,Raw!$D$2:$D$937,CatCrit,Raw!$A$2:$A$937,$B27)</f>
        <v>27438.27</v>
      </c>
    </row>
    <row r="28">
      <c r="B28" s="23" t="n">
        <v>46166</v>
      </c>
      <c r="C28" s="16">
        <f>SUMIFS(Raw!$E$2:$E$937,Raw!$D$2:$D$937,CatCrit,Raw!$A$2:$A$937,$B28)</f>
        <v>204</v>
      </c>
      <c r="D28" s="17">
        <f>SUMIFS(Raw!$F$2:$F$937,Raw!$D$2:$D$937,CatCrit,Raw!$A$2:$A$937,$B28)</f>
        <v>163016.03</v>
      </c>
      <c r="E28" s="17">
        <f>SUMIFS(Raw!$H$2:$H$937,Raw!$D$2:$D$937,CatCrit,Raw!$A$2:$A$937,$B28)</f>
        <v>27672.03</v>
      </c>
    </row>
    <row r="29">
      <c r="B29" s="23" t="n">
        <v>46173</v>
      </c>
      <c r="C29" s="16">
        <f>SUMIFS(Raw!$E$2:$E$937,Raw!$D$2:$D$937,CatCrit,Raw!$A$2:$A$937,$B29)</f>
        <v>188</v>
      </c>
      <c r="D29" s="17">
        <f>SUMIFS(Raw!$F$2:$F$937,Raw!$D$2:$D$937,CatCrit,Raw!$A$2:$A$937,$B29)</f>
        <v>147789.07</v>
      </c>
      <c r="E29" s="17">
        <f>SUMIFS(Raw!$H$2:$H$937,Raw!$D$2:$D$937,CatCrit,Raw!$A$2:$A$937,$B29)</f>
        <v>23696.07</v>
      </c>
    </row>
    <row r="30">
      <c r="B30" s="23" t="n">
        <v>46180</v>
      </c>
      <c r="C30" s="16">
        <f>SUMIFS(Raw!$E$2:$E$937,Raw!$D$2:$D$937,CatCrit,Raw!$A$2:$A$937,$B30)</f>
        <v>202</v>
      </c>
      <c r="D30" s="17">
        <f>SUMIFS(Raw!$F$2:$F$937,Raw!$D$2:$D$937,CatCrit,Raw!$A$2:$A$937,$B30)</f>
        <v>161459.48</v>
      </c>
      <c r="E30" s="17">
        <f>SUMIFS(Raw!$H$2:$H$937,Raw!$D$2:$D$937,CatCrit,Raw!$A$2:$A$937,$B30)</f>
        <v>24581.48</v>
      </c>
    </row>
    <row r="31">
      <c r="B31" s="23" t="n">
        <v>46187</v>
      </c>
      <c r="C31" s="16">
        <f>SUMIFS(Raw!$E$2:$E$937,Raw!$D$2:$D$937,CatCrit,Raw!$A$2:$A$937,$B31)</f>
        <v>229</v>
      </c>
      <c r="D31" s="17">
        <f>SUMIFS(Raw!$F$2:$F$937,Raw!$D$2:$D$937,CatCrit,Raw!$A$2:$A$937,$B31)</f>
        <v>196587.63</v>
      </c>
      <c r="E31" s="17">
        <f>SUMIFS(Raw!$H$2:$H$937,Raw!$D$2:$D$937,CatCrit,Raw!$A$2:$A$937,$B31)</f>
        <v>28882.63</v>
      </c>
    </row>
    <row r="32">
      <c r="B32" s="23" t="n">
        <v>46194</v>
      </c>
      <c r="C32" s="16">
        <f>SUMIFS(Raw!$E$2:$E$937,Raw!$D$2:$D$937,CatCrit,Raw!$A$2:$A$937,$B32)</f>
        <v>193</v>
      </c>
      <c r="D32" s="17">
        <f>SUMIFS(Raw!$F$2:$F$937,Raw!$D$2:$D$937,CatCrit,Raw!$A$2:$A$937,$B32)</f>
        <v>160612.5</v>
      </c>
      <c r="E32" s="17">
        <f>SUMIFS(Raw!$H$2:$H$937,Raw!$D$2:$D$937,CatCrit,Raw!$A$2:$A$937,$B32)</f>
        <v>23535.5</v>
      </c>
    </row>
    <row r="33">
      <c r="B33" s="23" t="n">
        <v>46201</v>
      </c>
      <c r="C33" s="16">
        <f>SUMIFS(Raw!$E$2:$E$937,Raw!$D$2:$D$937,CatCrit,Raw!$A$2:$A$937,$B33)</f>
        <v>190</v>
      </c>
      <c r="D33" s="17">
        <f>SUMIFS(Raw!$F$2:$F$937,Raw!$D$2:$D$937,CatCrit,Raw!$A$2:$A$937,$B33)</f>
        <v>144626.63</v>
      </c>
      <c r="E33" s="17">
        <f>SUMIFS(Raw!$H$2:$H$937,Raw!$D$2:$D$937,CatCrit,Raw!$A$2:$A$937,$B33)</f>
        <v>22040.63</v>
      </c>
    </row>
    <row r="34">
      <c r="B34" s="23" t="n">
        <v>46208</v>
      </c>
      <c r="C34" s="16">
        <f>SUMIFS(Raw!$E$2:$E$937,Raw!$D$2:$D$937,CatCrit,Raw!$A$2:$A$937,$B34)</f>
        <v>157</v>
      </c>
      <c r="D34" s="17">
        <f>SUMIFS(Raw!$F$2:$F$937,Raw!$D$2:$D$937,CatCrit,Raw!$A$2:$A$937,$B34)</f>
        <v>109509.87</v>
      </c>
      <c r="E34" s="17">
        <f>SUMIFS(Raw!$H$2:$H$937,Raw!$D$2:$D$937,CatCrit,Raw!$A$2:$A$937,$B34)</f>
        <v>16968.87</v>
      </c>
    </row>
    <row r="35">
      <c r="B35" s="23" t="n">
        <v>46215</v>
      </c>
      <c r="C35" s="16">
        <f>SUMIFS(Raw!$E$2:$E$937,Raw!$D$2:$D$937,CatCrit,Raw!$A$2:$A$937,$B35)</f>
        <v>183</v>
      </c>
      <c r="D35" s="17">
        <f>SUMIFS(Raw!$F$2:$F$937,Raw!$D$2:$D$937,CatCrit,Raw!$A$2:$A$937,$B35)</f>
        <v>138384.26</v>
      </c>
      <c r="E35" s="17">
        <f>SUMIFS(Raw!$H$2:$H$937,Raw!$D$2:$D$937,CatCrit,Raw!$A$2:$A$937,$B35)</f>
        <v>20004.26</v>
      </c>
    </row>
    <row r="36">
      <c r="B36" s="23" t="n">
        <v>46222</v>
      </c>
      <c r="C36" s="16">
        <f>SUMIFS(Raw!$E$2:$E$937,Raw!$D$2:$D$937,CatCrit,Raw!$A$2:$A$937,$B36)</f>
        <v>228</v>
      </c>
      <c r="D36" s="17">
        <f>SUMIFS(Raw!$F$2:$F$937,Raw!$D$2:$D$937,CatCrit,Raw!$A$2:$A$937,$B36)</f>
        <v>174402.82</v>
      </c>
      <c r="E36" s="17">
        <f>SUMIFS(Raw!$H$2:$H$937,Raw!$D$2:$D$937,CatCrit,Raw!$A$2:$A$937,$B36)</f>
        <v>25610.82</v>
      </c>
    </row>
    <row r="37">
      <c r="B37" s="23" t="n">
        <v>46229</v>
      </c>
      <c r="C37" s="16">
        <f>SUMIFS(Raw!$E$2:$E$937,Raw!$D$2:$D$937,CatCrit,Raw!$A$2:$A$937,$B37)</f>
        <v>185</v>
      </c>
      <c r="D37" s="17">
        <f>SUMIFS(Raw!$F$2:$F$937,Raw!$D$2:$D$937,CatCrit,Raw!$A$2:$A$937,$B37)</f>
        <v>136960.91</v>
      </c>
      <c r="E37" s="17">
        <f>SUMIFS(Raw!$H$2:$H$937,Raw!$D$2:$D$937,CatCrit,Raw!$A$2:$A$937,$B37)</f>
        <v>20552.91</v>
      </c>
    </row>
    <row r="38">
      <c r="B38" s="23" t="n">
        <v>46236</v>
      </c>
      <c r="C38" s="16">
        <f>SUMIFS(Raw!$E$2:$E$937,Raw!$D$2:$D$937,CatCrit,Raw!$A$2:$A$937,$B38)</f>
        <v>192</v>
      </c>
      <c r="D38" s="17">
        <f>SUMIFS(Raw!$F$2:$F$937,Raw!$D$2:$D$937,CatCrit,Raw!$A$2:$A$937,$B38)</f>
        <v>151280.47</v>
      </c>
      <c r="E38" s="17">
        <f>SUMIFS(Raw!$H$2:$H$937,Raw!$D$2:$D$937,CatCrit,Raw!$A$2:$A$937,$B38)</f>
        <v>22165.47</v>
      </c>
    </row>
    <row r="39">
      <c r="B39" s="23" t="n">
        <v>46243</v>
      </c>
      <c r="C39" s="16">
        <f>SUMIFS(Raw!$E$2:$E$937,Raw!$D$2:$D$937,CatCrit,Raw!$A$2:$A$937,$B39)</f>
        <v>204</v>
      </c>
      <c r="D39" s="17">
        <f>SUMIFS(Raw!$F$2:$F$937,Raw!$D$2:$D$937,CatCrit,Raw!$A$2:$A$937,$B39)</f>
        <v>167123.8</v>
      </c>
      <c r="E39" s="17">
        <f>SUMIFS(Raw!$H$2:$H$937,Raw!$D$2:$D$937,CatCrit,Raw!$A$2:$A$937,$B39)</f>
        <v>20383.8</v>
      </c>
    </row>
    <row r="40">
      <c r="B40" s="23" t="n">
        <v>46250</v>
      </c>
      <c r="C40" s="16">
        <f>SUMIFS(Raw!$E$2:$E$937,Raw!$D$2:$D$937,CatCrit,Raw!$A$2:$A$937,$B40)</f>
        <v>190</v>
      </c>
      <c r="D40" s="17">
        <f>SUMIFS(Raw!$F$2:$F$937,Raw!$D$2:$D$937,CatCrit,Raw!$A$2:$A$937,$B40)</f>
        <v>152769.92</v>
      </c>
      <c r="E40" s="17">
        <f>SUMIFS(Raw!$H$2:$H$937,Raw!$D$2:$D$937,CatCrit,Raw!$A$2:$A$937,$B40)</f>
        <v>20051.92</v>
      </c>
    </row>
    <row r="41">
      <c r="B41" s="23" t="n">
        <v>46257</v>
      </c>
      <c r="C41" s="16">
        <f>SUMIFS(Raw!$E$2:$E$937,Raw!$D$2:$D$937,CatCrit,Raw!$A$2:$A$937,$B41)</f>
        <v>185</v>
      </c>
      <c r="D41" s="17">
        <f>SUMIFS(Raw!$F$2:$F$937,Raw!$D$2:$D$937,CatCrit,Raw!$A$2:$A$937,$B41)</f>
        <v>150635.17</v>
      </c>
      <c r="E41" s="17">
        <f>SUMIFS(Raw!$H$2:$H$937,Raw!$D$2:$D$937,CatCrit,Raw!$A$2:$A$937,$B41)</f>
        <v>19251.17</v>
      </c>
    </row>
    <row r="42">
      <c r="B42" s="23" t="n">
        <v>46264</v>
      </c>
      <c r="C42" s="16">
        <f>SUMIFS(Raw!$E$2:$E$937,Raw!$D$2:$D$937,CatCrit,Raw!$A$2:$A$937,$B42)</f>
        <v>171</v>
      </c>
      <c r="D42" s="17">
        <f>SUMIFS(Raw!$F$2:$F$937,Raw!$D$2:$D$937,CatCrit,Raw!$A$2:$A$937,$B42)</f>
        <v>144222.1</v>
      </c>
      <c r="E42" s="17">
        <f>SUMIFS(Raw!$H$2:$H$937,Raw!$D$2:$D$937,CatCrit,Raw!$A$2:$A$937,$B42)</f>
        <v>16886.1</v>
      </c>
    </row>
    <row r="43">
      <c r="B43" s="23" t="n">
        <v>46271</v>
      </c>
      <c r="C43" s="16">
        <f>SUMIFS(Raw!$E$2:$E$937,Raw!$D$2:$D$937,CatCrit,Raw!$A$2:$A$937,$B43)</f>
        <v>150</v>
      </c>
      <c r="D43" s="17">
        <f>SUMIFS(Raw!$F$2:$F$937,Raw!$D$2:$D$937,CatCrit,Raw!$A$2:$A$937,$B43)</f>
        <v>108298.53</v>
      </c>
      <c r="E43" s="17">
        <f>SUMIFS(Raw!$H$2:$H$937,Raw!$D$2:$D$937,CatCrit,Raw!$A$2:$A$937,$B43)</f>
        <v>14061.53</v>
      </c>
    </row>
    <row r="44">
      <c r="B44" s="23" t="n">
        <v>46278</v>
      </c>
      <c r="C44" s="16">
        <f>SUMIFS(Raw!$E$2:$E$937,Raw!$D$2:$D$937,CatCrit,Raw!$A$2:$A$937,$B44)</f>
        <v>172</v>
      </c>
      <c r="D44" s="17">
        <f>SUMIFS(Raw!$F$2:$F$937,Raw!$D$2:$D$937,CatCrit,Raw!$A$2:$A$937,$B44)</f>
        <v>129500.21</v>
      </c>
      <c r="E44" s="17">
        <f>SUMIFS(Raw!$H$2:$H$937,Raw!$D$2:$D$937,CatCrit,Raw!$A$2:$A$937,$B44)</f>
        <v>16935.21</v>
      </c>
    </row>
    <row r="45">
      <c r="B45" s="23" t="n">
        <v>46285</v>
      </c>
      <c r="C45" s="16">
        <f>SUMIFS(Raw!$E$2:$E$937,Raw!$D$2:$D$937,CatCrit,Raw!$A$2:$A$937,$B45)</f>
        <v>163</v>
      </c>
      <c r="D45" s="17">
        <f>SUMIFS(Raw!$F$2:$F$937,Raw!$D$2:$D$937,CatCrit,Raw!$A$2:$A$937,$B45)</f>
        <v>135173.06</v>
      </c>
      <c r="E45" s="17">
        <f>SUMIFS(Raw!$H$2:$H$937,Raw!$D$2:$D$937,CatCrit,Raw!$A$2:$A$937,$B45)</f>
        <v>15636.06</v>
      </c>
    </row>
    <row r="46">
      <c r="B46" s="19" t="inlineStr">
        <is>
          <t>Total</t>
        </is>
      </c>
      <c r="C46" s="20">
        <f>SUM(C20:C45)</f>
        <v>4928</v>
      </c>
      <c r="D46" s="21">
        <f>SUM(D20:D45)</f>
        <v>3955026.23</v>
      </c>
      <c r="E46" s="21">
        <f>SUM(E20:E45)</f>
        <v>599343.23</v>
      </c>
    </row>
  </sheetData>
  <conditionalFormatting sqref="E8:E13">
    <cfRule type="dataBar" priority="1">
      <dataBar>
        <cfvo type="min"/>
        <cfvo type="max"/>
        <color rgb="0063B6D8"/>
      </dataBar>
    </cfRule>
  </conditionalFormatting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tabColor rgb="00E0A43A"/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2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</cols>
  <sheetData>
    <row r="1">
      <c r="A1" s="1" t="n"/>
      <c r="B1" s="2" t="inlineStr">
        <is>
          <t>SHELLY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26" customHeight="1">
      <c r="A2" s="1" t="n"/>
      <c r="B2" s="3" t="inlineStr">
        <is>
          <t>Pivot tables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</row>
    <row r="3">
      <c r="A3" s="1" t="n"/>
      <c r="B3" s="4" t="inlineStr">
        <is>
          <t>Real Excel PivotTables over the Raw sheet: drag fields in the PivotTable pane to explore. They refresh when the file opens.</t>
        </is>
      </c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</row>
    <row r="5">
      <c r="A5" s="13" t="inlineStr">
        <is>
          <t>Gross margin by category and week</t>
        </is>
      </c>
    </row>
    <row r="6">
      <c r="A6" t="inlineStr">
        <is>
          <t>Row Labels</t>
        </is>
      </c>
      <c r="B6" t="inlineStr">
        <is>
          <t>Gross margin</t>
        </is>
      </c>
    </row>
    <row r="7">
      <c r="A7" t="inlineStr">
        <is>
          <t>Accessory</t>
        </is>
      </c>
      <c r="B7" s="24" t="n">
        <v>10903.93</v>
      </c>
    </row>
    <row r="8">
      <c r="A8" t="inlineStr">
        <is>
          <t>Headphones</t>
        </is>
      </c>
      <c r="B8" s="24" t="n">
        <v>94916.49000000001</v>
      </c>
    </row>
    <row r="9">
      <c r="A9" t="inlineStr">
        <is>
          <t>Smartphone</t>
        </is>
      </c>
      <c r="B9" s="24" t="n">
        <v>165208.44</v>
      </c>
    </row>
    <row r="10">
      <c r="A10" t="inlineStr">
        <is>
          <t>Soundbar</t>
        </is>
      </c>
      <c r="B10" s="24" t="n">
        <v>83096.03</v>
      </c>
    </row>
    <row r="11">
      <c r="A11" t="inlineStr">
        <is>
          <t>TV</t>
        </is>
      </c>
      <c r="B11" s="24" t="n">
        <v>175456.03</v>
      </c>
    </row>
    <row r="12">
      <c r="A12" t="inlineStr">
        <is>
          <t>Tablet</t>
        </is>
      </c>
      <c r="B12" s="24" t="n">
        <v>69762.31</v>
      </c>
    </row>
    <row r="13">
      <c r="A13" t="inlineStr">
        <is>
          <t>Grand Total</t>
        </is>
      </c>
      <c r="B13" s="24" t="n">
        <v>599343.23</v>
      </c>
    </row>
    <row r="17">
      <c r="A17" s="13" t="inlineStr">
        <is>
          <t>Units by week</t>
        </is>
      </c>
    </row>
    <row r="18">
      <c r="A18" t="inlineStr">
        <is>
          <t>Row Labels</t>
        </is>
      </c>
      <c r="B18" t="inlineStr">
        <is>
          <t>Units</t>
        </is>
      </c>
    </row>
    <row r="19">
      <c r="A19" t="inlineStr">
        <is>
          <t>2026-03-29</t>
        </is>
      </c>
      <c r="B19" s="24" t="n">
        <v>190</v>
      </c>
    </row>
    <row r="20">
      <c r="A20" t="inlineStr">
        <is>
          <t>2026-04-05</t>
        </is>
      </c>
      <c r="B20" s="24" t="n">
        <v>185</v>
      </c>
    </row>
    <row r="21">
      <c r="A21" t="inlineStr">
        <is>
          <t>2026-04-12</t>
        </is>
      </c>
      <c r="B21" s="24" t="n">
        <v>202</v>
      </c>
    </row>
    <row r="22">
      <c r="A22" t="inlineStr">
        <is>
          <t>2026-04-19</t>
        </is>
      </c>
      <c r="B22" s="24" t="n">
        <v>187</v>
      </c>
    </row>
    <row r="23">
      <c r="A23" t="inlineStr">
        <is>
          <t>2026-04-26</t>
        </is>
      </c>
      <c r="B23" s="24" t="n">
        <v>199</v>
      </c>
    </row>
    <row r="24">
      <c r="A24" t="inlineStr">
        <is>
          <t>2026-05-03</t>
        </is>
      </c>
      <c r="B24" s="24" t="n">
        <v>182</v>
      </c>
    </row>
    <row r="25">
      <c r="A25" t="inlineStr">
        <is>
          <t>2026-05-10</t>
        </is>
      </c>
      <c r="B25" s="24" t="n">
        <v>190</v>
      </c>
    </row>
    <row r="26">
      <c r="A26" t="inlineStr">
        <is>
          <t>2026-05-17</t>
        </is>
      </c>
      <c r="B26" s="24" t="n">
        <v>207</v>
      </c>
    </row>
    <row r="27">
      <c r="A27" t="inlineStr">
        <is>
          <t>2026-05-24</t>
        </is>
      </c>
      <c r="B27" s="24" t="n">
        <v>204</v>
      </c>
    </row>
    <row r="28">
      <c r="A28" t="inlineStr">
        <is>
          <t>2026-05-31</t>
        </is>
      </c>
      <c r="B28" s="24" t="n">
        <v>188</v>
      </c>
    </row>
    <row r="29">
      <c r="A29" t="inlineStr">
        <is>
          <t>2026-06-07</t>
        </is>
      </c>
      <c r="B29" s="24" t="n">
        <v>202</v>
      </c>
    </row>
    <row r="30">
      <c r="A30" t="inlineStr">
        <is>
          <t>2026-06-14</t>
        </is>
      </c>
      <c r="B30" s="24" t="n">
        <v>229</v>
      </c>
    </row>
    <row r="31">
      <c r="A31" t="inlineStr">
        <is>
          <t>2026-06-21</t>
        </is>
      </c>
      <c r="B31" s="24" t="n">
        <v>193</v>
      </c>
    </row>
    <row r="32">
      <c r="A32" t="inlineStr">
        <is>
          <t>2026-06-28</t>
        </is>
      </c>
      <c r="B32" s="24" t="n">
        <v>190</v>
      </c>
    </row>
    <row r="33">
      <c r="A33" t="inlineStr">
        <is>
          <t>2026-07-05</t>
        </is>
      </c>
      <c r="B33" s="24" t="n">
        <v>157</v>
      </c>
    </row>
    <row r="34">
      <c r="A34" t="inlineStr">
        <is>
          <t>2026-07-12</t>
        </is>
      </c>
      <c r="B34" s="24" t="n">
        <v>183</v>
      </c>
    </row>
    <row r="35">
      <c r="A35" t="inlineStr">
        <is>
          <t>2026-07-19</t>
        </is>
      </c>
      <c r="B35" s="24" t="n">
        <v>228</v>
      </c>
    </row>
    <row r="36">
      <c r="A36" t="inlineStr">
        <is>
          <t>2026-07-26</t>
        </is>
      </c>
      <c r="B36" s="24" t="n">
        <v>185</v>
      </c>
    </row>
    <row r="37">
      <c r="A37" t="inlineStr">
        <is>
          <t>2026-08-02</t>
        </is>
      </c>
      <c r="B37" s="24" t="n">
        <v>192</v>
      </c>
    </row>
    <row r="38">
      <c r="A38" t="inlineStr">
        <is>
          <t>2026-08-09</t>
        </is>
      </c>
      <c r="B38" s="24" t="n">
        <v>204</v>
      </c>
    </row>
    <row r="39">
      <c r="A39" t="inlineStr">
        <is>
          <t>2026-08-16</t>
        </is>
      </c>
      <c r="B39" s="24" t="n">
        <v>190</v>
      </c>
    </row>
    <row r="40">
      <c r="A40" t="inlineStr">
        <is>
          <t>2026-08-23</t>
        </is>
      </c>
      <c r="B40" s="24" t="n">
        <v>185</v>
      </c>
    </row>
    <row r="41">
      <c r="A41" t="inlineStr">
        <is>
          <t>2026-08-30</t>
        </is>
      </c>
      <c r="B41" s="24" t="n">
        <v>171</v>
      </c>
    </row>
    <row r="42">
      <c r="A42" t="inlineStr">
        <is>
          <t>2026-09-06</t>
        </is>
      </c>
      <c r="B42" s="24" t="n">
        <v>150</v>
      </c>
    </row>
    <row r="43">
      <c r="A43" t="inlineStr">
        <is>
          <t>2026-09-13</t>
        </is>
      </c>
      <c r="B43" s="24" t="n">
        <v>172</v>
      </c>
    </row>
    <row r="44">
      <c r="A44" t="inlineStr">
        <is>
          <t>2026-09-20</t>
        </is>
      </c>
      <c r="B44" s="24" t="n">
        <v>163</v>
      </c>
    </row>
    <row r="45">
      <c r="A45" t="inlineStr">
        <is>
          <t>Grand Total</t>
        </is>
      </c>
      <c r="B45" s="24" t="n">
        <v>4928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9AA5B1"/>
    <outlinePr summaryBelow="1" summaryRight="1"/>
    <pageSetUpPr/>
  </sheetPr>
  <dimension ref="A1:H9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6" customWidth="1" min="8" max="8"/>
  </cols>
  <sheetData>
    <row r="1">
      <c r="A1" s="25" t="inlineStr">
        <is>
          <t>Week</t>
        </is>
      </c>
      <c r="B1" s="25" t="inlineStr">
        <is>
          <t>SKU</t>
        </is>
      </c>
      <c r="C1" s="25" t="inlineStr">
        <is>
          <t>Product</t>
        </is>
      </c>
      <c r="D1" s="25" t="inlineStr">
        <is>
          <t>Category</t>
        </is>
      </c>
      <c r="E1" s="25" t="inlineStr">
        <is>
          <t>Units</t>
        </is>
      </c>
      <c r="F1" s="25" t="inlineStr">
        <is>
          <t>Revenue</t>
        </is>
      </c>
      <c r="G1" s="25" t="inlineStr">
        <is>
          <t>Cost</t>
        </is>
      </c>
      <c r="H1" s="25" t="inlineStr">
        <is>
          <t>Gross margin</t>
        </is>
      </c>
    </row>
    <row r="2">
      <c r="A2" s="26" t="n">
        <v>46110</v>
      </c>
      <c r="B2" s="27" t="inlineStr">
        <is>
          <t>TV01</t>
        </is>
      </c>
      <c r="C2" s="27" t="inlineStr">
        <is>
          <t>TV model 1</t>
        </is>
      </c>
      <c r="D2" s="27" t="inlineStr">
        <is>
          <t>TV</t>
        </is>
      </c>
      <c r="E2" s="27" t="n">
        <v>4</v>
      </c>
      <c r="F2" s="28" t="n">
        <v>6478.3</v>
      </c>
      <c r="G2" s="28" t="n">
        <v>5116</v>
      </c>
      <c r="H2" s="28" t="n">
        <v>1362.3</v>
      </c>
    </row>
    <row r="3">
      <c r="A3" s="26" t="n">
        <v>46117</v>
      </c>
      <c r="B3" s="27" t="inlineStr">
        <is>
          <t>TV01</t>
        </is>
      </c>
      <c r="C3" s="27" t="inlineStr">
        <is>
          <t>TV model 1</t>
        </is>
      </c>
      <c r="D3" s="27" t="inlineStr">
        <is>
          <t>TV</t>
        </is>
      </c>
      <c r="E3" s="27" t="n">
        <v>7</v>
      </c>
      <c r="F3" s="28" t="n">
        <v>11431.17</v>
      </c>
      <c r="G3" s="28" t="n">
        <v>8953</v>
      </c>
      <c r="H3" s="28" t="n">
        <v>2478.17</v>
      </c>
    </row>
    <row r="4">
      <c r="A4" s="26" t="n">
        <v>46124</v>
      </c>
      <c r="B4" s="27" t="inlineStr">
        <is>
          <t>TV01</t>
        </is>
      </c>
      <c r="C4" s="27" t="inlineStr">
        <is>
          <t>TV model 1</t>
        </is>
      </c>
      <c r="D4" s="27" t="inlineStr">
        <is>
          <t>TV</t>
        </is>
      </c>
      <c r="E4" s="27" t="n">
        <v>6</v>
      </c>
      <c r="F4" s="28" t="n">
        <v>9102.92</v>
      </c>
      <c r="G4" s="28" t="n">
        <v>7674</v>
      </c>
      <c r="H4" s="28" t="n">
        <v>1428.92</v>
      </c>
    </row>
    <row r="5">
      <c r="A5" s="26" t="n">
        <v>46131</v>
      </c>
      <c r="B5" s="27" t="inlineStr">
        <is>
          <t>TV01</t>
        </is>
      </c>
      <c r="C5" s="27" t="inlineStr">
        <is>
          <t>TV model 1</t>
        </is>
      </c>
      <c r="D5" s="27" t="inlineStr">
        <is>
          <t>TV</t>
        </is>
      </c>
      <c r="E5" s="27" t="n">
        <v>7</v>
      </c>
      <c r="F5" s="28" t="n">
        <v>10701.69</v>
      </c>
      <c r="G5" s="28" t="n">
        <v>8953</v>
      </c>
      <c r="H5" s="28" t="n">
        <v>1748.69</v>
      </c>
    </row>
    <row r="6">
      <c r="A6" s="26" t="n">
        <v>46138</v>
      </c>
      <c r="B6" s="27" t="inlineStr">
        <is>
          <t>TV01</t>
        </is>
      </c>
      <c r="C6" s="27" t="inlineStr">
        <is>
          <t>TV model 1</t>
        </is>
      </c>
      <c r="D6" s="27" t="inlineStr">
        <is>
          <t>TV</t>
        </is>
      </c>
      <c r="E6" s="27" t="n">
        <v>3</v>
      </c>
      <c r="F6" s="28" t="n">
        <v>4783.97</v>
      </c>
      <c r="G6" s="28" t="n">
        <v>3837</v>
      </c>
      <c r="H6" s="28" t="n">
        <v>946.97</v>
      </c>
    </row>
    <row r="7">
      <c r="A7" s="26" t="n">
        <v>46145</v>
      </c>
      <c r="B7" s="27" t="inlineStr">
        <is>
          <t>TV01</t>
        </is>
      </c>
      <c r="C7" s="27" t="inlineStr">
        <is>
          <t>TV model 1</t>
        </is>
      </c>
      <c r="D7" s="27" t="inlineStr">
        <is>
          <t>TV</t>
        </is>
      </c>
      <c r="E7" s="27" t="n">
        <v>7</v>
      </c>
      <c r="F7" s="28" t="n">
        <v>10889.7</v>
      </c>
      <c r="G7" s="28" t="n">
        <v>8953</v>
      </c>
      <c r="H7" s="28" t="n">
        <v>1936.7</v>
      </c>
    </row>
    <row r="8">
      <c r="A8" s="26" t="n">
        <v>46152</v>
      </c>
      <c r="B8" s="27" t="inlineStr">
        <is>
          <t>TV01</t>
        </is>
      </c>
      <c r="C8" s="27" t="inlineStr">
        <is>
          <t>TV model 1</t>
        </is>
      </c>
      <c r="D8" s="27" t="inlineStr">
        <is>
          <t>TV</t>
        </is>
      </c>
      <c r="E8" s="27" t="n">
        <v>6</v>
      </c>
      <c r="F8" s="28" t="n">
        <v>9033.09</v>
      </c>
      <c r="G8" s="28" t="n">
        <v>7674</v>
      </c>
      <c r="H8" s="28" t="n">
        <v>1359.09</v>
      </c>
    </row>
    <row r="9">
      <c r="A9" s="26" t="n">
        <v>46159</v>
      </c>
      <c r="B9" s="27" t="inlineStr">
        <is>
          <t>TV01</t>
        </is>
      </c>
      <c r="C9" s="27" t="inlineStr">
        <is>
          <t>TV model 1</t>
        </is>
      </c>
      <c r="D9" s="27" t="inlineStr">
        <is>
          <t>TV</t>
        </is>
      </c>
      <c r="E9" s="27" t="n">
        <v>9</v>
      </c>
      <c r="F9" s="28" t="n">
        <v>13747.5</v>
      </c>
      <c r="G9" s="28" t="n">
        <v>11511</v>
      </c>
      <c r="H9" s="28" t="n">
        <v>2236.5</v>
      </c>
    </row>
    <row r="10">
      <c r="A10" s="26" t="n">
        <v>46166</v>
      </c>
      <c r="B10" s="27" t="inlineStr">
        <is>
          <t>TV01</t>
        </is>
      </c>
      <c r="C10" s="27" t="inlineStr">
        <is>
          <t>TV model 1</t>
        </is>
      </c>
      <c r="D10" s="27" t="inlineStr">
        <is>
          <t>TV</t>
        </is>
      </c>
      <c r="E10" s="27" t="n">
        <v>6</v>
      </c>
      <c r="F10" s="28" t="n">
        <v>8946.66</v>
      </c>
      <c r="G10" s="28" t="n">
        <v>7674</v>
      </c>
      <c r="H10" s="28" t="n">
        <v>1272.66</v>
      </c>
    </row>
    <row r="11">
      <c r="A11" s="26" t="n">
        <v>46173</v>
      </c>
      <c r="B11" s="27" t="inlineStr">
        <is>
          <t>TV01</t>
        </is>
      </c>
      <c r="C11" s="27" t="inlineStr">
        <is>
          <t>TV model 1</t>
        </is>
      </c>
      <c r="D11" s="27" t="inlineStr">
        <is>
          <t>TV</t>
        </is>
      </c>
      <c r="E11" s="27" t="n">
        <v>8</v>
      </c>
      <c r="F11" s="28" t="n">
        <v>12545.79</v>
      </c>
      <c r="G11" s="28" t="n">
        <v>10232</v>
      </c>
      <c r="H11" s="28" t="n">
        <v>2313.79</v>
      </c>
    </row>
    <row r="12">
      <c r="A12" s="26" t="n">
        <v>46180</v>
      </c>
      <c r="B12" s="27" t="inlineStr">
        <is>
          <t>TV01</t>
        </is>
      </c>
      <c r="C12" s="27" t="inlineStr">
        <is>
          <t>TV model 1</t>
        </is>
      </c>
      <c r="D12" s="27" t="inlineStr">
        <is>
          <t>TV</t>
        </is>
      </c>
      <c r="E12" s="27" t="n">
        <v>5</v>
      </c>
      <c r="F12" s="28" t="n">
        <v>7804.26</v>
      </c>
      <c r="G12" s="28" t="n">
        <v>6395</v>
      </c>
      <c r="H12" s="28" t="n">
        <v>1409.26</v>
      </c>
    </row>
    <row r="13">
      <c r="A13" s="26" t="n">
        <v>46187</v>
      </c>
      <c r="B13" s="27" t="inlineStr">
        <is>
          <t>TV01</t>
        </is>
      </c>
      <c r="C13" s="27" t="inlineStr">
        <is>
          <t>TV model 1</t>
        </is>
      </c>
      <c r="D13" s="27" t="inlineStr">
        <is>
          <t>TV</t>
        </is>
      </c>
      <c r="E13" s="27" t="n">
        <v>4</v>
      </c>
      <c r="F13" s="28" t="n">
        <v>5996.11</v>
      </c>
      <c r="G13" s="28" t="n">
        <v>5116</v>
      </c>
      <c r="H13" s="28" t="n">
        <v>880.11</v>
      </c>
    </row>
    <row r="14">
      <c r="A14" s="26" t="n">
        <v>46194</v>
      </c>
      <c r="B14" s="27" t="inlineStr">
        <is>
          <t>TV01</t>
        </is>
      </c>
      <c r="C14" s="27" t="inlineStr">
        <is>
          <t>TV model 1</t>
        </is>
      </c>
      <c r="D14" s="27" t="inlineStr">
        <is>
          <t>TV</t>
        </is>
      </c>
      <c r="E14" s="27" t="n">
        <v>3</v>
      </c>
      <c r="F14" s="28" t="n">
        <v>4496.64</v>
      </c>
      <c r="G14" s="28" t="n">
        <v>3837</v>
      </c>
      <c r="H14" s="28" t="n">
        <v>659.64</v>
      </c>
    </row>
    <row r="15">
      <c r="A15" s="26" t="n">
        <v>46201</v>
      </c>
      <c r="B15" s="27" t="inlineStr">
        <is>
          <t>TV01</t>
        </is>
      </c>
      <c r="C15" s="27" t="inlineStr">
        <is>
          <t>TV model 1</t>
        </is>
      </c>
      <c r="D15" s="27" t="inlineStr">
        <is>
          <t>TV</t>
        </is>
      </c>
      <c r="E15" s="27" t="n">
        <v>9</v>
      </c>
      <c r="F15" s="28" t="n">
        <v>13928.11</v>
      </c>
      <c r="G15" s="28" t="n">
        <v>11511</v>
      </c>
      <c r="H15" s="28" t="n">
        <v>2417.11</v>
      </c>
    </row>
    <row r="16">
      <c r="A16" s="26" t="n">
        <v>46208</v>
      </c>
      <c r="B16" s="27" t="inlineStr">
        <is>
          <t>TV01</t>
        </is>
      </c>
      <c r="C16" s="27" t="inlineStr">
        <is>
          <t>TV model 1</t>
        </is>
      </c>
      <c r="D16" s="27" t="inlineStr">
        <is>
          <t>TV</t>
        </is>
      </c>
      <c r="E16" s="27" t="n">
        <v>2</v>
      </c>
      <c r="F16" s="28" t="n">
        <v>2909.4</v>
      </c>
      <c r="G16" s="28" t="n">
        <v>2558</v>
      </c>
      <c r="H16" s="28" t="n">
        <v>351.4</v>
      </c>
    </row>
    <row r="17">
      <c r="A17" s="26" t="n">
        <v>46215</v>
      </c>
      <c r="B17" s="27" t="inlineStr">
        <is>
          <t>TV01</t>
        </is>
      </c>
      <c r="C17" s="27" t="inlineStr">
        <is>
          <t>TV model 1</t>
        </is>
      </c>
      <c r="D17" s="27" t="inlineStr">
        <is>
          <t>TV</t>
        </is>
      </c>
      <c r="E17" s="27" t="n">
        <v>3</v>
      </c>
      <c r="F17" s="28" t="n">
        <v>4558.07</v>
      </c>
      <c r="G17" s="28" t="n">
        <v>3837</v>
      </c>
      <c r="H17" s="28" t="n">
        <v>721.0700000000001</v>
      </c>
    </row>
    <row r="18">
      <c r="A18" s="26" t="n">
        <v>46222</v>
      </c>
      <c r="B18" s="27" t="inlineStr">
        <is>
          <t>TV01</t>
        </is>
      </c>
      <c r="C18" s="27" t="inlineStr">
        <is>
          <t>TV model 1</t>
        </is>
      </c>
      <c r="D18" s="27" t="inlineStr">
        <is>
          <t>TV</t>
        </is>
      </c>
      <c r="E18" s="27" t="n">
        <v>5</v>
      </c>
      <c r="F18" s="28" t="n">
        <v>7324.3</v>
      </c>
      <c r="G18" s="28" t="n">
        <v>6395</v>
      </c>
      <c r="H18" s="28" t="n">
        <v>929.3</v>
      </c>
    </row>
    <row r="19">
      <c r="A19" s="26" t="n">
        <v>46229</v>
      </c>
      <c r="B19" s="27" t="inlineStr">
        <is>
          <t>TV01</t>
        </is>
      </c>
      <c r="C19" s="27" t="inlineStr">
        <is>
          <t>TV model 1</t>
        </is>
      </c>
      <c r="D19" s="27" t="inlineStr">
        <is>
          <t>TV</t>
        </is>
      </c>
      <c r="E19" s="27" t="n">
        <v>10</v>
      </c>
      <c r="F19" s="28" t="n">
        <v>14837.02</v>
      </c>
      <c r="G19" s="28" t="n">
        <v>12790</v>
      </c>
      <c r="H19" s="28" t="n">
        <v>2047.02</v>
      </c>
    </row>
    <row r="20">
      <c r="A20" s="26" t="n">
        <v>46236</v>
      </c>
      <c r="B20" s="27" t="inlineStr">
        <is>
          <t>TV01</t>
        </is>
      </c>
      <c r="C20" s="27" t="inlineStr">
        <is>
          <t>TV model 1</t>
        </is>
      </c>
      <c r="D20" s="27" t="inlineStr">
        <is>
          <t>TV</t>
        </is>
      </c>
      <c r="E20" s="27" t="n">
        <v>5</v>
      </c>
      <c r="F20" s="28" t="n">
        <v>7354.1</v>
      </c>
      <c r="G20" s="28" t="n">
        <v>6395</v>
      </c>
      <c r="H20" s="28" t="n">
        <v>959.1</v>
      </c>
    </row>
    <row r="21">
      <c r="A21" s="26" t="n">
        <v>46243</v>
      </c>
      <c r="B21" s="27" t="inlineStr">
        <is>
          <t>TV01</t>
        </is>
      </c>
      <c r="C21" s="27" t="inlineStr">
        <is>
          <t>TV model 1</t>
        </is>
      </c>
      <c r="D21" s="27" t="inlineStr">
        <is>
          <t>TV</t>
        </is>
      </c>
      <c r="E21" s="27" t="n">
        <v>9</v>
      </c>
      <c r="F21" s="28" t="n">
        <v>12732.74</v>
      </c>
      <c r="G21" s="28" t="n">
        <v>11511</v>
      </c>
      <c r="H21" s="28" t="n">
        <v>1221.74</v>
      </c>
    </row>
    <row r="22">
      <c r="A22" s="26" t="n">
        <v>46250</v>
      </c>
      <c r="B22" s="27" t="inlineStr">
        <is>
          <t>TV01</t>
        </is>
      </c>
      <c r="C22" s="27" t="inlineStr">
        <is>
          <t>TV model 1</t>
        </is>
      </c>
      <c r="D22" s="27" t="inlineStr">
        <is>
          <t>TV</t>
        </is>
      </c>
      <c r="E22" s="27" t="n">
        <v>5</v>
      </c>
      <c r="F22" s="28" t="n">
        <v>7330.4</v>
      </c>
      <c r="G22" s="28" t="n">
        <v>6395</v>
      </c>
      <c r="H22" s="28" t="n">
        <v>935.4</v>
      </c>
    </row>
    <row r="23">
      <c r="A23" s="26" t="n">
        <v>46257</v>
      </c>
      <c r="B23" s="27" t="inlineStr">
        <is>
          <t>TV01</t>
        </is>
      </c>
      <c r="C23" s="27" t="inlineStr">
        <is>
          <t>TV model 1</t>
        </is>
      </c>
      <c r="D23" s="27" t="inlineStr">
        <is>
          <t>TV</t>
        </is>
      </c>
      <c r="E23" s="27" t="n">
        <v>7</v>
      </c>
      <c r="F23" s="28" t="n">
        <v>10083.11</v>
      </c>
      <c r="G23" s="28" t="n">
        <v>8953</v>
      </c>
      <c r="H23" s="28" t="n">
        <v>1130.11</v>
      </c>
    </row>
    <row r="24">
      <c r="A24" s="26" t="n">
        <v>46264</v>
      </c>
      <c r="B24" s="27" t="inlineStr">
        <is>
          <t>TV01</t>
        </is>
      </c>
      <c r="C24" s="27" t="inlineStr">
        <is>
          <t>TV model 1</t>
        </is>
      </c>
      <c r="D24" s="27" t="inlineStr">
        <is>
          <t>TV</t>
        </is>
      </c>
      <c r="E24" s="27" t="n">
        <v>9</v>
      </c>
      <c r="F24" s="28" t="n">
        <v>12548.14</v>
      </c>
      <c r="G24" s="28" t="n">
        <v>11511</v>
      </c>
      <c r="H24" s="28" t="n">
        <v>1037.14</v>
      </c>
    </row>
    <row r="25">
      <c r="A25" s="26" t="n">
        <v>46271</v>
      </c>
      <c r="B25" s="27" t="inlineStr">
        <is>
          <t>TV01</t>
        </is>
      </c>
      <c r="C25" s="27" t="inlineStr">
        <is>
          <t>TV model 1</t>
        </is>
      </c>
      <c r="D25" s="27" t="inlineStr">
        <is>
          <t>TV</t>
        </is>
      </c>
      <c r="E25" s="27" t="n">
        <v>1</v>
      </c>
      <c r="F25" s="28" t="n">
        <v>1410.88</v>
      </c>
      <c r="G25" s="28" t="n">
        <v>1279</v>
      </c>
      <c r="H25" s="28" t="n">
        <v>131.88</v>
      </c>
    </row>
    <row r="26">
      <c r="A26" s="26" t="n">
        <v>46278</v>
      </c>
      <c r="B26" s="27" t="inlineStr">
        <is>
          <t>TV01</t>
        </is>
      </c>
      <c r="C26" s="27" t="inlineStr">
        <is>
          <t>TV model 1</t>
        </is>
      </c>
      <c r="D26" s="27" t="inlineStr">
        <is>
          <t>TV</t>
        </is>
      </c>
      <c r="E26" s="27" t="n">
        <v>2</v>
      </c>
      <c r="F26" s="28" t="n">
        <v>2880.28</v>
      </c>
      <c r="G26" s="28" t="n">
        <v>2558</v>
      </c>
      <c r="H26" s="28" t="n">
        <v>322.28</v>
      </c>
    </row>
    <row r="27">
      <c r="A27" s="26" t="n">
        <v>46285</v>
      </c>
      <c r="B27" s="27" t="inlineStr">
        <is>
          <t>TV01</t>
        </is>
      </c>
      <c r="C27" s="27" t="inlineStr">
        <is>
          <t>TV model 1</t>
        </is>
      </c>
      <c r="D27" s="27" t="inlineStr">
        <is>
          <t>TV</t>
        </is>
      </c>
      <c r="E27" s="27" t="n">
        <v>2</v>
      </c>
      <c r="F27" s="28" t="n">
        <v>2809.71</v>
      </c>
      <c r="G27" s="28" t="n">
        <v>2558</v>
      </c>
      <c r="H27" s="28" t="n">
        <v>251.71</v>
      </c>
    </row>
    <row r="28">
      <c r="A28" s="26" t="n">
        <v>46110</v>
      </c>
      <c r="B28" s="27" t="inlineStr">
        <is>
          <t>TV02</t>
        </is>
      </c>
      <c r="C28" s="27" t="inlineStr">
        <is>
          <t>TV model 2</t>
        </is>
      </c>
      <c r="D28" s="27" t="inlineStr">
        <is>
          <t>TV</t>
        </is>
      </c>
      <c r="E28" s="27" t="n">
        <v>6</v>
      </c>
      <c r="F28" s="28" t="n">
        <v>9138.09</v>
      </c>
      <c r="G28" s="28" t="n">
        <v>7200</v>
      </c>
      <c r="H28" s="28" t="n">
        <v>1938.09</v>
      </c>
    </row>
    <row r="29">
      <c r="A29" s="26" t="n">
        <v>46117</v>
      </c>
      <c r="B29" s="27" t="inlineStr">
        <is>
          <t>TV02</t>
        </is>
      </c>
      <c r="C29" s="27" t="inlineStr">
        <is>
          <t>TV model 2</t>
        </is>
      </c>
      <c r="D29" s="27" t="inlineStr">
        <is>
          <t>TV</t>
        </is>
      </c>
      <c r="E29" s="27" t="n">
        <v>3</v>
      </c>
      <c r="F29" s="28" t="n">
        <v>4477.58</v>
      </c>
      <c r="G29" s="28" t="n">
        <v>3600</v>
      </c>
      <c r="H29" s="28" t="n">
        <v>877.58</v>
      </c>
    </row>
    <row r="30">
      <c r="A30" s="26" t="n">
        <v>46124</v>
      </c>
      <c r="B30" s="27" t="inlineStr">
        <is>
          <t>TV02</t>
        </is>
      </c>
      <c r="C30" s="27" t="inlineStr">
        <is>
          <t>TV model 2</t>
        </is>
      </c>
      <c r="D30" s="27" t="inlineStr">
        <is>
          <t>TV</t>
        </is>
      </c>
      <c r="E30" s="27" t="n">
        <v>9</v>
      </c>
      <c r="F30" s="28" t="n">
        <v>13362.18</v>
      </c>
      <c r="G30" s="28" t="n">
        <v>10800</v>
      </c>
      <c r="H30" s="28" t="n">
        <v>2562.18</v>
      </c>
    </row>
    <row r="31">
      <c r="A31" s="26" t="n">
        <v>46131</v>
      </c>
      <c r="B31" s="27" t="inlineStr">
        <is>
          <t>TV02</t>
        </is>
      </c>
      <c r="C31" s="27" t="inlineStr">
        <is>
          <t>TV model 2</t>
        </is>
      </c>
      <c r="D31" s="27" t="inlineStr">
        <is>
          <t>TV</t>
        </is>
      </c>
      <c r="E31" s="27" t="n">
        <v>9</v>
      </c>
      <c r="F31" s="28" t="n">
        <v>12750.27</v>
      </c>
      <c r="G31" s="28" t="n">
        <v>10800</v>
      </c>
      <c r="H31" s="28" t="n">
        <v>1950.27</v>
      </c>
    </row>
    <row r="32">
      <c r="A32" s="26" t="n">
        <v>46138</v>
      </c>
      <c r="B32" s="27" t="inlineStr">
        <is>
          <t>TV02</t>
        </is>
      </c>
      <c r="C32" s="27" t="inlineStr">
        <is>
          <t>TV model 2</t>
        </is>
      </c>
      <c r="D32" s="27" t="inlineStr">
        <is>
          <t>TV</t>
        </is>
      </c>
      <c r="E32" s="27" t="n">
        <v>8</v>
      </c>
      <c r="F32" s="28" t="n">
        <v>11587.75</v>
      </c>
      <c r="G32" s="28" t="n">
        <v>9600</v>
      </c>
      <c r="H32" s="28" t="n">
        <v>1987.75</v>
      </c>
    </row>
    <row r="33">
      <c r="A33" s="26" t="n">
        <v>46145</v>
      </c>
      <c r="B33" s="27" t="inlineStr">
        <is>
          <t>TV02</t>
        </is>
      </c>
      <c r="C33" s="27" t="inlineStr">
        <is>
          <t>TV model 2</t>
        </is>
      </c>
      <c r="D33" s="27" t="inlineStr">
        <is>
          <t>TV</t>
        </is>
      </c>
      <c r="E33" s="27" t="n">
        <v>6</v>
      </c>
      <c r="F33" s="28" t="n">
        <v>8571.139999999999</v>
      </c>
      <c r="G33" s="28" t="n">
        <v>7200</v>
      </c>
      <c r="H33" s="28" t="n">
        <v>1371.14</v>
      </c>
    </row>
    <row r="34">
      <c r="A34" s="26" t="n">
        <v>46152</v>
      </c>
      <c r="B34" s="27" t="inlineStr">
        <is>
          <t>TV02</t>
        </is>
      </c>
      <c r="C34" s="27" t="inlineStr">
        <is>
          <t>TV model 2</t>
        </is>
      </c>
      <c r="D34" s="27" t="inlineStr">
        <is>
          <t>TV</t>
        </is>
      </c>
      <c r="E34" s="27" t="n">
        <v>6</v>
      </c>
      <c r="F34" s="28" t="n">
        <v>8861.48</v>
      </c>
      <c r="G34" s="28" t="n">
        <v>7200</v>
      </c>
      <c r="H34" s="28" t="n">
        <v>1661.48</v>
      </c>
    </row>
    <row r="35">
      <c r="A35" s="26" t="n">
        <v>46159</v>
      </c>
      <c r="B35" s="27" t="inlineStr">
        <is>
          <t>TV02</t>
        </is>
      </c>
      <c r="C35" s="27" t="inlineStr">
        <is>
          <t>TV model 2</t>
        </is>
      </c>
      <c r="D35" s="27" t="inlineStr">
        <is>
          <t>TV</t>
        </is>
      </c>
      <c r="E35" s="27" t="n">
        <v>3</v>
      </c>
      <c r="F35" s="28" t="n">
        <v>4457.56</v>
      </c>
      <c r="G35" s="28" t="n">
        <v>3600</v>
      </c>
      <c r="H35" s="28" t="n">
        <v>857.5599999999999</v>
      </c>
    </row>
    <row r="36">
      <c r="A36" s="26" t="n">
        <v>46166</v>
      </c>
      <c r="B36" s="27" t="inlineStr">
        <is>
          <t>TV02</t>
        </is>
      </c>
      <c r="C36" s="27" t="inlineStr">
        <is>
          <t>TV model 2</t>
        </is>
      </c>
      <c r="D36" s="27" t="inlineStr">
        <is>
          <t>TV</t>
        </is>
      </c>
      <c r="E36" s="27" t="n">
        <v>7</v>
      </c>
      <c r="F36" s="28" t="n">
        <v>10215.48</v>
      </c>
      <c r="G36" s="28" t="n">
        <v>8400</v>
      </c>
      <c r="H36" s="28" t="n">
        <v>1815.48</v>
      </c>
    </row>
    <row r="37">
      <c r="A37" s="26" t="n">
        <v>46173</v>
      </c>
      <c r="B37" s="27" t="inlineStr">
        <is>
          <t>TV02</t>
        </is>
      </c>
      <c r="C37" s="27" t="inlineStr">
        <is>
          <t>TV model 2</t>
        </is>
      </c>
      <c r="D37" s="27" t="inlineStr">
        <is>
          <t>TV</t>
        </is>
      </c>
      <c r="E37" s="27" t="n">
        <v>6</v>
      </c>
      <c r="F37" s="28" t="n">
        <v>8600.26</v>
      </c>
      <c r="G37" s="28" t="n">
        <v>7200</v>
      </c>
      <c r="H37" s="28" t="n">
        <v>1400.26</v>
      </c>
    </row>
    <row r="38">
      <c r="A38" s="26" t="n">
        <v>46180</v>
      </c>
      <c r="B38" s="27" t="inlineStr">
        <is>
          <t>TV02</t>
        </is>
      </c>
      <c r="C38" s="27" t="inlineStr">
        <is>
          <t>TV model 2</t>
        </is>
      </c>
      <c r="D38" s="27" t="inlineStr">
        <is>
          <t>TV</t>
        </is>
      </c>
      <c r="E38" s="27" t="n">
        <v>7</v>
      </c>
      <c r="F38" s="28" t="n">
        <v>10195.23</v>
      </c>
      <c r="G38" s="28" t="n">
        <v>8400</v>
      </c>
      <c r="H38" s="28" t="n">
        <v>1795.23</v>
      </c>
    </row>
    <row r="39">
      <c r="A39" s="26" t="n">
        <v>46187</v>
      </c>
      <c r="B39" s="27" t="inlineStr">
        <is>
          <t>TV02</t>
        </is>
      </c>
      <c r="C39" s="27" t="inlineStr">
        <is>
          <t>TV model 2</t>
        </is>
      </c>
      <c r="D39" s="27" t="inlineStr">
        <is>
          <t>TV</t>
        </is>
      </c>
      <c r="E39" s="27" t="n">
        <v>13</v>
      </c>
      <c r="F39" s="28" t="n">
        <v>18346.73</v>
      </c>
      <c r="G39" s="28" t="n">
        <v>15600</v>
      </c>
      <c r="H39" s="28" t="n">
        <v>2746.73</v>
      </c>
    </row>
    <row r="40">
      <c r="A40" s="26" t="n">
        <v>46194</v>
      </c>
      <c r="B40" s="27" t="inlineStr">
        <is>
          <t>TV02</t>
        </is>
      </c>
      <c r="C40" s="27" t="inlineStr">
        <is>
          <t>TV model 2</t>
        </is>
      </c>
      <c r="D40" s="27" t="inlineStr">
        <is>
          <t>TV</t>
        </is>
      </c>
      <c r="E40" s="27" t="n">
        <v>6</v>
      </c>
      <c r="F40" s="28" t="n">
        <v>8685.08</v>
      </c>
      <c r="G40" s="28" t="n">
        <v>7200</v>
      </c>
      <c r="H40" s="28" t="n">
        <v>1485.08</v>
      </c>
    </row>
    <row r="41">
      <c r="A41" s="26" t="n">
        <v>46201</v>
      </c>
      <c r="B41" s="27" t="inlineStr">
        <is>
          <t>TV02</t>
        </is>
      </c>
      <c r="C41" s="27" t="inlineStr">
        <is>
          <t>TV model 2</t>
        </is>
      </c>
      <c r="D41" s="27" t="inlineStr">
        <is>
          <t>TV</t>
        </is>
      </c>
      <c r="E41" s="27" t="n">
        <v>9</v>
      </c>
      <c r="F41" s="28" t="n">
        <v>12293.9</v>
      </c>
      <c r="G41" s="28" t="n">
        <v>10800</v>
      </c>
      <c r="H41" s="28" t="n">
        <v>1493.9</v>
      </c>
    </row>
    <row r="42">
      <c r="A42" s="26" t="n">
        <v>46208</v>
      </c>
      <c r="B42" s="27" t="inlineStr">
        <is>
          <t>TV02</t>
        </is>
      </c>
      <c r="C42" s="27" t="inlineStr">
        <is>
          <t>TV model 2</t>
        </is>
      </c>
      <c r="D42" s="27" t="inlineStr">
        <is>
          <t>TV</t>
        </is>
      </c>
      <c r="E42" s="27" t="n">
        <v>6</v>
      </c>
      <c r="F42" s="28" t="n">
        <v>8663.209999999999</v>
      </c>
      <c r="G42" s="28" t="n">
        <v>7200</v>
      </c>
      <c r="H42" s="28" t="n">
        <v>1463.21</v>
      </c>
    </row>
    <row r="43">
      <c r="A43" s="26" t="n">
        <v>46215</v>
      </c>
      <c r="B43" s="27" t="inlineStr">
        <is>
          <t>TV02</t>
        </is>
      </c>
      <c r="C43" s="27" t="inlineStr">
        <is>
          <t>TV model 2</t>
        </is>
      </c>
      <c r="D43" s="27" t="inlineStr">
        <is>
          <t>TV</t>
        </is>
      </c>
      <c r="E43" s="27" t="n">
        <v>4</v>
      </c>
      <c r="F43" s="28" t="n">
        <v>5507.76</v>
      </c>
      <c r="G43" s="28" t="n">
        <v>4800</v>
      </c>
      <c r="H43" s="28" t="n">
        <v>707.76</v>
      </c>
    </row>
    <row r="44">
      <c r="A44" s="26" t="n">
        <v>46222</v>
      </c>
      <c r="B44" s="27" t="inlineStr">
        <is>
          <t>TV02</t>
        </is>
      </c>
      <c r="C44" s="27" t="inlineStr">
        <is>
          <t>TV model 2</t>
        </is>
      </c>
      <c r="D44" s="27" t="inlineStr">
        <is>
          <t>TV</t>
        </is>
      </c>
      <c r="E44" s="27" t="n">
        <v>7</v>
      </c>
      <c r="F44" s="28" t="n">
        <v>9654.23</v>
      </c>
      <c r="G44" s="28" t="n">
        <v>8400</v>
      </c>
      <c r="H44" s="28" t="n">
        <v>1254.23</v>
      </c>
    </row>
    <row r="45">
      <c r="A45" s="26" t="n">
        <v>46229</v>
      </c>
      <c r="B45" s="27" t="inlineStr">
        <is>
          <t>TV02</t>
        </is>
      </c>
      <c r="C45" s="27" t="inlineStr">
        <is>
          <t>TV model 2</t>
        </is>
      </c>
      <c r="D45" s="27" t="inlineStr">
        <is>
          <t>TV</t>
        </is>
      </c>
      <c r="E45" s="27" t="n">
        <v>2</v>
      </c>
      <c r="F45" s="28" t="n">
        <v>2768.49</v>
      </c>
      <c r="G45" s="28" t="n">
        <v>2400</v>
      </c>
      <c r="H45" s="28" t="n">
        <v>368.49</v>
      </c>
    </row>
    <row r="46">
      <c r="A46" s="26" t="n">
        <v>46236</v>
      </c>
      <c r="B46" s="27" t="inlineStr">
        <is>
          <t>TV02</t>
        </is>
      </c>
      <c r="C46" s="27" t="inlineStr">
        <is>
          <t>TV model 2</t>
        </is>
      </c>
      <c r="D46" s="27" t="inlineStr">
        <is>
          <t>TV</t>
        </is>
      </c>
      <c r="E46" s="27" t="n">
        <v>4</v>
      </c>
      <c r="F46" s="28" t="n">
        <v>5579.8</v>
      </c>
      <c r="G46" s="28" t="n">
        <v>4800</v>
      </c>
      <c r="H46" s="28" t="n">
        <v>779.8</v>
      </c>
    </row>
    <row r="47">
      <c r="A47" s="26" t="n">
        <v>46243</v>
      </c>
      <c r="B47" s="27" t="inlineStr">
        <is>
          <t>TV02</t>
        </is>
      </c>
      <c r="C47" s="27" t="inlineStr">
        <is>
          <t>TV model 2</t>
        </is>
      </c>
      <c r="D47" s="27" t="inlineStr">
        <is>
          <t>TV</t>
        </is>
      </c>
      <c r="E47" s="27" t="n">
        <v>8</v>
      </c>
      <c r="F47" s="28" t="n">
        <v>10720.97</v>
      </c>
      <c r="G47" s="28" t="n">
        <v>9600</v>
      </c>
      <c r="H47" s="28" t="n">
        <v>1120.97</v>
      </c>
    </row>
    <row r="48">
      <c r="A48" s="26" t="n">
        <v>46250</v>
      </c>
      <c r="B48" s="27" t="inlineStr">
        <is>
          <t>TV02</t>
        </is>
      </c>
      <c r="C48" s="27" t="inlineStr">
        <is>
          <t>TV model 2</t>
        </is>
      </c>
      <c r="D48" s="27" t="inlineStr">
        <is>
          <t>TV</t>
        </is>
      </c>
      <c r="E48" s="27" t="n">
        <v>6</v>
      </c>
      <c r="F48" s="28" t="n">
        <v>8200.41</v>
      </c>
      <c r="G48" s="28" t="n">
        <v>7200</v>
      </c>
      <c r="H48" s="28" t="n">
        <v>1000.41</v>
      </c>
    </row>
    <row r="49">
      <c r="A49" s="26" t="n">
        <v>46257</v>
      </c>
      <c r="B49" s="27" t="inlineStr">
        <is>
          <t>TV02</t>
        </is>
      </c>
      <c r="C49" s="27" t="inlineStr">
        <is>
          <t>TV model 2</t>
        </is>
      </c>
      <c r="D49" s="27" t="inlineStr">
        <is>
          <t>TV</t>
        </is>
      </c>
      <c r="E49" s="27" t="n">
        <v>5</v>
      </c>
      <c r="F49" s="28" t="n">
        <v>6670.8</v>
      </c>
      <c r="G49" s="28" t="n">
        <v>6000</v>
      </c>
      <c r="H49" s="28" t="n">
        <v>670.8</v>
      </c>
    </row>
    <row r="50">
      <c r="A50" s="26" t="n">
        <v>46264</v>
      </c>
      <c r="B50" s="27" t="inlineStr">
        <is>
          <t>TV02</t>
        </is>
      </c>
      <c r="C50" s="27" t="inlineStr">
        <is>
          <t>TV model 2</t>
        </is>
      </c>
      <c r="D50" s="27" t="inlineStr">
        <is>
          <t>TV</t>
        </is>
      </c>
      <c r="E50" s="27" t="n">
        <v>11</v>
      </c>
      <c r="F50" s="28" t="n">
        <v>14535.27</v>
      </c>
      <c r="G50" s="28" t="n">
        <v>13200</v>
      </c>
      <c r="H50" s="28" t="n">
        <v>1335.27</v>
      </c>
    </row>
    <row r="51">
      <c r="A51" s="26" t="n">
        <v>46271</v>
      </c>
      <c r="B51" s="27" t="inlineStr">
        <is>
          <t>TV02</t>
        </is>
      </c>
      <c r="C51" s="27" t="inlineStr">
        <is>
          <t>TV model 2</t>
        </is>
      </c>
      <c r="D51" s="27" t="inlineStr">
        <is>
          <t>TV</t>
        </is>
      </c>
      <c r="E51" s="27" t="n">
        <v>6</v>
      </c>
      <c r="F51" s="28" t="n">
        <v>8362.76</v>
      </c>
      <c r="G51" s="28" t="n">
        <v>7200</v>
      </c>
      <c r="H51" s="28" t="n">
        <v>1162.76</v>
      </c>
    </row>
    <row r="52">
      <c r="A52" s="26" t="n">
        <v>46278</v>
      </c>
      <c r="B52" s="27" t="inlineStr">
        <is>
          <t>TV02</t>
        </is>
      </c>
      <c r="C52" s="27" t="inlineStr">
        <is>
          <t>TV model 2</t>
        </is>
      </c>
      <c r="D52" s="27" t="inlineStr">
        <is>
          <t>TV</t>
        </is>
      </c>
      <c r="E52" s="27" t="n">
        <v>11</v>
      </c>
      <c r="F52" s="28" t="n">
        <v>14947.4</v>
      </c>
      <c r="G52" s="28" t="n">
        <v>13200</v>
      </c>
      <c r="H52" s="28" t="n">
        <v>1747.4</v>
      </c>
    </row>
    <row r="53">
      <c r="A53" s="26" t="n">
        <v>46285</v>
      </c>
      <c r="B53" s="27" t="inlineStr">
        <is>
          <t>TV02</t>
        </is>
      </c>
      <c r="C53" s="27" t="inlineStr">
        <is>
          <t>TV model 2</t>
        </is>
      </c>
      <c r="D53" s="27" t="inlineStr">
        <is>
          <t>TV</t>
        </is>
      </c>
      <c r="E53" s="27" t="n">
        <v>5</v>
      </c>
      <c r="F53" s="28" t="n">
        <v>6904.14</v>
      </c>
      <c r="G53" s="28" t="n">
        <v>6000</v>
      </c>
      <c r="H53" s="28" t="n">
        <v>904.14</v>
      </c>
    </row>
    <row r="54">
      <c r="A54" s="26" t="n">
        <v>46110</v>
      </c>
      <c r="B54" s="27" t="inlineStr">
        <is>
          <t>TV03</t>
        </is>
      </c>
      <c r="C54" s="27" t="inlineStr">
        <is>
          <t>TV model 3</t>
        </is>
      </c>
      <c r="D54" s="27" t="inlineStr">
        <is>
          <t>TV</t>
        </is>
      </c>
      <c r="E54" s="27" t="n">
        <v>6</v>
      </c>
      <c r="F54" s="28" t="n">
        <v>8006.39</v>
      </c>
      <c r="G54" s="28" t="n">
        <v>6492</v>
      </c>
      <c r="H54" s="28" t="n">
        <v>1514.39</v>
      </c>
    </row>
    <row r="55">
      <c r="A55" s="26" t="n">
        <v>46117</v>
      </c>
      <c r="B55" s="27" t="inlineStr">
        <is>
          <t>TV03</t>
        </is>
      </c>
      <c r="C55" s="27" t="inlineStr">
        <is>
          <t>TV model 3</t>
        </is>
      </c>
      <c r="D55" s="27" t="inlineStr">
        <is>
          <t>TV</t>
        </is>
      </c>
      <c r="E55" s="27" t="n">
        <v>5</v>
      </c>
      <c r="F55" s="28" t="n">
        <v>6868.49</v>
      </c>
      <c r="G55" s="28" t="n">
        <v>5410</v>
      </c>
      <c r="H55" s="28" t="n">
        <v>1458.49</v>
      </c>
    </row>
    <row r="56">
      <c r="A56" s="26" t="n">
        <v>46124</v>
      </c>
      <c r="B56" s="27" t="inlineStr">
        <is>
          <t>TV03</t>
        </is>
      </c>
      <c r="C56" s="27" t="inlineStr">
        <is>
          <t>TV model 3</t>
        </is>
      </c>
      <c r="D56" s="27" t="inlineStr">
        <is>
          <t>TV</t>
        </is>
      </c>
      <c r="E56" s="27" t="n">
        <v>11</v>
      </c>
      <c r="F56" s="28" t="n">
        <v>14746.73</v>
      </c>
      <c r="G56" s="28" t="n">
        <v>11902</v>
      </c>
      <c r="H56" s="28" t="n">
        <v>2844.73</v>
      </c>
    </row>
    <row r="57">
      <c r="A57" s="26" t="n">
        <v>46131</v>
      </c>
      <c r="B57" s="27" t="inlineStr">
        <is>
          <t>TV03</t>
        </is>
      </c>
      <c r="C57" s="27" t="inlineStr">
        <is>
          <t>TV model 3</t>
        </is>
      </c>
      <c r="D57" s="27" t="inlineStr">
        <is>
          <t>TV</t>
        </is>
      </c>
      <c r="E57" s="27" t="n">
        <v>10</v>
      </c>
      <c r="F57" s="28" t="n">
        <v>13278.59</v>
      </c>
      <c r="G57" s="28" t="n">
        <v>10820</v>
      </c>
      <c r="H57" s="28" t="n">
        <v>2458.59</v>
      </c>
    </row>
    <row r="58">
      <c r="A58" s="26" t="n">
        <v>46138</v>
      </c>
      <c r="B58" s="27" t="inlineStr">
        <is>
          <t>TV03</t>
        </is>
      </c>
      <c r="C58" s="27" t="inlineStr">
        <is>
          <t>TV model 3</t>
        </is>
      </c>
      <c r="D58" s="27" t="inlineStr">
        <is>
          <t>TV</t>
        </is>
      </c>
      <c r="E58" s="27" t="n">
        <v>7</v>
      </c>
      <c r="F58" s="28" t="n">
        <v>9373.120000000001</v>
      </c>
      <c r="G58" s="28" t="n">
        <v>7574</v>
      </c>
      <c r="H58" s="28" t="n">
        <v>1799.12</v>
      </c>
    </row>
    <row r="59">
      <c r="A59" s="26" t="n">
        <v>46145</v>
      </c>
      <c r="B59" s="27" t="inlineStr">
        <is>
          <t>TV03</t>
        </is>
      </c>
      <c r="C59" s="27" t="inlineStr">
        <is>
          <t>TV model 3</t>
        </is>
      </c>
      <c r="D59" s="27" t="inlineStr">
        <is>
          <t>TV</t>
        </is>
      </c>
      <c r="E59" s="27" t="n">
        <v>6</v>
      </c>
      <c r="F59" s="28" t="n">
        <v>7943.19</v>
      </c>
      <c r="G59" s="28" t="n">
        <v>6492</v>
      </c>
      <c r="H59" s="28" t="n">
        <v>1451.19</v>
      </c>
    </row>
    <row r="60">
      <c r="A60" s="26" t="n">
        <v>46152</v>
      </c>
      <c r="B60" s="27" t="inlineStr">
        <is>
          <t>TV03</t>
        </is>
      </c>
      <c r="C60" s="27" t="inlineStr">
        <is>
          <t>TV model 3</t>
        </is>
      </c>
      <c r="D60" s="27" t="inlineStr">
        <is>
          <t>TV</t>
        </is>
      </c>
      <c r="E60" s="27" t="n">
        <v>9</v>
      </c>
      <c r="F60" s="28" t="n">
        <v>12259.91</v>
      </c>
      <c r="G60" s="28" t="n">
        <v>9738</v>
      </c>
      <c r="H60" s="28" t="n">
        <v>2521.91</v>
      </c>
    </row>
    <row r="61">
      <c r="A61" s="26" t="n">
        <v>46159</v>
      </c>
      <c r="B61" s="27" t="inlineStr">
        <is>
          <t>TV03</t>
        </is>
      </c>
      <c r="C61" s="27" t="inlineStr">
        <is>
          <t>TV model 3</t>
        </is>
      </c>
      <c r="D61" s="27" t="inlineStr">
        <is>
          <t>TV</t>
        </is>
      </c>
      <c r="E61" s="27" t="n">
        <v>8</v>
      </c>
      <c r="F61" s="28" t="n">
        <v>10502</v>
      </c>
      <c r="G61" s="28" t="n">
        <v>8656</v>
      </c>
      <c r="H61" s="28" t="n">
        <v>1846</v>
      </c>
    </row>
    <row r="62">
      <c r="A62" s="26" t="n">
        <v>46166</v>
      </c>
      <c r="B62" s="27" t="inlineStr">
        <is>
          <t>TV03</t>
        </is>
      </c>
      <c r="C62" s="27" t="inlineStr">
        <is>
          <t>TV model 3</t>
        </is>
      </c>
      <c r="D62" s="27" t="inlineStr">
        <is>
          <t>TV</t>
        </is>
      </c>
      <c r="E62" s="27" t="n">
        <v>5</v>
      </c>
      <c r="F62" s="28" t="n">
        <v>6726.28</v>
      </c>
      <c r="G62" s="28" t="n">
        <v>5410</v>
      </c>
      <c r="H62" s="28" t="n">
        <v>1316.28</v>
      </c>
    </row>
    <row r="63">
      <c r="A63" s="26" t="n">
        <v>46173</v>
      </c>
      <c r="B63" s="27" t="inlineStr">
        <is>
          <t>TV03</t>
        </is>
      </c>
      <c r="C63" s="27" t="inlineStr">
        <is>
          <t>TV model 3</t>
        </is>
      </c>
      <c r="D63" s="27" t="inlineStr">
        <is>
          <t>TV</t>
        </is>
      </c>
      <c r="E63" s="27" t="n">
        <v>6</v>
      </c>
      <c r="F63" s="28" t="n">
        <v>8004.28</v>
      </c>
      <c r="G63" s="28" t="n">
        <v>6492</v>
      </c>
      <c r="H63" s="28" t="n">
        <v>1512.28</v>
      </c>
    </row>
    <row r="64">
      <c r="A64" s="26" t="n">
        <v>46180</v>
      </c>
      <c r="B64" s="27" t="inlineStr">
        <is>
          <t>TV03</t>
        </is>
      </c>
      <c r="C64" s="27" t="inlineStr">
        <is>
          <t>TV model 3</t>
        </is>
      </c>
      <c r="D64" s="27" t="inlineStr">
        <is>
          <t>TV</t>
        </is>
      </c>
      <c r="E64" s="27" t="n">
        <v>7</v>
      </c>
      <c r="F64" s="28" t="n">
        <v>9069.07</v>
      </c>
      <c r="G64" s="28" t="n">
        <v>7574</v>
      </c>
      <c r="H64" s="28" t="n">
        <v>1495.07</v>
      </c>
    </row>
    <row r="65">
      <c r="A65" s="26" t="n">
        <v>46187</v>
      </c>
      <c r="B65" s="27" t="inlineStr">
        <is>
          <t>TV03</t>
        </is>
      </c>
      <c r="C65" s="27" t="inlineStr">
        <is>
          <t>TV model 3</t>
        </is>
      </c>
      <c r="D65" s="27" t="inlineStr">
        <is>
          <t>TV</t>
        </is>
      </c>
      <c r="E65" s="27" t="n">
        <v>5</v>
      </c>
      <c r="F65" s="28" t="n">
        <v>6499.15</v>
      </c>
      <c r="G65" s="28" t="n">
        <v>5410</v>
      </c>
      <c r="H65" s="28" t="n">
        <v>1089.15</v>
      </c>
    </row>
    <row r="66">
      <c r="A66" s="26" t="n">
        <v>46194</v>
      </c>
      <c r="B66" s="27" t="inlineStr">
        <is>
          <t>TV03</t>
        </is>
      </c>
      <c r="C66" s="27" t="inlineStr">
        <is>
          <t>TV model 3</t>
        </is>
      </c>
      <c r="D66" s="27" t="inlineStr">
        <is>
          <t>TV</t>
        </is>
      </c>
      <c r="E66" s="27" t="n">
        <v>10</v>
      </c>
      <c r="F66" s="28" t="n">
        <v>12807.07</v>
      </c>
      <c r="G66" s="28" t="n">
        <v>10820</v>
      </c>
      <c r="H66" s="28" t="n">
        <v>1987.07</v>
      </c>
    </row>
    <row r="67">
      <c r="A67" s="26" t="n">
        <v>46201</v>
      </c>
      <c r="B67" s="27" t="inlineStr">
        <is>
          <t>TV03</t>
        </is>
      </c>
      <c r="C67" s="27" t="inlineStr">
        <is>
          <t>TV model 3</t>
        </is>
      </c>
      <c r="D67" s="27" t="inlineStr">
        <is>
          <t>TV</t>
        </is>
      </c>
      <c r="E67" s="27" t="n">
        <v>4</v>
      </c>
      <c r="F67" s="28" t="n">
        <v>5168.95</v>
      </c>
      <c r="G67" s="28" t="n">
        <v>4328</v>
      </c>
      <c r="H67" s="28" t="n">
        <v>840.95</v>
      </c>
    </row>
    <row r="68">
      <c r="A68" s="26" t="n">
        <v>46208</v>
      </c>
      <c r="B68" s="27" t="inlineStr">
        <is>
          <t>TV03</t>
        </is>
      </c>
      <c r="C68" s="27" t="inlineStr">
        <is>
          <t>TV model 3</t>
        </is>
      </c>
      <c r="D68" s="27" t="inlineStr">
        <is>
          <t>TV</t>
        </is>
      </c>
      <c r="E68" s="27" t="n">
        <v>3</v>
      </c>
      <c r="F68" s="28" t="n">
        <v>3925.27</v>
      </c>
      <c r="G68" s="28" t="n">
        <v>3246</v>
      </c>
      <c r="H68" s="28" t="n">
        <v>679.27</v>
      </c>
    </row>
    <row r="69">
      <c r="A69" s="26" t="n">
        <v>46215</v>
      </c>
      <c r="B69" s="27" t="inlineStr">
        <is>
          <t>TV03</t>
        </is>
      </c>
      <c r="C69" s="27" t="inlineStr">
        <is>
          <t>TV model 3</t>
        </is>
      </c>
      <c r="D69" s="27" t="inlineStr">
        <is>
          <t>TV</t>
        </is>
      </c>
      <c r="E69" s="27" t="n">
        <v>2</v>
      </c>
      <c r="F69" s="28" t="n">
        <v>2573.97</v>
      </c>
      <c r="G69" s="28" t="n">
        <v>2164</v>
      </c>
      <c r="H69" s="28" t="n">
        <v>409.97</v>
      </c>
    </row>
    <row r="70">
      <c r="A70" s="26" t="n">
        <v>46222</v>
      </c>
      <c r="B70" s="27" t="inlineStr">
        <is>
          <t>TV03</t>
        </is>
      </c>
      <c r="C70" s="27" t="inlineStr">
        <is>
          <t>TV model 3</t>
        </is>
      </c>
      <c r="D70" s="27" t="inlineStr">
        <is>
          <t>TV</t>
        </is>
      </c>
      <c r="E70" s="27" t="n">
        <v>7</v>
      </c>
      <c r="F70" s="28" t="n">
        <v>9409.030000000001</v>
      </c>
      <c r="G70" s="28" t="n">
        <v>7574</v>
      </c>
      <c r="H70" s="28" t="n">
        <v>1835.03</v>
      </c>
    </row>
    <row r="71">
      <c r="A71" s="26" t="n">
        <v>46229</v>
      </c>
      <c r="B71" s="27" t="inlineStr">
        <is>
          <t>TV03</t>
        </is>
      </c>
      <c r="C71" s="27" t="inlineStr">
        <is>
          <t>TV model 3</t>
        </is>
      </c>
      <c r="D71" s="27" t="inlineStr">
        <is>
          <t>TV</t>
        </is>
      </c>
      <c r="E71" s="27" t="n">
        <v>7</v>
      </c>
      <c r="F71" s="28" t="n">
        <v>8878.35</v>
      </c>
      <c r="G71" s="28" t="n">
        <v>7574</v>
      </c>
      <c r="H71" s="28" t="n">
        <v>1304.35</v>
      </c>
    </row>
    <row r="72">
      <c r="A72" s="26" t="n">
        <v>46236</v>
      </c>
      <c r="B72" s="27" t="inlineStr">
        <is>
          <t>TV03</t>
        </is>
      </c>
      <c r="C72" s="27" t="inlineStr">
        <is>
          <t>TV model 3</t>
        </is>
      </c>
      <c r="D72" s="27" t="inlineStr">
        <is>
          <t>TV</t>
        </is>
      </c>
      <c r="E72" s="27" t="n">
        <v>8</v>
      </c>
      <c r="F72" s="28" t="n">
        <v>10764.68</v>
      </c>
      <c r="G72" s="28" t="n">
        <v>8656</v>
      </c>
      <c r="H72" s="28" t="n">
        <v>2108.68</v>
      </c>
    </row>
    <row r="73">
      <c r="A73" s="26" t="n">
        <v>46243</v>
      </c>
      <c r="B73" s="27" t="inlineStr">
        <is>
          <t>TV03</t>
        </is>
      </c>
      <c r="C73" s="27" t="inlineStr">
        <is>
          <t>TV model 3</t>
        </is>
      </c>
      <c r="D73" s="27" t="inlineStr">
        <is>
          <t>TV</t>
        </is>
      </c>
      <c r="E73" s="27" t="n">
        <v>3</v>
      </c>
      <c r="F73" s="28" t="n">
        <v>3965.9</v>
      </c>
      <c r="G73" s="28" t="n">
        <v>3246</v>
      </c>
      <c r="H73" s="28" t="n">
        <v>719.9</v>
      </c>
    </row>
    <row r="74">
      <c r="A74" s="26" t="n">
        <v>46250</v>
      </c>
      <c r="B74" s="27" t="inlineStr">
        <is>
          <t>TV03</t>
        </is>
      </c>
      <c r="C74" s="27" t="inlineStr">
        <is>
          <t>TV model 3</t>
        </is>
      </c>
      <c r="D74" s="27" t="inlineStr">
        <is>
          <t>TV</t>
        </is>
      </c>
      <c r="E74" s="27" t="n">
        <v>6</v>
      </c>
      <c r="F74" s="28" t="n">
        <v>7614.39</v>
      </c>
      <c r="G74" s="28" t="n">
        <v>6492</v>
      </c>
      <c r="H74" s="28" t="n">
        <v>1122.39</v>
      </c>
    </row>
    <row r="75">
      <c r="A75" s="26" t="n">
        <v>46257</v>
      </c>
      <c r="B75" s="27" t="inlineStr">
        <is>
          <t>TV03</t>
        </is>
      </c>
      <c r="C75" s="27" t="inlineStr">
        <is>
          <t>TV model 3</t>
        </is>
      </c>
      <c r="D75" s="27" t="inlineStr">
        <is>
          <t>TV</t>
        </is>
      </c>
      <c r="E75" s="27" t="n">
        <v>8</v>
      </c>
      <c r="F75" s="28" t="n">
        <v>10590.38</v>
      </c>
      <c r="G75" s="28" t="n">
        <v>8656</v>
      </c>
      <c r="H75" s="28" t="n">
        <v>1934.38</v>
      </c>
    </row>
    <row r="76">
      <c r="A76" s="26" t="n">
        <v>46264</v>
      </c>
      <c r="B76" s="27" t="inlineStr">
        <is>
          <t>TV03</t>
        </is>
      </c>
      <c r="C76" s="27" t="inlineStr">
        <is>
          <t>TV model 3</t>
        </is>
      </c>
      <c r="D76" s="27" t="inlineStr">
        <is>
          <t>TV</t>
        </is>
      </c>
      <c r="E76" s="27" t="n">
        <v>5</v>
      </c>
      <c r="F76" s="28" t="n">
        <v>6680.24</v>
      </c>
      <c r="G76" s="28" t="n">
        <v>5410</v>
      </c>
      <c r="H76" s="28" t="n">
        <v>1270.24</v>
      </c>
    </row>
    <row r="77">
      <c r="A77" s="26" t="n">
        <v>46271</v>
      </c>
      <c r="B77" s="27" t="inlineStr">
        <is>
          <t>TV03</t>
        </is>
      </c>
      <c r="C77" s="27" t="inlineStr">
        <is>
          <t>TV model 3</t>
        </is>
      </c>
      <c r="D77" s="27" t="inlineStr">
        <is>
          <t>TV</t>
        </is>
      </c>
      <c r="E77" s="27" t="n">
        <v>4</v>
      </c>
      <c r="F77" s="28" t="n">
        <v>5177.16</v>
      </c>
      <c r="G77" s="28" t="n">
        <v>4328</v>
      </c>
      <c r="H77" s="28" t="n">
        <v>849.16</v>
      </c>
    </row>
    <row r="78">
      <c r="A78" s="26" t="n">
        <v>46278</v>
      </c>
      <c r="B78" s="27" t="inlineStr">
        <is>
          <t>TV03</t>
        </is>
      </c>
      <c r="C78" s="27" t="inlineStr">
        <is>
          <t>TV model 3</t>
        </is>
      </c>
      <c r="D78" s="27" t="inlineStr">
        <is>
          <t>TV</t>
        </is>
      </c>
      <c r="E78" s="27" t="n">
        <v>3</v>
      </c>
      <c r="F78" s="28" t="n">
        <v>3808.92</v>
      </c>
      <c r="G78" s="28" t="n">
        <v>3246</v>
      </c>
      <c r="H78" s="28" t="n">
        <v>562.92</v>
      </c>
    </row>
    <row r="79">
      <c r="A79" s="26" t="n">
        <v>46285</v>
      </c>
      <c r="B79" s="27" t="inlineStr">
        <is>
          <t>TV03</t>
        </is>
      </c>
      <c r="C79" s="27" t="inlineStr">
        <is>
          <t>TV model 3</t>
        </is>
      </c>
      <c r="D79" s="27" t="inlineStr">
        <is>
          <t>TV</t>
        </is>
      </c>
      <c r="E79" s="27" t="n">
        <v>10</v>
      </c>
      <c r="F79" s="28" t="n">
        <v>13097.96</v>
      </c>
      <c r="G79" s="28" t="n">
        <v>10820</v>
      </c>
      <c r="H79" s="28" t="n">
        <v>2277.96</v>
      </c>
    </row>
    <row r="80">
      <c r="A80" s="26" t="n">
        <v>46110</v>
      </c>
      <c r="B80" s="27" t="inlineStr">
        <is>
          <t>TV04</t>
        </is>
      </c>
      <c r="C80" s="27" t="inlineStr">
        <is>
          <t>TV model 4</t>
        </is>
      </c>
      <c r="D80" s="27" t="inlineStr">
        <is>
          <t>TV</t>
        </is>
      </c>
      <c r="E80" s="27" t="n">
        <v>9</v>
      </c>
      <c r="F80" s="28" t="n">
        <v>11468.66</v>
      </c>
      <c r="G80" s="28" t="n">
        <v>9567</v>
      </c>
      <c r="H80" s="28" t="n">
        <v>1901.66</v>
      </c>
    </row>
    <row r="81">
      <c r="A81" s="26" t="n">
        <v>46117</v>
      </c>
      <c r="B81" s="27" t="inlineStr">
        <is>
          <t>TV04</t>
        </is>
      </c>
      <c r="C81" s="27" t="inlineStr">
        <is>
          <t>TV model 4</t>
        </is>
      </c>
      <c r="D81" s="27" t="inlineStr">
        <is>
          <t>TV</t>
        </is>
      </c>
      <c r="E81" s="27" t="n">
        <v>3</v>
      </c>
      <c r="F81" s="28" t="n">
        <v>3928.21</v>
      </c>
      <c r="G81" s="28" t="n">
        <v>3189</v>
      </c>
      <c r="H81" s="28" t="n">
        <v>739.21</v>
      </c>
    </row>
    <row r="82">
      <c r="A82" s="26" t="n">
        <v>46124</v>
      </c>
      <c r="B82" s="27" t="inlineStr">
        <is>
          <t>TV04</t>
        </is>
      </c>
      <c r="C82" s="27" t="inlineStr">
        <is>
          <t>TV model 4</t>
        </is>
      </c>
      <c r="D82" s="27" t="inlineStr">
        <is>
          <t>TV</t>
        </is>
      </c>
      <c r="E82" s="27" t="n">
        <v>6</v>
      </c>
      <c r="F82" s="28" t="n">
        <v>7650.14</v>
      </c>
      <c r="G82" s="28" t="n">
        <v>6378</v>
      </c>
      <c r="H82" s="28" t="n">
        <v>1272.14</v>
      </c>
    </row>
    <row r="83">
      <c r="A83" s="26" t="n">
        <v>46131</v>
      </c>
      <c r="B83" s="27" t="inlineStr">
        <is>
          <t>TV04</t>
        </is>
      </c>
      <c r="C83" s="27" t="inlineStr">
        <is>
          <t>TV model 4</t>
        </is>
      </c>
      <c r="D83" s="27" t="inlineStr">
        <is>
          <t>TV</t>
        </is>
      </c>
      <c r="E83" s="27" t="n">
        <v>7</v>
      </c>
      <c r="F83" s="28" t="n">
        <v>9175.450000000001</v>
      </c>
      <c r="G83" s="28" t="n">
        <v>7441</v>
      </c>
      <c r="H83" s="28" t="n">
        <v>1734.45</v>
      </c>
    </row>
    <row r="84">
      <c r="A84" s="26" t="n">
        <v>46138</v>
      </c>
      <c r="B84" s="27" t="inlineStr">
        <is>
          <t>TV04</t>
        </is>
      </c>
      <c r="C84" s="27" t="inlineStr">
        <is>
          <t>TV model 4</t>
        </is>
      </c>
      <c r="D84" s="27" t="inlineStr">
        <is>
          <t>TV</t>
        </is>
      </c>
      <c r="E84" s="27" t="n">
        <v>6</v>
      </c>
      <c r="F84" s="28" t="n">
        <v>8106.95</v>
      </c>
      <c r="G84" s="28" t="n">
        <v>6378</v>
      </c>
      <c r="H84" s="28" t="n">
        <v>1728.95</v>
      </c>
    </row>
    <row r="85">
      <c r="A85" s="26" t="n">
        <v>46145</v>
      </c>
      <c r="B85" s="27" t="inlineStr">
        <is>
          <t>TV04</t>
        </is>
      </c>
      <c r="C85" s="27" t="inlineStr">
        <is>
          <t>TV model 4</t>
        </is>
      </c>
      <c r="D85" s="27" t="inlineStr">
        <is>
          <t>TV</t>
        </is>
      </c>
      <c r="E85" s="27" t="n">
        <v>3</v>
      </c>
      <c r="F85" s="28" t="n">
        <v>3795.6</v>
      </c>
      <c r="G85" s="28" t="n">
        <v>3189</v>
      </c>
      <c r="H85" s="28" t="n">
        <v>606.6</v>
      </c>
    </row>
    <row r="86">
      <c r="A86" s="26" t="n">
        <v>46152</v>
      </c>
      <c r="B86" s="27" t="inlineStr">
        <is>
          <t>TV04</t>
        </is>
      </c>
      <c r="C86" s="27" t="inlineStr">
        <is>
          <t>TV model 4</t>
        </is>
      </c>
      <c r="D86" s="27" t="inlineStr">
        <is>
          <t>TV</t>
        </is>
      </c>
      <c r="E86" s="27" t="n">
        <v>10</v>
      </c>
      <c r="F86" s="28" t="n">
        <v>13106.19</v>
      </c>
      <c r="G86" s="28" t="n">
        <v>10630</v>
      </c>
      <c r="H86" s="28" t="n">
        <v>2476.19</v>
      </c>
    </row>
    <row r="87">
      <c r="A87" s="26" t="n">
        <v>46159</v>
      </c>
      <c r="B87" s="27" t="inlineStr">
        <is>
          <t>TV04</t>
        </is>
      </c>
      <c r="C87" s="27" t="inlineStr">
        <is>
          <t>TV model 4</t>
        </is>
      </c>
      <c r="D87" s="27" t="inlineStr">
        <is>
          <t>TV</t>
        </is>
      </c>
      <c r="E87" s="27" t="n">
        <v>7</v>
      </c>
      <c r="F87" s="28" t="n">
        <v>8953.91</v>
      </c>
      <c r="G87" s="28" t="n">
        <v>7441</v>
      </c>
      <c r="H87" s="28" t="n">
        <v>1512.91</v>
      </c>
    </row>
    <row r="88">
      <c r="A88" s="26" t="n">
        <v>46166</v>
      </c>
      <c r="B88" s="27" t="inlineStr">
        <is>
          <t>TV04</t>
        </is>
      </c>
      <c r="C88" s="27" t="inlineStr">
        <is>
          <t>TV model 4</t>
        </is>
      </c>
      <c r="D88" s="27" t="inlineStr">
        <is>
          <t>TV</t>
        </is>
      </c>
      <c r="E88" s="27" t="n">
        <v>7</v>
      </c>
      <c r="F88" s="28" t="n">
        <v>8926.799999999999</v>
      </c>
      <c r="G88" s="28" t="n">
        <v>7441</v>
      </c>
      <c r="H88" s="28" t="n">
        <v>1485.8</v>
      </c>
    </row>
    <row r="89">
      <c r="A89" s="26" t="n">
        <v>46173</v>
      </c>
      <c r="B89" s="27" t="inlineStr">
        <is>
          <t>TV04</t>
        </is>
      </c>
      <c r="C89" s="27" t="inlineStr">
        <is>
          <t>TV model 4</t>
        </is>
      </c>
      <c r="D89" s="27" t="inlineStr">
        <is>
          <t>TV</t>
        </is>
      </c>
      <c r="E89" s="27" t="n">
        <v>5</v>
      </c>
      <c r="F89" s="28" t="n">
        <v>6470.09</v>
      </c>
      <c r="G89" s="28" t="n">
        <v>5315</v>
      </c>
      <c r="H89" s="28" t="n">
        <v>1155.09</v>
      </c>
    </row>
    <row r="90">
      <c r="A90" s="26" t="n">
        <v>46180</v>
      </c>
      <c r="B90" s="27" t="inlineStr">
        <is>
          <t>TV04</t>
        </is>
      </c>
      <c r="C90" s="27" t="inlineStr">
        <is>
          <t>TV model 4</t>
        </is>
      </c>
      <c r="D90" s="27" t="inlineStr">
        <is>
          <t>TV</t>
        </is>
      </c>
      <c r="E90" s="27" t="n">
        <v>6</v>
      </c>
      <c r="F90" s="28" t="n">
        <v>7567.23</v>
      </c>
      <c r="G90" s="28" t="n">
        <v>6378</v>
      </c>
      <c r="H90" s="28" t="n">
        <v>1189.23</v>
      </c>
    </row>
    <row r="91">
      <c r="A91" s="26" t="n">
        <v>46187</v>
      </c>
      <c r="B91" s="27" t="inlineStr">
        <is>
          <t>TV04</t>
        </is>
      </c>
      <c r="C91" s="27" t="inlineStr">
        <is>
          <t>TV model 4</t>
        </is>
      </c>
      <c r="D91" s="27" t="inlineStr">
        <is>
          <t>TV</t>
        </is>
      </c>
      <c r="E91" s="27" t="n">
        <v>7</v>
      </c>
      <c r="F91" s="28" t="n">
        <v>9294.33</v>
      </c>
      <c r="G91" s="28" t="n">
        <v>7441</v>
      </c>
      <c r="H91" s="28" t="n">
        <v>1853.33</v>
      </c>
    </row>
    <row r="92">
      <c r="A92" s="26" t="n">
        <v>46194</v>
      </c>
      <c r="B92" s="27" t="inlineStr">
        <is>
          <t>TV04</t>
        </is>
      </c>
      <c r="C92" s="27" t="inlineStr">
        <is>
          <t>TV model 4</t>
        </is>
      </c>
      <c r="D92" s="27" t="inlineStr">
        <is>
          <t>TV</t>
        </is>
      </c>
      <c r="E92" s="27" t="n">
        <v>5</v>
      </c>
      <c r="F92" s="28" t="n">
        <v>6353.96</v>
      </c>
      <c r="G92" s="28" t="n">
        <v>5315</v>
      </c>
      <c r="H92" s="28" t="n">
        <v>1038.96</v>
      </c>
    </row>
    <row r="93">
      <c r="A93" s="26" t="n">
        <v>46201</v>
      </c>
      <c r="B93" s="27" t="inlineStr">
        <is>
          <t>TV04</t>
        </is>
      </c>
      <c r="C93" s="27" t="inlineStr">
        <is>
          <t>TV model 4</t>
        </is>
      </c>
      <c r="D93" s="27" t="inlineStr">
        <is>
          <t>TV</t>
        </is>
      </c>
      <c r="E93" s="27" t="n">
        <v>2</v>
      </c>
      <c r="F93" s="28" t="n">
        <v>2571.41</v>
      </c>
      <c r="G93" s="28" t="n">
        <v>2126</v>
      </c>
      <c r="H93" s="28" t="n">
        <v>445.41</v>
      </c>
    </row>
    <row r="94">
      <c r="A94" s="26" t="n">
        <v>46208</v>
      </c>
      <c r="B94" s="27" t="inlineStr">
        <is>
          <t>TV04</t>
        </is>
      </c>
      <c r="C94" s="27" t="inlineStr">
        <is>
          <t>TV model 4</t>
        </is>
      </c>
      <c r="D94" s="27" t="inlineStr">
        <is>
          <t>TV</t>
        </is>
      </c>
      <c r="E94" s="27" t="n">
        <v>4</v>
      </c>
      <c r="F94" s="28" t="n">
        <v>5243.39</v>
      </c>
      <c r="G94" s="28" t="n">
        <v>4252</v>
      </c>
      <c r="H94" s="28" t="n">
        <v>991.39</v>
      </c>
    </row>
    <row r="95">
      <c r="A95" s="26" t="n">
        <v>46215</v>
      </c>
      <c r="B95" s="27" t="inlineStr">
        <is>
          <t>TV04</t>
        </is>
      </c>
      <c r="C95" s="27" t="inlineStr">
        <is>
          <t>TV model 4</t>
        </is>
      </c>
      <c r="D95" s="27" t="inlineStr">
        <is>
          <t>TV</t>
        </is>
      </c>
      <c r="E95" s="27" t="n">
        <v>8</v>
      </c>
      <c r="F95" s="28" t="n">
        <v>10011.61</v>
      </c>
      <c r="G95" s="28" t="n">
        <v>8504</v>
      </c>
      <c r="H95" s="28" t="n">
        <v>1507.61</v>
      </c>
    </row>
    <row r="96">
      <c r="A96" s="26" t="n">
        <v>46222</v>
      </c>
      <c r="B96" s="27" t="inlineStr">
        <is>
          <t>TV04</t>
        </is>
      </c>
      <c r="C96" s="27" t="inlineStr">
        <is>
          <t>TV model 4</t>
        </is>
      </c>
      <c r="D96" s="27" t="inlineStr">
        <is>
          <t>TV</t>
        </is>
      </c>
      <c r="E96" s="27" t="n">
        <v>6</v>
      </c>
      <c r="F96" s="28" t="n">
        <v>7962.44</v>
      </c>
      <c r="G96" s="28" t="n">
        <v>6378</v>
      </c>
      <c r="H96" s="28" t="n">
        <v>1584.44</v>
      </c>
    </row>
    <row r="97">
      <c r="A97" s="26" t="n">
        <v>46229</v>
      </c>
      <c r="B97" s="27" t="inlineStr">
        <is>
          <t>TV04</t>
        </is>
      </c>
      <c r="C97" s="27" t="inlineStr">
        <is>
          <t>TV model 4</t>
        </is>
      </c>
      <c r="D97" s="27" t="inlineStr">
        <is>
          <t>TV</t>
        </is>
      </c>
      <c r="E97" s="27" t="n">
        <v>4</v>
      </c>
      <c r="F97" s="28" t="n">
        <v>5061.82</v>
      </c>
      <c r="G97" s="28" t="n">
        <v>4252</v>
      </c>
      <c r="H97" s="28" t="n">
        <v>809.8200000000001</v>
      </c>
    </row>
    <row r="98">
      <c r="A98" s="26" t="n">
        <v>46236</v>
      </c>
      <c r="B98" s="27" t="inlineStr">
        <is>
          <t>TV04</t>
        </is>
      </c>
      <c r="C98" s="27" t="inlineStr">
        <is>
          <t>TV model 4</t>
        </is>
      </c>
      <c r="D98" s="27" t="inlineStr">
        <is>
          <t>TV</t>
        </is>
      </c>
      <c r="E98" s="27" t="n">
        <v>4</v>
      </c>
      <c r="F98" s="28" t="n">
        <v>5142.01</v>
      </c>
      <c r="G98" s="28" t="n">
        <v>4252</v>
      </c>
      <c r="H98" s="28" t="n">
        <v>890.01</v>
      </c>
    </row>
    <row r="99">
      <c r="A99" s="26" t="n">
        <v>46243</v>
      </c>
      <c r="B99" s="27" t="inlineStr">
        <is>
          <t>TV04</t>
        </is>
      </c>
      <c r="C99" s="27" t="inlineStr">
        <is>
          <t>TV model 4</t>
        </is>
      </c>
      <c r="D99" s="27" t="inlineStr">
        <is>
          <t>TV</t>
        </is>
      </c>
      <c r="E99" s="27" t="n">
        <v>11</v>
      </c>
      <c r="F99" s="28" t="n">
        <v>14000.86</v>
      </c>
      <c r="G99" s="28" t="n">
        <v>11693</v>
      </c>
      <c r="H99" s="28" t="n">
        <v>2307.86</v>
      </c>
    </row>
    <row r="100">
      <c r="A100" s="26" t="n">
        <v>46250</v>
      </c>
      <c r="B100" s="27" t="inlineStr">
        <is>
          <t>TV04</t>
        </is>
      </c>
      <c r="C100" s="27" t="inlineStr">
        <is>
          <t>TV model 4</t>
        </is>
      </c>
      <c r="D100" s="27" t="inlineStr">
        <is>
          <t>TV</t>
        </is>
      </c>
      <c r="E100" s="27" t="n">
        <v>10</v>
      </c>
      <c r="F100" s="28" t="n">
        <v>12418.76</v>
      </c>
      <c r="G100" s="28" t="n">
        <v>10630</v>
      </c>
      <c r="H100" s="28" t="n">
        <v>1788.76</v>
      </c>
    </row>
    <row r="101">
      <c r="A101" s="26" t="n">
        <v>46257</v>
      </c>
      <c r="B101" s="27" t="inlineStr">
        <is>
          <t>TV04</t>
        </is>
      </c>
      <c r="C101" s="27" t="inlineStr">
        <is>
          <t>TV model 4</t>
        </is>
      </c>
      <c r="D101" s="27" t="inlineStr">
        <is>
          <t>TV</t>
        </is>
      </c>
      <c r="E101" s="27" t="n">
        <v>6</v>
      </c>
      <c r="F101" s="28" t="n">
        <v>7516.26</v>
      </c>
      <c r="G101" s="28" t="n">
        <v>6378</v>
      </c>
      <c r="H101" s="28" t="n">
        <v>1138.26</v>
      </c>
    </row>
    <row r="102">
      <c r="A102" s="26" t="n">
        <v>46264</v>
      </c>
      <c r="B102" s="27" t="inlineStr">
        <is>
          <t>TV04</t>
        </is>
      </c>
      <c r="C102" s="27" t="inlineStr">
        <is>
          <t>TV model 4</t>
        </is>
      </c>
      <c r="D102" s="27" t="inlineStr">
        <is>
          <t>TV</t>
        </is>
      </c>
      <c r="E102" s="27" t="n">
        <v>6</v>
      </c>
      <c r="F102" s="28" t="n">
        <v>7736.57</v>
      </c>
      <c r="G102" s="28" t="n">
        <v>6378</v>
      </c>
      <c r="H102" s="28" t="n">
        <v>1358.57</v>
      </c>
    </row>
    <row r="103">
      <c r="A103" s="26" t="n">
        <v>46271</v>
      </c>
      <c r="B103" s="27" t="inlineStr">
        <is>
          <t>TV04</t>
        </is>
      </c>
      <c r="C103" s="27" t="inlineStr">
        <is>
          <t>TV model 4</t>
        </is>
      </c>
      <c r="D103" s="27" t="inlineStr">
        <is>
          <t>TV</t>
        </is>
      </c>
      <c r="E103" s="27" t="n">
        <v>4</v>
      </c>
      <c r="F103" s="28" t="n">
        <v>5105.82</v>
      </c>
      <c r="G103" s="28" t="n">
        <v>4252</v>
      </c>
      <c r="H103" s="28" t="n">
        <v>853.8200000000001</v>
      </c>
    </row>
    <row r="104">
      <c r="A104" s="26" t="n">
        <v>46278</v>
      </c>
      <c r="B104" s="27" t="inlineStr">
        <is>
          <t>TV04</t>
        </is>
      </c>
      <c r="C104" s="27" t="inlineStr">
        <is>
          <t>TV model 4</t>
        </is>
      </c>
      <c r="D104" s="27" t="inlineStr">
        <is>
          <t>TV</t>
        </is>
      </c>
      <c r="E104" s="27" t="n">
        <v>6</v>
      </c>
      <c r="F104" s="28" t="n">
        <v>7862.92</v>
      </c>
      <c r="G104" s="28" t="n">
        <v>6378</v>
      </c>
      <c r="H104" s="28" t="n">
        <v>1484.92</v>
      </c>
    </row>
    <row r="105">
      <c r="A105" s="26" t="n">
        <v>46285</v>
      </c>
      <c r="B105" s="27" t="inlineStr">
        <is>
          <t>TV04</t>
        </is>
      </c>
      <c r="C105" s="27" t="inlineStr">
        <is>
          <t>TV model 4</t>
        </is>
      </c>
      <c r="D105" s="27" t="inlineStr">
        <is>
          <t>TV</t>
        </is>
      </c>
      <c r="E105" s="27" t="n">
        <v>5</v>
      </c>
      <c r="F105" s="28" t="n">
        <v>6551.83</v>
      </c>
      <c r="G105" s="28" t="n">
        <v>5315</v>
      </c>
      <c r="H105" s="28" t="n">
        <v>1236.83</v>
      </c>
    </row>
    <row r="106">
      <c r="A106" s="26" t="n">
        <v>46110</v>
      </c>
      <c r="B106" s="27" t="inlineStr">
        <is>
          <t>TV05</t>
        </is>
      </c>
      <c r="C106" s="27" t="inlineStr">
        <is>
          <t>TV model 5</t>
        </is>
      </c>
      <c r="D106" s="27" t="inlineStr">
        <is>
          <t>TV</t>
        </is>
      </c>
      <c r="E106" s="27" t="n">
        <v>4</v>
      </c>
      <c r="F106" s="28" t="n">
        <v>3576.24</v>
      </c>
      <c r="G106" s="28" t="n">
        <v>2992</v>
      </c>
      <c r="H106" s="28" t="n">
        <v>584.24</v>
      </c>
    </row>
    <row r="107">
      <c r="A107" s="26" t="n">
        <v>46117</v>
      </c>
      <c r="B107" s="27" t="inlineStr">
        <is>
          <t>TV05</t>
        </is>
      </c>
      <c r="C107" s="27" t="inlineStr">
        <is>
          <t>TV model 5</t>
        </is>
      </c>
      <c r="D107" s="27" t="inlineStr">
        <is>
          <t>TV</t>
        </is>
      </c>
      <c r="E107" s="27" t="n">
        <v>4</v>
      </c>
      <c r="F107" s="28" t="n">
        <v>3560.76</v>
      </c>
      <c r="G107" s="28" t="n">
        <v>2992</v>
      </c>
      <c r="H107" s="28" t="n">
        <v>568.76</v>
      </c>
    </row>
    <row r="108">
      <c r="A108" s="26" t="n">
        <v>46124</v>
      </c>
      <c r="B108" s="27" t="inlineStr">
        <is>
          <t>TV05</t>
        </is>
      </c>
      <c r="C108" s="27" t="inlineStr">
        <is>
          <t>TV model 5</t>
        </is>
      </c>
      <c r="D108" s="27" t="inlineStr">
        <is>
          <t>TV</t>
        </is>
      </c>
      <c r="E108" s="27" t="n">
        <v>4</v>
      </c>
      <c r="F108" s="28" t="n">
        <v>3603.5</v>
      </c>
      <c r="G108" s="28" t="n">
        <v>2992</v>
      </c>
      <c r="H108" s="28" t="n">
        <v>611.5</v>
      </c>
    </row>
    <row r="109">
      <c r="A109" s="26" t="n">
        <v>46131</v>
      </c>
      <c r="B109" s="27" t="inlineStr">
        <is>
          <t>TV05</t>
        </is>
      </c>
      <c r="C109" s="27" t="inlineStr">
        <is>
          <t>TV model 5</t>
        </is>
      </c>
      <c r="D109" s="27" t="inlineStr">
        <is>
          <t>TV</t>
        </is>
      </c>
      <c r="E109" s="27" t="n">
        <v>5</v>
      </c>
      <c r="F109" s="28" t="n">
        <v>4477.64</v>
      </c>
      <c r="G109" s="28" t="n">
        <v>3740</v>
      </c>
      <c r="H109" s="28" t="n">
        <v>737.64</v>
      </c>
    </row>
    <row r="110">
      <c r="A110" s="26" t="n">
        <v>46138</v>
      </c>
      <c r="B110" s="27" t="inlineStr">
        <is>
          <t>TV05</t>
        </is>
      </c>
      <c r="C110" s="27" t="inlineStr">
        <is>
          <t>TV model 5</t>
        </is>
      </c>
      <c r="D110" s="27" t="inlineStr">
        <is>
          <t>TV</t>
        </is>
      </c>
      <c r="E110" s="27" t="n">
        <v>3</v>
      </c>
      <c r="F110" s="28" t="n">
        <v>2663.14</v>
      </c>
      <c r="G110" s="28" t="n">
        <v>2244</v>
      </c>
      <c r="H110" s="28" t="n">
        <v>419.14</v>
      </c>
    </row>
    <row r="111">
      <c r="A111" s="26" t="n">
        <v>46145</v>
      </c>
      <c r="B111" s="27" t="inlineStr">
        <is>
          <t>TV05</t>
        </is>
      </c>
      <c r="C111" s="27" t="inlineStr">
        <is>
          <t>TV model 5</t>
        </is>
      </c>
      <c r="D111" s="27" t="inlineStr">
        <is>
          <t>TV</t>
        </is>
      </c>
      <c r="E111" s="27" t="n">
        <v>7</v>
      </c>
      <c r="F111" s="28" t="n">
        <v>6163.24</v>
      </c>
      <c r="G111" s="28" t="n">
        <v>5236</v>
      </c>
      <c r="H111" s="28" t="n">
        <v>927.24</v>
      </c>
    </row>
    <row r="112">
      <c r="A112" s="26" t="n">
        <v>46152</v>
      </c>
      <c r="B112" s="27" t="inlineStr">
        <is>
          <t>TV05</t>
        </is>
      </c>
      <c r="C112" s="27" t="inlineStr">
        <is>
          <t>TV model 5</t>
        </is>
      </c>
      <c r="D112" s="27" t="inlineStr">
        <is>
          <t>TV</t>
        </is>
      </c>
      <c r="E112" s="27" t="n">
        <v>6</v>
      </c>
      <c r="F112" s="28" t="n">
        <v>5571.85</v>
      </c>
      <c r="G112" s="28" t="n">
        <v>4488</v>
      </c>
      <c r="H112" s="28" t="n">
        <v>1083.85</v>
      </c>
    </row>
    <row r="113">
      <c r="A113" s="26" t="n">
        <v>46159</v>
      </c>
      <c r="B113" s="27" t="inlineStr">
        <is>
          <t>TV05</t>
        </is>
      </c>
      <c r="C113" s="27" t="inlineStr">
        <is>
          <t>TV model 5</t>
        </is>
      </c>
      <c r="D113" s="27" t="inlineStr">
        <is>
          <t>TV</t>
        </is>
      </c>
      <c r="E113" s="27" t="n">
        <v>5</v>
      </c>
      <c r="F113" s="28" t="n">
        <v>4391.39</v>
      </c>
      <c r="G113" s="28" t="n">
        <v>3740</v>
      </c>
      <c r="H113" s="28" t="n">
        <v>651.39</v>
      </c>
    </row>
    <row r="114">
      <c r="A114" s="26" t="n">
        <v>46166</v>
      </c>
      <c r="B114" s="27" t="inlineStr">
        <is>
          <t>TV05</t>
        </is>
      </c>
      <c r="C114" s="27" t="inlineStr">
        <is>
          <t>TV model 5</t>
        </is>
      </c>
      <c r="D114" s="27" t="inlineStr">
        <is>
          <t>TV</t>
        </is>
      </c>
      <c r="E114" s="27" t="n">
        <v>6</v>
      </c>
      <c r="F114" s="28" t="n">
        <v>5375.88</v>
      </c>
      <c r="G114" s="28" t="n">
        <v>4488</v>
      </c>
      <c r="H114" s="28" t="n">
        <v>887.88</v>
      </c>
    </row>
    <row r="115">
      <c r="A115" s="26" t="n">
        <v>46173</v>
      </c>
      <c r="B115" s="27" t="inlineStr">
        <is>
          <t>TV05</t>
        </is>
      </c>
      <c r="C115" s="27" t="inlineStr">
        <is>
          <t>TV model 5</t>
        </is>
      </c>
      <c r="D115" s="27" t="inlineStr">
        <is>
          <t>TV</t>
        </is>
      </c>
      <c r="E115" s="27" t="n">
        <v>2</v>
      </c>
      <c r="F115" s="28" t="n">
        <v>1811.38</v>
      </c>
      <c r="G115" s="28" t="n">
        <v>1496</v>
      </c>
      <c r="H115" s="28" t="n">
        <v>315.38</v>
      </c>
    </row>
    <row r="116">
      <c r="A116" s="26" t="n">
        <v>46180</v>
      </c>
      <c r="B116" s="27" t="inlineStr">
        <is>
          <t>TV05</t>
        </is>
      </c>
      <c r="C116" s="27" t="inlineStr">
        <is>
          <t>TV model 5</t>
        </is>
      </c>
      <c r="D116" s="27" t="inlineStr">
        <is>
          <t>TV</t>
        </is>
      </c>
      <c r="E116" s="27" t="n">
        <v>7</v>
      </c>
      <c r="F116" s="28" t="n">
        <v>6012.88</v>
      </c>
      <c r="G116" s="28" t="n">
        <v>5236</v>
      </c>
      <c r="H116" s="28" t="n">
        <v>776.88</v>
      </c>
    </row>
    <row r="117">
      <c r="A117" s="26" t="n">
        <v>46187</v>
      </c>
      <c r="B117" s="27" t="inlineStr">
        <is>
          <t>TV05</t>
        </is>
      </c>
      <c r="C117" s="27" t="inlineStr">
        <is>
          <t>TV model 5</t>
        </is>
      </c>
      <c r="D117" s="27" t="inlineStr">
        <is>
          <t>TV</t>
        </is>
      </c>
      <c r="E117" s="27" t="n">
        <v>8</v>
      </c>
      <c r="F117" s="28" t="n">
        <v>6897.56</v>
      </c>
      <c r="G117" s="28" t="n">
        <v>5984</v>
      </c>
      <c r="H117" s="28" t="n">
        <v>913.5599999999999</v>
      </c>
    </row>
    <row r="118">
      <c r="A118" s="26" t="n">
        <v>46194</v>
      </c>
      <c r="B118" s="27" t="inlineStr">
        <is>
          <t>TV05</t>
        </is>
      </c>
      <c r="C118" s="27" t="inlineStr">
        <is>
          <t>TV model 5</t>
        </is>
      </c>
      <c r="D118" s="27" t="inlineStr">
        <is>
          <t>TV</t>
        </is>
      </c>
      <c r="E118" s="27" t="n">
        <v>7</v>
      </c>
      <c r="F118" s="28" t="n">
        <v>6254.66</v>
      </c>
      <c r="G118" s="28" t="n">
        <v>5236</v>
      </c>
      <c r="H118" s="28" t="n">
        <v>1018.66</v>
      </c>
    </row>
    <row r="119">
      <c r="A119" s="26" t="n">
        <v>46201</v>
      </c>
      <c r="B119" s="27" t="inlineStr">
        <is>
          <t>TV05</t>
        </is>
      </c>
      <c r="C119" s="27" t="inlineStr">
        <is>
          <t>TV model 5</t>
        </is>
      </c>
      <c r="D119" s="27" t="inlineStr">
        <is>
          <t>TV</t>
        </is>
      </c>
      <c r="E119" s="27" t="n">
        <v>4</v>
      </c>
      <c r="F119" s="28" t="n">
        <v>3490.43</v>
      </c>
      <c r="G119" s="28" t="n">
        <v>2992</v>
      </c>
      <c r="H119" s="28" t="n">
        <v>498.43</v>
      </c>
    </row>
    <row r="120">
      <c r="A120" s="26" t="n">
        <v>46208</v>
      </c>
      <c r="B120" s="27" t="inlineStr">
        <is>
          <t>TV05</t>
        </is>
      </c>
      <c r="C120" s="27" t="inlineStr">
        <is>
          <t>TV model 5</t>
        </is>
      </c>
      <c r="D120" s="27" t="inlineStr">
        <is>
          <t>TV</t>
        </is>
      </c>
      <c r="E120" s="27" t="n">
        <v>3</v>
      </c>
      <c r="F120" s="28" t="n">
        <v>2627.93</v>
      </c>
      <c r="G120" s="28" t="n">
        <v>2244</v>
      </c>
      <c r="H120" s="28" t="n">
        <v>383.93</v>
      </c>
    </row>
    <row r="121">
      <c r="A121" s="26" t="n">
        <v>46215</v>
      </c>
      <c r="B121" s="27" t="inlineStr">
        <is>
          <t>TV05</t>
        </is>
      </c>
      <c r="C121" s="27" t="inlineStr">
        <is>
          <t>TV model 5</t>
        </is>
      </c>
      <c r="D121" s="27" t="inlineStr">
        <is>
          <t>TV</t>
        </is>
      </c>
      <c r="E121" s="27" t="n">
        <v>7</v>
      </c>
      <c r="F121" s="28" t="n">
        <v>6072.88</v>
      </c>
      <c r="G121" s="28" t="n">
        <v>5236</v>
      </c>
      <c r="H121" s="28" t="n">
        <v>836.88</v>
      </c>
    </row>
    <row r="122">
      <c r="A122" s="26" t="n">
        <v>46222</v>
      </c>
      <c r="B122" s="27" t="inlineStr">
        <is>
          <t>TV05</t>
        </is>
      </c>
      <c r="C122" s="27" t="inlineStr">
        <is>
          <t>TV model 5</t>
        </is>
      </c>
      <c r="D122" s="27" t="inlineStr">
        <is>
          <t>TV</t>
        </is>
      </c>
      <c r="E122" s="27" t="n">
        <v>8</v>
      </c>
      <c r="F122" s="28" t="n">
        <v>7082.71</v>
      </c>
      <c r="G122" s="28" t="n">
        <v>5984</v>
      </c>
      <c r="H122" s="28" t="n">
        <v>1098.71</v>
      </c>
    </row>
    <row r="123">
      <c r="A123" s="26" t="n">
        <v>46229</v>
      </c>
      <c r="B123" s="27" t="inlineStr">
        <is>
          <t>TV05</t>
        </is>
      </c>
      <c r="C123" s="27" t="inlineStr">
        <is>
          <t>TV model 5</t>
        </is>
      </c>
      <c r="D123" s="27" t="inlineStr">
        <is>
          <t>TV</t>
        </is>
      </c>
      <c r="E123" s="27" t="n">
        <v>4</v>
      </c>
      <c r="F123" s="28" t="n">
        <v>3480.15</v>
      </c>
      <c r="G123" s="28" t="n">
        <v>2992</v>
      </c>
      <c r="H123" s="28" t="n">
        <v>488.15</v>
      </c>
    </row>
    <row r="124">
      <c r="A124" s="26" t="n">
        <v>46236</v>
      </c>
      <c r="B124" s="27" t="inlineStr">
        <is>
          <t>TV05</t>
        </is>
      </c>
      <c r="C124" s="27" t="inlineStr">
        <is>
          <t>TV model 5</t>
        </is>
      </c>
      <c r="D124" s="27" t="inlineStr">
        <is>
          <t>TV</t>
        </is>
      </c>
      <c r="E124" s="27" t="n">
        <v>8</v>
      </c>
      <c r="F124" s="28" t="n">
        <v>7052.97</v>
      </c>
      <c r="G124" s="28" t="n">
        <v>5984</v>
      </c>
      <c r="H124" s="28" t="n">
        <v>1068.97</v>
      </c>
    </row>
    <row r="125">
      <c r="A125" s="26" t="n">
        <v>46243</v>
      </c>
      <c r="B125" s="27" t="inlineStr">
        <is>
          <t>TV05</t>
        </is>
      </c>
      <c r="C125" s="27" t="inlineStr">
        <is>
          <t>TV model 5</t>
        </is>
      </c>
      <c r="D125" s="27" t="inlineStr">
        <is>
          <t>TV</t>
        </is>
      </c>
      <c r="E125" s="27" t="n">
        <v>6</v>
      </c>
      <c r="F125" s="28" t="n">
        <v>4991.25</v>
      </c>
      <c r="G125" s="28" t="n">
        <v>4488</v>
      </c>
      <c r="H125" s="28" t="n">
        <v>503.25</v>
      </c>
    </row>
    <row r="126">
      <c r="A126" s="26" t="n">
        <v>46250</v>
      </c>
      <c r="B126" s="27" t="inlineStr">
        <is>
          <t>TV05</t>
        </is>
      </c>
      <c r="C126" s="27" t="inlineStr">
        <is>
          <t>TV model 5</t>
        </is>
      </c>
      <c r="D126" s="27" t="inlineStr">
        <is>
          <t>TV</t>
        </is>
      </c>
      <c r="E126" s="27" t="n">
        <v>3</v>
      </c>
      <c r="F126" s="28" t="n">
        <v>2509.91</v>
      </c>
      <c r="G126" s="28" t="n">
        <v>2244</v>
      </c>
      <c r="H126" s="28" t="n">
        <v>265.91</v>
      </c>
    </row>
    <row r="127">
      <c r="A127" s="26" t="n">
        <v>46257</v>
      </c>
      <c r="B127" s="27" t="inlineStr">
        <is>
          <t>TV05</t>
        </is>
      </c>
      <c r="C127" s="27" t="inlineStr">
        <is>
          <t>TV model 5</t>
        </is>
      </c>
      <c r="D127" s="27" t="inlineStr">
        <is>
          <t>TV</t>
        </is>
      </c>
      <c r="E127" s="27" t="n">
        <v>4</v>
      </c>
      <c r="F127" s="28" t="n">
        <v>3317.73</v>
      </c>
      <c r="G127" s="28" t="n">
        <v>2992</v>
      </c>
      <c r="H127" s="28" t="n">
        <v>325.73</v>
      </c>
    </row>
    <row r="128">
      <c r="A128" s="26" t="n">
        <v>46264</v>
      </c>
      <c r="B128" s="27" t="inlineStr">
        <is>
          <t>TV05</t>
        </is>
      </c>
      <c r="C128" s="27" t="inlineStr">
        <is>
          <t>TV model 5</t>
        </is>
      </c>
      <c r="D128" s="27" t="inlineStr">
        <is>
          <t>TV</t>
        </is>
      </c>
      <c r="E128" s="27" t="n">
        <v>6</v>
      </c>
      <c r="F128" s="28" t="n">
        <v>4992.97</v>
      </c>
      <c r="G128" s="28" t="n">
        <v>4488</v>
      </c>
      <c r="H128" s="28" t="n">
        <v>504.97</v>
      </c>
    </row>
    <row r="129">
      <c r="A129" s="26" t="n">
        <v>46271</v>
      </c>
      <c r="B129" s="27" t="inlineStr">
        <is>
          <t>TV05</t>
        </is>
      </c>
      <c r="C129" s="27" t="inlineStr">
        <is>
          <t>TV model 5</t>
        </is>
      </c>
      <c r="D129" s="27" t="inlineStr">
        <is>
          <t>TV</t>
        </is>
      </c>
      <c r="E129" s="27" t="n">
        <v>6</v>
      </c>
      <c r="F129" s="28" t="n">
        <v>5220.21</v>
      </c>
      <c r="G129" s="28" t="n">
        <v>4488</v>
      </c>
      <c r="H129" s="28" t="n">
        <v>732.21</v>
      </c>
    </row>
    <row r="130">
      <c r="A130" s="26" t="n">
        <v>46278</v>
      </c>
      <c r="B130" s="27" t="inlineStr">
        <is>
          <t>TV05</t>
        </is>
      </c>
      <c r="C130" s="27" t="inlineStr">
        <is>
          <t>TV model 5</t>
        </is>
      </c>
      <c r="D130" s="27" t="inlineStr">
        <is>
          <t>TV</t>
        </is>
      </c>
      <c r="E130" s="27" t="n">
        <v>3</v>
      </c>
      <c r="F130" s="28" t="n">
        <v>2447.65</v>
      </c>
      <c r="G130" s="28" t="n">
        <v>2244</v>
      </c>
      <c r="H130" s="28" t="n">
        <v>203.65</v>
      </c>
    </row>
    <row r="131">
      <c r="A131" s="26" t="n">
        <v>46285</v>
      </c>
      <c r="B131" s="27" t="inlineStr">
        <is>
          <t>TV05</t>
        </is>
      </c>
      <c r="C131" s="27" t="inlineStr">
        <is>
          <t>TV model 5</t>
        </is>
      </c>
      <c r="D131" s="27" t="inlineStr">
        <is>
          <t>TV</t>
        </is>
      </c>
      <c r="E131" s="27" t="n">
        <v>3</v>
      </c>
      <c r="F131" s="28" t="n">
        <v>2465.26</v>
      </c>
      <c r="G131" s="28" t="n">
        <v>2244</v>
      </c>
      <c r="H131" s="28" t="n">
        <v>221.26</v>
      </c>
    </row>
    <row r="132">
      <c r="A132" s="26" t="n">
        <v>46110</v>
      </c>
      <c r="B132" s="27" t="inlineStr">
        <is>
          <t>TV06</t>
        </is>
      </c>
      <c r="C132" s="27" t="inlineStr">
        <is>
          <t>TV model 6</t>
        </is>
      </c>
      <c r="D132" s="27" t="inlineStr">
        <is>
          <t>TV</t>
        </is>
      </c>
      <c r="E132" s="27" t="n">
        <v>1</v>
      </c>
      <c r="F132" s="28" t="n">
        <v>1797.83</v>
      </c>
      <c r="G132" s="28" t="n">
        <v>1449</v>
      </c>
      <c r="H132" s="28" t="n">
        <v>348.83</v>
      </c>
    </row>
    <row r="133">
      <c r="A133" s="26" t="n">
        <v>46117</v>
      </c>
      <c r="B133" s="27" t="inlineStr">
        <is>
          <t>TV06</t>
        </is>
      </c>
      <c r="C133" s="27" t="inlineStr">
        <is>
          <t>TV model 6</t>
        </is>
      </c>
      <c r="D133" s="27" t="inlineStr">
        <is>
          <t>TV</t>
        </is>
      </c>
      <c r="E133" s="27" t="n">
        <v>3</v>
      </c>
      <c r="F133" s="28" t="n">
        <v>5359.86</v>
      </c>
      <c r="G133" s="28" t="n">
        <v>4347</v>
      </c>
      <c r="H133" s="28" t="n">
        <v>1012.86</v>
      </c>
    </row>
    <row r="134">
      <c r="A134" s="26" t="n">
        <v>46124</v>
      </c>
      <c r="B134" s="27" t="inlineStr">
        <is>
          <t>TV06</t>
        </is>
      </c>
      <c r="C134" s="27" t="inlineStr">
        <is>
          <t>TV model 6</t>
        </is>
      </c>
      <c r="D134" s="27" t="inlineStr">
        <is>
          <t>TV</t>
        </is>
      </c>
      <c r="E134" s="27" t="n">
        <v>1</v>
      </c>
      <c r="F134" s="28" t="n">
        <v>1812.41</v>
      </c>
      <c r="G134" s="28" t="n">
        <v>1449</v>
      </c>
      <c r="H134" s="28" t="n">
        <v>363.41</v>
      </c>
    </row>
    <row r="135">
      <c r="A135" s="26" t="n">
        <v>46131</v>
      </c>
      <c r="B135" s="27" t="inlineStr">
        <is>
          <t>TV06</t>
        </is>
      </c>
      <c r="C135" s="27" t="inlineStr">
        <is>
          <t>TV model 6</t>
        </is>
      </c>
      <c r="D135" s="27" t="inlineStr">
        <is>
          <t>TV</t>
        </is>
      </c>
      <c r="E135" s="27" t="n">
        <v>4</v>
      </c>
      <c r="F135" s="28" t="n">
        <v>7039.76</v>
      </c>
      <c r="G135" s="28" t="n">
        <v>5796</v>
      </c>
      <c r="H135" s="28" t="n">
        <v>1243.76</v>
      </c>
    </row>
    <row r="136">
      <c r="A136" s="26" t="n">
        <v>46138</v>
      </c>
      <c r="B136" s="27" t="inlineStr">
        <is>
          <t>TV06</t>
        </is>
      </c>
      <c r="C136" s="27" t="inlineStr">
        <is>
          <t>TV model 6</t>
        </is>
      </c>
      <c r="D136" s="27" t="inlineStr">
        <is>
          <t>TV</t>
        </is>
      </c>
      <c r="E136" s="27" t="n">
        <v>2</v>
      </c>
      <c r="F136" s="28" t="n">
        <v>3583.4</v>
      </c>
      <c r="G136" s="28" t="n">
        <v>2898</v>
      </c>
      <c r="H136" s="28" t="n">
        <v>685.4</v>
      </c>
    </row>
    <row r="137">
      <c r="A137" s="26" t="n">
        <v>46145</v>
      </c>
      <c r="B137" s="27" t="inlineStr">
        <is>
          <t>TV06</t>
        </is>
      </c>
      <c r="C137" s="27" t="inlineStr">
        <is>
          <t>TV model 6</t>
        </is>
      </c>
      <c r="D137" s="27" t="inlineStr">
        <is>
          <t>TV</t>
        </is>
      </c>
      <c r="E137" s="27" t="n">
        <v>3</v>
      </c>
      <c r="F137" s="28" t="n">
        <v>5187.29</v>
      </c>
      <c r="G137" s="28" t="n">
        <v>4347</v>
      </c>
      <c r="H137" s="28" t="n">
        <v>840.29</v>
      </c>
    </row>
    <row r="138">
      <c r="A138" s="26" t="n">
        <v>46152</v>
      </c>
      <c r="B138" s="27" t="inlineStr">
        <is>
          <t>TV06</t>
        </is>
      </c>
      <c r="C138" s="27" t="inlineStr">
        <is>
          <t>TV model 6</t>
        </is>
      </c>
      <c r="D138" s="27" t="inlineStr">
        <is>
          <t>TV</t>
        </is>
      </c>
      <c r="E138" s="27" t="n">
        <v>3</v>
      </c>
      <c r="F138" s="28" t="n">
        <v>5413.85</v>
      </c>
      <c r="G138" s="28" t="n">
        <v>4347</v>
      </c>
      <c r="H138" s="28" t="n">
        <v>1066.85</v>
      </c>
    </row>
    <row r="139">
      <c r="A139" s="26" t="n">
        <v>46159</v>
      </c>
      <c r="B139" s="27" t="inlineStr">
        <is>
          <t>TV06</t>
        </is>
      </c>
      <c r="C139" s="27" t="inlineStr">
        <is>
          <t>TV model 6</t>
        </is>
      </c>
      <c r="D139" s="27" t="inlineStr">
        <is>
          <t>TV</t>
        </is>
      </c>
      <c r="E139" s="27" t="n">
        <v>1</v>
      </c>
      <c r="F139" s="28" t="n">
        <v>1804.69</v>
      </c>
      <c r="G139" s="28" t="n">
        <v>1449</v>
      </c>
      <c r="H139" s="28" t="n">
        <v>355.69</v>
      </c>
    </row>
    <row r="140">
      <c r="A140" s="26" t="n">
        <v>46166</v>
      </c>
      <c r="B140" s="27" t="inlineStr">
        <is>
          <t>TV06</t>
        </is>
      </c>
      <c r="C140" s="27" t="inlineStr">
        <is>
          <t>TV model 6</t>
        </is>
      </c>
      <c r="D140" s="27" t="inlineStr">
        <is>
          <t>TV</t>
        </is>
      </c>
      <c r="E140" s="27" t="n">
        <v>1</v>
      </c>
      <c r="F140" s="28" t="n">
        <v>1734.65</v>
      </c>
      <c r="G140" s="28" t="n">
        <v>1449</v>
      </c>
      <c r="H140" s="28" t="n">
        <v>285.65</v>
      </c>
    </row>
    <row r="141">
      <c r="A141" s="26" t="n">
        <v>46173</v>
      </c>
      <c r="B141" s="27" t="inlineStr">
        <is>
          <t>TV06</t>
        </is>
      </c>
      <c r="C141" s="27" t="inlineStr">
        <is>
          <t>TV model 6</t>
        </is>
      </c>
      <c r="D141" s="27" t="inlineStr">
        <is>
          <t>TV</t>
        </is>
      </c>
      <c r="E141" s="27" t="n">
        <v>0</v>
      </c>
      <c r="F141" s="28" t="n">
        <v>0</v>
      </c>
      <c r="G141" s="28" t="n">
        <v>0</v>
      </c>
      <c r="H141" s="28" t="n">
        <v>0</v>
      </c>
    </row>
    <row r="142">
      <c r="A142" s="26" t="n">
        <v>46180</v>
      </c>
      <c r="B142" s="27" t="inlineStr">
        <is>
          <t>TV06</t>
        </is>
      </c>
      <c r="C142" s="27" t="inlineStr">
        <is>
          <t>TV model 6</t>
        </is>
      </c>
      <c r="D142" s="27" t="inlineStr">
        <is>
          <t>TV</t>
        </is>
      </c>
      <c r="E142" s="27" t="n">
        <v>1</v>
      </c>
      <c r="F142" s="28" t="n">
        <v>1696.31</v>
      </c>
      <c r="G142" s="28" t="n">
        <v>1449</v>
      </c>
      <c r="H142" s="28" t="n">
        <v>247.31</v>
      </c>
    </row>
    <row r="143">
      <c r="A143" s="26" t="n">
        <v>46187</v>
      </c>
      <c r="B143" s="27" t="inlineStr">
        <is>
          <t>TV06</t>
        </is>
      </c>
      <c r="C143" s="27" t="inlineStr">
        <is>
          <t>TV model 6</t>
        </is>
      </c>
      <c r="D143" s="27" t="inlineStr">
        <is>
          <t>TV</t>
        </is>
      </c>
      <c r="E143" s="27" t="n">
        <v>4</v>
      </c>
      <c r="F143" s="28" t="n">
        <v>6608.4</v>
      </c>
      <c r="G143" s="28" t="n">
        <v>5796</v>
      </c>
      <c r="H143" s="28" t="n">
        <v>812.4</v>
      </c>
    </row>
    <row r="144">
      <c r="A144" s="26" t="n">
        <v>46194</v>
      </c>
      <c r="B144" s="27" t="inlineStr">
        <is>
          <t>TV06</t>
        </is>
      </c>
      <c r="C144" s="27" t="inlineStr">
        <is>
          <t>TV model 6</t>
        </is>
      </c>
      <c r="D144" s="27" t="inlineStr">
        <is>
          <t>TV</t>
        </is>
      </c>
      <c r="E144" s="27" t="n">
        <v>2</v>
      </c>
      <c r="F144" s="28" t="n">
        <v>3504.24</v>
      </c>
      <c r="G144" s="28" t="n">
        <v>2898</v>
      </c>
      <c r="H144" s="28" t="n">
        <v>606.24</v>
      </c>
    </row>
    <row r="145">
      <c r="A145" s="26" t="n">
        <v>46201</v>
      </c>
      <c r="B145" s="27" t="inlineStr">
        <is>
          <t>TV06</t>
        </is>
      </c>
      <c r="C145" s="27" t="inlineStr">
        <is>
          <t>TV model 6</t>
        </is>
      </c>
      <c r="D145" s="27" t="inlineStr">
        <is>
          <t>TV</t>
        </is>
      </c>
      <c r="E145" s="27" t="n">
        <v>3</v>
      </c>
      <c r="F145" s="28" t="n">
        <v>5243.52</v>
      </c>
      <c r="G145" s="28" t="n">
        <v>4347</v>
      </c>
      <c r="H145" s="28" t="n">
        <v>896.52</v>
      </c>
    </row>
    <row r="146">
      <c r="A146" s="26" t="n">
        <v>46208</v>
      </c>
      <c r="B146" s="27" t="inlineStr">
        <is>
          <t>TV06</t>
        </is>
      </c>
      <c r="C146" s="27" t="inlineStr">
        <is>
          <t>TV model 6</t>
        </is>
      </c>
      <c r="D146" s="27" t="inlineStr">
        <is>
          <t>TV</t>
        </is>
      </c>
      <c r="E146" s="27" t="n">
        <v>0</v>
      </c>
      <c r="F146" s="28" t="n">
        <v>0</v>
      </c>
      <c r="G146" s="28" t="n">
        <v>0</v>
      </c>
      <c r="H146" s="28" t="n">
        <v>0</v>
      </c>
    </row>
    <row r="147">
      <c r="A147" s="26" t="n">
        <v>46215</v>
      </c>
      <c r="B147" s="27" t="inlineStr">
        <is>
          <t>TV06</t>
        </is>
      </c>
      <c r="C147" s="27" t="inlineStr">
        <is>
          <t>TV model 6</t>
        </is>
      </c>
      <c r="D147" s="27" t="inlineStr">
        <is>
          <t>TV</t>
        </is>
      </c>
      <c r="E147" s="27" t="n">
        <v>2</v>
      </c>
      <c r="F147" s="28" t="n">
        <v>3372.96</v>
      </c>
      <c r="G147" s="28" t="n">
        <v>2898</v>
      </c>
      <c r="H147" s="28" t="n">
        <v>474.96</v>
      </c>
    </row>
    <row r="148">
      <c r="A148" s="26" t="n">
        <v>46222</v>
      </c>
      <c r="B148" s="27" t="inlineStr">
        <is>
          <t>TV06</t>
        </is>
      </c>
      <c r="C148" s="27" t="inlineStr">
        <is>
          <t>TV model 6</t>
        </is>
      </c>
      <c r="D148" s="27" t="inlineStr">
        <is>
          <t>TV</t>
        </is>
      </c>
      <c r="E148" s="27" t="n">
        <v>3</v>
      </c>
      <c r="F148" s="28" t="n">
        <v>4872</v>
      </c>
      <c r="G148" s="28" t="n">
        <v>4347</v>
      </c>
      <c r="H148" s="28" t="n">
        <v>525</v>
      </c>
    </row>
    <row r="149">
      <c r="A149" s="26" t="n">
        <v>46229</v>
      </c>
      <c r="B149" s="27" t="inlineStr">
        <is>
          <t>TV06</t>
        </is>
      </c>
      <c r="C149" s="27" t="inlineStr">
        <is>
          <t>TV model 6</t>
        </is>
      </c>
      <c r="D149" s="27" t="inlineStr">
        <is>
          <t>TV</t>
        </is>
      </c>
      <c r="E149" s="27" t="n">
        <v>4</v>
      </c>
      <c r="F149" s="28" t="n">
        <v>6863.03</v>
      </c>
      <c r="G149" s="28" t="n">
        <v>5796</v>
      </c>
      <c r="H149" s="28" t="n">
        <v>1067.03</v>
      </c>
    </row>
    <row r="150">
      <c r="A150" s="26" t="n">
        <v>46236</v>
      </c>
      <c r="B150" s="27" t="inlineStr">
        <is>
          <t>TV06</t>
        </is>
      </c>
      <c r="C150" s="27" t="inlineStr">
        <is>
          <t>TV model 6</t>
        </is>
      </c>
      <c r="D150" s="27" t="inlineStr">
        <is>
          <t>TV</t>
        </is>
      </c>
      <c r="E150" s="27" t="n">
        <v>4</v>
      </c>
      <c r="F150" s="28" t="n">
        <v>6757.33</v>
      </c>
      <c r="G150" s="28" t="n">
        <v>5796</v>
      </c>
      <c r="H150" s="28" t="n">
        <v>961.33</v>
      </c>
    </row>
    <row r="151">
      <c r="A151" s="26" t="n">
        <v>46243</v>
      </c>
      <c r="B151" s="27" t="inlineStr">
        <is>
          <t>TV06</t>
        </is>
      </c>
      <c r="C151" s="27" t="inlineStr">
        <is>
          <t>TV model 6</t>
        </is>
      </c>
      <c r="D151" s="27" t="inlineStr">
        <is>
          <t>TV</t>
        </is>
      </c>
      <c r="E151" s="27" t="n">
        <v>1</v>
      </c>
      <c r="F151" s="28" t="n">
        <v>1635.11</v>
      </c>
      <c r="G151" s="28" t="n">
        <v>1449</v>
      </c>
      <c r="H151" s="28" t="n">
        <v>186.11</v>
      </c>
    </row>
    <row r="152">
      <c r="A152" s="26" t="n">
        <v>46250</v>
      </c>
      <c r="B152" s="27" t="inlineStr">
        <is>
          <t>TV06</t>
        </is>
      </c>
      <c r="C152" s="27" t="inlineStr">
        <is>
          <t>TV model 6</t>
        </is>
      </c>
      <c r="D152" s="27" t="inlineStr">
        <is>
          <t>TV</t>
        </is>
      </c>
      <c r="E152" s="27" t="n">
        <v>3</v>
      </c>
      <c r="F152" s="28" t="n">
        <v>4836.96</v>
      </c>
      <c r="G152" s="28" t="n">
        <v>4347</v>
      </c>
      <c r="H152" s="28" t="n">
        <v>489.96</v>
      </c>
    </row>
    <row r="153">
      <c r="A153" s="26" t="n">
        <v>46257</v>
      </c>
      <c r="B153" s="27" t="inlineStr">
        <is>
          <t>TV06</t>
        </is>
      </c>
      <c r="C153" s="27" t="inlineStr">
        <is>
          <t>TV model 6</t>
        </is>
      </c>
      <c r="D153" s="27" t="inlineStr">
        <is>
          <t>TV</t>
        </is>
      </c>
      <c r="E153" s="27" t="n">
        <v>3</v>
      </c>
      <c r="F153" s="28" t="n">
        <v>5018.42</v>
      </c>
      <c r="G153" s="28" t="n">
        <v>4347</v>
      </c>
      <c r="H153" s="28" t="n">
        <v>671.42</v>
      </c>
    </row>
    <row r="154">
      <c r="A154" s="26" t="n">
        <v>46264</v>
      </c>
      <c r="B154" s="27" t="inlineStr">
        <is>
          <t>TV06</t>
        </is>
      </c>
      <c r="C154" s="27" t="inlineStr">
        <is>
          <t>TV model 6</t>
        </is>
      </c>
      <c r="D154" s="27" t="inlineStr">
        <is>
          <t>TV</t>
        </is>
      </c>
      <c r="E154" s="27" t="n">
        <v>2</v>
      </c>
      <c r="F154" s="28" t="n">
        <v>3260.36</v>
      </c>
      <c r="G154" s="28" t="n">
        <v>2898</v>
      </c>
      <c r="H154" s="28" t="n">
        <v>362.36</v>
      </c>
    </row>
    <row r="155">
      <c r="A155" s="26" t="n">
        <v>46271</v>
      </c>
      <c r="B155" s="27" t="inlineStr">
        <is>
          <t>TV06</t>
        </is>
      </c>
      <c r="C155" s="27" t="inlineStr">
        <is>
          <t>TV model 6</t>
        </is>
      </c>
      <c r="D155" s="27" t="inlineStr">
        <is>
          <t>TV</t>
        </is>
      </c>
      <c r="E155" s="27" t="n">
        <v>2</v>
      </c>
      <c r="F155" s="28" t="n">
        <v>3240.81</v>
      </c>
      <c r="G155" s="28" t="n">
        <v>2898</v>
      </c>
      <c r="H155" s="28" t="n">
        <v>342.81</v>
      </c>
    </row>
    <row r="156">
      <c r="A156" s="26" t="n">
        <v>46278</v>
      </c>
      <c r="B156" s="27" t="inlineStr">
        <is>
          <t>TV06</t>
        </is>
      </c>
      <c r="C156" s="27" t="inlineStr">
        <is>
          <t>TV model 6</t>
        </is>
      </c>
      <c r="D156" s="27" t="inlineStr">
        <is>
          <t>TV</t>
        </is>
      </c>
      <c r="E156" s="27" t="n">
        <v>4</v>
      </c>
      <c r="F156" s="28" t="n">
        <v>6438.04</v>
      </c>
      <c r="G156" s="28" t="n">
        <v>5796</v>
      </c>
      <c r="H156" s="28" t="n">
        <v>642.04</v>
      </c>
    </row>
    <row r="157">
      <c r="A157" s="26" t="n">
        <v>46285</v>
      </c>
      <c r="B157" s="27" t="inlineStr">
        <is>
          <t>TV06</t>
        </is>
      </c>
      <c r="C157" s="27" t="inlineStr">
        <is>
          <t>TV model 6</t>
        </is>
      </c>
      <c r="D157" s="27" t="inlineStr">
        <is>
          <t>TV</t>
        </is>
      </c>
      <c r="E157" s="27" t="n">
        <v>5</v>
      </c>
      <c r="F157" s="28" t="n">
        <v>8336.91</v>
      </c>
      <c r="G157" s="28" t="n">
        <v>7245</v>
      </c>
      <c r="H157" s="28" t="n">
        <v>1091.91</v>
      </c>
    </row>
    <row r="158">
      <c r="A158" s="26" t="n">
        <v>46110</v>
      </c>
      <c r="B158" s="27" t="inlineStr">
        <is>
          <t>SOU01</t>
        </is>
      </c>
      <c r="C158" s="27" t="inlineStr">
        <is>
          <t>Soundbar model 1</t>
        </is>
      </c>
      <c r="D158" s="27" t="inlineStr">
        <is>
          <t>Soundbar</t>
        </is>
      </c>
      <c r="E158" s="27" t="n">
        <v>4</v>
      </c>
      <c r="F158" s="28" t="n">
        <v>1601.72</v>
      </c>
      <c r="G158" s="28" t="n">
        <v>1140</v>
      </c>
      <c r="H158" s="28" t="n">
        <v>461.72</v>
      </c>
    </row>
    <row r="159">
      <c r="A159" s="26" t="n">
        <v>46117</v>
      </c>
      <c r="B159" s="27" t="inlineStr">
        <is>
          <t>SOU01</t>
        </is>
      </c>
      <c r="C159" s="27" t="inlineStr">
        <is>
          <t>Soundbar model 1</t>
        </is>
      </c>
      <c r="D159" s="27" t="inlineStr">
        <is>
          <t>Soundbar</t>
        </is>
      </c>
      <c r="E159" s="27" t="n">
        <v>4</v>
      </c>
      <c r="F159" s="28" t="n">
        <v>1610.61</v>
      </c>
      <c r="G159" s="28" t="n">
        <v>1140</v>
      </c>
      <c r="H159" s="28" t="n">
        <v>470.61</v>
      </c>
    </row>
    <row r="160">
      <c r="A160" s="26" t="n">
        <v>46124</v>
      </c>
      <c r="B160" s="27" t="inlineStr">
        <is>
          <t>SOU01</t>
        </is>
      </c>
      <c r="C160" s="27" t="inlineStr">
        <is>
          <t>Soundbar model 1</t>
        </is>
      </c>
      <c r="D160" s="27" t="inlineStr">
        <is>
          <t>Soundbar</t>
        </is>
      </c>
      <c r="E160" s="27" t="n">
        <v>3</v>
      </c>
      <c r="F160" s="28" t="n">
        <v>1165.48</v>
      </c>
      <c r="G160" s="28" t="n">
        <v>855</v>
      </c>
      <c r="H160" s="28" t="n">
        <v>310.48</v>
      </c>
    </row>
    <row r="161">
      <c r="A161" s="26" t="n">
        <v>46131</v>
      </c>
      <c r="B161" s="27" t="inlineStr">
        <is>
          <t>SOU01</t>
        </is>
      </c>
      <c r="C161" s="27" t="inlineStr">
        <is>
          <t>Soundbar model 1</t>
        </is>
      </c>
      <c r="D161" s="27" t="inlineStr">
        <is>
          <t>Soundbar</t>
        </is>
      </c>
      <c r="E161" s="27" t="n">
        <v>7</v>
      </c>
      <c r="F161" s="28" t="n">
        <v>2735.76</v>
      </c>
      <c r="G161" s="28" t="n">
        <v>1995</v>
      </c>
      <c r="H161" s="28" t="n">
        <v>740.76</v>
      </c>
    </row>
    <row r="162">
      <c r="A162" s="26" t="n">
        <v>46138</v>
      </c>
      <c r="B162" s="27" t="inlineStr">
        <is>
          <t>SOU01</t>
        </is>
      </c>
      <c r="C162" s="27" t="inlineStr">
        <is>
          <t>Soundbar model 1</t>
        </is>
      </c>
      <c r="D162" s="27" t="inlineStr">
        <is>
          <t>Soundbar</t>
        </is>
      </c>
      <c r="E162" s="27" t="n">
        <v>6</v>
      </c>
      <c r="F162" s="28" t="n">
        <v>2289.81</v>
      </c>
      <c r="G162" s="28" t="n">
        <v>1710</v>
      </c>
      <c r="H162" s="28" t="n">
        <v>579.8099999999999</v>
      </c>
    </row>
    <row r="163">
      <c r="A163" s="26" t="n">
        <v>46145</v>
      </c>
      <c r="B163" s="27" t="inlineStr">
        <is>
          <t>SOU01</t>
        </is>
      </c>
      <c r="C163" s="27" t="inlineStr">
        <is>
          <t>Soundbar model 1</t>
        </is>
      </c>
      <c r="D163" s="27" t="inlineStr">
        <is>
          <t>Soundbar</t>
        </is>
      </c>
      <c r="E163" s="27" t="n">
        <v>5</v>
      </c>
      <c r="F163" s="28" t="n">
        <v>1912.27</v>
      </c>
      <c r="G163" s="28" t="n">
        <v>1425</v>
      </c>
      <c r="H163" s="28" t="n">
        <v>487.27</v>
      </c>
    </row>
    <row r="164">
      <c r="A164" s="26" t="n">
        <v>46152</v>
      </c>
      <c r="B164" s="27" t="inlineStr">
        <is>
          <t>SOU01</t>
        </is>
      </c>
      <c r="C164" s="27" t="inlineStr">
        <is>
          <t>Soundbar model 1</t>
        </is>
      </c>
      <c r="D164" s="27" t="inlineStr">
        <is>
          <t>Soundbar</t>
        </is>
      </c>
      <c r="E164" s="27" t="n">
        <v>0</v>
      </c>
      <c r="F164" s="28" t="n">
        <v>0</v>
      </c>
      <c r="G164" s="28" t="n">
        <v>0</v>
      </c>
      <c r="H164" s="28" t="n">
        <v>0</v>
      </c>
    </row>
    <row r="165">
      <c r="A165" s="26" t="n">
        <v>46159</v>
      </c>
      <c r="B165" s="27" t="inlineStr">
        <is>
          <t>SOU01</t>
        </is>
      </c>
      <c r="C165" s="27" t="inlineStr">
        <is>
          <t>Soundbar model 1</t>
        </is>
      </c>
      <c r="D165" s="27" t="inlineStr">
        <is>
          <t>Soundbar</t>
        </is>
      </c>
      <c r="E165" s="27" t="n">
        <v>9</v>
      </c>
      <c r="F165" s="28" t="n">
        <v>3391.88</v>
      </c>
      <c r="G165" s="28" t="n">
        <v>2565</v>
      </c>
      <c r="H165" s="28" t="n">
        <v>826.88</v>
      </c>
    </row>
    <row r="166">
      <c r="A166" s="26" t="n">
        <v>46166</v>
      </c>
      <c r="B166" s="27" t="inlineStr">
        <is>
          <t>SOU01</t>
        </is>
      </c>
      <c r="C166" s="27" t="inlineStr">
        <is>
          <t>Soundbar model 1</t>
        </is>
      </c>
      <c r="D166" s="27" t="inlineStr">
        <is>
          <t>Soundbar</t>
        </is>
      </c>
      <c r="E166" s="27" t="n">
        <v>5</v>
      </c>
      <c r="F166" s="28" t="n">
        <v>2000.84</v>
      </c>
      <c r="G166" s="28" t="n">
        <v>1425</v>
      </c>
      <c r="H166" s="28" t="n">
        <v>575.84</v>
      </c>
    </row>
    <row r="167">
      <c r="A167" s="26" t="n">
        <v>46173</v>
      </c>
      <c r="B167" s="27" t="inlineStr">
        <is>
          <t>SOU01</t>
        </is>
      </c>
      <c r="C167" s="27" t="inlineStr">
        <is>
          <t>Soundbar model 1</t>
        </is>
      </c>
      <c r="D167" s="27" t="inlineStr">
        <is>
          <t>Soundbar</t>
        </is>
      </c>
      <c r="E167" s="27" t="n">
        <v>5</v>
      </c>
      <c r="F167" s="28" t="n">
        <v>1993.28</v>
      </c>
      <c r="G167" s="28" t="n">
        <v>1425</v>
      </c>
      <c r="H167" s="28" t="n">
        <v>568.28</v>
      </c>
    </row>
    <row r="168">
      <c r="A168" s="26" t="n">
        <v>46180</v>
      </c>
      <c r="B168" s="27" t="inlineStr">
        <is>
          <t>SOU01</t>
        </is>
      </c>
      <c r="C168" s="27" t="inlineStr">
        <is>
          <t>Soundbar model 1</t>
        </is>
      </c>
      <c r="D168" s="27" t="inlineStr">
        <is>
          <t>Soundbar</t>
        </is>
      </c>
      <c r="E168" s="27" t="n">
        <v>1</v>
      </c>
      <c r="F168" s="28" t="n">
        <v>397.33</v>
      </c>
      <c r="G168" s="28" t="n">
        <v>285</v>
      </c>
      <c r="H168" s="28" t="n">
        <v>112.33</v>
      </c>
    </row>
    <row r="169">
      <c r="A169" s="26" t="n">
        <v>46187</v>
      </c>
      <c r="B169" s="27" t="inlineStr">
        <is>
          <t>SOU01</t>
        </is>
      </c>
      <c r="C169" s="27" t="inlineStr">
        <is>
          <t>Soundbar model 1</t>
        </is>
      </c>
      <c r="D169" s="27" t="inlineStr">
        <is>
          <t>Soundbar</t>
        </is>
      </c>
      <c r="E169" s="27" t="n">
        <v>3</v>
      </c>
      <c r="F169" s="28" t="n">
        <v>1123.17</v>
      </c>
      <c r="G169" s="28" t="n">
        <v>855</v>
      </c>
      <c r="H169" s="28" t="n">
        <v>268.17</v>
      </c>
    </row>
    <row r="170">
      <c r="A170" s="26" t="n">
        <v>46194</v>
      </c>
      <c r="B170" s="27" t="inlineStr">
        <is>
          <t>SOU01</t>
        </is>
      </c>
      <c r="C170" s="27" t="inlineStr">
        <is>
          <t>Soundbar model 1</t>
        </is>
      </c>
      <c r="D170" s="27" t="inlineStr">
        <is>
          <t>Soundbar</t>
        </is>
      </c>
      <c r="E170" s="27" t="n">
        <v>2</v>
      </c>
      <c r="F170" s="28" t="n">
        <v>783.65</v>
      </c>
      <c r="G170" s="28" t="n">
        <v>570</v>
      </c>
      <c r="H170" s="28" t="n">
        <v>213.65</v>
      </c>
    </row>
    <row r="171">
      <c r="A171" s="26" t="n">
        <v>46201</v>
      </c>
      <c r="B171" s="27" t="inlineStr">
        <is>
          <t>SOU01</t>
        </is>
      </c>
      <c r="C171" s="27" t="inlineStr">
        <is>
          <t>Soundbar model 1</t>
        </is>
      </c>
      <c r="D171" s="27" t="inlineStr">
        <is>
          <t>Soundbar</t>
        </is>
      </c>
      <c r="E171" s="27" t="n">
        <v>3</v>
      </c>
      <c r="F171" s="28" t="n">
        <v>1187.17</v>
      </c>
      <c r="G171" s="28" t="n">
        <v>855</v>
      </c>
      <c r="H171" s="28" t="n">
        <v>332.17</v>
      </c>
    </row>
    <row r="172">
      <c r="A172" s="26" t="n">
        <v>46208</v>
      </c>
      <c r="B172" s="27" t="inlineStr">
        <is>
          <t>SOU01</t>
        </is>
      </c>
      <c r="C172" s="27" t="inlineStr">
        <is>
          <t>Soundbar model 1</t>
        </is>
      </c>
      <c r="D172" s="27" t="inlineStr">
        <is>
          <t>Soundbar</t>
        </is>
      </c>
      <c r="E172" s="27" t="n">
        <v>2</v>
      </c>
      <c r="F172" s="28" t="n">
        <v>792.5599999999999</v>
      </c>
      <c r="G172" s="28" t="n">
        <v>570</v>
      </c>
      <c r="H172" s="28" t="n">
        <v>222.56</v>
      </c>
    </row>
    <row r="173">
      <c r="A173" s="26" t="n">
        <v>46215</v>
      </c>
      <c r="B173" s="27" t="inlineStr">
        <is>
          <t>SOU01</t>
        </is>
      </c>
      <c r="C173" s="27" t="inlineStr">
        <is>
          <t>Soundbar model 1</t>
        </is>
      </c>
      <c r="D173" s="27" t="inlineStr">
        <is>
          <t>Soundbar</t>
        </is>
      </c>
      <c r="E173" s="27" t="n">
        <v>6</v>
      </c>
      <c r="F173" s="28" t="n">
        <v>2229.87</v>
      </c>
      <c r="G173" s="28" t="n">
        <v>1710</v>
      </c>
      <c r="H173" s="28" t="n">
        <v>519.87</v>
      </c>
    </row>
    <row r="174">
      <c r="A174" s="26" t="n">
        <v>46222</v>
      </c>
      <c r="B174" s="27" t="inlineStr">
        <is>
          <t>SOU01</t>
        </is>
      </c>
      <c r="C174" s="27" t="inlineStr">
        <is>
          <t>Soundbar model 1</t>
        </is>
      </c>
      <c r="D174" s="27" t="inlineStr">
        <is>
          <t>Soundbar</t>
        </is>
      </c>
      <c r="E174" s="27" t="n">
        <v>2</v>
      </c>
      <c r="F174" s="28" t="n">
        <v>781</v>
      </c>
      <c r="G174" s="28" t="n">
        <v>570</v>
      </c>
      <c r="H174" s="28" t="n">
        <v>211</v>
      </c>
    </row>
    <row r="175">
      <c r="A175" s="26" t="n">
        <v>46229</v>
      </c>
      <c r="B175" s="27" t="inlineStr">
        <is>
          <t>SOU01</t>
        </is>
      </c>
      <c r="C175" s="27" t="inlineStr">
        <is>
          <t>Soundbar model 1</t>
        </is>
      </c>
      <c r="D175" s="27" t="inlineStr">
        <is>
          <t>Soundbar</t>
        </is>
      </c>
      <c r="E175" s="27" t="n">
        <v>6</v>
      </c>
      <c r="F175" s="28" t="n">
        <v>2329.46</v>
      </c>
      <c r="G175" s="28" t="n">
        <v>1710</v>
      </c>
      <c r="H175" s="28" t="n">
        <v>619.46</v>
      </c>
    </row>
    <row r="176">
      <c r="A176" s="26" t="n">
        <v>46236</v>
      </c>
      <c r="B176" s="27" t="inlineStr">
        <is>
          <t>SOU01</t>
        </is>
      </c>
      <c r="C176" s="27" t="inlineStr">
        <is>
          <t>Soundbar model 1</t>
        </is>
      </c>
      <c r="D176" s="27" t="inlineStr">
        <is>
          <t>Soundbar</t>
        </is>
      </c>
      <c r="E176" s="27" t="n">
        <v>4</v>
      </c>
      <c r="F176" s="28" t="n">
        <v>1498.21</v>
      </c>
      <c r="G176" s="28" t="n">
        <v>1140</v>
      </c>
      <c r="H176" s="28" t="n">
        <v>358.21</v>
      </c>
    </row>
    <row r="177">
      <c r="A177" s="26" t="n">
        <v>46243</v>
      </c>
      <c r="B177" s="27" t="inlineStr">
        <is>
          <t>SOU01</t>
        </is>
      </c>
      <c r="C177" s="27" t="inlineStr">
        <is>
          <t>Soundbar model 1</t>
        </is>
      </c>
      <c r="D177" s="27" t="inlineStr">
        <is>
          <t>Soundbar</t>
        </is>
      </c>
      <c r="E177" s="27" t="n">
        <v>3</v>
      </c>
      <c r="F177" s="28" t="n">
        <v>1172.16</v>
      </c>
      <c r="G177" s="28" t="n">
        <v>855</v>
      </c>
      <c r="H177" s="28" t="n">
        <v>317.16</v>
      </c>
    </row>
    <row r="178">
      <c r="A178" s="26" t="n">
        <v>46250</v>
      </c>
      <c r="B178" s="27" t="inlineStr">
        <is>
          <t>SOU01</t>
        </is>
      </c>
      <c r="C178" s="27" t="inlineStr">
        <is>
          <t>Soundbar model 1</t>
        </is>
      </c>
      <c r="D178" s="27" t="inlineStr">
        <is>
          <t>Soundbar</t>
        </is>
      </c>
      <c r="E178" s="27" t="n">
        <v>6</v>
      </c>
      <c r="F178" s="28" t="n">
        <v>2359.24</v>
      </c>
      <c r="G178" s="28" t="n">
        <v>1710</v>
      </c>
      <c r="H178" s="28" t="n">
        <v>649.24</v>
      </c>
    </row>
    <row r="179">
      <c r="A179" s="26" t="n">
        <v>46257</v>
      </c>
      <c r="B179" s="27" t="inlineStr">
        <is>
          <t>SOU01</t>
        </is>
      </c>
      <c r="C179" s="27" t="inlineStr">
        <is>
          <t>Soundbar model 1</t>
        </is>
      </c>
      <c r="D179" s="27" t="inlineStr">
        <is>
          <t>Soundbar</t>
        </is>
      </c>
      <c r="E179" s="27" t="n">
        <v>6</v>
      </c>
      <c r="F179" s="28" t="n">
        <v>2313.96</v>
      </c>
      <c r="G179" s="28" t="n">
        <v>1710</v>
      </c>
      <c r="H179" s="28" t="n">
        <v>603.96</v>
      </c>
    </row>
    <row r="180">
      <c r="A180" s="26" t="n">
        <v>46264</v>
      </c>
      <c r="B180" s="27" t="inlineStr">
        <is>
          <t>SOU01</t>
        </is>
      </c>
      <c r="C180" s="27" t="inlineStr">
        <is>
          <t>Soundbar model 1</t>
        </is>
      </c>
      <c r="D180" s="27" t="inlineStr">
        <is>
          <t>Soundbar</t>
        </is>
      </c>
      <c r="E180" s="27" t="n">
        <v>4</v>
      </c>
      <c r="F180" s="28" t="n">
        <v>1549.38</v>
      </c>
      <c r="G180" s="28" t="n">
        <v>1140</v>
      </c>
      <c r="H180" s="28" t="n">
        <v>409.38</v>
      </c>
    </row>
    <row r="181">
      <c r="A181" s="26" t="n">
        <v>46271</v>
      </c>
      <c r="B181" s="27" t="inlineStr">
        <is>
          <t>SOU01</t>
        </is>
      </c>
      <c r="C181" s="27" t="inlineStr">
        <is>
          <t>Soundbar model 1</t>
        </is>
      </c>
      <c r="D181" s="27" t="inlineStr">
        <is>
          <t>Soundbar</t>
        </is>
      </c>
      <c r="E181" s="27" t="n">
        <v>4</v>
      </c>
      <c r="F181" s="28" t="n">
        <v>1532.86</v>
      </c>
      <c r="G181" s="28" t="n">
        <v>1140</v>
      </c>
      <c r="H181" s="28" t="n">
        <v>392.86</v>
      </c>
    </row>
    <row r="182">
      <c r="A182" s="26" t="n">
        <v>46278</v>
      </c>
      <c r="B182" s="27" t="inlineStr">
        <is>
          <t>SOU01</t>
        </is>
      </c>
      <c r="C182" s="27" t="inlineStr">
        <is>
          <t>Soundbar model 1</t>
        </is>
      </c>
      <c r="D182" s="27" t="inlineStr">
        <is>
          <t>Soundbar</t>
        </is>
      </c>
      <c r="E182" s="27" t="n">
        <v>5</v>
      </c>
      <c r="F182" s="28" t="n">
        <v>1924.46</v>
      </c>
      <c r="G182" s="28" t="n">
        <v>1425</v>
      </c>
      <c r="H182" s="28" t="n">
        <v>499.46</v>
      </c>
    </row>
    <row r="183">
      <c r="A183" s="26" t="n">
        <v>46285</v>
      </c>
      <c r="B183" s="27" t="inlineStr">
        <is>
          <t>SOU01</t>
        </is>
      </c>
      <c r="C183" s="27" t="inlineStr">
        <is>
          <t>Soundbar model 1</t>
        </is>
      </c>
      <c r="D183" s="27" t="inlineStr">
        <is>
          <t>Soundbar</t>
        </is>
      </c>
      <c r="E183" s="27" t="n">
        <v>2</v>
      </c>
      <c r="F183" s="28" t="n">
        <v>761.87</v>
      </c>
      <c r="G183" s="28" t="n">
        <v>570</v>
      </c>
      <c r="H183" s="28" t="n">
        <v>191.87</v>
      </c>
    </row>
    <row r="184">
      <c r="A184" s="26" t="n">
        <v>46110</v>
      </c>
      <c r="B184" s="27" t="inlineStr">
        <is>
          <t>SOU02</t>
        </is>
      </c>
      <c r="C184" s="27" t="inlineStr">
        <is>
          <t>Soundbar model 2</t>
        </is>
      </c>
      <c r="D184" s="27" t="inlineStr">
        <is>
          <t>Soundbar</t>
        </is>
      </c>
      <c r="E184" s="27" t="n">
        <v>5</v>
      </c>
      <c r="F184" s="28" t="n">
        <v>3617.05</v>
      </c>
      <c r="G184" s="28" t="n">
        <v>2620</v>
      </c>
      <c r="H184" s="28" t="n">
        <v>997.05</v>
      </c>
    </row>
    <row r="185">
      <c r="A185" s="26" t="n">
        <v>46117</v>
      </c>
      <c r="B185" s="27" t="inlineStr">
        <is>
          <t>SOU02</t>
        </is>
      </c>
      <c r="C185" s="27" t="inlineStr">
        <is>
          <t>Soundbar model 2</t>
        </is>
      </c>
      <c r="D185" s="27" t="inlineStr">
        <is>
          <t>Soundbar</t>
        </is>
      </c>
      <c r="E185" s="27" t="n">
        <v>7</v>
      </c>
      <c r="F185" s="28" t="n">
        <v>5068.08</v>
      </c>
      <c r="G185" s="28" t="n">
        <v>3668</v>
      </c>
      <c r="H185" s="28" t="n">
        <v>1400.08</v>
      </c>
    </row>
    <row r="186">
      <c r="A186" s="26" t="n">
        <v>46124</v>
      </c>
      <c r="B186" s="27" t="inlineStr">
        <is>
          <t>SOU02</t>
        </is>
      </c>
      <c r="C186" s="27" t="inlineStr">
        <is>
          <t>Soundbar model 2</t>
        </is>
      </c>
      <c r="D186" s="27" t="inlineStr">
        <is>
          <t>Soundbar</t>
        </is>
      </c>
      <c r="E186" s="27" t="n">
        <v>1</v>
      </c>
      <c r="F186" s="28" t="n">
        <v>705.03</v>
      </c>
      <c r="G186" s="28" t="n">
        <v>524</v>
      </c>
      <c r="H186" s="28" t="n">
        <v>181.03</v>
      </c>
    </row>
    <row r="187">
      <c r="A187" s="26" t="n">
        <v>46131</v>
      </c>
      <c r="B187" s="27" t="inlineStr">
        <is>
          <t>SOU02</t>
        </is>
      </c>
      <c r="C187" s="27" t="inlineStr">
        <is>
          <t>Soundbar model 2</t>
        </is>
      </c>
      <c r="D187" s="27" t="inlineStr">
        <is>
          <t>Soundbar</t>
        </is>
      </c>
      <c r="E187" s="27" t="n">
        <v>4</v>
      </c>
      <c r="F187" s="28" t="n">
        <v>2791.91</v>
      </c>
      <c r="G187" s="28" t="n">
        <v>2096</v>
      </c>
      <c r="H187" s="28" t="n">
        <v>695.91</v>
      </c>
    </row>
    <row r="188">
      <c r="A188" s="26" t="n">
        <v>46138</v>
      </c>
      <c r="B188" s="27" t="inlineStr">
        <is>
          <t>SOU02</t>
        </is>
      </c>
      <c r="C188" s="27" t="inlineStr">
        <is>
          <t>Soundbar model 2</t>
        </is>
      </c>
      <c r="D188" s="27" t="inlineStr">
        <is>
          <t>Soundbar</t>
        </is>
      </c>
      <c r="E188" s="27" t="n">
        <v>3</v>
      </c>
      <c r="F188" s="28" t="n">
        <v>2130.87</v>
      </c>
      <c r="G188" s="28" t="n">
        <v>1572</v>
      </c>
      <c r="H188" s="28" t="n">
        <v>558.87</v>
      </c>
    </row>
    <row r="189">
      <c r="A189" s="26" t="n">
        <v>46145</v>
      </c>
      <c r="B189" s="27" t="inlineStr">
        <is>
          <t>SOU02</t>
        </is>
      </c>
      <c r="C189" s="27" t="inlineStr">
        <is>
          <t>Soundbar model 2</t>
        </is>
      </c>
      <c r="D189" s="27" t="inlineStr">
        <is>
          <t>Soundbar</t>
        </is>
      </c>
      <c r="E189" s="27" t="n">
        <v>3</v>
      </c>
      <c r="F189" s="28" t="n">
        <v>2182.45</v>
      </c>
      <c r="G189" s="28" t="n">
        <v>1572</v>
      </c>
      <c r="H189" s="28" t="n">
        <v>610.45</v>
      </c>
    </row>
    <row r="190">
      <c r="A190" s="26" t="n">
        <v>46152</v>
      </c>
      <c r="B190" s="27" t="inlineStr">
        <is>
          <t>SOU02</t>
        </is>
      </c>
      <c r="C190" s="27" t="inlineStr">
        <is>
          <t>Soundbar model 2</t>
        </is>
      </c>
      <c r="D190" s="27" t="inlineStr">
        <is>
          <t>Soundbar</t>
        </is>
      </c>
      <c r="E190" s="27" t="n">
        <v>5</v>
      </c>
      <c r="F190" s="28" t="n">
        <v>3521.62</v>
      </c>
      <c r="G190" s="28" t="n">
        <v>2620</v>
      </c>
      <c r="H190" s="28" t="n">
        <v>901.62</v>
      </c>
    </row>
    <row r="191">
      <c r="A191" s="26" t="n">
        <v>46159</v>
      </c>
      <c r="B191" s="27" t="inlineStr">
        <is>
          <t>SOU02</t>
        </is>
      </c>
      <c r="C191" s="27" t="inlineStr">
        <is>
          <t>Soundbar model 2</t>
        </is>
      </c>
      <c r="D191" s="27" t="inlineStr">
        <is>
          <t>Soundbar</t>
        </is>
      </c>
      <c r="E191" s="27" t="n">
        <v>6</v>
      </c>
      <c r="F191" s="28" t="n">
        <v>4400.94</v>
      </c>
      <c r="G191" s="28" t="n">
        <v>3144</v>
      </c>
      <c r="H191" s="28" t="n">
        <v>1256.94</v>
      </c>
    </row>
    <row r="192">
      <c r="A192" s="26" t="n">
        <v>46166</v>
      </c>
      <c r="B192" s="27" t="inlineStr">
        <is>
          <t>SOU02</t>
        </is>
      </c>
      <c r="C192" s="27" t="inlineStr">
        <is>
          <t>Soundbar model 2</t>
        </is>
      </c>
      <c r="D192" s="27" t="inlineStr">
        <is>
          <t>Soundbar</t>
        </is>
      </c>
      <c r="E192" s="27" t="n">
        <v>7</v>
      </c>
      <c r="F192" s="28" t="n">
        <v>4954.1</v>
      </c>
      <c r="G192" s="28" t="n">
        <v>3668</v>
      </c>
      <c r="H192" s="28" t="n">
        <v>1286.1</v>
      </c>
    </row>
    <row r="193">
      <c r="A193" s="26" t="n">
        <v>46173</v>
      </c>
      <c r="B193" s="27" t="inlineStr">
        <is>
          <t>SOU02</t>
        </is>
      </c>
      <c r="C193" s="27" t="inlineStr">
        <is>
          <t>Soundbar model 2</t>
        </is>
      </c>
      <c r="D193" s="27" t="inlineStr">
        <is>
          <t>Soundbar</t>
        </is>
      </c>
      <c r="E193" s="27" t="n">
        <v>2</v>
      </c>
      <c r="F193" s="28" t="n">
        <v>1454.89</v>
      </c>
      <c r="G193" s="28" t="n">
        <v>1048</v>
      </c>
      <c r="H193" s="28" t="n">
        <v>406.89</v>
      </c>
    </row>
    <row r="194">
      <c r="A194" s="26" t="n">
        <v>46180</v>
      </c>
      <c r="B194" s="27" t="inlineStr">
        <is>
          <t>SOU02</t>
        </is>
      </c>
      <c r="C194" s="27" t="inlineStr">
        <is>
          <t>Soundbar model 2</t>
        </is>
      </c>
      <c r="D194" s="27" t="inlineStr">
        <is>
          <t>Soundbar</t>
        </is>
      </c>
      <c r="E194" s="27" t="n">
        <v>4</v>
      </c>
      <c r="F194" s="28" t="n">
        <v>2823.9</v>
      </c>
      <c r="G194" s="28" t="n">
        <v>2096</v>
      </c>
      <c r="H194" s="28" t="n">
        <v>727.9</v>
      </c>
    </row>
    <row r="195">
      <c r="A195" s="26" t="n">
        <v>46187</v>
      </c>
      <c r="B195" s="27" t="inlineStr">
        <is>
          <t>SOU02</t>
        </is>
      </c>
      <c r="C195" s="27" t="inlineStr">
        <is>
          <t>Soundbar model 2</t>
        </is>
      </c>
      <c r="D195" s="27" t="inlineStr">
        <is>
          <t>Soundbar</t>
        </is>
      </c>
      <c r="E195" s="27" t="n">
        <v>2</v>
      </c>
      <c r="F195" s="28" t="n">
        <v>1415.97</v>
      </c>
      <c r="G195" s="28" t="n">
        <v>1048</v>
      </c>
      <c r="H195" s="28" t="n">
        <v>367.97</v>
      </c>
    </row>
    <row r="196">
      <c r="A196" s="26" t="n">
        <v>46194</v>
      </c>
      <c r="B196" s="27" t="inlineStr">
        <is>
          <t>SOU02</t>
        </is>
      </c>
      <c r="C196" s="27" t="inlineStr">
        <is>
          <t>Soundbar model 2</t>
        </is>
      </c>
      <c r="D196" s="27" t="inlineStr">
        <is>
          <t>Soundbar</t>
        </is>
      </c>
      <c r="E196" s="27" t="n">
        <v>6</v>
      </c>
      <c r="F196" s="28" t="n">
        <v>4352.56</v>
      </c>
      <c r="G196" s="28" t="n">
        <v>3144</v>
      </c>
      <c r="H196" s="28" t="n">
        <v>1208.56</v>
      </c>
    </row>
    <row r="197">
      <c r="A197" s="26" t="n">
        <v>46201</v>
      </c>
      <c r="B197" s="27" t="inlineStr">
        <is>
          <t>SOU02</t>
        </is>
      </c>
      <c r="C197" s="27" t="inlineStr">
        <is>
          <t>Soundbar model 2</t>
        </is>
      </c>
      <c r="D197" s="27" t="inlineStr">
        <is>
          <t>Soundbar</t>
        </is>
      </c>
      <c r="E197" s="27" t="n">
        <v>7</v>
      </c>
      <c r="F197" s="28" t="n">
        <v>4891.92</v>
      </c>
      <c r="G197" s="28" t="n">
        <v>3668</v>
      </c>
      <c r="H197" s="28" t="n">
        <v>1223.92</v>
      </c>
    </row>
    <row r="198">
      <c r="A198" s="26" t="n">
        <v>46208</v>
      </c>
      <c r="B198" s="27" t="inlineStr">
        <is>
          <t>SOU02</t>
        </is>
      </c>
      <c r="C198" s="27" t="inlineStr">
        <is>
          <t>Soundbar model 2</t>
        </is>
      </c>
      <c r="D198" s="27" t="inlineStr">
        <is>
          <t>Soundbar</t>
        </is>
      </c>
      <c r="E198" s="27" t="n">
        <v>3</v>
      </c>
      <c r="F198" s="28" t="n">
        <v>2174.04</v>
      </c>
      <c r="G198" s="28" t="n">
        <v>1572</v>
      </c>
      <c r="H198" s="28" t="n">
        <v>602.04</v>
      </c>
    </row>
    <row r="199">
      <c r="A199" s="26" t="n">
        <v>46215</v>
      </c>
      <c r="B199" s="27" t="inlineStr">
        <is>
          <t>SOU02</t>
        </is>
      </c>
      <c r="C199" s="27" t="inlineStr">
        <is>
          <t>Soundbar model 2</t>
        </is>
      </c>
      <c r="D199" s="27" t="inlineStr">
        <is>
          <t>Soundbar</t>
        </is>
      </c>
      <c r="E199" s="27" t="n">
        <v>5</v>
      </c>
      <c r="F199" s="28" t="n">
        <v>3500.42</v>
      </c>
      <c r="G199" s="28" t="n">
        <v>2620</v>
      </c>
      <c r="H199" s="28" t="n">
        <v>880.42</v>
      </c>
    </row>
    <row r="200">
      <c r="A200" s="26" t="n">
        <v>46222</v>
      </c>
      <c r="B200" s="27" t="inlineStr">
        <is>
          <t>SOU02</t>
        </is>
      </c>
      <c r="C200" s="27" t="inlineStr">
        <is>
          <t>Soundbar model 2</t>
        </is>
      </c>
      <c r="D200" s="27" t="inlineStr">
        <is>
          <t>Soundbar</t>
        </is>
      </c>
      <c r="E200" s="27" t="n">
        <v>6</v>
      </c>
      <c r="F200" s="28" t="n">
        <v>4181.96</v>
      </c>
      <c r="G200" s="28" t="n">
        <v>3144</v>
      </c>
      <c r="H200" s="28" t="n">
        <v>1037.96</v>
      </c>
    </row>
    <row r="201">
      <c r="A201" s="26" t="n">
        <v>46229</v>
      </c>
      <c r="B201" s="27" t="inlineStr">
        <is>
          <t>SOU02</t>
        </is>
      </c>
      <c r="C201" s="27" t="inlineStr">
        <is>
          <t>Soundbar model 2</t>
        </is>
      </c>
      <c r="D201" s="27" t="inlineStr">
        <is>
          <t>Soundbar</t>
        </is>
      </c>
      <c r="E201" s="27" t="n">
        <v>3</v>
      </c>
      <c r="F201" s="28" t="n">
        <v>2184.98</v>
      </c>
      <c r="G201" s="28" t="n">
        <v>1572</v>
      </c>
      <c r="H201" s="28" t="n">
        <v>612.98</v>
      </c>
    </row>
    <row r="202">
      <c r="A202" s="26" t="n">
        <v>46236</v>
      </c>
      <c r="B202" s="27" t="inlineStr">
        <is>
          <t>SOU02</t>
        </is>
      </c>
      <c r="C202" s="27" t="inlineStr">
        <is>
          <t>Soundbar model 2</t>
        </is>
      </c>
      <c r="D202" s="27" t="inlineStr">
        <is>
          <t>Soundbar</t>
        </is>
      </c>
      <c r="E202" s="27" t="n">
        <v>3</v>
      </c>
      <c r="F202" s="28" t="n">
        <v>2178.16</v>
      </c>
      <c r="G202" s="28" t="n">
        <v>1572</v>
      </c>
      <c r="H202" s="28" t="n">
        <v>606.16</v>
      </c>
    </row>
    <row r="203">
      <c r="A203" s="26" t="n">
        <v>46243</v>
      </c>
      <c r="B203" s="27" t="inlineStr">
        <is>
          <t>SOU02</t>
        </is>
      </c>
      <c r="C203" s="27" t="inlineStr">
        <is>
          <t>Soundbar model 2</t>
        </is>
      </c>
      <c r="D203" s="27" t="inlineStr">
        <is>
          <t>Soundbar</t>
        </is>
      </c>
      <c r="E203" s="27" t="n">
        <v>4</v>
      </c>
      <c r="F203" s="28" t="n">
        <v>2724.32</v>
      </c>
      <c r="G203" s="28" t="n">
        <v>2096</v>
      </c>
      <c r="H203" s="28" t="n">
        <v>628.3200000000001</v>
      </c>
    </row>
    <row r="204">
      <c r="A204" s="26" t="n">
        <v>46250</v>
      </c>
      <c r="B204" s="27" t="inlineStr">
        <is>
          <t>SOU02</t>
        </is>
      </c>
      <c r="C204" s="27" t="inlineStr">
        <is>
          <t>Soundbar model 2</t>
        </is>
      </c>
      <c r="D204" s="27" t="inlineStr">
        <is>
          <t>Soundbar</t>
        </is>
      </c>
      <c r="E204" s="27" t="n">
        <v>6</v>
      </c>
      <c r="F204" s="28" t="n">
        <v>4217.26</v>
      </c>
      <c r="G204" s="28" t="n">
        <v>3144</v>
      </c>
      <c r="H204" s="28" t="n">
        <v>1073.26</v>
      </c>
    </row>
    <row r="205">
      <c r="A205" s="26" t="n">
        <v>46257</v>
      </c>
      <c r="B205" s="27" t="inlineStr">
        <is>
          <t>SOU02</t>
        </is>
      </c>
      <c r="C205" s="27" t="inlineStr">
        <is>
          <t>Soundbar model 2</t>
        </is>
      </c>
      <c r="D205" s="27" t="inlineStr">
        <is>
          <t>Soundbar</t>
        </is>
      </c>
      <c r="E205" s="27" t="n">
        <v>1</v>
      </c>
      <c r="F205" s="28" t="n">
        <v>721.58</v>
      </c>
      <c r="G205" s="28" t="n">
        <v>524</v>
      </c>
      <c r="H205" s="28" t="n">
        <v>197.58</v>
      </c>
    </row>
    <row r="206">
      <c r="A206" s="26" t="n">
        <v>46264</v>
      </c>
      <c r="B206" s="27" t="inlineStr">
        <is>
          <t>SOU02</t>
        </is>
      </c>
      <c r="C206" s="27" t="inlineStr">
        <is>
          <t>Soundbar model 2</t>
        </is>
      </c>
      <c r="D206" s="27" t="inlineStr">
        <is>
          <t>Soundbar</t>
        </is>
      </c>
      <c r="E206" s="27" t="n">
        <v>2</v>
      </c>
      <c r="F206" s="28" t="n">
        <v>1411.39</v>
      </c>
      <c r="G206" s="28" t="n">
        <v>1048</v>
      </c>
      <c r="H206" s="28" t="n">
        <v>363.39</v>
      </c>
    </row>
    <row r="207">
      <c r="A207" s="26" t="n">
        <v>46271</v>
      </c>
      <c r="B207" s="27" t="inlineStr">
        <is>
          <t>SOU02</t>
        </is>
      </c>
      <c r="C207" s="27" t="inlineStr">
        <is>
          <t>Soundbar model 2</t>
        </is>
      </c>
      <c r="D207" s="27" t="inlineStr">
        <is>
          <t>Soundbar</t>
        </is>
      </c>
      <c r="E207" s="27" t="n">
        <v>1</v>
      </c>
      <c r="F207" s="28" t="n">
        <v>707.79</v>
      </c>
      <c r="G207" s="28" t="n">
        <v>524</v>
      </c>
      <c r="H207" s="28" t="n">
        <v>183.79</v>
      </c>
    </row>
    <row r="208">
      <c r="A208" s="26" t="n">
        <v>46278</v>
      </c>
      <c r="B208" s="27" t="inlineStr">
        <is>
          <t>SOU02</t>
        </is>
      </c>
      <c r="C208" s="27" t="inlineStr">
        <is>
          <t>Soundbar model 2</t>
        </is>
      </c>
      <c r="D208" s="27" t="inlineStr">
        <is>
          <t>Soundbar</t>
        </is>
      </c>
      <c r="E208" s="27" t="n">
        <v>5</v>
      </c>
      <c r="F208" s="28" t="n">
        <v>3602.8</v>
      </c>
      <c r="G208" s="28" t="n">
        <v>2620</v>
      </c>
      <c r="H208" s="28" t="n">
        <v>982.8</v>
      </c>
    </row>
    <row r="209">
      <c r="A209" s="26" t="n">
        <v>46285</v>
      </c>
      <c r="B209" s="27" t="inlineStr">
        <is>
          <t>SOU02</t>
        </is>
      </c>
      <c r="C209" s="27" t="inlineStr">
        <is>
          <t>Soundbar model 2</t>
        </is>
      </c>
      <c r="D209" s="27" t="inlineStr">
        <is>
          <t>Soundbar</t>
        </is>
      </c>
      <c r="E209" s="27" t="n">
        <v>3</v>
      </c>
      <c r="F209" s="28" t="n">
        <v>2024.12</v>
      </c>
      <c r="G209" s="28" t="n">
        <v>1572</v>
      </c>
      <c r="H209" s="28" t="n">
        <v>452.12</v>
      </c>
    </row>
    <row r="210">
      <c r="A210" s="26" t="n">
        <v>46110</v>
      </c>
      <c r="B210" s="27" t="inlineStr">
        <is>
          <t>SOU03</t>
        </is>
      </c>
      <c r="C210" s="27" t="inlineStr">
        <is>
          <t>Soundbar model 3</t>
        </is>
      </c>
      <c r="D210" s="27" t="inlineStr">
        <is>
          <t>Soundbar</t>
        </is>
      </c>
      <c r="E210" s="27" t="n">
        <v>6</v>
      </c>
      <c r="F210" s="28" t="n">
        <v>2652.41</v>
      </c>
      <c r="G210" s="28" t="n">
        <v>1938</v>
      </c>
      <c r="H210" s="28" t="n">
        <v>714.41</v>
      </c>
    </row>
    <row r="211">
      <c r="A211" s="26" t="n">
        <v>46117</v>
      </c>
      <c r="B211" s="27" t="inlineStr">
        <is>
          <t>SOU03</t>
        </is>
      </c>
      <c r="C211" s="27" t="inlineStr">
        <is>
          <t>Soundbar model 3</t>
        </is>
      </c>
      <c r="D211" s="27" t="inlineStr">
        <is>
          <t>Soundbar</t>
        </is>
      </c>
      <c r="E211" s="27" t="n">
        <v>3</v>
      </c>
      <c r="F211" s="28" t="n">
        <v>1348.83</v>
      </c>
      <c r="G211" s="28" t="n">
        <v>969</v>
      </c>
      <c r="H211" s="28" t="n">
        <v>379.83</v>
      </c>
    </row>
    <row r="212">
      <c r="A212" s="26" t="n">
        <v>46124</v>
      </c>
      <c r="B212" s="27" t="inlineStr">
        <is>
          <t>SOU03</t>
        </is>
      </c>
      <c r="C212" s="27" t="inlineStr">
        <is>
          <t>Soundbar model 3</t>
        </is>
      </c>
      <c r="D212" s="27" t="inlineStr">
        <is>
          <t>Soundbar</t>
        </is>
      </c>
      <c r="E212" s="27" t="n">
        <v>3</v>
      </c>
      <c r="F212" s="28" t="n">
        <v>1311.38</v>
      </c>
      <c r="G212" s="28" t="n">
        <v>969</v>
      </c>
      <c r="H212" s="28" t="n">
        <v>342.38</v>
      </c>
    </row>
    <row r="213">
      <c r="A213" s="26" t="n">
        <v>46131</v>
      </c>
      <c r="B213" s="27" t="inlineStr">
        <is>
          <t>SOU03</t>
        </is>
      </c>
      <c r="C213" s="27" t="inlineStr">
        <is>
          <t>Soundbar model 3</t>
        </is>
      </c>
      <c r="D213" s="27" t="inlineStr">
        <is>
          <t>Soundbar</t>
        </is>
      </c>
      <c r="E213" s="27" t="n">
        <v>4</v>
      </c>
      <c r="F213" s="28" t="n">
        <v>1744.41</v>
      </c>
      <c r="G213" s="28" t="n">
        <v>1292</v>
      </c>
      <c r="H213" s="28" t="n">
        <v>452.41</v>
      </c>
    </row>
    <row r="214">
      <c r="A214" s="26" t="n">
        <v>46138</v>
      </c>
      <c r="B214" s="27" t="inlineStr">
        <is>
          <t>SOU03</t>
        </is>
      </c>
      <c r="C214" s="27" t="inlineStr">
        <is>
          <t>Soundbar model 3</t>
        </is>
      </c>
      <c r="D214" s="27" t="inlineStr">
        <is>
          <t>Soundbar</t>
        </is>
      </c>
      <c r="E214" s="27" t="n">
        <v>7</v>
      </c>
      <c r="F214" s="28" t="n">
        <v>3024.14</v>
      </c>
      <c r="G214" s="28" t="n">
        <v>2261</v>
      </c>
      <c r="H214" s="28" t="n">
        <v>763.14</v>
      </c>
    </row>
    <row r="215">
      <c r="A215" s="26" t="n">
        <v>46145</v>
      </c>
      <c r="B215" s="27" t="inlineStr">
        <is>
          <t>SOU03</t>
        </is>
      </c>
      <c r="C215" s="27" t="inlineStr">
        <is>
          <t>Soundbar model 3</t>
        </is>
      </c>
      <c r="D215" s="27" t="inlineStr">
        <is>
          <t>Soundbar</t>
        </is>
      </c>
      <c r="E215" s="27" t="n">
        <v>0</v>
      </c>
      <c r="F215" s="28" t="n">
        <v>0</v>
      </c>
      <c r="G215" s="28" t="n">
        <v>0</v>
      </c>
      <c r="H215" s="28" t="n">
        <v>0</v>
      </c>
    </row>
    <row r="216">
      <c r="A216" s="26" t="n">
        <v>46152</v>
      </c>
      <c r="B216" s="27" t="inlineStr">
        <is>
          <t>SOU03</t>
        </is>
      </c>
      <c r="C216" s="27" t="inlineStr">
        <is>
          <t>Soundbar model 3</t>
        </is>
      </c>
      <c r="D216" s="27" t="inlineStr">
        <is>
          <t>Soundbar</t>
        </is>
      </c>
      <c r="E216" s="27" t="n">
        <v>4</v>
      </c>
      <c r="F216" s="28" t="n">
        <v>1800.21</v>
      </c>
      <c r="G216" s="28" t="n">
        <v>1292</v>
      </c>
      <c r="H216" s="28" t="n">
        <v>508.21</v>
      </c>
    </row>
    <row r="217">
      <c r="A217" s="26" t="n">
        <v>46159</v>
      </c>
      <c r="B217" s="27" t="inlineStr">
        <is>
          <t>SOU03</t>
        </is>
      </c>
      <c r="C217" s="27" t="inlineStr">
        <is>
          <t>Soundbar model 3</t>
        </is>
      </c>
      <c r="D217" s="27" t="inlineStr">
        <is>
          <t>Soundbar</t>
        </is>
      </c>
      <c r="E217" s="27" t="n">
        <v>3</v>
      </c>
      <c r="F217" s="28" t="n">
        <v>1337.78</v>
      </c>
      <c r="G217" s="28" t="n">
        <v>969</v>
      </c>
      <c r="H217" s="28" t="n">
        <v>368.78</v>
      </c>
    </row>
    <row r="218">
      <c r="A218" s="26" t="n">
        <v>46166</v>
      </c>
      <c r="B218" s="27" t="inlineStr">
        <is>
          <t>SOU03</t>
        </is>
      </c>
      <c r="C218" s="27" t="inlineStr">
        <is>
          <t>Soundbar model 3</t>
        </is>
      </c>
      <c r="D218" s="27" t="inlineStr">
        <is>
          <t>Soundbar</t>
        </is>
      </c>
      <c r="E218" s="27" t="n">
        <v>6</v>
      </c>
      <c r="F218" s="28" t="n">
        <v>2585.26</v>
      </c>
      <c r="G218" s="28" t="n">
        <v>1938</v>
      </c>
      <c r="H218" s="28" t="n">
        <v>647.26</v>
      </c>
    </row>
    <row r="219">
      <c r="A219" s="26" t="n">
        <v>46173</v>
      </c>
      <c r="B219" s="27" t="inlineStr">
        <is>
          <t>SOU03</t>
        </is>
      </c>
      <c r="C219" s="27" t="inlineStr">
        <is>
          <t>Soundbar model 3</t>
        </is>
      </c>
      <c r="D219" s="27" t="inlineStr">
        <is>
          <t>Soundbar</t>
        </is>
      </c>
      <c r="E219" s="27" t="n">
        <v>1</v>
      </c>
      <c r="F219" s="28" t="n">
        <v>429.06</v>
      </c>
      <c r="G219" s="28" t="n">
        <v>323</v>
      </c>
      <c r="H219" s="28" t="n">
        <v>106.06</v>
      </c>
    </row>
    <row r="220">
      <c r="A220" s="26" t="n">
        <v>46180</v>
      </c>
      <c r="B220" s="27" t="inlineStr">
        <is>
          <t>SOU03</t>
        </is>
      </c>
      <c r="C220" s="27" t="inlineStr">
        <is>
          <t>Soundbar model 3</t>
        </is>
      </c>
      <c r="D220" s="27" t="inlineStr">
        <is>
          <t>Soundbar</t>
        </is>
      </c>
      <c r="E220" s="27" t="n">
        <v>4</v>
      </c>
      <c r="F220" s="28" t="n">
        <v>1701.34</v>
      </c>
      <c r="G220" s="28" t="n">
        <v>1292</v>
      </c>
      <c r="H220" s="28" t="n">
        <v>409.34</v>
      </c>
    </row>
    <row r="221">
      <c r="A221" s="26" t="n">
        <v>46187</v>
      </c>
      <c r="B221" s="27" t="inlineStr">
        <is>
          <t>SOU03</t>
        </is>
      </c>
      <c r="C221" s="27" t="inlineStr">
        <is>
          <t>Soundbar model 3</t>
        </is>
      </c>
      <c r="D221" s="27" t="inlineStr">
        <is>
          <t>Soundbar</t>
        </is>
      </c>
      <c r="E221" s="27" t="n">
        <v>5</v>
      </c>
      <c r="F221" s="28" t="n">
        <v>2243.17</v>
      </c>
      <c r="G221" s="28" t="n">
        <v>1615</v>
      </c>
      <c r="H221" s="28" t="n">
        <v>628.17</v>
      </c>
    </row>
    <row r="222">
      <c r="A222" s="26" t="n">
        <v>46194</v>
      </c>
      <c r="B222" s="27" t="inlineStr">
        <is>
          <t>SOU03</t>
        </is>
      </c>
      <c r="C222" s="27" t="inlineStr">
        <is>
          <t>Soundbar model 3</t>
        </is>
      </c>
      <c r="D222" s="27" t="inlineStr">
        <is>
          <t>Soundbar</t>
        </is>
      </c>
      <c r="E222" s="27" t="n">
        <v>2</v>
      </c>
      <c r="F222" s="28" t="n">
        <v>897.75</v>
      </c>
      <c r="G222" s="28" t="n">
        <v>646</v>
      </c>
      <c r="H222" s="28" t="n">
        <v>251.75</v>
      </c>
    </row>
    <row r="223">
      <c r="A223" s="26" t="n">
        <v>46201</v>
      </c>
      <c r="B223" s="27" t="inlineStr">
        <is>
          <t>SOU03</t>
        </is>
      </c>
      <c r="C223" s="27" t="inlineStr">
        <is>
          <t>Soundbar model 3</t>
        </is>
      </c>
      <c r="D223" s="27" t="inlineStr">
        <is>
          <t>Soundbar</t>
        </is>
      </c>
      <c r="E223" s="27" t="n">
        <v>8</v>
      </c>
      <c r="F223" s="28" t="n">
        <v>3482.65</v>
      </c>
      <c r="G223" s="28" t="n">
        <v>2584</v>
      </c>
      <c r="H223" s="28" t="n">
        <v>898.65</v>
      </c>
    </row>
    <row r="224">
      <c r="A224" s="26" t="n">
        <v>46208</v>
      </c>
      <c r="B224" s="27" t="inlineStr">
        <is>
          <t>SOU03</t>
        </is>
      </c>
      <c r="C224" s="27" t="inlineStr">
        <is>
          <t>Soundbar model 3</t>
        </is>
      </c>
      <c r="D224" s="27" t="inlineStr">
        <is>
          <t>Soundbar</t>
        </is>
      </c>
      <c r="E224" s="27" t="n">
        <v>4</v>
      </c>
      <c r="F224" s="28" t="n">
        <v>1726.37</v>
      </c>
      <c r="G224" s="28" t="n">
        <v>1292</v>
      </c>
      <c r="H224" s="28" t="n">
        <v>434.37</v>
      </c>
    </row>
    <row r="225">
      <c r="A225" s="26" t="n">
        <v>46215</v>
      </c>
      <c r="B225" s="27" t="inlineStr">
        <is>
          <t>SOU03</t>
        </is>
      </c>
      <c r="C225" s="27" t="inlineStr">
        <is>
          <t>Soundbar model 3</t>
        </is>
      </c>
      <c r="D225" s="27" t="inlineStr">
        <is>
          <t>Soundbar</t>
        </is>
      </c>
      <c r="E225" s="27" t="n">
        <v>8</v>
      </c>
      <c r="F225" s="28" t="n">
        <v>3560.76</v>
      </c>
      <c r="G225" s="28" t="n">
        <v>2584</v>
      </c>
      <c r="H225" s="28" t="n">
        <v>976.76</v>
      </c>
    </row>
    <row r="226">
      <c r="A226" s="26" t="n">
        <v>46222</v>
      </c>
      <c r="B226" s="27" t="inlineStr">
        <is>
          <t>SOU03</t>
        </is>
      </c>
      <c r="C226" s="27" t="inlineStr">
        <is>
          <t>Soundbar model 3</t>
        </is>
      </c>
      <c r="D226" s="27" t="inlineStr">
        <is>
          <t>Soundbar</t>
        </is>
      </c>
      <c r="E226" s="27" t="n">
        <v>2</v>
      </c>
      <c r="F226" s="28" t="n">
        <v>856.73</v>
      </c>
      <c r="G226" s="28" t="n">
        <v>646</v>
      </c>
      <c r="H226" s="28" t="n">
        <v>210.73</v>
      </c>
    </row>
    <row r="227">
      <c r="A227" s="26" t="n">
        <v>46229</v>
      </c>
      <c r="B227" s="27" t="inlineStr">
        <is>
          <t>SOU03</t>
        </is>
      </c>
      <c r="C227" s="27" t="inlineStr">
        <is>
          <t>Soundbar model 3</t>
        </is>
      </c>
      <c r="D227" s="27" t="inlineStr">
        <is>
          <t>Soundbar</t>
        </is>
      </c>
      <c r="E227" s="27" t="n">
        <v>1</v>
      </c>
      <c r="F227" s="28" t="n">
        <v>424.78</v>
      </c>
      <c r="G227" s="28" t="n">
        <v>323</v>
      </c>
      <c r="H227" s="28" t="n">
        <v>101.78</v>
      </c>
    </row>
    <row r="228">
      <c r="A228" s="26" t="n">
        <v>46236</v>
      </c>
      <c r="B228" s="27" t="inlineStr">
        <is>
          <t>SOU03</t>
        </is>
      </c>
      <c r="C228" s="27" t="inlineStr">
        <is>
          <t>Soundbar model 3</t>
        </is>
      </c>
      <c r="D228" s="27" t="inlineStr">
        <is>
          <t>Soundbar</t>
        </is>
      </c>
      <c r="E228" s="27" t="n">
        <v>8</v>
      </c>
      <c r="F228" s="28" t="n">
        <v>3389.45</v>
      </c>
      <c r="G228" s="28" t="n">
        <v>2584</v>
      </c>
      <c r="H228" s="28" t="n">
        <v>805.45</v>
      </c>
    </row>
    <row r="229">
      <c r="A229" s="26" t="n">
        <v>46243</v>
      </c>
      <c r="B229" s="27" t="inlineStr">
        <is>
          <t>SOU03</t>
        </is>
      </c>
      <c r="C229" s="27" t="inlineStr">
        <is>
          <t>Soundbar model 3</t>
        </is>
      </c>
      <c r="D229" s="27" t="inlineStr">
        <is>
          <t>Soundbar</t>
        </is>
      </c>
      <c r="E229" s="27" t="n">
        <v>2</v>
      </c>
      <c r="F229" s="28" t="n">
        <v>858</v>
      </c>
      <c r="G229" s="28" t="n">
        <v>646</v>
      </c>
      <c r="H229" s="28" t="n">
        <v>212</v>
      </c>
    </row>
    <row r="230">
      <c r="A230" s="26" t="n">
        <v>46250</v>
      </c>
      <c r="B230" s="27" t="inlineStr">
        <is>
          <t>SOU03</t>
        </is>
      </c>
      <c r="C230" s="27" t="inlineStr">
        <is>
          <t>Soundbar model 3</t>
        </is>
      </c>
      <c r="D230" s="27" t="inlineStr">
        <is>
          <t>Soundbar</t>
        </is>
      </c>
      <c r="E230" s="27" t="n">
        <v>3</v>
      </c>
      <c r="F230" s="28" t="n">
        <v>1282.23</v>
      </c>
      <c r="G230" s="28" t="n">
        <v>969</v>
      </c>
      <c r="H230" s="28" t="n">
        <v>313.23</v>
      </c>
    </row>
    <row r="231">
      <c r="A231" s="26" t="n">
        <v>46257</v>
      </c>
      <c r="B231" s="27" t="inlineStr">
        <is>
          <t>SOU03</t>
        </is>
      </c>
      <c r="C231" s="27" t="inlineStr">
        <is>
          <t>Soundbar model 3</t>
        </is>
      </c>
      <c r="D231" s="27" t="inlineStr">
        <is>
          <t>Soundbar</t>
        </is>
      </c>
      <c r="E231" s="27" t="n">
        <v>5</v>
      </c>
      <c r="F231" s="28" t="n">
        <v>2186.31</v>
      </c>
      <c r="G231" s="28" t="n">
        <v>1615</v>
      </c>
      <c r="H231" s="28" t="n">
        <v>571.3099999999999</v>
      </c>
    </row>
    <row r="232">
      <c r="A232" s="26" t="n">
        <v>46264</v>
      </c>
      <c r="B232" s="27" t="inlineStr">
        <is>
          <t>SOU03</t>
        </is>
      </c>
      <c r="C232" s="27" t="inlineStr">
        <is>
          <t>Soundbar model 3</t>
        </is>
      </c>
      <c r="D232" s="27" t="inlineStr">
        <is>
          <t>Soundbar</t>
        </is>
      </c>
      <c r="E232" s="27" t="n">
        <v>7</v>
      </c>
      <c r="F232" s="28" t="n">
        <v>2956.65</v>
      </c>
      <c r="G232" s="28" t="n">
        <v>2261</v>
      </c>
      <c r="H232" s="28" t="n">
        <v>695.65</v>
      </c>
    </row>
    <row r="233">
      <c r="A233" s="26" t="n">
        <v>46271</v>
      </c>
      <c r="B233" s="27" t="inlineStr">
        <is>
          <t>SOU03</t>
        </is>
      </c>
      <c r="C233" s="27" t="inlineStr">
        <is>
          <t>Soundbar model 3</t>
        </is>
      </c>
      <c r="D233" s="27" t="inlineStr">
        <is>
          <t>Soundbar</t>
        </is>
      </c>
      <c r="E233" s="27" t="n">
        <v>2</v>
      </c>
      <c r="F233" s="28" t="n">
        <v>868.3</v>
      </c>
      <c r="G233" s="28" t="n">
        <v>646</v>
      </c>
      <c r="H233" s="28" t="n">
        <v>222.3</v>
      </c>
    </row>
    <row r="234">
      <c r="A234" s="26" t="n">
        <v>46278</v>
      </c>
      <c r="B234" s="27" t="inlineStr">
        <is>
          <t>SOU03</t>
        </is>
      </c>
      <c r="C234" s="27" t="inlineStr">
        <is>
          <t>Soundbar model 3</t>
        </is>
      </c>
      <c r="D234" s="27" t="inlineStr">
        <is>
          <t>Soundbar</t>
        </is>
      </c>
      <c r="E234" s="27" t="n">
        <v>5</v>
      </c>
      <c r="F234" s="28" t="n">
        <v>2095.32</v>
      </c>
      <c r="G234" s="28" t="n">
        <v>1615</v>
      </c>
      <c r="H234" s="28" t="n">
        <v>480.32</v>
      </c>
    </row>
    <row r="235">
      <c r="A235" s="26" t="n">
        <v>46285</v>
      </c>
      <c r="B235" s="27" t="inlineStr">
        <is>
          <t>SOU03</t>
        </is>
      </c>
      <c r="C235" s="27" t="inlineStr">
        <is>
          <t>Soundbar model 3</t>
        </is>
      </c>
      <c r="D235" s="27" t="inlineStr">
        <is>
          <t>Soundbar</t>
        </is>
      </c>
      <c r="E235" s="27" t="n">
        <v>3</v>
      </c>
      <c r="F235" s="28" t="n">
        <v>1269.26</v>
      </c>
      <c r="G235" s="28" t="n">
        <v>969</v>
      </c>
      <c r="H235" s="28" t="n">
        <v>300.26</v>
      </c>
    </row>
    <row r="236">
      <c r="A236" s="26" t="n">
        <v>46110</v>
      </c>
      <c r="B236" s="27" t="inlineStr">
        <is>
          <t>SOU04</t>
        </is>
      </c>
      <c r="C236" s="27" t="inlineStr">
        <is>
          <t>Soundbar model 4</t>
        </is>
      </c>
      <c r="D236" s="27" t="inlineStr">
        <is>
          <t>Soundbar</t>
        </is>
      </c>
      <c r="E236" s="27" t="n">
        <v>4</v>
      </c>
      <c r="F236" s="28" t="n">
        <v>2342.81</v>
      </c>
      <c r="G236" s="28" t="n">
        <v>1648</v>
      </c>
      <c r="H236" s="28" t="n">
        <v>694.8099999999999</v>
      </c>
    </row>
    <row r="237">
      <c r="A237" s="26" t="n">
        <v>46117</v>
      </c>
      <c r="B237" s="27" t="inlineStr">
        <is>
          <t>SOU04</t>
        </is>
      </c>
      <c r="C237" s="27" t="inlineStr">
        <is>
          <t>Soundbar model 4</t>
        </is>
      </c>
      <c r="D237" s="27" t="inlineStr">
        <is>
          <t>Soundbar</t>
        </is>
      </c>
      <c r="E237" s="27" t="n">
        <v>5</v>
      </c>
      <c r="F237" s="28" t="n">
        <v>2777.19</v>
      </c>
      <c r="G237" s="28" t="n">
        <v>2060</v>
      </c>
      <c r="H237" s="28" t="n">
        <v>717.1900000000001</v>
      </c>
    </row>
    <row r="238">
      <c r="A238" s="26" t="n">
        <v>46124</v>
      </c>
      <c r="B238" s="27" t="inlineStr">
        <is>
          <t>SOU04</t>
        </is>
      </c>
      <c r="C238" s="27" t="inlineStr">
        <is>
          <t>Soundbar model 4</t>
        </is>
      </c>
      <c r="D238" s="27" t="inlineStr">
        <is>
          <t>Soundbar</t>
        </is>
      </c>
      <c r="E238" s="27" t="n">
        <v>3</v>
      </c>
      <c r="F238" s="28" t="n">
        <v>1682.55</v>
      </c>
      <c r="G238" s="28" t="n">
        <v>1236</v>
      </c>
      <c r="H238" s="28" t="n">
        <v>446.55</v>
      </c>
    </row>
    <row r="239">
      <c r="A239" s="26" t="n">
        <v>46131</v>
      </c>
      <c r="B239" s="27" t="inlineStr">
        <is>
          <t>SOU04</t>
        </is>
      </c>
      <c r="C239" s="27" t="inlineStr">
        <is>
          <t>Soundbar model 4</t>
        </is>
      </c>
      <c r="D239" s="27" t="inlineStr">
        <is>
          <t>Soundbar</t>
        </is>
      </c>
      <c r="E239" s="27" t="n">
        <v>1</v>
      </c>
      <c r="F239" s="28" t="n">
        <v>579.9299999999999</v>
      </c>
      <c r="G239" s="28" t="n">
        <v>412</v>
      </c>
      <c r="H239" s="28" t="n">
        <v>167.93</v>
      </c>
    </row>
    <row r="240">
      <c r="A240" s="26" t="n">
        <v>46138</v>
      </c>
      <c r="B240" s="27" t="inlineStr">
        <is>
          <t>SOU04</t>
        </is>
      </c>
      <c r="C240" s="27" t="inlineStr">
        <is>
          <t>Soundbar model 4</t>
        </is>
      </c>
      <c r="D240" s="27" t="inlineStr">
        <is>
          <t>Soundbar</t>
        </is>
      </c>
      <c r="E240" s="27" t="n">
        <v>3</v>
      </c>
      <c r="F240" s="28" t="n">
        <v>1723.49</v>
      </c>
      <c r="G240" s="28" t="n">
        <v>1236</v>
      </c>
      <c r="H240" s="28" t="n">
        <v>487.49</v>
      </c>
    </row>
    <row r="241">
      <c r="A241" s="26" t="n">
        <v>46145</v>
      </c>
      <c r="B241" s="27" t="inlineStr">
        <is>
          <t>SOU04</t>
        </is>
      </c>
      <c r="C241" s="27" t="inlineStr">
        <is>
          <t>Soundbar model 4</t>
        </is>
      </c>
      <c r="D241" s="27" t="inlineStr">
        <is>
          <t>Soundbar</t>
        </is>
      </c>
      <c r="E241" s="27" t="n">
        <v>4</v>
      </c>
      <c r="F241" s="28" t="n">
        <v>2250.06</v>
      </c>
      <c r="G241" s="28" t="n">
        <v>1648</v>
      </c>
      <c r="H241" s="28" t="n">
        <v>602.0599999999999</v>
      </c>
    </row>
    <row r="242">
      <c r="A242" s="26" t="n">
        <v>46152</v>
      </c>
      <c r="B242" s="27" t="inlineStr">
        <is>
          <t>SOU04</t>
        </is>
      </c>
      <c r="C242" s="27" t="inlineStr">
        <is>
          <t>Soundbar model 4</t>
        </is>
      </c>
      <c r="D242" s="27" t="inlineStr">
        <is>
          <t>Soundbar</t>
        </is>
      </c>
      <c r="E242" s="27" t="n">
        <v>3</v>
      </c>
      <c r="F242" s="28" t="n">
        <v>1628.59</v>
      </c>
      <c r="G242" s="28" t="n">
        <v>1236</v>
      </c>
      <c r="H242" s="28" t="n">
        <v>392.59</v>
      </c>
    </row>
    <row r="243">
      <c r="A243" s="26" t="n">
        <v>46159</v>
      </c>
      <c r="B243" s="27" t="inlineStr">
        <is>
          <t>SOU04</t>
        </is>
      </c>
      <c r="C243" s="27" t="inlineStr">
        <is>
          <t>Soundbar model 4</t>
        </is>
      </c>
      <c r="D243" s="27" t="inlineStr">
        <is>
          <t>Soundbar</t>
        </is>
      </c>
      <c r="E243" s="27" t="n">
        <v>5</v>
      </c>
      <c r="F243" s="28" t="n">
        <v>2710.99</v>
      </c>
      <c r="G243" s="28" t="n">
        <v>2060</v>
      </c>
      <c r="H243" s="28" t="n">
        <v>650.99</v>
      </c>
    </row>
    <row r="244">
      <c r="A244" s="26" t="n">
        <v>46166</v>
      </c>
      <c r="B244" s="27" t="inlineStr">
        <is>
          <t>SOU04</t>
        </is>
      </c>
      <c r="C244" s="27" t="inlineStr">
        <is>
          <t>Soundbar model 4</t>
        </is>
      </c>
      <c r="D244" s="27" t="inlineStr">
        <is>
          <t>Soundbar</t>
        </is>
      </c>
      <c r="E244" s="27" t="n">
        <v>3</v>
      </c>
      <c r="F244" s="28" t="n">
        <v>1637.57</v>
      </c>
      <c r="G244" s="28" t="n">
        <v>1236</v>
      </c>
      <c r="H244" s="28" t="n">
        <v>401.57</v>
      </c>
    </row>
    <row r="245">
      <c r="A245" s="26" t="n">
        <v>46173</v>
      </c>
      <c r="B245" s="27" t="inlineStr">
        <is>
          <t>SOU04</t>
        </is>
      </c>
      <c r="C245" s="27" t="inlineStr">
        <is>
          <t>Soundbar model 4</t>
        </is>
      </c>
      <c r="D245" s="27" t="inlineStr">
        <is>
          <t>Soundbar</t>
        </is>
      </c>
      <c r="E245" s="27" t="n">
        <v>3</v>
      </c>
      <c r="F245" s="28" t="n">
        <v>1665.06</v>
      </c>
      <c r="G245" s="28" t="n">
        <v>1236</v>
      </c>
      <c r="H245" s="28" t="n">
        <v>429.06</v>
      </c>
    </row>
    <row r="246">
      <c r="A246" s="26" t="n">
        <v>46180</v>
      </c>
      <c r="B246" s="27" t="inlineStr">
        <is>
          <t>SOU04</t>
        </is>
      </c>
      <c r="C246" s="27" t="inlineStr">
        <is>
          <t>Soundbar model 4</t>
        </is>
      </c>
      <c r="D246" s="27" t="inlineStr">
        <is>
          <t>Soundbar</t>
        </is>
      </c>
      <c r="E246" s="27" t="n">
        <v>4</v>
      </c>
      <c r="F246" s="28" t="n">
        <v>2139.86</v>
      </c>
      <c r="G246" s="28" t="n">
        <v>1648</v>
      </c>
      <c r="H246" s="28" t="n">
        <v>491.86</v>
      </c>
    </row>
    <row r="247">
      <c r="A247" s="26" t="n">
        <v>46187</v>
      </c>
      <c r="B247" s="27" t="inlineStr">
        <is>
          <t>SOU04</t>
        </is>
      </c>
      <c r="C247" s="27" t="inlineStr">
        <is>
          <t>Soundbar model 4</t>
        </is>
      </c>
      <c r="D247" s="27" t="inlineStr">
        <is>
          <t>Soundbar</t>
        </is>
      </c>
      <c r="E247" s="27" t="n">
        <v>3</v>
      </c>
      <c r="F247" s="28" t="n">
        <v>1660.34</v>
      </c>
      <c r="G247" s="28" t="n">
        <v>1236</v>
      </c>
      <c r="H247" s="28" t="n">
        <v>424.34</v>
      </c>
    </row>
    <row r="248">
      <c r="A248" s="26" t="n">
        <v>46194</v>
      </c>
      <c r="B248" s="27" t="inlineStr">
        <is>
          <t>SOU04</t>
        </is>
      </c>
      <c r="C248" s="27" t="inlineStr">
        <is>
          <t>Soundbar model 4</t>
        </is>
      </c>
      <c r="D248" s="27" t="inlineStr">
        <is>
          <t>Soundbar</t>
        </is>
      </c>
      <c r="E248" s="27" t="n">
        <v>4</v>
      </c>
      <c r="F248" s="28" t="n">
        <v>2107.29</v>
      </c>
      <c r="G248" s="28" t="n">
        <v>1648</v>
      </c>
      <c r="H248" s="28" t="n">
        <v>459.29</v>
      </c>
    </row>
    <row r="249">
      <c r="A249" s="26" t="n">
        <v>46201</v>
      </c>
      <c r="B249" s="27" t="inlineStr">
        <is>
          <t>SOU04</t>
        </is>
      </c>
      <c r="C249" s="27" t="inlineStr">
        <is>
          <t>Soundbar model 4</t>
        </is>
      </c>
      <c r="D249" s="27" t="inlineStr">
        <is>
          <t>Soundbar</t>
        </is>
      </c>
      <c r="E249" s="27" t="n">
        <v>2</v>
      </c>
      <c r="F249" s="28" t="n">
        <v>1097.75</v>
      </c>
      <c r="G249" s="28" t="n">
        <v>824</v>
      </c>
      <c r="H249" s="28" t="n">
        <v>273.75</v>
      </c>
    </row>
    <row r="250">
      <c r="A250" s="26" t="n">
        <v>46208</v>
      </c>
      <c r="B250" s="27" t="inlineStr">
        <is>
          <t>SOU04</t>
        </is>
      </c>
      <c r="C250" s="27" t="inlineStr">
        <is>
          <t>Soundbar model 4</t>
        </is>
      </c>
      <c r="D250" s="27" t="inlineStr">
        <is>
          <t>Soundbar</t>
        </is>
      </c>
      <c r="E250" s="27" t="n">
        <v>1</v>
      </c>
      <c r="F250" s="28" t="n">
        <v>536.6</v>
      </c>
      <c r="G250" s="28" t="n">
        <v>412</v>
      </c>
      <c r="H250" s="28" t="n">
        <v>124.6</v>
      </c>
    </row>
    <row r="251">
      <c r="A251" s="26" t="n">
        <v>46215</v>
      </c>
      <c r="B251" s="27" t="inlineStr">
        <is>
          <t>SOU04</t>
        </is>
      </c>
      <c r="C251" s="27" t="inlineStr">
        <is>
          <t>Soundbar model 4</t>
        </is>
      </c>
      <c r="D251" s="27" t="inlineStr">
        <is>
          <t>Soundbar</t>
        </is>
      </c>
      <c r="E251" s="27" t="n">
        <v>3</v>
      </c>
      <c r="F251" s="28" t="n">
        <v>1620.13</v>
      </c>
      <c r="G251" s="28" t="n">
        <v>1236</v>
      </c>
      <c r="H251" s="28" t="n">
        <v>384.13</v>
      </c>
    </row>
    <row r="252">
      <c r="A252" s="26" t="n">
        <v>46222</v>
      </c>
      <c r="B252" s="27" t="inlineStr">
        <is>
          <t>SOU04</t>
        </is>
      </c>
      <c r="C252" s="27" t="inlineStr">
        <is>
          <t>Soundbar model 4</t>
        </is>
      </c>
      <c r="D252" s="27" t="inlineStr">
        <is>
          <t>Soundbar</t>
        </is>
      </c>
      <c r="E252" s="27" t="n">
        <v>5</v>
      </c>
      <c r="F252" s="28" t="n">
        <v>2742.17</v>
      </c>
      <c r="G252" s="28" t="n">
        <v>2060</v>
      </c>
      <c r="H252" s="28" t="n">
        <v>682.17</v>
      </c>
    </row>
    <row r="253">
      <c r="A253" s="26" t="n">
        <v>46229</v>
      </c>
      <c r="B253" s="27" t="inlineStr">
        <is>
          <t>SOU04</t>
        </is>
      </c>
      <c r="C253" s="27" t="inlineStr">
        <is>
          <t>Soundbar model 4</t>
        </is>
      </c>
      <c r="D253" s="27" t="inlineStr">
        <is>
          <t>Soundbar</t>
        </is>
      </c>
      <c r="E253" s="27" t="n">
        <v>1</v>
      </c>
      <c r="F253" s="28" t="n">
        <v>534.97</v>
      </c>
      <c r="G253" s="28" t="n">
        <v>412</v>
      </c>
      <c r="H253" s="28" t="n">
        <v>122.97</v>
      </c>
    </row>
    <row r="254">
      <c r="A254" s="26" t="n">
        <v>46236</v>
      </c>
      <c r="B254" s="27" t="inlineStr">
        <is>
          <t>SOU04</t>
        </is>
      </c>
      <c r="C254" s="27" t="inlineStr">
        <is>
          <t>Soundbar model 4</t>
        </is>
      </c>
      <c r="D254" s="27" t="inlineStr">
        <is>
          <t>Soundbar</t>
        </is>
      </c>
      <c r="E254" s="27" t="n">
        <v>5</v>
      </c>
      <c r="F254" s="28" t="n">
        <v>2707.1</v>
      </c>
      <c r="G254" s="28" t="n">
        <v>2060</v>
      </c>
      <c r="H254" s="28" t="n">
        <v>647.1</v>
      </c>
    </row>
    <row r="255">
      <c r="A255" s="26" t="n">
        <v>46243</v>
      </c>
      <c r="B255" s="27" t="inlineStr">
        <is>
          <t>SOU04</t>
        </is>
      </c>
      <c r="C255" s="27" t="inlineStr">
        <is>
          <t>Soundbar model 4</t>
        </is>
      </c>
      <c r="D255" s="27" t="inlineStr">
        <is>
          <t>Soundbar</t>
        </is>
      </c>
      <c r="E255" s="27" t="n">
        <v>5</v>
      </c>
      <c r="F255" s="28" t="n">
        <v>2570.41</v>
      </c>
      <c r="G255" s="28" t="n">
        <v>2060</v>
      </c>
      <c r="H255" s="28" t="n">
        <v>510.41</v>
      </c>
    </row>
    <row r="256">
      <c r="A256" s="26" t="n">
        <v>46250</v>
      </c>
      <c r="B256" s="27" t="inlineStr">
        <is>
          <t>SOU04</t>
        </is>
      </c>
      <c r="C256" s="27" t="inlineStr">
        <is>
          <t>Soundbar model 4</t>
        </is>
      </c>
      <c r="D256" s="27" t="inlineStr">
        <is>
          <t>Soundbar</t>
        </is>
      </c>
      <c r="E256" s="27" t="n">
        <v>0</v>
      </c>
      <c r="F256" s="28" t="n">
        <v>0</v>
      </c>
      <c r="G256" s="28" t="n">
        <v>0</v>
      </c>
      <c r="H256" s="28" t="n">
        <v>0</v>
      </c>
    </row>
    <row r="257">
      <c r="A257" s="26" t="n">
        <v>46257</v>
      </c>
      <c r="B257" s="27" t="inlineStr">
        <is>
          <t>SOU04</t>
        </is>
      </c>
      <c r="C257" s="27" t="inlineStr">
        <is>
          <t>Soundbar model 4</t>
        </is>
      </c>
      <c r="D257" s="27" t="inlineStr">
        <is>
          <t>Soundbar</t>
        </is>
      </c>
      <c r="E257" s="27" t="n">
        <v>2</v>
      </c>
      <c r="F257" s="28" t="n">
        <v>1026.21</v>
      </c>
      <c r="G257" s="28" t="n">
        <v>824</v>
      </c>
      <c r="H257" s="28" t="n">
        <v>202.21</v>
      </c>
    </row>
    <row r="258">
      <c r="A258" s="26" t="n">
        <v>46264</v>
      </c>
      <c r="B258" s="27" t="inlineStr">
        <is>
          <t>SOU04</t>
        </is>
      </c>
      <c r="C258" s="27" t="inlineStr">
        <is>
          <t>Soundbar model 4</t>
        </is>
      </c>
      <c r="D258" s="27" t="inlineStr">
        <is>
          <t>Soundbar</t>
        </is>
      </c>
      <c r="E258" s="27" t="n">
        <v>1</v>
      </c>
      <c r="F258" s="28" t="n">
        <v>517.38</v>
      </c>
      <c r="G258" s="28" t="n">
        <v>412</v>
      </c>
      <c r="H258" s="28" t="n">
        <v>105.38</v>
      </c>
    </row>
    <row r="259">
      <c r="A259" s="26" t="n">
        <v>46271</v>
      </c>
      <c r="B259" s="27" t="inlineStr">
        <is>
          <t>SOU04</t>
        </is>
      </c>
      <c r="C259" s="27" t="inlineStr">
        <is>
          <t>Soundbar model 4</t>
        </is>
      </c>
      <c r="D259" s="27" t="inlineStr">
        <is>
          <t>Soundbar</t>
        </is>
      </c>
      <c r="E259" s="27" t="n">
        <v>3</v>
      </c>
      <c r="F259" s="28" t="n">
        <v>1583.73</v>
      </c>
      <c r="G259" s="28" t="n">
        <v>1236</v>
      </c>
      <c r="H259" s="28" t="n">
        <v>347.73</v>
      </c>
    </row>
    <row r="260">
      <c r="A260" s="26" t="n">
        <v>46278</v>
      </c>
      <c r="B260" s="27" t="inlineStr">
        <is>
          <t>SOU04</t>
        </is>
      </c>
      <c r="C260" s="27" t="inlineStr">
        <is>
          <t>Soundbar model 4</t>
        </is>
      </c>
      <c r="D260" s="27" t="inlineStr">
        <is>
          <t>Soundbar</t>
        </is>
      </c>
      <c r="E260" s="27" t="n">
        <v>7</v>
      </c>
      <c r="F260" s="28" t="n">
        <v>3550.36</v>
      </c>
      <c r="G260" s="28" t="n">
        <v>2884</v>
      </c>
      <c r="H260" s="28" t="n">
        <v>666.36</v>
      </c>
    </row>
    <row r="261">
      <c r="A261" s="26" t="n">
        <v>46285</v>
      </c>
      <c r="B261" s="27" t="inlineStr">
        <is>
          <t>SOU04</t>
        </is>
      </c>
      <c r="C261" s="27" t="inlineStr">
        <is>
          <t>Soundbar model 4</t>
        </is>
      </c>
      <c r="D261" s="27" t="inlineStr">
        <is>
          <t>Soundbar</t>
        </is>
      </c>
      <c r="E261" s="27" t="n">
        <v>3</v>
      </c>
      <c r="F261" s="28" t="n">
        <v>1539.26</v>
      </c>
      <c r="G261" s="28" t="n">
        <v>1236</v>
      </c>
      <c r="H261" s="28" t="n">
        <v>303.26</v>
      </c>
    </row>
    <row r="262">
      <c r="A262" s="26" t="n">
        <v>46110</v>
      </c>
      <c r="B262" s="27" t="inlineStr">
        <is>
          <t>SOU05</t>
        </is>
      </c>
      <c r="C262" s="27" t="inlineStr">
        <is>
          <t>Soundbar model 5</t>
        </is>
      </c>
      <c r="D262" s="27" t="inlineStr">
        <is>
          <t>Soundbar</t>
        </is>
      </c>
      <c r="E262" s="27" t="n">
        <v>1</v>
      </c>
      <c r="F262" s="28" t="n">
        <v>727.03</v>
      </c>
      <c r="G262" s="28" t="n">
        <v>533</v>
      </c>
      <c r="H262" s="28" t="n">
        <v>194.03</v>
      </c>
    </row>
    <row r="263">
      <c r="A263" s="26" t="n">
        <v>46117</v>
      </c>
      <c r="B263" s="27" t="inlineStr">
        <is>
          <t>SOU05</t>
        </is>
      </c>
      <c r="C263" s="27" t="inlineStr">
        <is>
          <t>Soundbar model 5</t>
        </is>
      </c>
      <c r="D263" s="27" t="inlineStr">
        <is>
          <t>Soundbar</t>
        </is>
      </c>
      <c r="E263" s="27" t="n">
        <v>4</v>
      </c>
      <c r="F263" s="28" t="n">
        <v>2893.66</v>
      </c>
      <c r="G263" s="28" t="n">
        <v>2132</v>
      </c>
      <c r="H263" s="28" t="n">
        <v>761.66</v>
      </c>
    </row>
    <row r="264">
      <c r="A264" s="26" t="n">
        <v>46124</v>
      </c>
      <c r="B264" s="27" t="inlineStr">
        <is>
          <t>SOU05</t>
        </is>
      </c>
      <c r="C264" s="27" t="inlineStr">
        <is>
          <t>Soundbar model 5</t>
        </is>
      </c>
      <c r="D264" s="27" t="inlineStr">
        <is>
          <t>Soundbar</t>
        </is>
      </c>
      <c r="E264" s="27" t="n">
        <v>4</v>
      </c>
      <c r="F264" s="28" t="n">
        <v>2952.56</v>
      </c>
      <c r="G264" s="28" t="n">
        <v>2132</v>
      </c>
      <c r="H264" s="28" t="n">
        <v>820.5599999999999</v>
      </c>
    </row>
    <row r="265">
      <c r="A265" s="26" t="n">
        <v>46131</v>
      </c>
      <c r="B265" s="27" t="inlineStr">
        <is>
          <t>SOU05</t>
        </is>
      </c>
      <c r="C265" s="27" t="inlineStr">
        <is>
          <t>Soundbar model 5</t>
        </is>
      </c>
      <c r="D265" s="27" t="inlineStr">
        <is>
          <t>Soundbar</t>
        </is>
      </c>
      <c r="E265" s="27" t="n">
        <v>4</v>
      </c>
      <c r="F265" s="28" t="n">
        <v>2884.29</v>
      </c>
      <c r="G265" s="28" t="n">
        <v>2132</v>
      </c>
      <c r="H265" s="28" t="n">
        <v>752.29</v>
      </c>
    </row>
    <row r="266">
      <c r="A266" s="26" t="n">
        <v>46138</v>
      </c>
      <c r="B266" s="27" t="inlineStr">
        <is>
          <t>SOU05</t>
        </is>
      </c>
      <c r="C266" s="27" t="inlineStr">
        <is>
          <t>Soundbar model 5</t>
        </is>
      </c>
      <c r="D266" s="27" t="inlineStr">
        <is>
          <t>Soundbar</t>
        </is>
      </c>
      <c r="E266" s="27" t="n">
        <v>6</v>
      </c>
      <c r="F266" s="28" t="n">
        <v>4338.28</v>
      </c>
      <c r="G266" s="28" t="n">
        <v>3198</v>
      </c>
      <c r="H266" s="28" t="n">
        <v>1140.28</v>
      </c>
    </row>
    <row r="267">
      <c r="A267" s="26" t="n">
        <v>46145</v>
      </c>
      <c r="B267" s="27" t="inlineStr">
        <is>
          <t>SOU05</t>
        </is>
      </c>
      <c r="C267" s="27" t="inlineStr">
        <is>
          <t>Soundbar model 5</t>
        </is>
      </c>
      <c r="D267" s="27" t="inlineStr">
        <is>
          <t>Soundbar</t>
        </is>
      </c>
      <c r="E267" s="27" t="n">
        <v>6</v>
      </c>
      <c r="F267" s="28" t="n">
        <v>4453.63</v>
      </c>
      <c r="G267" s="28" t="n">
        <v>3198</v>
      </c>
      <c r="H267" s="28" t="n">
        <v>1255.63</v>
      </c>
    </row>
    <row r="268">
      <c r="A268" s="26" t="n">
        <v>46152</v>
      </c>
      <c r="B268" s="27" t="inlineStr">
        <is>
          <t>SOU05</t>
        </is>
      </c>
      <c r="C268" s="27" t="inlineStr">
        <is>
          <t>Soundbar model 5</t>
        </is>
      </c>
      <c r="D268" s="27" t="inlineStr">
        <is>
          <t>Soundbar</t>
        </is>
      </c>
      <c r="E268" s="27" t="n">
        <v>8</v>
      </c>
      <c r="F268" s="28" t="n">
        <v>5804.69</v>
      </c>
      <c r="G268" s="28" t="n">
        <v>4264</v>
      </c>
      <c r="H268" s="28" t="n">
        <v>1540.69</v>
      </c>
    </row>
    <row r="269">
      <c r="A269" s="26" t="n">
        <v>46159</v>
      </c>
      <c r="B269" s="27" t="inlineStr">
        <is>
          <t>SOU05</t>
        </is>
      </c>
      <c r="C269" s="27" t="inlineStr">
        <is>
          <t>Soundbar model 5</t>
        </is>
      </c>
      <c r="D269" s="27" t="inlineStr">
        <is>
          <t>Soundbar</t>
        </is>
      </c>
      <c r="E269" s="27" t="n">
        <v>2</v>
      </c>
      <c r="F269" s="28" t="n">
        <v>1502.11</v>
      </c>
      <c r="G269" s="28" t="n">
        <v>1066</v>
      </c>
      <c r="H269" s="28" t="n">
        <v>436.11</v>
      </c>
    </row>
    <row r="270">
      <c r="A270" s="26" t="n">
        <v>46166</v>
      </c>
      <c r="B270" s="27" t="inlineStr">
        <is>
          <t>SOU05</t>
        </is>
      </c>
      <c r="C270" s="27" t="inlineStr">
        <is>
          <t>Soundbar model 5</t>
        </is>
      </c>
      <c r="D270" s="27" t="inlineStr">
        <is>
          <t>Soundbar</t>
        </is>
      </c>
      <c r="E270" s="27" t="n">
        <v>5</v>
      </c>
      <c r="F270" s="28" t="n">
        <v>3623.25</v>
      </c>
      <c r="G270" s="28" t="n">
        <v>2665</v>
      </c>
      <c r="H270" s="28" t="n">
        <v>958.25</v>
      </c>
    </row>
    <row r="271">
      <c r="A271" s="26" t="n">
        <v>46173</v>
      </c>
      <c r="B271" s="27" t="inlineStr">
        <is>
          <t>SOU05</t>
        </is>
      </c>
      <c r="C271" s="27" t="inlineStr">
        <is>
          <t>Soundbar model 5</t>
        </is>
      </c>
      <c r="D271" s="27" t="inlineStr">
        <is>
          <t>Soundbar</t>
        </is>
      </c>
      <c r="E271" s="27" t="n">
        <v>9</v>
      </c>
      <c r="F271" s="28" t="n">
        <v>6544.6</v>
      </c>
      <c r="G271" s="28" t="n">
        <v>4797</v>
      </c>
      <c r="H271" s="28" t="n">
        <v>1747.6</v>
      </c>
    </row>
    <row r="272">
      <c r="A272" s="26" t="n">
        <v>46180</v>
      </c>
      <c r="B272" s="27" t="inlineStr">
        <is>
          <t>SOU05</t>
        </is>
      </c>
      <c r="C272" s="27" t="inlineStr">
        <is>
          <t>Soundbar model 5</t>
        </is>
      </c>
      <c r="D272" s="27" t="inlineStr">
        <is>
          <t>Soundbar</t>
        </is>
      </c>
      <c r="E272" s="27" t="n">
        <v>5</v>
      </c>
      <c r="F272" s="28" t="n">
        <v>3738.74</v>
      </c>
      <c r="G272" s="28" t="n">
        <v>2665</v>
      </c>
      <c r="H272" s="28" t="n">
        <v>1073.74</v>
      </c>
    </row>
    <row r="273">
      <c r="A273" s="26" t="n">
        <v>46187</v>
      </c>
      <c r="B273" s="27" t="inlineStr">
        <is>
          <t>SOU05</t>
        </is>
      </c>
      <c r="C273" s="27" t="inlineStr">
        <is>
          <t>Soundbar model 5</t>
        </is>
      </c>
      <c r="D273" s="27" t="inlineStr">
        <is>
          <t>Soundbar</t>
        </is>
      </c>
      <c r="E273" s="27" t="n">
        <v>5</v>
      </c>
      <c r="F273" s="28" t="n">
        <v>3626.47</v>
      </c>
      <c r="G273" s="28" t="n">
        <v>2665</v>
      </c>
      <c r="H273" s="28" t="n">
        <v>961.47</v>
      </c>
    </row>
    <row r="274">
      <c r="A274" s="26" t="n">
        <v>46194</v>
      </c>
      <c r="B274" s="27" t="inlineStr">
        <is>
          <t>SOU05</t>
        </is>
      </c>
      <c r="C274" s="27" t="inlineStr">
        <is>
          <t>Soundbar model 5</t>
        </is>
      </c>
      <c r="D274" s="27" t="inlineStr">
        <is>
          <t>Soundbar</t>
        </is>
      </c>
      <c r="E274" s="27" t="n">
        <v>4</v>
      </c>
      <c r="F274" s="28" t="n">
        <v>2948.54</v>
      </c>
      <c r="G274" s="28" t="n">
        <v>2132</v>
      </c>
      <c r="H274" s="28" t="n">
        <v>816.54</v>
      </c>
    </row>
    <row r="275">
      <c r="A275" s="26" t="n">
        <v>46201</v>
      </c>
      <c r="B275" s="27" t="inlineStr">
        <is>
          <t>SOU05</t>
        </is>
      </c>
      <c r="C275" s="27" t="inlineStr">
        <is>
          <t>Soundbar model 5</t>
        </is>
      </c>
      <c r="D275" s="27" t="inlineStr">
        <is>
          <t>Soundbar</t>
        </is>
      </c>
      <c r="E275" s="27" t="n">
        <v>4</v>
      </c>
      <c r="F275" s="28" t="n">
        <v>2828.21</v>
      </c>
      <c r="G275" s="28" t="n">
        <v>2132</v>
      </c>
      <c r="H275" s="28" t="n">
        <v>696.21</v>
      </c>
    </row>
    <row r="276">
      <c r="A276" s="26" t="n">
        <v>46208</v>
      </c>
      <c r="B276" s="27" t="inlineStr">
        <is>
          <t>SOU05</t>
        </is>
      </c>
      <c r="C276" s="27" t="inlineStr">
        <is>
          <t>Soundbar model 5</t>
        </is>
      </c>
      <c r="D276" s="27" t="inlineStr">
        <is>
          <t>Soundbar</t>
        </is>
      </c>
      <c r="E276" s="27" t="n">
        <v>3</v>
      </c>
      <c r="F276" s="28" t="n">
        <v>2170.66</v>
      </c>
      <c r="G276" s="28" t="n">
        <v>1599</v>
      </c>
      <c r="H276" s="28" t="n">
        <v>571.66</v>
      </c>
    </row>
    <row r="277">
      <c r="A277" s="26" t="n">
        <v>46215</v>
      </c>
      <c r="B277" s="27" t="inlineStr">
        <is>
          <t>SOU05</t>
        </is>
      </c>
      <c r="C277" s="27" t="inlineStr">
        <is>
          <t>Soundbar model 5</t>
        </is>
      </c>
      <c r="D277" s="27" t="inlineStr">
        <is>
          <t>Soundbar</t>
        </is>
      </c>
      <c r="E277" s="27" t="n">
        <v>5</v>
      </c>
      <c r="F277" s="28" t="n">
        <v>3609.3</v>
      </c>
      <c r="G277" s="28" t="n">
        <v>2665</v>
      </c>
      <c r="H277" s="28" t="n">
        <v>944.3</v>
      </c>
    </row>
    <row r="278">
      <c r="A278" s="26" t="n">
        <v>46222</v>
      </c>
      <c r="B278" s="27" t="inlineStr">
        <is>
          <t>SOU05</t>
        </is>
      </c>
      <c r="C278" s="27" t="inlineStr">
        <is>
          <t>Soundbar model 5</t>
        </is>
      </c>
      <c r="D278" s="27" t="inlineStr">
        <is>
          <t>Soundbar</t>
        </is>
      </c>
      <c r="E278" s="27" t="n">
        <v>4</v>
      </c>
      <c r="F278" s="28" t="n">
        <v>2967.36</v>
      </c>
      <c r="G278" s="28" t="n">
        <v>2132</v>
      </c>
      <c r="H278" s="28" t="n">
        <v>835.36</v>
      </c>
    </row>
    <row r="279">
      <c r="A279" s="26" t="n">
        <v>46229</v>
      </c>
      <c r="B279" s="27" t="inlineStr">
        <is>
          <t>SOU05</t>
        </is>
      </c>
      <c r="C279" s="27" t="inlineStr">
        <is>
          <t>Soundbar model 5</t>
        </is>
      </c>
      <c r="D279" s="27" t="inlineStr">
        <is>
          <t>Soundbar</t>
        </is>
      </c>
      <c r="E279" s="27" t="n">
        <v>6</v>
      </c>
      <c r="F279" s="28" t="n">
        <v>4308.69</v>
      </c>
      <c r="G279" s="28" t="n">
        <v>3198</v>
      </c>
      <c r="H279" s="28" t="n">
        <v>1110.69</v>
      </c>
    </row>
    <row r="280">
      <c r="A280" s="26" t="n">
        <v>46236</v>
      </c>
      <c r="B280" s="27" t="inlineStr">
        <is>
          <t>SOU05</t>
        </is>
      </c>
      <c r="C280" s="27" t="inlineStr">
        <is>
          <t>Soundbar model 5</t>
        </is>
      </c>
      <c r="D280" s="27" t="inlineStr">
        <is>
          <t>Soundbar</t>
        </is>
      </c>
      <c r="E280" s="27" t="n">
        <v>11</v>
      </c>
      <c r="F280" s="28" t="n">
        <v>8025.29</v>
      </c>
      <c r="G280" s="28" t="n">
        <v>5863</v>
      </c>
      <c r="H280" s="28" t="n">
        <v>2162.29</v>
      </c>
    </row>
    <row r="281">
      <c r="A281" s="26" t="n">
        <v>46243</v>
      </c>
      <c r="B281" s="27" t="inlineStr">
        <is>
          <t>SOU05</t>
        </is>
      </c>
      <c r="C281" s="27" t="inlineStr">
        <is>
          <t>Soundbar model 5</t>
        </is>
      </c>
      <c r="D281" s="27" t="inlineStr">
        <is>
          <t>Soundbar</t>
        </is>
      </c>
      <c r="E281" s="27" t="n">
        <v>5</v>
      </c>
      <c r="F281" s="28" t="n">
        <v>3518.24</v>
      </c>
      <c r="G281" s="28" t="n">
        <v>2665</v>
      </c>
      <c r="H281" s="28" t="n">
        <v>853.24</v>
      </c>
    </row>
    <row r="282">
      <c r="A282" s="26" t="n">
        <v>46250</v>
      </c>
      <c r="B282" s="27" t="inlineStr">
        <is>
          <t>SOU05</t>
        </is>
      </c>
      <c r="C282" s="27" t="inlineStr">
        <is>
          <t>Soundbar model 5</t>
        </is>
      </c>
      <c r="D282" s="27" t="inlineStr">
        <is>
          <t>Soundbar</t>
        </is>
      </c>
      <c r="E282" s="27" t="n">
        <v>5</v>
      </c>
      <c r="F282" s="28" t="n">
        <v>3580.78</v>
      </c>
      <c r="G282" s="28" t="n">
        <v>2665</v>
      </c>
      <c r="H282" s="28" t="n">
        <v>915.78</v>
      </c>
    </row>
    <row r="283">
      <c r="A283" s="26" t="n">
        <v>46257</v>
      </c>
      <c r="B283" s="27" t="inlineStr">
        <is>
          <t>SOU05</t>
        </is>
      </c>
      <c r="C283" s="27" t="inlineStr">
        <is>
          <t>Soundbar model 5</t>
        </is>
      </c>
      <c r="D283" s="27" t="inlineStr">
        <is>
          <t>Soundbar</t>
        </is>
      </c>
      <c r="E283" s="27" t="n">
        <v>8</v>
      </c>
      <c r="F283" s="28" t="n">
        <v>5689.54</v>
      </c>
      <c r="G283" s="28" t="n">
        <v>4264</v>
      </c>
      <c r="H283" s="28" t="n">
        <v>1425.54</v>
      </c>
    </row>
    <row r="284">
      <c r="A284" s="26" t="n">
        <v>46264</v>
      </c>
      <c r="B284" s="27" t="inlineStr">
        <is>
          <t>SOU05</t>
        </is>
      </c>
      <c r="C284" s="27" t="inlineStr">
        <is>
          <t>Soundbar model 5</t>
        </is>
      </c>
      <c r="D284" s="27" t="inlineStr">
        <is>
          <t>Soundbar</t>
        </is>
      </c>
      <c r="E284" s="27" t="n">
        <v>3</v>
      </c>
      <c r="F284" s="28" t="n">
        <v>2103.4</v>
      </c>
      <c r="G284" s="28" t="n">
        <v>1599</v>
      </c>
      <c r="H284" s="28" t="n">
        <v>504.4</v>
      </c>
    </row>
    <row r="285">
      <c r="A285" s="26" t="n">
        <v>46271</v>
      </c>
      <c r="B285" s="27" t="inlineStr">
        <is>
          <t>SOU05</t>
        </is>
      </c>
      <c r="C285" s="27" t="inlineStr">
        <is>
          <t>Soundbar model 5</t>
        </is>
      </c>
      <c r="D285" s="27" t="inlineStr">
        <is>
          <t>Soundbar</t>
        </is>
      </c>
      <c r="E285" s="27" t="n">
        <v>5</v>
      </c>
      <c r="F285" s="28" t="n">
        <v>3488.44</v>
      </c>
      <c r="G285" s="28" t="n">
        <v>2665</v>
      </c>
      <c r="H285" s="28" t="n">
        <v>823.4400000000001</v>
      </c>
    </row>
    <row r="286">
      <c r="A286" s="26" t="n">
        <v>46278</v>
      </c>
      <c r="B286" s="27" t="inlineStr">
        <is>
          <t>SOU05</t>
        </is>
      </c>
      <c r="C286" s="27" t="inlineStr">
        <is>
          <t>Soundbar model 5</t>
        </is>
      </c>
      <c r="D286" s="27" t="inlineStr">
        <is>
          <t>Soundbar</t>
        </is>
      </c>
      <c r="E286" s="27" t="n">
        <v>6</v>
      </c>
      <c r="F286" s="28" t="n">
        <v>4252.51</v>
      </c>
      <c r="G286" s="28" t="n">
        <v>3198</v>
      </c>
      <c r="H286" s="28" t="n">
        <v>1054.51</v>
      </c>
    </row>
    <row r="287">
      <c r="A287" s="26" t="n">
        <v>46285</v>
      </c>
      <c r="B287" s="27" t="inlineStr">
        <is>
          <t>SOU05</t>
        </is>
      </c>
      <c r="C287" s="27" t="inlineStr">
        <is>
          <t>Soundbar model 5</t>
        </is>
      </c>
      <c r="D287" s="27" t="inlineStr">
        <is>
          <t>Soundbar</t>
        </is>
      </c>
      <c r="E287" s="27" t="n">
        <v>2</v>
      </c>
      <c r="F287" s="28" t="n">
        <v>1370.93</v>
      </c>
      <c r="G287" s="28" t="n">
        <v>1066</v>
      </c>
      <c r="H287" s="28" t="n">
        <v>304.93</v>
      </c>
    </row>
    <row r="288">
      <c r="A288" s="26" t="n">
        <v>46110</v>
      </c>
      <c r="B288" s="27" t="inlineStr">
        <is>
          <t>SOU06</t>
        </is>
      </c>
      <c r="C288" s="27" t="inlineStr">
        <is>
          <t>Soundbar model 6</t>
        </is>
      </c>
      <c r="D288" s="27" t="inlineStr">
        <is>
          <t>Soundbar</t>
        </is>
      </c>
      <c r="E288" s="27" t="n">
        <v>5</v>
      </c>
      <c r="F288" s="28" t="n">
        <v>3143.91</v>
      </c>
      <c r="G288" s="28" t="n">
        <v>2315</v>
      </c>
      <c r="H288" s="28" t="n">
        <v>828.91</v>
      </c>
    </row>
    <row r="289">
      <c r="A289" s="26" t="n">
        <v>46117</v>
      </c>
      <c r="B289" s="27" t="inlineStr">
        <is>
          <t>SOU06</t>
        </is>
      </c>
      <c r="C289" s="27" t="inlineStr">
        <is>
          <t>Soundbar model 6</t>
        </is>
      </c>
      <c r="D289" s="27" t="inlineStr">
        <is>
          <t>Soundbar</t>
        </is>
      </c>
      <c r="E289" s="27" t="n">
        <v>3</v>
      </c>
      <c r="F289" s="28" t="n">
        <v>1948.41</v>
      </c>
      <c r="G289" s="28" t="n">
        <v>1389</v>
      </c>
      <c r="H289" s="28" t="n">
        <v>559.41</v>
      </c>
    </row>
    <row r="290">
      <c r="A290" s="26" t="n">
        <v>46124</v>
      </c>
      <c r="B290" s="27" t="inlineStr">
        <is>
          <t>SOU06</t>
        </is>
      </c>
      <c r="C290" s="27" t="inlineStr">
        <is>
          <t>Soundbar model 6</t>
        </is>
      </c>
      <c r="D290" s="27" t="inlineStr">
        <is>
          <t>Soundbar</t>
        </is>
      </c>
      <c r="E290" s="27" t="n">
        <v>2</v>
      </c>
      <c r="F290" s="28" t="n">
        <v>1243.25</v>
      </c>
      <c r="G290" s="28" t="n">
        <v>926</v>
      </c>
      <c r="H290" s="28" t="n">
        <v>317.25</v>
      </c>
    </row>
    <row r="291">
      <c r="A291" s="26" t="n">
        <v>46131</v>
      </c>
      <c r="B291" s="27" t="inlineStr">
        <is>
          <t>SOU06</t>
        </is>
      </c>
      <c r="C291" s="27" t="inlineStr">
        <is>
          <t>Soundbar model 6</t>
        </is>
      </c>
      <c r="D291" s="27" t="inlineStr">
        <is>
          <t>Soundbar</t>
        </is>
      </c>
      <c r="E291" s="27" t="n">
        <v>0</v>
      </c>
      <c r="F291" s="28" t="n">
        <v>0</v>
      </c>
      <c r="G291" s="28" t="n">
        <v>0</v>
      </c>
      <c r="H291" s="28" t="n">
        <v>0</v>
      </c>
    </row>
    <row r="292">
      <c r="A292" s="26" t="n">
        <v>46138</v>
      </c>
      <c r="B292" s="27" t="inlineStr">
        <is>
          <t>SOU06</t>
        </is>
      </c>
      <c r="C292" s="27" t="inlineStr">
        <is>
          <t>Soundbar model 6</t>
        </is>
      </c>
      <c r="D292" s="27" t="inlineStr">
        <is>
          <t>Soundbar</t>
        </is>
      </c>
      <c r="E292" s="27" t="n">
        <v>1</v>
      </c>
      <c r="F292" s="28" t="n">
        <v>619.37</v>
      </c>
      <c r="G292" s="28" t="n">
        <v>463</v>
      </c>
      <c r="H292" s="28" t="n">
        <v>156.37</v>
      </c>
    </row>
    <row r="293">
      <c r="A293" s="26" t="n">
        <v>46145</v>
      </c>
      <c r="B293" s="27" t="inlineStr">
        <is>
          <t>SOU06</t>
        </is>
      </c>
      <c r="C293" s="27" t="inlineStr">
        <is>
          <t>Soundbar model 6</t>
        </is>
      </c>
      <c r="D293" s="27" t="inlineStr">
        <is>
          <t>Soundbar</t>
        </is>
      </c>
      <c r="E293" s="27" t="n">
        <v>3</v>
      </c>
      <c r="F293" s="28" t="n">
        <v>1839.86</v>
      </c>
      <c r="G293" s="28" t="n">
        <v>1389</v>
      </c>
      <c r="H293" s="28" t="n">
        <v>450.86</v>
      </c>
    </row>
    <row r="294">
      <c r="A294" s="26" t="n">
        <v>46152</v>
      </c>
      <c r="B294" s="27" t="inlineStr">
        <is>
          <t>SOU06</t>
        </is>
      </c>
      <c r="C294" s="27" t="inlineStr">
        <is>
          <t>Soundbar model 6</t>
        </is>
      </c>
      <c r="D294" s="27" t="inlineStr">
        <is>
          <t>Soundbar</t>
        </is>
      </c>
      <c r="E294" s="27" t="n">
        <v>1</v>
      </c>
      <c r="F294" s="28" t="n">
        <v>603.77</v>
      </c>
      <c r="G294" s="28" t="n">
        <v>463</v>
      </c>
      <c r="H294" s="28" t="n">
        <v>140.77</v>
      </c>
    </row>
    <row r="295">
      <c r="A295" s="26" t="n">
        <v>46159</v>
      </c>
      <c r="B295" s="27" t="inlineStr">
        <is>
          <t>SOU06</t>
        </is>
      </c>
      <c r="C295" s="27" t="inlineStr">
        <is>
          <t>Soundbar model 6</t>
        </is>
      </c>
      <c r="D295" s="27" t="inlineStr">
        <is>
          <t>Soundbar</t>
        </is>
      </c>
      <c r="E295" s="27" t="n">
        <v>0</v>
      </c>
      <c r="F295" s="28" t="n">
        <v>0</v>
      </c>
      <c r="G295" s="28" t="n">
        <v>0</v>
      </c>
      <c r="H295" s="28" t="n">
        <v>0</v>
      </c>
    </row>
    <row r="296">
      <c r="A296" s="26" t="n">
        <v>46166</v>
      </c>
      <c r="B296" s="27" t="inlineStr">
        <is>
          <t>SOU06</t>
        </is>
      </c>
      <c r="C296" s="27" t="inlineStr">
        <is>
          <t>Soundbar model 6</t>
        </is>
      </c>
      <c r="D296" s="27" t="inlineStr">
        <is>
          <t>Soundbar</t>
        </is>
      </c>
      <c r="E296" s="27" t="n">
        <v>3</v>
      </c>
      <c r="F296" s="28" t="n">
        <v>1881.01</v>
      </c>
      <c r="G296" s="28" t="n">
        <v>1389</v>
      </c>
      <c r="H296" s="28" t="n">
        <v>492.01</v>
      </c>
    </row>
    <row r="297">
      <c r="A297" s="26" t="n">
        <v>46173</v>
      </c>
      <c r="B297" s="27" t="inlineStr">
        <is>
          <t>SOU06</t>
        </is>
      </c>
      <c r="C297" s="27" t="inlineStr">
        <is>
          <t>Soundbar model 6</t>
        </is>
      </c>
      <c r="D297" s="27" t="inlineStr">
        <is>
          <t>Soundbar</t>
        </is>
      </c>
      <c r="E297" s="27" t="n">
        <v>1</v>
      </c>
      <c r="F297" s="28" t="n">
        <v>597.58</v>
      </c>
      <c r="G297" s="28" t="n">
        <v>463</v>
      </c>
      <c r="H297" s="28" t="n">
        <v>134.58</v>
      </c>
    </row>
    <row r="298">
      <c r="A298" s="26" t="n">
        <v>46180</v>
      </c>
      <c r="B298" s="27" t="inlineStr">
        <is>
          <t>SOU06</t>
        </is>
      </c>
      <c r="C298" s="27" t="inlineStr">
        <is>
          <t>Soundbar model 6</t>
        </is>
      </c>
      <c r="D298" s="27" t="inlineStr">
        <is>
          <t>Soundbar</t>
        </is>
      </c>
      <c r="E298" s="27" t="n">
        <v>0</v>
      </c>
      <c r="F298" s="28" t="n">
        <v>0</v>
      </c>
      <c r="G298" s="28" t="n">
        <v>0</v>
      </c>
      <c r="H298" s="28" t="n">
        <v>0</v>
      </c>
    </row>
    <row r="299">
      <c r="A299" s="26" t="n">
        <v>46187</v>
      </c>
      <c r="B299" s="27" t="inlineStr">
        <is>
          <t>SOU06</t>
        </is>
      </c>
      <c r="C299" s="27" t="inlineStr">
        <is>
          <t>Soundbar model 6</t>
        </is>
      </c>
      <c r="D299" s="27" t="inlineStr">
        <is>
          <t>Soundbar</t>
        </is>
      </c>
      <c r="E299" s="27" t="n">
        <v>2</v>
      </c>
      <c r="F299" s="28" t="n">
        <v>1256.83</v>
      </c>
      <c r="G299" s="28" t="n">
        <v>926</v>
      </c>
      <c r="H299" s="28" t="n">
        <v>330.83</v>
      </c>
    </row>
    <row r="300">
      <c r="A300" s="26" t="n">
        <v>46194</v>
      </c>
      <c r="B300" s="27" t="inlineStr">
        <is>
          <t>SOU06</t>
        </is>
      </c>
      <c r="C300" s="27" t="inlineStr">
        <is>
          <t>Soundbar model 6</t>
        </is>
      </c>
      <c r="D300" s="27" t="inlineStr">
        <is>
          <t>Soundbar</t>
        </is>
      </c>
      <c r="E300" s="27" t="n">
        <v>2</v>
      </c>
      <c r="F300" s="28" t="n">
        <v>1220.39</v>
      </c>
      <c r="G300" s="28" t="n">
        <v>926</v>
      </c>
      <c r="H300" s="28" t="n">
        <v>294.39</v>
      </c>
    </row>
    <row r="301">
      <c r="A301" s="26" t="n">
        <v>46201</v>
      </c>
      <c r="B301" s="27" t="inlineStr">
        <is>
          <t>SOU06</t>
        </is>
      </c>
      <c r="C301" s="27" t="inlineStr">
        <is>
          <t>Soundbar model 6</t>
        </is>
      </c>
      <c r="D301" s="27" t="inlineStr">
        <is>
          <t>Soundbar</t>
        </is>
      </c>
      <c r="E301" s="27" t="n">
        <v>3</v>
      </c>
      <c r="F301" s="28" t="n">
        <v>1830.42</v>
      </c>
      <c r="G301" s="28" t="n">
        <v>1389</v>
      </c>
      <c r="H301" s="28" t="n">
        <v>441.42</v>
      </c>
    </row>
    <row r="302">
      <c r="A302" s="26" t="n">
        <v>46208</v>
      </c>
      <c r="B302" s="27" t="inlineStr">
        <is>
          <t>SOU06</t>
        </is>
      </c>
      <c r="C302" s="27" t="inlineStr">
        <is>
          <t>Soundbar model 6</t>
        </is>
      </c>
      <c r="D302" s="27" t="inlineStr">
        <is>
          <t>Soundbar</t>
        </is>
      </c>
      <c r="E302" s="27" t="n">
        <v>1</v>
      </c>
      <c r="F302" s="28" t="n">
        <v>586.95</v>
      </c>
      <c r="G302" s="28" t="n">
        <v>463</v>
      </c>
      <c r="H302" s="28" t="n">
        <v>123.95</v>
      </c>
    </row>
    <row r="303">
      <c r="A303" s="26" t="n">
        <v>46215</v>
      </c>
      <c r="B303" s="27" t="inlineStr">
        <is>
          <t>SOU06</t>
        </is>
      </c>
      <c r="C303" s="27" t="inlineStr">
        <is>
          <t>Soundbar model 6</t>
        </is>
      </c>
      <c r="D303" s="27" t="inlineStr">
        <is>
          <t>Soundbar</t>
        </is>
      </c>
      <c r="E303" s="27" t="n">
        <v>1</v>
      </c>
      <c r="F303" s="28" t="n">
        <v>612</v>
      </c>
      <c r="G303" s="28" t="n">
        <v>463</v>
      </c>
      <c r="H303" s="28" t="n">
        <v>149</v>
      </c>
    </row>
    <row r="304">
      <c r="A304" s="26" t="n">
        <v>46222</v>
      </c>
      <c r="B304" s="27" t="inlineStr">
        <is>
          <t>SOU06</t>
        </is>
      </c>
      <c r="C304" s="27" t="inlineStr">
        <is>
          <t>Soundbar model 6</t>
        </is>
      </c>
      <c r="D304" s="27" t="inlineStr">
        <is>
          <t>Soundbar</t>
        </is>
      </c>
      <c r="E304" s="27" t="n">
        <v>0</v>
      </c>
      <c r="F304" s="28" t="n">
        <v>0</v>
      </c>
      <c r="G304" s="28" t="n">
        <v>0</v>
      </c>
      <c r="H304" s="28" t="n">
        <v>0</v>
      </c>
    </row>
    <row r="305">
      <c r="A305" s="26" t="n">
        <v>46229</v>
      </c>
      <c r="B305" s="27" t="inlineStr">
        <is>
          <t>SOU06</t>
        </is>
      </c>
      <c r="C305" s="27" t="inlineStr">
        <is>
          <t>Soundbar model 6</t>
        </is>
      </c>
      <c r="D305" s="27" t="inlineStr">
        <is>
          <t>Soundbar</t>
        </is>
      </c>
      <c r="E305" s="27" t="n">
        <v>2</v>
      </c>
      <c r="F305" s="28" t="n">
        <v>1165.62</v>
      </c>
      <c r="G305" s="28" t="n">
        <v>926</v>
      </c>
      <c r="H305" s="28" t="n">
        <v>239.62</v>
      </c>
    </row>
    <row r="306">
      <c r="A306" s="26" t="n">
        <v>46236</v>
      </c>
      <c r="B306" s="27" t="inlineStr">
        <is>
          <t>SOU06</t>
        </is>
      </c>
      <c r="C306" s="27" t="inlineStr">
        <is>
          <t>Soundbar model 6</t>
        </is>
      </c>
      <c r="D306" s="27" t="inlineStr">
        <is>
          <t>Soundbar</t>
        </is>
      </c>
      <c r="E306" s="27" t="n">
        <v>0</v>
      </c>
      <c r="F306" s="28" t="n">
        <v>0</v>
      </c>
      <c r="G306" s="28" t="n">
        <v>0</v>
      </c>
      <c r="H306" s="28" t="n">
        <v>0</v>
      </c>
    </row>
    <row r="307">
      <c r="A307" s="26" t="n">
        <v>46243</v>
      </c>
      <c r="B307" s="27" t="inlineStr">
        <is>
          <t>SOU06</t>
        </is>
      </c>
      <c r="C307" s="27" t="inlineStr">
        <is>
          <t>Soundbar model 6</t>
        </is>
      </c>
      <c r="D307" s="27" t="inlineStr">
        <is>
          <t>Soundbar</t>
        </is>
      </c>
      <c r="E307" s="27" t="n">
        <v>1</v>
      </c>
      <c r="F307" s="28" t="n">
        <v>604.66</v>
      </c>
      <c r="G307" s="28" t="n">
        <v>463</v>
      </c>
      <c r="H307" s="28" t="n">
        <v>141.66</v>
      </c>
    </row>
    <row r="308">
      <c r="A308" s="26" t="n">
        <v>46250</v>
      </c>
      <c r="B308" s="27" t="inlineStr">
        <is>
          <t>SOU06</t>
        </is>
      </c>
      <c r="C308" s="27" t="inlineStr">
        <is>
          <t>Soundbar model 6</t>
        </is>
      </c>
      <c r="D308" s="27" t="inlineStr">
        <is>
          <t>Soundbar</t>
        </is>
      </c>
      <c r="E308" s="27" t="n">
        <v>2</v>
      </c>
      <c r="F308" s="28" t="n">
        <v>1152.65</v>
      </c>
      <c r="G308" s="28" t="n">
        <v>926</v>
      </c>
      <c r="H308" s="28" t="n">
        <v>226.65</v>
      </c>
    </row>
    <row r="309">
      <c r="A309" s="26" t="n">
        <v>46257</v>
      </c>
      <c r="B309" s="27" t="inlineStr">
        <is>
          <t>SOU06</t>
        </is>
      </c>
      <c r="C309" s="27" t="inlineStr">
        <is>
          <t>Soundbar model 6</t>
        </is>
      </c>
      <c r="D309" s="27" t="inlineStr">
        <is>
          <t>Soundbar</t>
        </is>
      </c>
      <c r="E309" s="27" t="n">
        <v>0</v>
      </c>
      <c r="F309" s="28" t="n">
        <v>0</v>
      </c>
      <c r="G309" s="28" t="n">
        <v>0</v>
      </c>
      <c r="H309" s="28" t="n">
        <v>0</v>
      </c>
    </row>
    <row r="310">
      <c r="A310" s="26" t="n">
        <v>46264</v>
      </c>
      <c r="B310" s="27" t="inlineStr">
        <is>
          <t>SOU06</t>
        </is>
      </c>
      <c r="C310" s="27" t="inlineStr">
        <is>
          <t>Soundbar model 6</t>
        </is>
      </c>
      <c r="D310" s="27" t="inlineStr">
        <is>
          <t>Soundbar</t>
        </is>
      </c>
      <c r="E310" s="27" t="n">
        <v>1</v>
      </c>
      <c r="F310" s="28" t="n">
        <v>594.64</v>
      </c>
      <c r="G310" s="28" t="n">
        <v>463</v>
      </c>
      <c r="H310" s="28" t="n">
        <v>131.64</v>
      </c>
    </row>
    <row r="311">
      <c r="A311" s="26" t="n">
        <v>46271</v>
      </c>
      <c r="B311" s="27" t="inlineStr">
        <is>
          <t>SOU06</t>
        </is>
      </c>
      <c r="C311" s="27" t="inlineStr">
        <is>
          <t>Soundbar model 6</t>
        </is>
      </c>
      <c r="D311" s="27" t="inlineStr">
        <is>
          <t>Soundbar</t>
        </is>
      </c>
      <c r="E311" s="27" t="n">
        <v>1</v>
      </c>
      <c r="F311" s="28" t="n">
        <v>561.89</v>
      </c>
      <c r="G311" s="28" t="n">
        <v>463</v>
      </c>
      <c r="H311" s="28" t="n">
        <v>98.89</v>
      </c>
    </row>
    <row r="312">
      <c r="A312" s="26" t="n">
        <v>46278</v>
      </c>
      <c r="B312" s="27" t="inlineStr">
        <is>
          <t>SOU06</t>
        </is>
      </c>
      <c r="C312" s="27" t="inlineStr">
        <is>
          <t>Soundbar model 6</t>
        </is>
      </c>
      <c r="D312" s="27" t="inlineStr">
        <is>
          <t>Soundbar</t>
        </is>
      </c>
      <c r="E312" s="27" t="n">
        <v>2</v>
      </c>
      <c r="F312" s="28" t="n">
        <v>1185.16</v>
      </c>
      <c r="G312" s="28" t="n">
        <v>926</v>
      </c>
      <c r="H312" s="28" t="n">
        <v>259.16</v>
      </c>
    </row>
    <row r="313">
      <c r="A313" s="26" t="n">
        <v>46285</v>
      </c>
      <c r="B313" s="27" t="inlineStr">
        <is>
          <t>SOU06</t>
        </is>
      </c>
      <c r="C313" s="27" t="inlineStr">
        <is>
          <t>Soundbar model 6</t>
        </is>
      </c>
      <c r="D313" s="27" t="inlineStr">
        <is>
          <t>Soundbar</t>
        </is>
      </c>
      <c r="E313" s="27" t="n">
        <v>0</v>
      </c>
      <c r="F313" s="28" t="n">
        <v>0</v>
      </c>
      <c r="G313" s="28" t="n">
        <v>0</v>
      </c>
      <c r="H313" s="28" t="n">
        <v>0</v>
      </c>
    </row>
    <row r="314">
      <c r="A314" s="26" t="n">
        <v>46110</v>
      </c>
      <c r="B314" s="27" t="inlineStr">
        <is>
          <t>HEA01</t>
        </is>
      </c>
      <c r="C314" s="27" t="inlineStr">
        <is>
          <t>Headphones model 1</t>
        </is>
      </c>
      <c r="D314" s="27" t="inlineStr">
        <is>
          <t>Headphones</t>
        </is>
      </c>
      <c r="E314" s="27" t="n">
        <v>9</v>
      </c>
      <c r="F314" s="28" t="n">
        <v>2760.09</v>
      </c>
      <c r="G314" s="28" t="n">
        <v>1782</v>
      </c>
      <c r="H314" s="28" t="n">
        <v>978.09</v>
      </c>
    </row>
    <row r="315">
      <c r="A315" s="26" t="n">
        <v>46117</v>
      </c>
      <c r="B315" s="27" t="inlineStr">
        <is>
          <t>HEA01</t>
        </is>
      </c>
      <c r="C315" s="27" t="inlineStr">
        <is>
          <t>Headphones model 1</t>
        </is>
      </c>
      <c r="D315" s="27" t="inlineStr">
        <is>
          <t>Headphones</t>
        </is>
      </c>
      <c r="E315" s="27" t="n">
        <v>7</v>
      </c>
      <c r="F315" s="28" t="n">
        <v>2164.16</v>
      </c>
      <c r="G315" s="28" t="n">
        <v>1386</v>
      </c>
      <c r="H315" s="28" t="n">
        <v>778.16</v>
      </c>
    </row>
    <row r="316">
      <c r="A316" s="26" t="n">
        <v>46124</v>
      </c>
      <c r="B316" s="27" t="inlineStr">
        <is>
          <t>HEA01</t>
        </is>
      </c>
      <c r="C316" s="27" t="inlineStr">
        <is>
          <t>Headphones model 1</t>
        </is>
      </c>
      <c r="D316" s="27" t="inlineStr">
        <is>
          <t>Headphones</t>
        </is>
      </c>
      <c r="E316" s="27" t="n">
        <v>11</v>
      </c>
      <c r="F316" s="28" t="n">
        <v>3371.12</v>
      </c>
      <c r="G316" s="28" t="n">
        <v>2178</v>
      </c>
      <c r="H316" s="28" t="n">
        <v>1193.12</v>
      </c>
    </row>
    <row r="317">
      <c r="A317" s="26" t="n">
        <v>46131</v>
      </c>
      <c r="B317" s="27" t="inlineStr">
        <is>
          <t>HEA01</t>
        </is>
      </c>
      <c r="C317" s="27" t="inlineStr">
        <is>
          <t>Headphones model 1</t>
        </is>
      </c>
      <c r="D317" s="27" t="inlineStr">
        <is>
          <t>Headphones</t>
        </is>
      </c>
      <c r="E317" s="27" t="n">
        <v>6</v>
      </c>
      <c r="F317" s="28" t="n">
        <v>1842.06</v>
      </c>
      <c r="G317" s="28" t="n">
        <v>1188</v>
      </c>
      <c r="H317" s="28" t="n">
        <v>654.0599999999999</v>
      </c>
    </row>
    <row r="318">
      <c r="A318" s="26" t="n">
        <v>46138</v>
      </c>
      <c r="B318" s="27" t="inlineStr">
        <is>
          <t>HEA01</t>
        </is>
      </c>
      <c r="C318" s="27" t="inlineStr">
        <is>
          <t>Headphones model 1</t>
        </is>
      </c>
      <c r="D318" s="27" t="inlineStr">
        <is>
          <t>Headphones</t>
        </is>
      </c>
      <c r="E318" s="27" t="n">
        <v>10</v>
      </c>
      <c r="F318" s="28" t="n">
        <v>3077.21</v>
      </c>
      <c r="G318" s="28" t="n">
        <v>1980</v>
      </c>
      <c r="H318" s="28" t="n">
        <v>1097.21</v>
      </c>
    </row>
    <row r="319">
      <c r="A319" s="26" t="n">
        <v>46145</v>
      </c>
      <c r="B319" s="27" t="inlineStr">
        <is>
          <t>HEA01</t>
        </is>
      </c>
      <c r="C319" s="27" t="inlineStr">
        <is>
          <t>Headphones model 1</t>
        </is>
      </c>
      <c r="D319" s="27" t="inlineStr">
        <is>
          <t>Headphones</t>
        </is>
      </c>
      <c r="E319" s="27" t="n">
        <v>8</v>
      </c>
      <c r="F319" s="28" t="n">
        <v>2371.26</v>
      </c>
      <c r="G319" s="28" t="n">
        <v>1584</v>
      </c>
      <c r="H319" s="28" t="n">
        <v>787.26</v>
      </c>
    </row>
    <row r="320">
      <c r="A320" s="26" t="n">
        <v>46152</v>
      </c>
      <c r="B320" s="27" t="inlineStr">
        <is>
          <t>HEA01</t>
        </is>
      </c>
      <c r="C320" s="27" t="inlineStr">
        <is>
          <t>Headphones model 1</t>
        </is>
      </c>
      <c r="D320" s="27" t="inlineStr">
        <is>
          <t>Headphones</t>
        </is>
      </c>
      <c r="E320" s="27" t="n">
        <v>10</v>
      </c>
      <c r="F320" s="28" t="n">
        <v>2973.21</v>
      </c>
      <c r="G320" s="28" t="n">
        <v>1980</v>
      </c>
      <c r="H320" s="28" t="n">
        <v>993.21</v>
      </c>
    </row>
    <row r="321">
      <c r="A321" s="26" t="n">
        <v>46159</v>
      </c>
      <c r="B321" s="27" t="inlineStr">
        <is>
          <t>HEA01</t>
        </is>
      </c>
      <c r="C321" s="27" t="inlineStr">
        <is>
          <t>Headphones model 1</t>
        </is>
      </c>
      <c r="D321" s="27" t="inlineStr">
        <is>
          <t>Headphones</t>
        </is>
      </c>
      <c r="E321" s="27" t="n">
        <v>10</v>
      </c>
      <c r="F321" s="28" t="n">
        <v>3140.5</v>
      </c>
      <c r="G321" s="28" t="n">
        <v>1980</v>
      </c>
      <c r="H321" s="28" t="n">
        <v>1160.5</v>
      </c>
    </row>
    <row r="322">
      <c r="A322" s="26" t="n">
        <v>46166</v>
      </c>
      <c r="B322" s="27" t="inlineStr">
        <is>
          <t>HEA01</t>
        </is>
      </c>
      <c r="C322" s="27" t="inlineStr">
        <is>
          <t>Headphones model 1</t>
        </is>
      </c>
      <c r="D322" s="27" t="inlineStr">
        <is>
          <t>Headphones</t>
        </is>
      </c>
      <c r="E322" s="27" t="n">
        <v>14</v>
      </c>
      <c r="F322" s="28" t="n">
        <v>4178.48</v>
      </c>
      <c r="G322" s="28" t="n">
        <v>2772</v>
      </c>
      <c r="H322" s="28" t="n">
        <v>1406.48</v>
      </c>
    </row>
    <row r="323">
      <c r="A323" s="26" t="n">
        <v>46173</v>
      </c>
      <c r="B323" s="27" t="inlineStr">
        <is>
          <t>HEA01</t>
        </is>
      </c>
      <c r="C323" s="27" t="inlineStr">
        <is>
          <t>Headphones model 1</t>
        </is>
      </c>
      <c r="D323" s="27" t="inlineStr">
        <is>
          <t>Headphones</t>
        </is>
      </c>
      <c r="E323" s="27" t="n">
        <v>10</v>
      </c>
      <c r="F323" s="28" t="n">
        <v>3065.31</v>
      </c>
      <c r="G323" s="28" t="n">
        <v>1980</v>
      </c>
      <c r="H323" s="28" t="n">
        <v>1085.31</v>
      </c>
    </row>
    <row r="324">
      <c r="A324" s="26" t="n">
        <v>46180</v>
      </c>
      <c r="B324" s="27" t="inlineStr">
        <is>
          <t>HEA01</t>
        </is>
      </c>
      <c r="C324" s="27" t="inlineStr">
        <is>
          <t>Headphones model 1</t>
        </is>
      </c>
      <c r="D324" s="27" t="inlineStr">
        <is>
          <t>Headphones</t>
        </is>
      </c>
      <c r="E324" s="27" t="n">
        <v>17</v>
      </c>
      <c r="F324" s="28" t="n">
        <v>5256.47</v>
      </c>
      <c r="G324" s="28" t="n">
        <v>3366</v>
      </c>
      <c r="H324" s="28" t="n">
        <v>1890.47</v>
      </c>
    </row>
    <row r="325">
      <c r="A325" s="26" t="n">
        <v>46187</v>
      </c>
      <c r="B325" s="27" t="inlineStr">
        <is>
          <t>HEA01</t>
        </is>
      </c>
      <c r="C325" s="27" t="inlineStr">
        <is>
          <t>Headphones model 1</t>
        </is>
      </c>
      <c r="D325" s="27" t="inlineStr">
        <is>
          <t>Headphones</t>
        </is>
      </c>
      <c r="E325" s="27" t="n">
        <v>6</v>
      </c>
      <c r="F325" s="28" t="n">
        <v>1793.44</v>
      </c>
      <c r="G325" s="28" t="n">
        <v>1188</v>
      </c>
      <c r="H325" s="28" t="n">
        <v>605.4400000000001</v>
      </c>
    </row>
    <row r="326">
      <c r="A326" s="26" t="n">
        <v>46194</v>
      </c>
      <c r="B326" s="27" t="inlineStr">
        <is>
          <t>HEA01</t>
        </is>
      </c>
      <c r="C326" s="27" t="inlineStr">
        <is>
          <t>Headphones model 1</t>
        </is>
      </c>
      <c r="D326" s="27" t="inlineStr">
        <is>
          <t>Headphones</t>
        </is>
      </c>
      <c r="E326" s="27" t="n">
        <v>5</v>
      </c>
      <c r="F326" s="28" t="n">
        <v>1556.04</v>
      </c>
      <c r="G326" s="28" t="n">
        <v>990</v>
      </c>
      <c r="H326" s="28" t="n">
        <v>566.04</v>
      </c>
    </row>
    <row r="327">
      <c r="A327" s="26" t="n">
        <v>46201</v>
      </c>
      <c r="B327" s="27" t="inlineStr">
        <is>
          <t>HEA01</t>
        </is>
      </c>
      <c r="C327" s="27" t="inlineStr">
        <is>
          <t>Headphones model 1</t>
        </is>
      </c>
      <c r="D327" s="27" t="inlineStr">
        <is>
          <t>Headphones</t>
        </is>
      </c>
      <c r="E327" s="27" t="n">
        <v>10</v>
      </c>
      <c r="F327" s="28" t="n">
        <v>3106.02</v>
      </c>
      <c r="G327" s="28" t="n">
        <v>1980</v>
      </c>
      <c r="H327" s="28" t="n">
        <v>1126.02</v>
      </c>
    </row>
    <row r="328">
      <c r="A328" s="26" t="n">
        <v>46208</v>
      </c>
      <c r="B328" s="27" t="inlineStr">
        <is>
          <t>HEA01</t>
        </is>
      </c>
      <c r="C328" s="27" t="inlineStr">
        <is>
          <t>Headphones model 1</t>
        </is>
      </c>
      <c r="D328" s="27" t="inlineStr">
        <is>
          <t>Headphones</t>
        </is>
      </c>
      <c r="E328" s="27" t="n">
        <v>9</v>
      </c>
      <c r="F328" s="28" t="n">
        <v>2664.15</v>
      </c>
      <c r="G328" s="28" t="n">
        <v>1782</v>
      </c>
      <c r="H328" s="28" t="n">
        <v>882.15</v>
      </c>
    </row>
    <row r="329">
      <c r="A329" s="26" t="n">
        <v>46215</v>
      </c>
      <c r="B329" s="27" t="inlineStr">
        <is>
          <t>HEA01</t>
        </is>
      </c>
      <c r="C329" s="27" t="inlineStr">
        <is>
          <t>Headphones model 1</t>
        </is>
      </c>
      <c r="D329" s="27" t="inlineStr">
        <is>
          <t>Headphones</t>
        </is>
      </c>
      <c r="E329" s="27" t="n">
        <v>6</v>
      </c>
      <c r="F329" s="28" t="n">
        <v>1827.46</v>
      </c>
      <c r="G329" s="28" t="n">
        <v>1188</v>
      </c>
      <c r="H329" s="28" t="n">
        <v>639.46</v>
      </c>
    </row>
    <row r="330">
      <c r="A330" s="26" t="n">
        <v>46222</v>
      </c>
      <c r="B330" s="27" t="inlineStr">
        <is>
          <t>HEA01</t>
        </is>
      </c>
      <c r="C330" s="27" t="inlineStr">
        <is>
          <t>Headphones model 1</t>
        </is>
      </c>
      <c r="D330" s="27" t="inlineStr">
        <is>
          <t>Headphones</t>
        </is>
      </c>
      <c r="E330" s="27" t="n">
        <v>14</v>
      </c>
      <c r="F330" s="28" t="n">
        <v>4087.41</v>
      </c>
      <c r="G330" s="28" t="n">
        <v>2772</v>
      </c>
      <c r="H330" s="28" t="n">
        <v>1315.41</v>
      </c>
    </row>
    <row r="331">
      <c r="A331" s="26" t="n">
        <v>46229</v>
      </c>
      <c r="B331" s="27" t="inlineStr">
        <is>
          <t>HEA01</t>
        </is>
      </c>
      <c r="C331" s="27" t="inlineStr">
        <is>
          <t>Headphones model 1</t>
        </is>
      </c>
      <c r="D331" s="27" t="inlineStr">
        <is>
          <t>Headphones</t>
        </is>
      </c>
      <c r="E331" s="27" t="n">
        <v>6</v>
      </c>
      <c r="F331" s="28" t="n">
        <v>1778.57</v>
      </c>
      <c r="G331" s="28" t="n">
        <v>1188</v>
      </c>
      <c r="H331" s="28" t="n">
        <v>590.5700000000001</v>
      </c>
    </row>
    <row r="332">
      <c r="A332" s="26" t="n">
        <v>46236</v>
      </c>
      <c r="B332" s="27" t="inlineStr">
        <is>
          <t>HEA01</t>
        </is>
      </c>
      <c r="C332" s="27" t="inlineStr">
        <is>
          <t>Headphones model 1</t>
        </is>
      </c>
      <c r="D332" s="27" t="inlineStr">
        <is>
          <t>Headphones</t>
        </is>
      </c>
      <c r="E332" s="27" t="n">
        <v>9</v>
      </c>
      <c r="F332" s="28" t="n">
        <v>2614.35</v>
      </c>
      <c r="G332" s="28" t="n">
        <v>1782</v>
      </c>
      <c r="H332" s="28" t="n">
        <v>832.35</v>
      </c>
    </row>
    <row r="333">
      <c r="A333" s="26" t="n">
        <v>46243</v>
      </c>
      <c r="B333" s="27" t="inlineStr">
        <is>
          <t>HEA01</t>
        </is>
      </c>
      <c r="C333" s="27" t="inlineStr">
        <is>
          <t>Headphones model 1</t>
        </is>
      </c>
      <c r="D333" s="27" t="inlineStr">
        <is>
          <t>Headphones</t>
        </is>
      </c>
      <c r="E333" s="27" t="n">
        <v>5</v>
      </c>
      <c r="F333" s="28" t="n">
        <v>1522.25</v>
      </c>
      <c r="G333" s="28" t="n">
        <v>990</v>
      </c>
      <c r="H333" s="28" t="n">
        <v>532.25</v>
      </c>
    </row>
    <row r="334">
      <c r="A334" s="26" t="n">
        <v>46250</v>
      </c>
      <c r="B334" s="27" t="inlineStr">
        <is>
          <t>HEA01</t>
        </is>
      </c>
      <c r="C334" s="27" t="inlineStr">
        <is>
          <t>Headphones model 1</t>
        </is>
      </c>
      <c r="D334" s="27" t="inlineStr">
        <is>
          <t>Headphones</t>
        </is>
      </c>
      <c r="E334" s="27" t="n">
        <v>7</v>
      </c>
      <c r="F334" s="28" t="n">
        <v>2160.38</v>
      </c>
      <c r="G334" s="28" t="n">
        <v>1386</v>
      </c>
      <c r="H334" s="28" t="n">
        <v>774.38</v>
      </c>
    </row>
    <row r="335">
      <c r="A335" s="26" t="n">
        <v>46257</v>
      </c>
      <c r="B335" s="27" t="inlineStr">
        <is>
          <t>HEA01</t>
        </is>
      </c>
      <c r="C335" s="27" t="inlineStr">
        <is>
          <t>Headphones model 1</t>
        </is>
      </c>
      <c r="D335" s="27" t="inlineStr">
        <is>
          <t>Headphones</t>
        </is>
      </c>
      <c r="E335" s="27" t="n">
        <v>9</v>
      </c>
      <c r="F335" s="28" t="n">
        <v>2668.43</v>
      </c>
      <c r="G335" s="28" t="n">
        <v>1782</v>
      </c>
      <c r="H335" s="28" t="n">
        <v>886.4299999999999</v>
      </c>
    </row>
    <row r="336">
      <c r="A336" s="26" t="n">
        <v>46264</v>
      </c>
      <c r="B336" s="27" t="inlineStr">
        <is>
          <t>HEA01</t>
        </is>
      </c>
      <c r="C336" s="27" t="inlineStr">
        <is>
          <t>Headphones model 1</t>
        </is>
      </c>
      <c r="D336" s="27" t="inlineStr">
        <is>
          <t>Headphones</t>
        </is>
      </c>
      <c r="E336" s="27" t="n">
        <v>5</v>
      </c>
      <c r="F336" s="28" t="n">
        <v>1488.2</v>
      </c>
      <c r="G336" s="28" t="n">
        <v>990</v>
      </c>
      <c r="H336" s="28" t="n">
        <v>498.2</v>
      </c>
    </row>
    <row r="337">
      <c r="A337" s="26" t="n">
        <v>46271</v>
      </c>
      <c r="B337" s="27" t="inlineStr">
        <is>
          <t>HEA01</t>
        </is>
      </c>
      <c r="C337" s="27" t="inlineStr">
        <is>
          <t>Headphones model 1</t>
        </is>
      </c>
      <c r="D337" s="27" t="inlineStr">
        <is>
          <t>Headphones</t>
        </is>
      </c>
      <c r="E337" s="27" t="n">
        <v>8</v>
      </c>
      <c r="F337" s="28" t="n">
        <v>2372.07</v>
      </c>
      <c r="G337" s="28" t="n">
        <v>1584</v>
      </c>
      <c r="H337" s="28" t="n">
        <v>788.0700000000001</v>
      </c>
    </row>
    <row r="338">
      <c r="A338" s="26" t="n">
        <v>46278</v>
      </c>
      <c r="B338" s="27" t="inlineStr">
        <is>
          <t>HEA01</t>
        </is>
      </c>
      <c r="C338" s="27" t="inlineStr">
        <is>
          <t>Headphones model 1</t>
        </is>
      </c>
      <c r="D338" s="27" t="inlineStr">
        <is>
          <t>Headphones</t>
        </is>
      </c>
      <c r="E338" s="27" t="n">
        <v>5</v>
      </c>
      <c r="F338" s="28" t="n">
        <v>1511.88</v>
      </c>
      <c r="G338" s="28" t="n">
        <v>990</v>
      </c>
      <c r="H338" s="28" t="n">
        <v>521.88</v>
      </c>
    </row>
    <row r="339">
      <c r="A339" s="26" t="n">
        <v>46285</v>
      </c>
      <c r="B339" s="27" t="inlineStr">
        <is>
          <t>HEA01</t>
        </is>
      </c>
      <c r="C339" s="27" t="inlineStr">
        <is>
          <t>Headphones model 1</t>
        </is>
      </c>
      <c r="D339" s="27" t="inlineStr">
        <is>
          <t>Headphones</t>
        </is>
      </c>
      <c r="E339" s="27" t="n">
        <v>11</v>
      </c>
      <c r="F339" s="28" t="n">
        <v>3144.21</v>
      </c>
      <c r="G339" s="28" t="n">
        <v>2178</v>
      </c>
      <c r="H339" s="28" t="n">
        <v>966.21</v>
      </c>
    </row>
    <row r="340">
      <c r="A340" s="26" t="n">
        <v>46110</v>
      </c>
      <c r="B340" s="27" t="inlineStr">
        <is>
          <t>HEA02</t>
        </is>
      </c>
      <c r="C340" s="27" t="inlineStr">
        <is>
          <t>Headphones model 2</t>
        </is>
      </c>
      <c r="D340" s="27" t="inlineStr">
        <is>
          <t>Headphones</t>
        </is>
      </c>
      <c r="E340" s="27" t="n">
        <v>11</v>
      </c>
      <c r="F340" s="28" t="n">
        <v>2737.65</v>
      </c>
      <c r="G340" s="28" t="n">
        <v>1716</v>
      </c>
      <c r="H340" s="28" t="n">
        <v>1021.65</v>
      </c>
    </row>
    <row r="341">
      <c r="A341" s="26" t="n">
        <v>46117</v>
      </c>
      <c r="B341" s="27" t="inlineStr">
        <is>
          <t>HEA02</t>
        </is>
      </c>
      <c r="C341" s="27" t="inlineStr">
        <is>
          <t>Headphones model 2</t>
        </is>
      </c>
      <c r="D341" s="27" t="inlineStr">
        <is>
          <t>Headphones</t>
        </is>
      </c>
      <c r="E341" s="27" t="n">
        <v>6</v>
      </c>
      <c r="F341" s="28" t="n">
        <v>1446.29</v>
      </c>
      <c r="G341" s="28" t="n">
        <v>936</v>
      </c>
      <c r="H341" s="28" t="n">
        <v>510.29</v>
      </c>
    </row>
    <row r="342">
      <c r="A342" s="26" t="n">
        <v>46124</v>
      </c>
      <c r="B342" s="27" t="inlineStr">
        <is>
          <t>HEA02</t>
        </is>
      </c>
      <c r="C342" s="27" t="inlineStr">
        <is>
          <t>Headphones model 2</t>
        </is>
      </c>
      <c r="D342" s="27" t="inlineStr">
        <is>
          <t>Headphones</t>
        </is>
      </c>
      <c r="E342" s="27" t="n">
        <v>8</v>
      </c>
      <c r="F342" s="28" t="n">
        <v>1880.84</v>
      </c>
      <c r="G342" s="28" t="n">
        <v>1248</v>
      </c>
      <c r="H342" s="28" t="n">
        <v>632.84</v>
      </c>
    </row>
    <row r="343">
      <c r="A343" s="26" t="n">
        <v>46131</v>
      </c>
      <c r="B343" s="27" t="inlineStr">
        <is>
          <t>HEA02</t>
        </is>
      </c>
      <c r="C343" s="27" t="inlineStr">
        <is>
          <t>Headphones model 2</t>
        </is>
      </c>
      <c r="D343" s="27" t="inlineStr">
        <is>
          <t>Headphones</t>
        </is>
      </c>
      <c r="E343" s="27" t="n">
        <v>7</v>
      </c>
      <c r="F343" s="28" t="n">
        <v>1737.46</v>
      </c>
      <c r="G343" s="28" t="n">
        <v>1092</v>
      </c>
      <c r="H343" s="28" t="n">
        <v>645.46</v>
      </c>
    </row>
    <row r="344">
      <c r="A344" s="26" t="n">
        <v>46138</v>
      </c>
      <c r="B344" s="27" t="inlineStr">
        <is>
          <t>HEA02</t>
        </is>
      </c>
      <c r="C344" s="27" t="inlineStr">
        <is>
          <t>Headphones model 2</t>
        </is>
      </c>
      <c r="D344" s="27" t="inlineStr">
        <is>
          <t>Headphones</t>
        </is>
      </c>
      <c r="E344" s="27" t="n">
        <v>11</v>
      </c>
      <c r="F344" s="28" t="n">
        <v>2700.67</v>
      </c>
      <c r="G344" s="28" t="n">
        <v>1716</v>
      </c>
      <c r="H344" s="28" t="n">
        <v>984.67</v>
      </c>
    </row>
    <row r="345">
      <c r="A345" s="26" t="n">
        <v>46145</v>
      </c>
      <c r="B345" s="27" t="inlineStr">
        <is>
          <t>HEA02</t>
        </is>
      </c>
      <c r="C345" s="27" t="inlineStr">
        <is>
          <t>Headphones model 2</t>
        </is>
      </c>
      <c r="D345" s="27" t="inlineStr">
        <is>
          <t>Headphones</t>
        </is>
      </c>
      <c r="E345" s="27" t="n">
        <v>13</v>
      </c>
      <c r="F345" s="28" t="n">
        <v>3210.49</v>
      </c>
      <c r="G345" s="28" t="n">
        <v>2028</v>
      </c>
      <c r="H345" s="28" t="n">
        <v>1182.49</v>
      </c>
    </row>
    <row r="346">
      <c r="A346" s="26" t="n">
        <v>46152</v>
      </c>
      <c r="B346" s="27" t="inlineStr">
        <is>
          <t>HEA02</t>
        </is>
      </c>
      <c r="C346" s="27" t="inlineStr">
        <is>
          <t>Headphones model 2</t>
        </is>
      </c>
      <c r="D346" s="27" t="inlineStr">
        <is>
          <t>Headphones</t>
        </is>
      </c>
      <c r="E346" s="27" t="n">
        <v>12</v>
      </c>
      <c r="F346" s="28" t="n">
        <v>2832.98</v>
      </c>
      <c r="G346" s="28" t="n">
        <v>1872</v>
      </c>
      <c r="H346" s="28" t="n">
        <v>960.98</v>
      </c>
    </row>
    <row r="347">
      <c r="A347" s="26" t="n">
        <v>46159</v>
      </c>
      <c r="B347" s="27" t="inlineStr">
        <is>
          <t>HEA02</t>
        </is>
      </c>
      <c r="C347" s="27" t="inlineStr">
        <is>
          <t>Headphones model 2</t>
        </is>
      </c>
      <c r="D347" s="27" t="inlineStr">
        <is>
          <t>Headphones</t>
        </is>
      </c>
      <c r="E347" s="27" t="n">
        <v>7</v>
      </c>
      <c r="F347" s="28" t="n">
        <v>1634.31</v>
      </c>
      <c r="G347" s="28" t="n">
        <v>1092</v>
      </c>
      <c r="H347" s="28" t="n">
        <v>542.3099999999999</v>
      </c>
    </row>
    <row r="348">
      <c r="A348" s="26" t="n">
        <v>46166</v>
      </c>
      <c r="B348" s="27" t="inlineStr">
        <is>
          <t>HEA02</t>
        </is>
      </c>
      <c r="C348" s="27" t="inlineStr">
        <is>
          <t>Headphones model 2</t>
        </is>
      </c>
      <c r="D348" s="27" t="inlineStr">
        <is>
          <t>Headphones</t>
        </is>
      </c>
      <c r="E348" s="27" t="n">
        <v>11</v>
      </c>
      <c r="F348" s="28" t="n">
        <v>2690.28</v>
      </c>
      <c r="G348" s="28" t="n">
        <v>1716</v>
      </c>
      <c r="H348" s="28" t="n">
        <v>974.28</v>
      </c>
    </row>
    <row r="349">
      <c r="A349" s="26" t="n">
        <v>46173</v>
      </c>
      <c r="B349" s="27" t="inlineStr">
        <is>
          <t>HEA02</t>
        </is>
      </c>
      <c r="C349" s="27" t="inlineStr">
        <is>
          <t>Headphones model 2</t>
        </is>
      </c>
      <c r="D349" s="27" t="inlineStr">
        <is>
          <t>Headphones</t>
        </is>
      </c>
      <c r="E349" s="27" t="n">
        <v>15</v>
      </c>
      <c r="F349" s="28" t="n">
        <v>3649.28</v>
      </c>
      <c r="G349" s="28" t="n">
        <v>2340</v>
      </c>
      <c r="H349" s="28" t="n">
        <v>1309.28</v>
      </c>
    </row>
    <row r="350">
      <c r="A350" s="26" t="n">
        <v>46180</v>
      </c>
      <c r="B350" s="27" t="inlineStr">
        <is>
          <t>HEA02</t>
        </is>
      </c>
      <c r="C350" s="27" t="inlineStr">
        <is>
          <t>Headphones model 2</t>
        </is>
      </c>
      <c r="D350" s="27" t="inlineStr">
        <is>
          <t>Headphones</t>
        </is>
      </c>
      <c r="E350" s="27" t="n">
        <v>5</v>
      </c>
      <c r="F350" s="28" t="n">
        <v>1217.79</v>
      </c>
      <c r="G350" s="28" t="n">
        <v>780</v>
      </c>
      <c r="H350" s="28" t="n">
        <v>437.79</v>
      </c>
    </row>
    <row r="351">
      <c r="A351" s="26" t="n">
        <v>46187</v>
      </c>
      <c r="B351" s="27" t="inlineStr">
        <is>
          <t>HEA02</t>
        </is>
      </c>
      <c r="C351" s="27" t="inlineStr">
        <is>
          <t>Headphones model 2</t>
        </is>
      </c>
      <c r="D351" s="27" t="inlineStr">
        <is>
          <t>Headphones</t>
        </is>
      </c>
      <c r="E351" s="27" t="n">
        <v>9</v>
      </c>
      <c r="F351" s="28" t="n">
        <v>2203.95</v>
      </c>
      <c r="G351" s="28" t="n">
        <v>1404</v>
      </c>
      <c r="H351" s="28" t="n">
        <v>799.95</v>
      </c>
    </row>
    <row r="352">
      <c r="A352" s="26" t="n">
        <v>46194</v>
      </c>
      <c r="B352" s="27" t="inlineStr">
        <is>
          <t>HEA02</t>
        </is>
      </c>
      <c r="C352" s="27" t="inlineStr">
        <is>
          <t>Headphones model 2</t>
        </is>
      </c>
      <c r="D352" s="27" t="inlineStr">
        <is>
          <t>Headphones</t>
        </is>
      </c>
      <c r="E352" s="27" t="n">
        <v>11</v>
      </c>
      <c r="F352" s="28" t="n">
        <v>2597.26</v>
      </c>
      <c r="G352" s="28" t="n">
        <v>1716</v>
      </c>
      <c r="H352" s="28" t="n">
        <v>881.26</v>
      </c>
    </row>
    <row r="353">
      <c r="A353" s="26" t="n">
        <v>46201</v>
      </c>
      <c r="B353" s="27" t="inlineStr">
        <is>
          <t>HEA02</t>
        </is>
      </c>
      <c r="C353" s="27" t="inlineStr">
        <is>
          <t>Headphones model 2</t>
        </is>
      </c>
      <c r="D353" s="27" t="inlineStr">
        <is>
          <t>Headphones</t>
        </is>
      </c>
      <c r="E353" s="27" t="n">
        <v>11</v>
      </c>
      <c r="F353" s="28" t="n">
        <v>2700.95</v>
      </c>
      <c r="G353" s="28" t="n">
        <v>1716</v>
      </c>
      <c r="H353" s="28" t="n">
        <v>984.95</v>
      </c>
    </row>
    <row r="354">
      <c r="A354" s="26" t="n">
        <v>46208</v>
      </c>
      <c r="B354" s="27" t="inlineStr">
        <is>
          <t>HEA02</t>
        </is>
      </c>
      <c r="C354" s="27" t="inlineStr">
        <is>
          <t>Headphones model 2</t>
        </is>
      </c>
      <c r="D354" s="27" t="inlineStr">
        <is>
          <t>Headphones</t>
        </is>
      </c>
      <c r="E354" s="27" t="n">
        <v>13</v>
      </c>
      <c r="F354" s="28" t="n">
        <v>3193.56</v>
      </c>
      <c r="G354" s="28" t="n">
        <v>2028</v>
      </c>
      <c r="H354" s="28" t="n">
        <v>1165.56</v>
      </c>
    </row>
    <row r="355">
      <c r="A355" s="26" t="n">
        <v>46215</v>
      </c>
      <c r="B355" s="27" t="inlineStr">
        <is>
          <t>HEA02</t>
        </is>
      </c>
      <c r="C355" s="27" t="inlineStr">
        <is>
          <t>Headphones model 2</t>
        </is>
      </c>
      <c r="D355" s="27" t="inlineStr">
        <is>
          <t>Headphones</t>
        </is>
      </c>
      <c r="E355" s="27" t="n">
        <v>8</v>
      </c>
      <c r="F355" s="28" t="n">
        <v>1948.72</v>
      </c>
      <c r="G355" s="28" t="n">
        <v>1248</v>
      </c>
      <c r="H355" s="28" t="n">
        <v>700.72</v>
      </c>
    </row>
    <row r="356">
      <c r="A356" s="26" t="n">
        <v>46222</v>
      </c>
      <c r="B356" s="27" t="inlineStr">
        <is>
          <t>HEA02</t>
        </is>
      </c>
      <c r="C356" s="27" t="inlineStr">
        <is>
          <t>Headphones model 2</t>
        </is>
      </c>
      <c r="D356" s="27" t="inlineStr">
        <is>
          <t>Headphones</t>
        </is>
      </c>
      <c r="E356" s="27" t="n">
        <v>9</v>
      </c>
      <c r="F356" s="28" t="n">
        <v>2081.51</v>
      </c>
      <c r="G356" s="28" t="n">
        <v>1404</v>
      </c>
      <c r="H356" s="28" t="n">
        <v>677.51</v>
      </c>
    </row>
    <row r="357">
      <c r="A357" s="26" t="n">
        <v>46229</v>
      </c>
      <c r="B357" s="27" t="inlineStr">
        <is>
          <t>HEA02</t>
        </is>
      </c>
      <c r="C357" s="27" t="inlineStr">
        <is>
          <t>Headphones model 2</t>
        </is>
      </c>
      <c r="D357" s="27" t="inlineStr">
        <is>
          <t>Headphones</t>
        </is>
      </c>
      <c r="E357" s="27" t="n">
        <v>11</v>
      </c>
      <c r="F357" s="28" t="n">
        <v>2683.35</v>
      </c>
      <c r="G357" s="28" t="n">
        <v>1716</v>
      </c>
      <c r="H357" s="28" t="n">
        <v>967.35</v>
      </c>
    </row>
    <row r="358">
      <c r="A358" s="26" t="n">
        <v>46236</v>
      </c>
      <c r="B358" s="27" t="inlineStr">
        <is>
          <t>HEA02</t>
        </is>
      </c>
      <c r="C358" s="27" t="inlineStr">
        <is>
          <t>Headphones model 2</t>
        </is>
      </c>
      <c r="D358" s="27" t="inlineStr">
        <is>
          <t>Headphones</t>
        </is>
      </c>
      <c r="E358" s="27" t="n">
        <v>9</v>
      </c>
      <c r="F358" s="28" t="n">
        <v>2093.38</v>
      </c>
      <c r="G358" s="28" t="n">
        <v>1404</v>
      </c>
      <c r="H358" s="28" t="n">
        <v>689.38</v>
      </c>
    </row>
    <row r="359">
      <c r="A359" s="26" t="n">
        <v>46243</v>
      </c>
      <c r="B359" s="27" t="inlineStr">
        <is>
          <t>HEA02</t>
        </is>
      </c>
      <c r="C359" s="27" t="inlineStr">
        <is>
          <t>Headphones model 2</t>
        </is>
      </c>
      <c r="D359" s="27" t="inlineStr">
        <is>
          <t>Headphones</t>
        </is>
      </c>
      <c r="E359" s="27" t="n">
        <v>11</v>
      </c>
      <c r="F359" s="28" t="n">
        <v>2668.63</v>
      </c>
      <c r="G359" s="28" t="n">
        <v>1716</v>
      </c>
      <c r="H359" s="28" t="n">
        <v>952.63</v>
      </c>
    </row>
    <row r="360">
      <c r="A360" s="26" t="n">
        <v>46250</v>
      </c>
      <c r="B360" s="27" t="inlineStr">
        <is>
          <t>HEA02</t>
        </is>
      </c>
      <c r="C360" s="27" t="inlineStr">
        <is>
          <t>Headphones model 2</t>
        </is>
      </c>
      <c r="D360" s="27" t="inlineStr">
        <is>
          <t>Headphones</t>
        </is>
      </c>
      <c r="E360" s="27" t="n">
        <v>12</v>
      </c>
      <c r="F360" s="28" t="n">
        <v>2800.51</v>
      </c>
      <c r="G360" s="28" t="n">
        <v>1872</v>
      </c>
      <c r="H360" s="28" t="n">
        <v>928.51</v>
      </c>
    </row>
    <row r="361">
      <c r="A361" s="26" t="n">
        <v>46257</v>
      </c>
      <c r="B361" s="27" t="inlineStr">
        <is>
          <t>HEA02</t>
        </is>
      </c>
      <c r="C361" s="27" t="inlineStr">
        <is>
          <t>Headphones model 2</t>
        </is>
      </c>
      <c r="D361" s="27" t="inlineStr">
        <is>
          <t>Headphones</t>
        </is>
      </c>
      <c r="E361" s="27" t="n">
        <v>4</v>
      </c>
      <c r="F361" s="28" t="n">
        <v>935.78</v>
      </c>
      <c r="G361" s="28" t="n">
        <v>624</v>
      </c>
      <c r="H361" s="28" t="n">
        <v>311.78</v>
      </c>
    </row>
    <row r="362">
      <c r="A362" s="26" t="n">
        <v>46264</v>
      </c>
      <c r="B362" s="27" t="inlineStr">
        <is>
          <t>HEA02</t>
        </is>
      </c>
      <c r="C362" s="27" t="inlineStr">
        <is>
          <t>Headphones model 2</t>
        </is>
      </c>
      <c r="D362" s="27" t="inlineStr">
        <is>
          <t>Headphones</t>
        </is>
      </c>
      <c r="E362" s="27" t="n">
        <v>11</v>
      </c>
      <c r="F362" s="28" t="n">
        <v>2651.42</v>
      </c>
      <c r="G362" s="28" t="n">
        <v>1716</v>
      </c>
      <c r="H362" s="28" t="n">
        <v>935.42</v>
      </c>
    </row>
    <row r="363">
      <c r="A363" s="26" t="n">
        <v>46271</v>
      </c>
      <c r="B363" s="27" t="inlineStr">
        <is>
          <t>HEA02</t>
        </is>
      </c>
      <c r="C363" s="27" t="inlineStr">
        <is>
          <t>Headphones model 2</t>
        </is>
      </c>
      <c r="D363" s="27" t="inlineStr">
        <is>
          <t>Headphones</t>
        </is>
      </c>
      <c r="E363" s="27" t="n">
        <v>9</v>
      </c>
      <c r="F363" s="28" t="n">
        <v>2164.55</v>
      </c>
      <c r="G363" s="28" t="n">
        <v>1404</v>
      </c>
      <c r="H363" s="28" t="n">
        <v>760.55</v>
      </c>
    </row>
    <row r="364">
      <c r="A364" s="26" t="n">
        <v>46278</v>
      </c>
      <c r="B364" s="27" t="inlineStr">
        <is>
          <t>HEA02</t>
        </is>
      </c>
      <c r="C364" s="27" t="inlineStr">
        <is>
          <t>Headphones model 2</t>
        </is>
      </c>
      <c r="D364" s="27" t="inlineStr">
        <is>
          <t>Headphones</t>
        </is>
      </c>
      <c r="E364" s="27" t="n">
        <v>3</v>
      </c>
      <c r="F364" s="28" t="n">
        <v>715.0700000000001</v>
      </c>
      <c r="G364" s="28" t="n">
        <v>468</v>
      </c>
      <c r="H364" s="28" t="n">
        <v>247.07</v>
      </c>
    </row>
    <row r="365">
      <c r="A365" s="26" t="n">
        <v>46285</v>
      </c>
      <c r="B365" s="27" t="inlineStr">
        <is>
          <t>HEA02</t>
        </is>
      </c>
      <c r="C365" s="27" t="inlineStr">
        <is>
          <t>Headphones model 2</t>
        </is>
      </c>
      <c r="D365" s="27" t="inlineStr">
        <is>
          <t>Headphones</t>
        </is>
      </c>
      <c r="E365" s="27" t="n">
        <v>6</v>
      </c>
      <c r="F365" s="28" t="n">
        <v>1444.69</v>
      </c>
      <c r="G365" s="28" t="n">
        <v>936</v>
      </c>
      <c r="H365" s="28" t="n">
        <v>508.69</v>
      </c>
    </row>
    <row r="366">
      <c r="A366" s="26" t="n">
        <v>46110</v>
      </c>
      <c r="B366" s="27" t="inlineStr">
        <is>
          <t>HEA03</t>
        </is>
      </c>
      <c r="C366" s="27" t="inlineStr">
        <is>
          <t>Headphones model 3</t>
        </is>
      </c>
      <c r="D366" s="27" t="inlineStr">
        <is>
          <t>Headphones</t>
        </is>
      </c>
      <c r="E366" s="27" t="n">
        <v>6</v>
      </c>
      <c r="F366" s="28" t="n">
        <v>1276.03</v>
      </c>
      <c r="G366" s="28" t="n">
        <v>834</v>
      </c>
      <c r="H366" s="28" t="n">
        <v>442.03</v>
      </c>
    </row>
    <row r="367">
      <c r="A367" s="26" t="n">
        <v>46117</v>
      </c>
      <c r="B367" s="27" t="inlineStr">
        <is>
          <t>HEA03</t>
        </is>
      </c>
      <c r="C367" s="27" t="inlineStr">
        <is>
          <t>Headphones model 3</t>
        </is>
      </c>
      <c r="D367" s="27" t="inlineStr">
        <is>
          <t>Headphones</t>
        </is>
      </c>
      <c r="E367" s="27" t="n">
        <v>9</v>
      </c>
      <c r="F367" s="28" t="n">
        <v>1880.92</v>
      </c>
      <c r="G367" s="28" t="n">
        <v>1251</v>
      </c>
      <c r="H367" s="28" t="n">
        <v>629.92</v>
      </c>
    </row>
    <row r="368">
      <c r="A368" s="26" t="n">
        <v>46124</v>
      </c>
      <c r="B368" s="27" t="inlineStr">
        <is>
          <t>HEA03</t>
        </is>
      </c>
      <c r="C368" s="27" t="inlineStr">
        <is>
          <t>Headphones model 3</t>
        </is>
      </c>
      <c r="D368" s="27" t="inlineStr">
        <is>
          <t>Headphones</t>
        </is>
      </c>
      <c r="E368" s="27" t="n">
        <v>7</v>
      </c>
      <c r="F368" s="28" t="n">
        <v>1491.91</v>
      </c>
      <c r="G368" s="28" t="n">
        <v>973</v>
      </c>
      <c r="H368" s="28" t="n">
        <v>518.91</v>
      </c>
    </row>
    <row r="369">
      <c r="A369" s="26" t="n">
        <v>46131</v>
      </c>
      <c r="B369" s="27" t="inlineStr">
        <is>
          <t>HEA03</t>
        </is>
      </c>
      <c r="C369" s="27" t="inlineStr">
        <is>
          <t>Headphones model 3</t>
        </is>
      </c>
      <c r="D369" s="27" t="inlineStr">
        <is>
          <t>Headphones</t>
        </is>
      </c>
      <c r="E369" s="27" t="n">
        <v>8</v>
      </c>
      <c r="F369" s="28" t="n">
        <v>1671.48</v>
      </c>
      <c r="G369" s="28" t="n">
        <v>1112</v>
      </c>
      <c r="H369" s="28" t="n">
        <v>559.48</v>
      </c>
    </row>
    <row r="370">
      <c r="A370" s="26" t="n">
        <v>46138</v>
      </c>
      <c r="B370" s="27" t="inlineStr">
        <is>
          <t>HEA03</t>
        </is>
      </c>
      <c r="C370" s="27" t="inlineStr">
        <is>
          <t>Headphones model 3</t>
        </is>
      </c>
      <c r="D370" s="27" t="inlineStr">
        <is>
          <t>Headphones</t>
        </is>
      </c>
      <c r="E370" s="27" t="n">
        <v>10</v>
      </c>
      <c r="F370" s="28" t="n">
        <v>2070.3</v>
      </c>
      <c r="G370" s="28" t="n">
        <v>1390</v>
      </c>
      <c r="H370" s="28" t="n">
        <v>680.3</v>
      </c>
    </row>
    <row r="371">
      <c r="A371" s="26" t="n">
        <v>46145</v>
      </c>
      <c r="B371" s="27" t="inlineStr">
        <is>
          <t>HEA03</t>
        </is>
      </c>
      <c r="C371" s="27" t="inlineStr">
        <is>
          <t>Headphones model 3</t>
        </is>
      </c>
      <c r="D371" s="27" t="inlineStr">
        <is>
          <t>Headphones</t>
        </is>
      </c>
      <c r="E371" s="27" t="n">
        <v>7</v>
      </c>
      <c r="F371" s="28" t="n">
        <v>1507.71</v>
      </c>
      <c r="G371" s="28" t="n">
        <v>973</v>
      </c>
      <c r="H371" s="28" t="n">
        <v>534.71</v>
      </c>
    </row>
    <row r="372">
      <c r="A372" s="26" t="n">
        <v>46152</v>
      </c>
      <c r="B372" s="27" t="inlineStr">
        <is>
          <t>HEA03</t>
        </is>
      </c>
      <c r="C372" s="27" t="inlineStr">
        <is>
          <t>Headphones model 3</t>
        </is>
      </c>
      <c r="D372" s="27" t="inlineStr">
        <is>
          <t>Headphones</t>
        </is>
      </c>
      <c r="E372" s="27" t="n">
        <v>8</v>
      </c>
      <c r="F372" s="28" t="n">
        <v>1680.67</v>
      </c>
      <c r="G372" s="28" t="n">
        <v>1112</v>
      </c>
      <c r="H372" s="28" t="n">
        <v>568.67</v>
      </c>
    </row>
    <row r="373">
      <c r="A373" s="26" t="n">
        <v>46159</v>
      </c>
      <c r="B373" s="27" t="inlineStr">
        <is>
          <t>HEA03</t>
        </is>
      </c>
      <c r="C373" s="27" t="inlineStr">
        <is>
          <t>Headphones model 3</t>
        </is>
      </c>
      <c r="D373" s="27" t="inlineStr">
        <is>
          <t>Headphones</t>
        </is>
      </c>
      <c r="E373" s="27" t="n">
        <v>15</v>
      </c>
      <c r="F373" s="28" t="n">
        <v>3148.18</v>
      </c>
      <c r="G373" s="28" t="n">
        <v>2085</v>
      </c>
      <c r="H373" s="28" t="n">
        <v>1063.18</v>
      </c>
    </row>
    <row r="374">
      <c r="A374" s="26" t="n">
        <v>46166</v>
      </c>
      <c r="B374" s="27" t="inlineStr">
        <is>
          <t>HEA03</t>
        </is>
      </c>
      <c r="C374" s="27" t="inlineStr">
        <is>
          <t>Headphones model 3</t>
        </is>
      </c>
      <c r="D374" s="27" t="inlineStr">
        <is>
          <t>Headphones</t>
        </is>
      </c>
      <c r="E374" s="27" t="n">
        <v>11</v>
      </c>
      <c r="F374" s="28" t="n">
        <v>2266.25</v>
      </c>
      <c r="G374" s="28" t="n">
        <v>1529</v>
      </c>
      <c r="H374" s="28" t="n">
        <v>737.25</v>
      </c>
    </row>
    <row r="375">
      <c r="A375" s="26" t="n">
        <v>46173</v>
      </c>
      <c r="B375" s="27" t="inlineStr">
        <is>
          <t>HEA03</t>
        </is>
      </c>
      <c r="C375" s="27" t="inlineStr">
        <is>
          <t>Headphones model 3</t>
        </is>
      </c>
      <c r="D375" s="27" t="inlineStr">
        <is>
          <t>Headphones</t>
        </is>
      </c>
      <c r="E375" s="27" t="n">
        <v>6</v>
      </c>
      <c r="F375" s="28" t="n">
        <v>1206.2</v>
      </c>
      <c r="G375" s="28" t="n">
        <v>834</v>
      </c>
      <c r="H375" s="28" t="n">
        <v>372.2</v>
      </c>
    </row>
    <row r="376">
      <c r="A376" s="26" t="n">
        <v>46180</v>
      </c>
      <c r="B376" s="27" t="inlineStr">
        <is>
          <t>HEA03</t>
        </is>
      </c>
      <c r="C376" s="27" t="inlineStr">
        <is>
          <t>Headphones model 3</t>
        </is>
      </c>
      <c r="D376" s="27" t="inlineStr">
        <is>
          <t>Headphones</t>
        </is>
      </c>
      <c r="E376" s="27" t="n">
        <v>7</v>
      </c>
      <c r="F376" s="28" t="n">
        <v>1492.2</v>
      </c>
      <c r="G376" s="28" t="n">
        <v>973</v>
      </c>
      <c r="H376" s="28" t="n">
        <v>519.2</v>
      </c>
    </row>
    <row r="377">
      <c r="A377" s="26" t="n">
        <v>46187</v>
      </c>
      <c r="B377" s="27" t="inlineStr">
        <is>
          <t>HEA03</t>
        </is>
      </c>
      <c r="C377" s="27" t="inlineStr">
        <is>
          <t>Headphones model 3</t>
        </is>
      </c>
      <c r="D377" s="27" t="inlineStr">
        <is>
          <t>Headphones</t>
        </is>
      </c>
      <c r="E377" s="27" t="n">
        <v>11</v>
      </c>
      <c r="F377" s="28" t="n">
        <v>2285.16</v>
      </c>
      <c r="G377" s="28" t="n">
        <v>1529</v>
      </c>
      <c r="H377" s="28" t="n">
        <v>756.16</v>
      </c>
    </row>
    <row r="378">
      <c r="A378" s="26" t="n">
        <v>46194</v>
      </c>
      <c r="B378" s="27" t="inlineStr">
        <is>
          <t>HEA03</t>
        </is>
      </c>
      <c r="C378" s="27" t="inlineStr">
        <is>
          <t>Headphones model 3</t>
        </is>
      </c>
      <c r="D378" s="27" t="inlineStr">
        <is>
          <t>Headphones</t>
        </is>
      </c>
      <c r="E378" s="27" t="n">
        <v>11</v>
      </c>
      <c r="F378" s="28" t="n">
        <v>2307.62</v>
      </c>
      <c r="G378" s="28" t="n">
        <v>1529</v>
      </c>
      <c r="H378" s="28" t="n">
        <v>778.62</v>
      </c>
    </row>
    <row r="379">
      <c r="A379" s="26" t="n">
        <v>46201</v>
      </c>
      <c r="B379" s="27" t="inlineStr">
        <is>
          <t>HEA03</t>
        </is>
      </c>
      <c r="C379" s="27" t="inlineStr">
        <is>
          <t>Headphones model 3</t>
        </is>
      </c>
      <c r="D379" s="27" t="inlineStr">
        <is>
          <t>Headphones</t>
        </is>
      </c>
      <c r="E379" s="27" t="n">
        <v>6</v>
      </c>
      <c r="F379" s="28" t="n">
        <v>1240.28</v>
      </c>
      <c r="G379" s="28" t="n">
        <v>834</v>
      </c>
      <c r="H379" s="28" t="n">
        <v>406.28</v>
      </c>
    </row>
    <row r="380">
      <c r="A380" s="26" t="n">
        <v>46208</v>
      </c>
      <c r="B380" s="27" t="inlineStr">
        <is>
          <t>HEA03</t>
        </is>
      </c>
      <c r="C380" s="27" t="inlineStr">
        <is>
          <t>Headphones model 3</t>
        </is>
      </c>
      <c r="D380" s="27" t="inlineStr">
        <is>
          <t>Headphones</t>
        </is>
      </c>
      <c r="E380" s="27" t="n">
        <v>5</v>
      </c>
      <c r="F380" s="28" t="n">
        <v>1044.83</v>
      </c>
      <c r="G380" s="28" t="n">
        <v>695</v>
      </c>
      <c r="H380" s="28" t="n">
        <v>349.83</v>
      </c>
    </row>
    <row r="381">
      <c r="A381" s="26" t="n">
        <v>46215</v>
      </c>
      <c r="B381" s="27" t="inlineStr">
        <is>
          <t>HEA03</t>
        </is>
      </c>
      <c r="C381" s="27" t="inlineStr">
        <is>
          <t>Headphones model 3</t>
        </is>
      </c>
      <c r="D381" s="27" t="inlineStr">
        <is>
          <t>Headphones</t>
        </is>
      </c>
      <c r="E381" s="27" t="n">
        <v>5</v>
      </c>
      <c r="F381" s="28" t="n">
        <v>1050.32</v>
      </c>
      <c r="G381" s="28" t="n">
        <v>695</v>
      </c>
      <c r="H381" s="28" t="n">
        <v>355.32</v>
      </c>
    </row>
    <row r="382">
      <c r="A382" s="26" t="n">
        <v>46222</v>
      </c>
      <c r="B382" s="27" t="inlineStr">
        <is>
          <t>HEA03</t>
        </is>
      </c>
      <c r="C382" s="27" t="inlineStr">
        <is>
          <t>Headphones model 3</t>
        </is>
      </c>
      <c r="D382" s="27" t="inlineStr">
        <is>
          <t>Headphones</t>
        </is>
      </c>
      <c r="E382" s="27" t="n">
        <v>6</v>
      </c>
      <c r="F382" s="28" t="n">
        <v>1179.93</v>
      </c>
      <c r="G382" s="28" t="n">
        <v>834</v>
      </c>
      <c r="H382" s="28" t="n">
        <v>345.93</v>
      </c>
    </row>
    <row r="383">
      <c r="A383" s="26" t="n">
        <v>46229</v>
      </c>
      <c r="B383" s="27" t="inlineStr">
        <is>
          <t>HEA03</t>
        </is>
      </c>
      <c r="C383" s="27" t="inlineStr">
        <is>
          <t>Headphones model 3</t>
        </is>
      </c>
      <c r="D383" s="27" t="inlineStr">
        <is>
          <t>Headphones</t>
        </is>
      </c>
      <c r="E383" s="27" t="n">
        <v>13</v>
      </c>
      <c r="F383" s="28" t="n">
        <v>2627.08</v>
      </c>
      <c r="G383" s="28" t="n">
        <v>1807</v>
      </c>
      <c r="H383" s="28" t="n">
        <v>820.08</v>
      </c>
    </row>
    <row r="384">
      <c r="A384" s="26" t="n">
        <v>46236</v>
      </c>
      <c r="B384" s="27" t="inlineStr">
        <is>
          <t>HEA03</t>
        </is>
      </c>
      <c r="C384" s="27" t="inlineStr">
        <is>
          <t>Headphones model 3</t>
        </is>
      </c>
      <c r="D384" s="27" t="inlineStr">
        <is>
          <t>Headphones</t>
        </is>
      </c>
      <c r="E384" s="27" t="n">
        <v>7</v>
      </c>
      <c r="F384" s="28" t="n">
        <v>1399.3</v>
      </c>
      <c r="G384" s="28" t="n">
        <v>973</v>
      </c>
      <c r="H384" s="28" t="n">
        <v>426.3</v>
      </c>
    </row>
    <row r="385">
      <c r="A385" s="26" t="n">
        <v>46243</v>
      </c>
      <c r="B385" s="27" t="inlineStr">
        <is>
          <t>HEA03</t>
        </is>
      </c>
      <c r="C385" s="27" t="inlineStr">
        <is>
          <t>Headphones model 3</t>
        </is>
      </c>
      <c r="D385" s="27" t="inlineStr">
        <is>
          <t>Headphones</t>
        </is>
      </c>
      <c r="E385" s="27" t="n">
        <v>14</v>
      </c>
      <c r="F385" s="28" t="n">
        <v>2820.09</v>
      </c>
      <c r="G385" s="28" t="n">
        <v>1946</v>
      </c>
      <c r="H385" s="28" t="n">
        <v>874.09</v>
      </c>
    </row>
    <row r="386">
      <c r="A386" s="26" t="n">
        <v>46250</v>
      </c>
      <c r="B386" s="27" t="inlineStr">
        <is>
          <t>HEA03</t>
        </is>
      </c>
      <c r="C386" s="27" t="inlineStr">
        <is>
          <t>Headphones model 3</t>
        </is>
      </c>
      <c r="D386" s="27" t="inlineStr">
        <is>
          <t>Headphones</t>
        </is>
      </c>
      <c r="E386" s="27" t="n">
        <v>4</v>
      </c>
      <c r="F386" s="28" t="n">
        <v>780.5</v>
      </c>
      <c r="G386" s="28" t="n">
        <v>556</v>
      </c>
      <c r="H386" s="28" t="n">
        <v>224.5</v>
      </c>
    </row>
    <row r="387">
      <c r="A387" s="26" t="n">
        <v>46257</v>
      </c>
      <c r="B387" s="27" t="inlineStr">
        <is>
          <t>HEA03</t>
        </is>
      </c>
      <c r="C387" s="27" t="inlineStr">
        <is>
          <t>Headphones model 3</t>
        </is>
      </c>
      <c r="D387" s="27" t="inlineStr">
        <is>
          <t>Headphones</t>
        </is>
      </c>
      <c r="E387" s="27" t="n">
        <v>8</v>
      </c>
      <c r="F387" s="28" t="n">
        <v>1556.32</v>
      </c>
      <c r="G387" s="28" t="n">
        <v>1112</v>
      </c>
      <c r="H387" s="28" t="n">
        <v>444.32</v>
      </c>
    </row>
    <row r="388">
      <c r="A388" s="26" t="n">
        <v>46264</v>
      </c>
      <c r="B388" s="27" t="inlineStr">
        <is>
          <t>HEA03</t>
        </is>
      </c>
      <c r="C388" s="27" t="inlineStr">
        <is>
          <t>Headphones model 3</t>
        </is>
      </c>
      <c r="D388" s="27" t="inlineStr">
        <is>
          <t>Headphones</t>
        </is>
      </c>
      <c r="E388" s="27" t="n">
        <v>7</v>
      </c>
      <c r="F388" s="28" t="n">
        <v>1418.98</v>
      </c>
      <c r="G388" s="28" t="n">
        <v>973</v>
      </c>
      <c r="H388" s="28" t="n">
        <v>445.98</v>
      </c>
    </row>
    <row r="389">
      <c r="A389" s="26" t="n">
        <v>46271</v>
      </c>
      <c r="B389" s="27" t="inlineStr">
        <is>
          <t>HEA03</t>
        </is>
      </c>
      <c r="C389" s="27" t="inlineStr">
        <is>
          <t>Headphones model 3</t>
        </is>
      </c>
      <c r="D389" s="27" t="inlineStr">
        <is>
          <t>Headphones</t>
        </is>
      </c>
      <c r="E389" s="27" t="n">
        <v>5</v>
      </c>
      <c r="F389" s="28" t="n">
        <v>1008.02</v>
      </c>
      <c r="G389" s="28" t="n">
        <v>695</v>
      </c>
      <c r="H389" s="28" t="n">
        <v>313.02</v>
      </c>
    </row>
    <row r="390">
      <c r="A390" s="26" t="n">
        <v>46278</v>
      </c>
      <c r="B390" s="27" t="inlineStr">
        <is>
          <t>HEA03</t>
        </is>
      </c>
      <c r="C390" s="27" t="inlineStr">
        <is>
          <t>Headphones model 3</t>
        </is>
      </c>
      <c r="D390" s="27" t="inlineStr">
        <is>
          <t>Headphones</t>
        </is>
      </c>
      <c r="E390" s="27" t="n">
        <v>10</v>
      </c>
      <c r="F390" s="28" t="n">
        <v>1891.99</v>
      </c>
      <c r="G390" s="28" t="n">
        <v>1390</v>
      </c>
      <c r="H390" s="28" t="n">
        <v>501.99</v>
      </c>
    </row>
    <row r="391">
      <c r="A391" s="26" t="n">
        <v>46285</v>
      </c>
      <c r="B391" s="27" t="inlineStr">
        <is>
          <t>HEA03</t>
        </is>
      </c>
      <c r="C391" s="27" t="inlineStr">
        <is>
          <t>Headphones model 3</t>
        </is>
      </c>
      <c r="D391" s="27" t="inlineStr">
        <is>
          <t>Headphones</t>
        </is>
      </c>
      <c r="E391" s="27" t="n">
        <v>10</v>
      </c>
      <c r="F391" s="28" t="n">
        <v>1976.66</v>
      </c>
      <c r="G391" s="28" t="n">
        <v>1390</v>
      </c>
      <c r="H391" s="28" t="n">
        <v>586.66</v>
      </c>
    </row>
    <row r="392">
      <c r="A392" s="26" t="n">
        <v>46110</v>
      </c>
      <c r="B392" s="27" t="inlineStr">
        <is>
          <t>HEA04</t>
        </is>
      </c>
      <c r="C392" s="27" t="inlineStr">
        <is>
          <t>Headphones model 4</t>
        </is>
      </c>
      <c r="D392" s="27" t="inlineStr">
        <is>
          <t>Headphones</t>
        </is>
      </c>
      <c r="E392" s="27" t="n">
        <v>7</v>
      </c>
      <c r="F392" s="28" t="n">
        <v>1434.78</v>
      </c>
      <c r="G392" s="28" t="n">
        <v>896</v>
      </c>
      <c r="H392" s="28" t="n">
        <v>538.78</v>
      </c>
    </row>
    <row r="393">
      <c r="A393" s="26" t="n">
        <v>46117</v>
      </c>
      <c r="B393" s="27" t="inlineStr">
        <is>
          <t>HEA04</t>
        </is>
      </c>
      <c r="C393" s="27" t="inlineStr">
        <is>
          <t>Headphones model 4</t>
        </is>
      </c>
      <c r="D393" s="27" t="inlineStr">
        <is>
          <t>Headphones</t>
        </is>
      </c>
      <c r="E393" s="27" t="n">
        <v>8</v>
      </c>
      <c r="F393" s="28" t="n">
        <v>1617.99</v>
      </c>
      <c r="G393" s="28" t="n">
        <v>1024</v>
      </c>
      <c r="H393" s="28" t="n">
        <v>593.99</v>
      </c>
    </row>
    <row r="394">
      <c r="A394" s="26" t="n">
        <v>46124</v>
      </c>
      <c r="B394" s="27" t="inlineStr">
        <is>
          <t>HEA04</t>
        </is>
      </c>
      <c r="C394" s="27" t="inlineStr">
        <is>
          <t>Headphones model 4</t>
        </is>
      </c>
      <c r="D394" s="27" t="inlineStr">
        <is>
          <t>Headphones</t>
        </is>
      </c>
      <c r="E394" s="27" t="n">
        <v>9</v>
      </c>
      <c r="F394" s="28" t="n">
        <v>1715.68</v>
      </c>
      <c r="G394" s="28" t="n">
        <v>1152</v>
      </c>
      <c r="H394" s="28" t="n">
        <v>563.6799999999999</v>
      </c>
    </row>
    <row r="395">
      <c r="A395" s="26" t="n">
        <v>46131</v>
      </c>
      <c r="B395" s="27" t="inlineStr">
        <is>
          <t>HEA04</t>
        </is>
      </c>
      <c r="C395" s="27" t="inlineStr">
        <is>
          <t>Headphones model 4</t>
        </is>
      </c>
      <c r="D395" s="27" t="inlineStr">
        <is>
          <t>Headphones</t>
        </is>
      </c>
      <c r="E395" s="27" t="n">
        <v>7</v>
      </c>
      <c r="F395" s="28" t="n">
        <v>1401.24</v>
      </c>
      <c r="G395" s="28" t="n">
        <v>896</v>
      </c>
      <c r="H395" s="28" t="n">
        <v>505.24</v>
      </c>
    </row>
    <row r="396">
      <c r="A396" s="26" t="n">
        <v>46138</v>
      </c>
      <c r="B396" s="27" t="inlineStr">
        <is>
          <t>HEA04</t>
        </is>
      </c>
      <c r="C396" s="27" t="inlineStr">
        <is>
          <t>Headphones model 4</t>
        </is>
      </c>
      <c r="D396" s="27" t="inlineStr">
        <is>
          <t>Headphones</t>
        </is>
      </c>
      <c r="E396" s="27" t="n">
        <v>12</v>
      </c>
      <c r="F396" s="28" t="n">
        <v>2388.36</v>
      </c>
      <c r="G396" s="28" t="n">
        <v>1536</v>
      </c>
      <c r="H396" s="28" t="n">
        <v>852.36</v>
      </c>
    </row>
    <row r="397">
      <c r="A397" s="26" t="n">
        <v>46145</v>
      </c>
      <c r="B397" s="27" t="inlineStr">
        <is>
          <t>HEA04</t>
        </is>
      </c>
      <c r="C397" s="27" t="inlineStr">
        <is>
          <t>Headphones model 4</t>
        </is>
      </c>
      <c r="D397" s="27" t="inlineStr">
        <is>
          <t>Headphones</t>
        </is>
      </c>
      <c r="E397" s="27" t="n">
        <v>5</v>
      </c>
      <c r="F397" s="28" t="n">
        <v>974.26</v>
      </c>
      <c r="G397" s="28" t="n">
        <v>640</v>
      </c>
      <c r="H397" s="28" t="n">
        <v>334.26</v>
      </c>
    </row>
    <row r="398">
      <c r="A398" s="26" t="n">
        <v>46152</v>
      </c>
      <c r="B398" s="27" t="inlineStr">
        <is>
          <t>HEA04</t>
        </is>
      </c>
      <c r="C398" s="27" t="inlineStr">
        <is>
          <t>Headphones model 4</t>
        </is>
      </c>
      <c r="D398" s="27" t="inlineStr">
        <is>
          <t>Headphones</t>
        </is>
      </c>
      <c r="E398" s="27" t="n">
        <v>7</v>
      </c>
      <c r="F398" s="28" t="n">
        <v>1332.49</v>
      </c>
      <c r="G398" s="28" t="n">
        <v>896</v>
      </c>
      <c r="H398" s="28" t="n">
        <v>436.49</v>
      </c>
    </row>
    <row r="399">
      <c r="A399" s="26" t="n">
        <v>46159</v>
      </c>
      <c r="B399" s="27" t="inlineStr">
        <is>
          <t>HEA04</t>
        </is>
      </c>
      <c r="C399" s="27" t="inlineStr">
        <is>
          <t>Headphones model 4</t>
        </is>
      </c>
      <c r="D399" s="27" t="inlineStr">
        <is>
          <t>Headphones</t>
        </is>
      </c>
      <c r="E399" s="27" t="n">
        <v>6</v>
      </c>
      <c r="F399" s="28" t="n">
        <v>1167.44</v>
      </c>
      <c r="G399" s="28" t="n">
        <v>768</v>
      </c>
      <c r="H399" s="28" t="n">
        <v>399.44</v>
      </c>
    </row>
    <row r="400">
      <c r="A400" s="26" t="n">
        <v>46166</v>
      </c>
      <c r="B400" s="27" t="inlineStr">
        <is>
          <t>HEA04</t>
        </is>
      </c>
      <c r="C400" s="27" t="inlineStr">
        <is>
          <t>Headphones model 4</t>
        </is>
      </c>
      <c r="D400" s="27" t="inlineStr">
        <is>
          <t>Headphones</t>
        </is>
      </c>
      <c r="E400" s="27" t="n">
        <v>7</v>
      </c>
      <c r="F400" s="28" t="n">
        <v>1394.47</v>
      </c>
      <c r="G400" s="28" t="n">
        <v>896</v>
      </c>
      <c r="H400" s="28" t="n">
        <v>498.47</v>
      </c>
    </row>
    <row r="401">
      <c r="A401" s="26" t="n">
        <v>46173</v>
      </c>
      <c r="B401" s="27" t="inlineStr">
        <is>
          <t>HEA04</t>
        </is>
      </c>
      <c r="C401" s="27" t="inlineStr">
        <is>
          <t>Headphones model 4</t>
        </is>
      </c>
      <c r="D401" s="27" t="inlineStr">
        <is>
          <t>Headphones</t>
        </is>
      </c>
      <c r="E401" s="27" t="n">
        <v>12</v>
      </c>
      <c r="F401" s="28" t="n">
        <v>2320.05</v>
      </c>
      <c r="G401" s="28" t="n">
        <v>1536</v>
      </c>
      <c r="H401" s="28" t="n">
        <v>784.05</v>
      </c>
    </row>
    <row r="402">
      <c r="A402" s="26" t="n">
        <v>46180</v>
      </c>
      <c r="B402" s="27" t="inlineStr">
        <is>
          <t>HEA04</t>
        </is>
      </c>
      <c r="C402" s="27" t="inlineStr">
        <is>
          <t>Headphones model 4</t>
        </is>
      </c>
      <c r="D402" s="27" t="inlineStr">
        <is>
          <t>Headphones</t>
        </is>
      </c>
      <c r="E402" s="27" t="n">
        <v>9</v>
      </c>
      <c r="F402" s="28" t="n">
        <v>1777.31</v>
      </c>
      <c r="G402" s="28" t="n">
        <v>1152</v>
      </c>
      <c r="H402" s="28" t="n">
        <v>625.3099999999999</v>
      </c>
    </row>
    <row r="403">
      <c r="A403" s="26" t="n">
        <v>46187</v>
      </c>
      <c r="B403" s="27" t="inlineStr">
        <is>
          <t>HEA04</t>
        </is>
      </c>
      <c r="C403" s="27" t="inlineStr">
        <is>
          <t>Headphones model 4</t>
        </is>
      </c>
      <c r="D403" s="27" t="inlineStr">
        <is>
          <t>Headphones</t>
        </is>
      </c>
      <c r="E403" s="27" t="n">
        <v>9</v>
      </c>
      <c r="F403" s="28" t="n">
        <v>1662.41</v>
      </c>
      <c r="G403" s="28" t="n">
        <v>1152</v>
      </c>
      <c r="H403" s="28" t="n">
        <v>510.41</v>
      </c>
    </row>
    <row r="404">
      <c r="A404" s="26" t="n">
        <v>46194</v>
      </c>
      <c r="B404" s="27" t="inlineStr">
        <is>
          <t>HEA04</t>
        </is>
      </c>
      <c r="C404" s="27" t="inlineStr">
        <is>
          <t>Headphones model 4</t>
        </is>
      </c>
      <c r="D404" s="27" t="inlineStr">
        <is>
          <t>Headphones</t>
        </is>
      </c>
      <c r="E404" s="27" t="n">
        <v>9</v>
      </c>
      <c r="F404" s="28" t="n">
        <v>1692.22</v>
      </c>
      <c r="G404" s="28" t="n">
        <v>1152</v>
      </c>
      <c r="H404" s="28" t="n">
        <v>540.22</v>
      </c>
    </row>
    <row r="405">
      <c r="A405" s="26" t="n">
        <v>46201</v>
      </c>
      <c r="B405" s="27" t="inlineStr">
        <is>
          <t>HEA04</t>
        </is>
      </c>
      <c r="C405" s="27" t="inlineStr">
        <is>
          <t>Headphones model 4</t>
        </is>
      </c>
      <c r="D405" s="27" t="inlineStr">
        <is>
          <t>Headphones</t>
        </is>
      </c>
      <c r="E405" s="27" t="n">
        <v>9</v>
      </c>
      <c r="F405" s="28" t="n">
        <v>1710.92</v>
      </c>
      <c r="G405" s="28" t="n">
        <v>1152</v>
      </c>
      <c r="H405" s="28" t="n">
        <v>558.92</v>
      </c>
    </row>
    <row r="406">
      <c r="A406" s="26" t="n">
        <v>46208</v>
      </c>
      <c r="B406" s="27" t="inlineStr">
        <is>
          <t>HEA04</t>
        </is>
      </c>
      <c r="C406" s="27" t="inlineStr">
        <is>
          <t>Headphones model 4</t>
        </is>
      </c>
      <c r="D406" s="27" t="inlineStr">
        <is>
          <t>Headphones</t>
        </is>
      </c>
      <c r="E406" s="27" t="n">
        <v>9</v>
      </c>
      <c r="F406" s="28" t="n">
        <v>1715.58</v>
      </c>
      <c r="G406" s="28" t="n">
        <v>1152</v>
      </c>
      <c r="H406" s="28" t="n">
        <v>563.58</v>
      </c>
    </row>
    <row r="407">
      <c r="A407" s="26" t="n">
        <v>46215</v>
      </c>
      <c r="B407" s="27" t="inlineStr">
        <is>
          <t>HEA04</t>
        </is>
      </c>
      <c r="C407" s="27" t="inlineStr">
        <is>
          <t>Headphones model 4</t>
        </is>
      </c>
      <c r="D407" s="27" t="inlineStr">
        <is>
          <t>Headphones</t>
        </is>
      </c>
      <c r="E407" s="27" t="n">
        <v>9</v>
      </c>
      <c r="F407" s="28" t="n">
        <v>1643.93</v>
      </c>
      <c r="G407" s="28" t="n">
        <v>1152</v>
      </c>
      <c r="H407" s="28" t="n">
        <v>491.93</v>
      </c>
    </row>
    <row r="408">
      <c r="A408" s="26" t="n">
        <v>46222</v>
      </c>
      <c r="B408" s="27" t="inlineStr">
        <is>
          <t>HEA04</t>
        </is>
      </c>
      <c r="C408" s="27" t="inlineStr">
        <is>
          <t>Headphones model 4</t>
        </is>
      </c>
      <c r="D408" s="27" t="inlineStr">
        <is>
          <t>Headphones</t>
        </is>
      </c>
      <c r="E408" s="27" t="n">
        <v>13</v>
      </c>
      <c r="F408" s="28" t="n">
        <v>2446.6</v>
      </c>
      <c r="G408" s="28" t="n">
        <v>1664</v>
      </c>
      <c r="H408" s="28" t="n">
        <v>782.6</v>
      </c>
    </row>
    <row r="409">
      <c r="A409" s="26" t="n">
        <v>46229</v>
      </c>
      <c r="B409" s="27" t="inlineStr">
        <is>
          <t>HEA04</t>
        </is>
      </c>
      <c r="C409" s="27" t="inlineStr">
        <is>
          <t>Headphones model 4</t>
        </is>
      </c>
      <c r="D409" s="27" t="inlineStr">
        <is>
          <t>Headphones</t>
        </is>
      </c>
      <c r="E409" s="27" t="n">
        <v>5</v>
      </c>
      <c r="F409" s="28" t="n">
        <v>898.0599999999999</v>
      </c>
      <c r="G409" s="28" t="n">
        <v>640</v>
      </c>
      <c r="H409" s="28" t="n">
        <v>258.06</v>
      </c>
    </row>
    <row r="410">
      <c r="A410" s="26" t="n">
        <v>46236</v>
      </c>
      <c r="B410" s="27" t="inlineStr">
        <is>
          <t>HEA04</t>
        </is>
      </c>
      <c r="C410" s="27" t="inlineStr">
        <is>
          <t>Headphones model 4</t>
        </is>
      </c>
      <c r="D410" s="27" t="inlineStr">
        <is>
          <t>Headphones</t>
        </is>
      </c>
      <c r="E410" s="27" t="n">
        <v>10</v>
      </c>
      <c r="F410" s="28" t="n">
        <v>1860.73</v>
      </c>
      <c r="G410" s="28" t="n">
        <v>1280</v>
      </c>
      <c r="H410" s="28" t="n">
        <v>580.73</v>
      </c>
    </row>
    <row r="411">
      <c r="A411" s="26" t="n">
        <v>46243</v>
      </c>
      <c r="B411" s="27" t="inlineStr">
        <is>
          <t>HEA04</t>
        </is>
      </c>
      <c r="C411" s="27" t="inlineStr">
        <is>
          <t>Headphones model 4</t>
        </is>
      </c>
      <c r="D411" s="27" t="inlineStr">
        <is>
          <t>Headphones</t>
        </is>
      </c>
      <c r="E411" s="27" t="n">
        <v>7</v>
      </c>
      <c r="F411" s="28" t="n">
        <v>1274.06</v>
      </c>
      <c r="G411" s="28" t="n">
        <v>896</v>
      </c>
      <c r="H411" s="28" t="n">
        <v>378.06</v>
      </c>
    </row>
    <row r="412">
      <c r="A412" s="26" t="n">
        <v>46250</v>
      </c>
      <c r="B412" s="27" t="inlineStr">
        <is>
          <t>HEA04</t>
        </is>
      </c>
      <c r="C412" s="27" t="inlineStr">
        <is>
          <t>Headphones model 4</t>
        </is>
      </c>
      <c r="D412" s="27" t="inlineStr">
        <is>
          <t>Headphones</t>
        </is>
      </c>
      <c r="E412" s="27" t="n">
        <v>9</v>
      </c>
      <c r="F412" s="28" t="n">
        <v>1609.61</v>
      </c>
      <c r="G412" s="28" t="n">
        <v>1152</v>
      </c>
      <c r="H412" s="28" t="n">
        <v>457.61</v>
      </c>
    </row>
    <row r="413">
      <c r="A413" s="26" t="n">
        <v>46257</v>
      </c>
      <c r="B413" s="27" t="inlineStr">
        <is>
          <t>HEA04</t>
        </is>
      </c>
      <c r="C413" s="27" t="inlineStr">
        <is>
          <t>Headphones model 4</t>
        </is>
      </c>
      <c r="D413" s="27" t="inlineStr">
        <is>
          <t>Headphones</t>
        </is>
      </c>
      <c r="E413" s="27" t="n">
        <v>5</v>
      </c>
      <c r="F413" s="28" t="n">
        <v>880.15</v>
      </c>
      <c r="G413" s="28" t="n">
        <v>640</v>
      </c>
      <c r="H413" s="28" t="n">
        <v>240.15</v>
      </c>
    </row>
    <row r="414">
      <c r="A414" s="26" t="n">
        <v>46264</v>
      </c>
      <c r="B414" s="27" t="inlineStr">
        <is>
          <t>HEA04</t>
        </is>
      </c>
      <c r="C414" s="27" t="inlineStr">
        <is>
          <t>Headphones model 4</t>
        </is>
      </c>
      <c r="D414" s="27" t="inlineStr">
        <is>
          <t>Headphones</t>
        </is>
      </c>
      <c r="E414" s="27" t="n">
        <v>8</v>
      </c>
      <c r="F414" s="28" t="n">
        <v>1445.08</v>
      </c>
      <c r="G414" s="28" t="n">
        <v>1024</v>
      </c>
      <c r="H414" s="28" t="n">
        <v>421.08</v>
      </c>
    </row>
    <row r="415">
      <c r="A415" s="26" t="n">
        <v>46271</v>
      </c>
      <c r="B415" s="27" t="inlineStr">
        <is>
          <t>HEA04</t>
        </is>
      </c>
      <c r="C415" s="27" t="inlineStr">
        <is>
          <t>Headphones model 4</t>
        </is>
      </c>
      <c r="D415" s="27" t="inlineStr">
        <is>
          <t>Headphones</t>
        </is>
      </c>
      <c r="E415" s="27" t="n">
        <v>8</v>
      </c>
      <c r="F415" s="28" t="n">
        <v>1489.65</v>
      </c>
      <c r="G415" s="28" t="n">
        <v>1024</v>
      </c>
      <c r="H415" s="28" t="n">
        <v>465.65</v>
      </c>
    </row>
    <row r="416">
      <c r="A416" s="26" t="n">
        <v>46278</v>
      </c>
      <c r="B416" s="27" t="inlineStr">
        <is>
          <t>HEA04</t>
        </is>
      </c>
      <c r="C416" s="27" t="inlineStr">
        <is>
          <t>Headphones model 4</t>
        </is>
      </c>
      <c r="D416" s="27" t="inlineStr">
        <is>
          <t>Headphones</t>
        </is>
      </c>
      <c r="E416" s="27" t="n">
        <v>10</v>
      </c>
      <c r="F416" s="28" t="n">
        <v>1763.47</v>
      </c>
      <c r="G416" s="28" t="n">
        <v>1280</v>
      </c>
      <c r="H416" s="28" t="n">
        <v>483.47</v>
      </c>
    </row>
    <row r="417">
      <c r="A417" s="26" t="n">
        <v>46285</v>
      </c>
      <c r="B417" s="27" t="inlineStr">
        <is>
          <t>HEA04</t>
        </is>
      </c>
      <c r="C417" s="27" t="inlineStr">
        <is>
          <t>Headphones model 4</t>
        </is>
      </c>
      <c r="D417" s="27" t="inlineStr">
        <is>
          <t>Headphones</t>
        </is>
      </c>
      <c r="E417" s="27" t="n">
        <v>7</v>
      </c>
      <c r="F417" s="28" t="n">
        <v>1266.38</v>
      </c>
      <c r="G417" s="28" t="n">
        <v>896</v>
      </c>
      <c r="H417" s="28" t="n">
        <v>370.38</v>
      </c>
    </row>
    <row r="418">
      <c r="A418" s="26" t="n">
        <v>46110</v>
      </c>
      <c r="B418" s="27" t="inlineStr">
        <is>
          <t>HEA05</t>
        </is>
      </c>
      <c r="C418" s="27" t="inlineStr">
        <is>
          <t>Headphones model 5</t>
        </is>
      </c>
      <c r="D418" s="27" t="inlineStr">
        <is>
          <t>Headphones</t>
        </is>
      </c>
      <c r="E418" s="27" t="n">
        <v>10</v>
      </c>
      <c r="F418" s="28" t="n">
        <v>2067.52</v>
      </c>
      <c r="G418" s="28" t="n">
        <v>1350</v>
      </c>
      <c r="H418" s="28" t="n">
        <v>717.52</v>
      </c>
    </row>
    <row r="419">
      <c r="A419" s="26" t="n">
        <v>46117</v>
      </c>
      <c r="B419" s="27" t="inlineStr">
        <is>
          <t>HEA05</t>
        </is>
      </c>
      <c r="C419" s="27" t="inlineStr">
        <is>
          <t>Headphones model 5</t>
        </is>
      </c>
      <c r="D419" s="27" t="inlineStr">
        <is>
          <t>Headphones</t>
        </is>
      </c>
      <c r="E419" s="27" t="n">
        <v>16</v>
      </c>
      <c r="F419" s="28" t="n">
        <v>3389.04</v>
      </c>
      <c r="G419" s="28" t="n">
        <v>2160</v>
      </c>
      <c r="H419" s="28" t="n">
        <v>1229.04</v>
      </c>
    </row>
    <row r="420">
      <c r="A420" s="26" t="n">
        <v>46124</v>
      </c>
      <c r="B420" s="27" t="inlineStr">
        <is>
          <t>HEA05</t>
        </is>
      </c>
      <c r="C420" s="27" t="inlineStr">
        <is>
          <t>Headphones model 5</t>
        </is>
      </c>
      <c r="D420" s="27" t="inlineStr">
        <is>
          <t>Headphones</t>
        </is>
      </c>
      <c r="E420" s="27" t="n">
        <v>6</v>
      </c>
      <c r="F420" s="28" t="n">
        <v>1260.82</v>
      </c>
      <c r="G420" s="28" t="n">
        <v>810</v>
      </c>
      <c r="H420" s="28" t="n">
        <v>450.82</v>
      </c>
    </row>
    <row r="421">
      <c r="A421" s="26" t="n">
        <v>46131</v>
      </c>
      <c r="B421" s="27" t="inlineStr">
        <is>
          <t>HEA05</t>
        </is>
      </c>
      <c r="C421" s="27" t="inlineStr">
        <is>
          <t>Headphones model 5</t>
        </is>
      </c>
      <c r="D421" s="27" t="inlineStr">
        <is>
          <t>Headphones</t>
        </is>
      </c>
      <c r="E421" s="27" t="n">
        <v>7</v>
      </c>
      <c r="F421" s="28" t="n">
        <v>1422.7</v>
      </c>
      <c r="G421" s="28" t="n">
        <v>945</v>
      </c>
      <c r="H421" s="28" t="n">
        <v>477.7</v>
      </c>
    </row>
    <row r="422">
      <c r="A422" s="26" t="n">
        <v>46138</v>
      </c>
      <c r="B422" s="27" t="inlineStr">
        <is>
          <t>HEA05</t>
        </is>
      </c>
      <c r="C422" s="27" t="inlineStr">
        <is>
          <t>Headphones model 5</t>
        </is>
      </c>
      <c r="D422" s="27" t="inlineStr">
        <is>
          <t>Headphones</t>
        </is>
      </c>
      <c r="E422" s="27" t="n">
        <v>10</v>
      </c>
      <c r="F422" s="28" t="n">
        <v>2140.99</v>
      </c>
      <c r="G422" s="28" t="n">
        <v>1350</v>
      </c>
      <c r="H422" s="28" t="n">
        <v>790.99</v>
      </c>
    </row>
    <row r="423">
      <c r="A423" s="26" t="n">
        <v>46145</v>
      </c>
      <c r="B423" s="27" t="inlineStr">
        <is>
          <t>HEA05</t>
        </is>
      </c>
      <c r="C423" s="27" t="inlineStr">
        <is>
          <t>Headphones model 5</t>
        </is>
      </c>
      <c r="D423" s="27" t="inlineStr">
        <is>
          <t>Headphones</t>
        </is>
      </c>
      <c r="E423" s="27" t="n">
        <v>10</v>
      </c>
      <c r="F423" s="28" t="n">
        <v>2008.22</v>
      </c>
      <c r="G423" s="28" t="n">
        <v>1350</v>
      </c>
      <c r="H423" s="28" t="n">
        <v>658.22</v>
      </c>
    </row>
    <row r="424">
      <c r="A424" s="26" t="n">
        <v>46152</v>
      </c>
      <c r="B424" s="27" t="inlineStr">
        <is>
          <t>HEA05</t>
        </is>
      </c>
      <c r="C424" s="27" t="inlineStr">
        <is>
          <t>Headphones model 5</t>
        </is>
      </c>
      <c r="D424" s="27" t="inlineStr">
        <is>
          <t>Headphones</t>
        </is>
      </c>
      <c r="E424" s="27" t="n">
        <v>8</v>
      </c>
      <c r="F424" s="28" t="n">
        <v>1719.42</v>
      </c>
      <c r="G424" s="28" t="n">
        <v>1080</v>
      </c>
      <c r="H424" s="28" t="n">
        <v>639.42</v>
      </c>
    </row>
    <row r="425">
      <c r="A425" s="26" t="n">
        <v>46159</v>
      </c>
      <c r="B425" s="27" t="inlineStr">
        <is>
          <t>HEA05</t>
        </is>
      </c>
      <c r="C425" s="27" t="inlineStr">
        <is>
          <t>Headphones model 5</t>
        </is>
      </c>
      <c r="D425" s="27" t="inlineStr">
        <is>
          <t>Headphones</t>
        </is>
      </c>
      <c r="E425" s="27" t="n">
        <v>10</v>
      </c>
      <c r="F425" s="28" t="n">
        <v>2073.15</v>
      </c>
      <c r="G425" s="28" t="n">
        <v>1350</v>
      </c>
      <c r="H425" s="28" t="n">
        <v>723.15</v>
      </c>
    </row>
    <row r="426">
      <c r="A426" s="26" t="n">
        <v>46166</v>
      </c>
      <c r="B426" s="27" t="inlineStr">
        <is>
          <t>HEA05</t>
        </is>
      </c>
      <c r="C426" s="27" t="inlineStr">
        <is>
          <t>Headphones model 5</t>
        </is>
      </c>
      <c r="D426" s="27" t="inlineStr">
        <is>
          <t>Headphones</t>
        </is>
      </c>
      <c r="E426" s="27" t="n">
        <v>10</v>
      </c>
      <c r="F426" s="28" t="n">
        <v>2105.22</v>
      </c>
      <c r="G426" s="28" t="n">
        <v>1350</v>
      </c>
      <c r="H426" s="28" t="n">
        <v>755.22</v>
      </c>
    </row>
    <row r="427">
      <c r="A427" s="26" t="n">
        <v>46173</v>
      </c>
      <c r="B427" s="27" t="inlineStr">
        <is>
          <t>HEA05</t>
        </is>
      </c>
      <c r="C427" s="27" t="inlineStr">
        <is>
          <t>Headphones model 5</t>
        </is>
      </c>
      <c r="D427" s="27" t="inlineStr">
        <is>
          <t>Headphones</t>
        </is>
      </c>
      <c r="E427" s="27" t="n">
        <v>5</v>
      </c>
      <c r="F427" s="28" t="n">
        <v>1019.32</v>
      </c>
      <c r="G427" s="28" t="n">
        <v>675</v>
      </c>
      <c r="H427" s="28" t="n">
        <v>344.32</v>
      </c>
    </row>
    <row r="428">
      <c r="A428" s="26" t="n">
        <v>46180</v>
      </c>
      <c r="B428" s="27" t="inlineStr">
        <is>
          <t>HEA05</t>
        </is>
      </c>
      <c r="C428" s="27" t="inlineStr">
        <is>
          <t>Headphones model 5</t>
        </is>
      </c>
      <c r="D428" s="27" t="inlineStr">
        <is>
          <t>Headphones</t>
        </is>
      </c>
      <c r="E428" s="27" t="n">
        <v>12</v>
      </c>
      <c r="F428" s="28" t="n">
        <v>2538.23</v>
      </c>
      <c r="G428" s="28" t="n">
        <v>1620</v>
      </c>
      <c r="H428" s="28" t="n">
        <v>918.23</v>
      </c>
    </row>
    <row r="429">
      <c r="A429" s="26" t="n">
        <v>46187</v>
      </c>
      <c r="B429" s="27" t="inlineStr">
        <is>
          <t>HEA05</t>
        </is>
      </c>
      <c r="C429" s="27" t="inlineStr">
        <is>
          <t>Headphones model 5</t>
        </is>
      </c>
      <c r="D429" s="27" t="inlineStr">
        <is>
          <t>Headphones</t>
        </is>
      </c>
      <c r="E429" s="27" t="n">
        <v>6</v>
      </c>
      <c r="F429" s="28" t="n">
        <v>1230.71</v>
      </c>
      <c r="G429" s="28" t="n">
        <v>810</v>
      </c>
      <c r="H429" s="28" t="n">
        <v>420.71</v>
      </c>
    </row>
    <row r="430">
      <c r="A430" s="26" t="n">
        <v>46194</v>
      </c>
      <c r="B430" s="27" t="inlineStr">
        <is>
          <t>HEA05</t>
        </is>
      </c>
      <c r="C430" s="27" t="inlineStr">
        <is>
          <t>Headphones model 5</t>
        </is>
      </c>
      <c r="D430" s="27" t="inlineStr">
        <is>
          <t>Headphones</t>
        </is>
      </c>
      <c r="E430" s="27" t="n">
        <v>6</v>
      </c>
      <c r="F430" s="28" t="n">
        <v>1266.75</v>
      </c>
      <c r="G430" s="28" t="n">
        <v>810</v>
      </c>
      <c r="H430" s="28" t="n">
        <v>456.75</v>
      </c>
    </row>
    <row r="431">
      <c r="A431" s="26" t="n">
        <v>46201</v>
      </c>
      <c r="B431" s="27" t="inlineStr">
        <is>
          <t>HEA05</t>
        </is>
      </c>
      <c r="C431" s="27" t="inlineStr">
        <is>
          <t>Headphones model 5</t>
        </is>
      </c>
      <c r="D431" s="27" t="inlineStr">
        <is>
          <t>Headphones</t>
        </is>
      </c>
      <c r="E431" s="27" t="n">
        <v>10</v>
      </c>
      <c r="F431" s="28" t="n">
        <v>2008.16</v>
      </c>
      <c r="G431" s="28" t="n">
        <v>1350</v>
      </c>
      <c r="H431" s="28" t="n">
        <v>658.16</v>
      </c>
    </row>
    <row r="432">
      <c r="A432" s="26" t="n">
        <v>46208</v>
      </c>
      <c r="B432" s="27" t="inlineStr">
        <is>
          <t>HEA05</t>
        </is>
      </c>
      <c r="C432" s="27" t="inlineStr">
        <is>
          <t>Headphones model 5</t>
        </is>
      </c>
      <c r="D432" s="27" t="inlineStr">
        <is>
          <t>Headphones</t>
        </is>
      </c>
      <c r="E432" s="27" t="n">
        <v>13</v>
      </c>
      <c r="F432" s="28" t="n">
        <v>2684.16</v>
      </c>
      <c r="G432" s="28" t="n">
        <v>1755</v>
      </c>
      <c r="H432" s="28" t="n">
        <v>929.16</v>
      </c>
    </row>
    <row r="433">
      <c r="A433" s="26" t="n">
        <v>46215</v>
      </c>
      <c r="B433" s="27" t="inlineStr">
        <is>
          <t>HEA05</t>
        </is>
      </c>
      <c r="C433" s="27" t="inlineStr">
        <is>
          <t>Headphones model 5</t>
        </is>
      </c>
      <c r="D433" s="27" t="inlineStr">
        <is>
          <t>Headphones</t>
        </is>
      </c>
      <c r="E433" s="27" t="n">
        <v>11</v>
      </c>
      <c r="F433" s="28" t="n">
        <v>2189.72</v>
      </c>
      <c r="G433" s="28" t="n">
        <v>1485</v>
      </c>
      <c r="H433" s="28" t="n">
        <v>704.72</v>
      </c>
    </row>
    <row r="434">
      <c r="A434" s="26" t="n">
        <v>46222</v>
      </c>
      <c r="B434" s="27" t="inlineStr">
        <is>
          <t>HEA05</t>
        </is>
      </c>
      <c r="C434" s="27" t="inlineStr">
        <is>
          <t>Headphones model 5</t>
        </is>
      </c>
      <c r="D434" s="27" t="inlineStr">
        <is>
          <t>Headphones</t>
        </is>
      </c>
      <c r="E434" s="27" t="n">
        <v>21</v>
      </c>
      <c r="F434" s="28" t="n">
        <v>4155.39</v>
      </c>
      <c r="G434" s="28" t="n">
        <v>2835</v>
      </c>
      <c r="H434" s="28" t="n">
        <v>1320.39</v>
      </c>
    </row>
    <row r="435">
      <c r="A435" s="26" t="n">
        <v>46229</v>
      </c>
      <c r="B435" s="27" t="inlineStr">
        <is>
          <t>HEA05</t>
        </is>
      </c>
      <c r="C435" s="27" t="inlineStr">
        <is>
          <t>Headphones model 5</t>
        </is>
      </c>
      <c r="D435" s="27" t="inlineStr">
        <is>
          <t>Headphones</t>
        </is>
      </c>
      <c r="E435" s="27" t="n">
        <v>7</v>
      </c>
      <c r="F435" s="28" t="n">
        <v>1433.36</v>
      </c>
      <c r="G435" s="28" t="n">
        <v>945</v>
      </c>
      <c r="H435" s="28" t="n">
        <v>488.36</v>
      </c>
    </row>
    <row r="436">
      <c r="A436" s="26" t="n">
        <v>46236</v>
      </c>
      <c r="B436" s="27" t="inlineStr">
        <is>
          <t>HEA05</t>
        </is>
      </c>
      <c r="C436" s="27" t="inlineStr">
        <is>
          <t>Headphones model 5</t>
        </is>
      </c>
      <c r="D436" s="27" t="inlineStr">
        <is>
          <t>Headphones</t>
        </is>
      </c>
      <c r="E436" s="27" t="n">
        <v>11</v>
      </c>
      <c r="F436" s="28" t="n">
        <v>2268.45</v>
      </c>
      <c r="G436" s="28" t="n">
        <v>1485</v>
      </c>
      <c r="H436" s="28" t="n">
        <v>783.45</v>
      </c>
    </row>
    <row r="437">
      <c r="A437" s="26" t="n">
        <v>46243</v>
      </c>
      <c r="B437" s="27" t="inlineStr">
        <is>
          <t>HEA05</t>
        </is>
      </c>
      <c r="C437" s="27" t="inlineStr">
        <is>
          <t>Headphones model 5</t>
        </is>
      </c>
      <c r="D437" s="27" t="inlineStr">
        <is>
          <t>Headphones</t>
        </is>
      </c>
      <c r="E437" s="27" t="n">
        <v>6</v>
      </c>
      <c r="F437" s="28" t="n">
        <v>1186.51</v>
      </c>
      <c r="G437" s="28" t="n">
        <v>810</v>
      </c>
      <c r="H437" s="28" t="n">
        <v>376.51</v>
      </c>
    </row>
    <row r="438">
      <c r="A438" s="26" t="n">
        <v>46250</v>
      </c>
      <c r="B438" s="27" t="inlineStr">
        <is>
          <t>HEA05</t>
        </is>
      </c>
      <c r="C438" s="27" t="inlineStr">
        <is>
          <t>Headphones model 5</t>
        </is>
      </c>
      <c r="D438" s="27" t="inlineStr">
        <is>
          <t>Headphones</t>
        </is>
      </c>
      <c r="E438" s="27" t="n">
        <v>9</v>
      </c>
      <c r="F438" s="28" t="n">
        <v>1797.78</v>
      </c>
      <c r="G438" s="28" t="n">
        <v>1215</v>
      </c>
      <c r="H438" s="28" t="n">
        <v>582.78</v>
      </c>
    </row>
    <row r="439">
      <c r="A439" s="26" t="n">
        <v>46257</v>
      </c>
      <c r="B439" s="27" t="inlineStr">
        <is>
          <t>HEA05</t>
        </is>
      </c>
      <c r="C439" s="27" t="inlineStr">
        <is>
          <t>Headphones model 5</t>
        </is>
      </c>
      <c r="D439" s="27" t="inlineStr">
        <is>
          <t>Headphones</t>
        </is>
      </c>
      <c r="E439" s="27" t="n">
        <v>14</v>
      </c>
      <c r="F439" s="28" t="n">
        <v>2750.44</v>
      </c>
      <c r="G439" s="28" t="n">
        <v>1890</v>
      </c>
      <c r="H439" s="28" t="n">
        <v>860.4400000000001</v>
      </c>
    </row>
    <row r="440">
      <c r="A440" s="26" t="n">
        <v>46264</v>
      </c>
      <c r="B440" s="27" t="inlineStr">
        <is>
          <t>HEA05</t>
        </is>
      </c>
      <c r="C440" s="27" t="inlineStr">
        <is>
          <t>Headphones model 5</t>
        </is>
      </c>
      <c r="D440" s="27" t="inlineStr">
        <is>
          <t>Headphones</t>
        </is>
      </c>
      <c r="E440" s="27" t="n">
        <v>7</v>
      </c>
      <c r="F440" s="28" t="n">
        <v>1451.52</v>
      </c>
      <c r="G440" s="28" t="n">
        <v>945</v>
      </c>
      <c r="H440" s="28" t="n">
        <v>506.52</v>
      </c>
    </row>
    <row r="441">
      <c r="A441" s="26" t="n">
        <v>46271</v>
      </c>
      <c r="B441" s="27" t="inlineStr">
        <is>
          <t>HEA05</t>
        </is>
      </c>
      <c r="C441" s="27" t="inlineStr">
        <is>
          <t>Headphones model 5</t>
        </is>
      </c>
      <c r="D441" s="27" t="inlineStr">
        <is>
          <t>Headphones</t>
        </is>
      </c>
      <c r="E441" s="27" t="n">
        <v>9</v>
      </c>
      <c r="F441" s="28" t="n">
        <v>1764.09</v>
      </c>
      <c r="G441" s="28" t="n">
        <v>1215</v>
      </c>
      <c r="H441" s="28" t="n">
        <v>549.09</v>
      </c>
    </row>
    <row r="442">
      <c r="A442" s="26" t="n">
        <v>46278</v>
      </c>
      <c r="B442" s="27" t="inlineStr">
        <is>
          <t>HEA05</t>
        </is>
      </c>
      <c r="C442" s="27" t="inlineStr">
        <is>
          <t>Headphones model 5</t>
        </is>
      </c>
      <c r="D442" s="27" t="inlineStr">
        <is>
          <t>Headphones</t>
        </is>
      </c>
      <c r="E442" s="27" t="n">
        <v>10</v>
      </c>
      <c r="F442" s="28" t="n">
        <v>2036.4</v>
      </c>
      <c r="G442" s="28" t="n">
        <v>1350</v>
      </c>
      <c r="H442" s="28" t="n">
        <v>686.4</v>
      </c>
    </row>
    <row r="443">
      <c r="A443" s="26" t="n">
        <v>46285</v>
      </c>
      <c r="B443" s="27" t="inlineStr">
        <is>
          <t>HEA05</t>
        </is>
      </c>
      <c r="C443" s="27" t="inlineStr">
        <is>
          <t>Headphones model 5</t>
        </is>
      </c>
      <c r="D443" s="27" t="inlineStr">
        <is>
          <t>Headphones</t>
        </is>
      </c>
      <c r="E443" s="27" t="n">
        <v>8</v>
      </c>
      <c r="F443" s="28" t="n">
        <v>1569.1</v>
      </c>
      <c r="G443" s="28" t="n">
        <v>1080</v>
      </c>
      <c r="H443" s="28" t="n">
        <v>489.1</v>
      </c>
    </row>
    <row r="444">
      <c r="A444" s="26" t="n">
        <v>46110</v>
      </c>
      <c r="B444" s="27" t="inlineStr">
        <is>
          <t>HEA06</t>
        </is>
      </c>
      <c r="C444" s="27" t="inlineStr">
        <is>
          <t>Headphones model 6</t>
        </is>
      </c>
      <c r="D444" s="27" t="inlineStr">
        <is>
          <t>Headphones</t>
        </is>
      </c>
      <c r="E444" s="27" t="n">
        <v>2</v>
      </c>
      <c r="F444" s="28" t="n">
        <v>457.9</v>
      </c>
      <c r="G444" s="28" t="n">
        <v>292</v>
      </c>
      <c r="H444" s="28" t="n">
        <v>165.9</v>
      </c>
    </row>
    <row r="445">
      <c r="A445" s="26" t="n">
        <v>46117</v>
      </c>
      <c r="B445" s="27" t="inlineStr">
        <is>
          <t>HEA06</t>
        </is>
      </c>
      <c r="C445" s="27" t="inlineStr">
        <is>
          <t>Headphones model 6</t>
        </is>
      </c>
      <c r="D445" s="27" t="inlineStr">
        <is>
          <t>Headphones</t>
        </is>
      </c>
      <c r="E445" s="27" t="n">
        <v>1</v>
      </c>
      <c r="F445" s="28" t="n">
        <v>232.68</v>
      </c>
      <c r="G445" s="28" t="n">
        <v>146</v>
      </c>
      <c r="H445" s="28" t="n">
        <v>86.68000000000001</v>
      </c>
    </row>
    <row r="446">
      <c r="A446" s="26" t="n">
        <v>46124</v>
      </c>
      <c r="B446" s="27" t="inlineStr">
        <is>
          <t>HEA06</t>
        </is>
      </c>
      <c r="C446" s="27" t="inlineStr">
        <is>
          <t>Headphones model 6</t>
        </is>
      </c>
      <c r="D446" s="27" t="inlineStr">
        <is>
          <t>Headphones</t>
        </is>
      </c>
      <c r="E446" s="27" t="n">
        <v>5</v>
      </c>
      <c r="F446" s="28" t="n">
        <v>1151.61</v>
      </c>
      <c r="G446" s="28" t="n">
        <v>730</v>
      </c>
      <c r="H446" s="28" t="n">
        <v>421.61</v>
      </c>
    </row>
    <row r="447">
      <c r="A447" s="26" t="n">
        <v>46131</v>
      </c>
      <c r="B447" s="27" t="inlineStr">
        <is>
          <t>HEA06</t>
        </is>
      </c>
      <c r="C447" s="27" t="inlineStr">
        <is>
          <t>Headphones model 6</t>
        </is>
      </c>
      <c r="D447" s="27" t="inlineStr">
        <is>
          <t>Headphones</t>
        </is>
      </c>
      <c r="E447" s="27" t="n">
        <v>3</v>
      </c>
      <c r="F447" s="28" t="n">
        <v>685.6799999999999</v>
      </c>
      <c r="G447" s="28" t="n">
        <v>438</v>
      </c>
      <c r="H447" s="28" t="n">
        <v>247.68</v>
      </c>
    </row>
    <row r="448">
      <c r="A448" s="26" t="n">
        <v>46138</v>
      </c>
      <c r="B448" s="27" t="inlineStr">
        <is>
          <t>HEA06</t>
        </is>
      </c>
      <c r="C448" s="27" t="inlineStr">
        <is>
          <t>Headphones model 6</t>
        </is>
      </c>
      <c r="D448" s="27" t="inlineStr">
        <is>
          <t>Headphones</t>
        </is>
      </c>
      <c r="E448" s="27" t="n">
        <v>2</v>
      </c>
      <c r="F448" s="28" t="n">
        <v>465.74</v>
      </c>
      <c r="G448" s="28" t="n">
        <v>292</v>
      </c>
      <c r="H448" s="28" t="n">
        <v>173.74</v>
      </c>
    </row>
    <row r="449">
      <c r="A449" s="26" t="n">
        <v>46145</v>
      </c>
      <c r="B449" s="27" t="inlineStr">
        <is>
          <t>HEA06</t>
        </is>
      </c>
      <c r="C449" s="27" t="inlineStr">
        <is>
          <t>Headphones model 6</t>
        </is>
      </c>
      <c r="D449" s="27" t="inlineStr">
        <is>
          <t>Headphones</t>
        </is>
      </c>
      <c r="E449" s="27" t="n">
        <v>2</v>
      </c>
      <c r="F449" s="28" t="n">
        <v>445</v>
      </c>
      <c r="G449" s="28" t="n">
        <v>292</v>
      </c>
      <c r="H449" s="28" t="n">
        <v>153</v>
      </c>
    </row>
    <row r="450">
      <c r="A450" s="26" t="n">
        <v>46152</v>
      </c>
      <c r="B450" s="27" t="inlineStr">
        <is>
          <t>HEA06</t>
        </is>
      </c>
      <c r="C450" s="27" t="inlineStr">
        <is>
          <t>Headphones model 6</t>
        </is>
      </c>
      <c r="D450" s="27" t="inlineStr">
        <is>
          <t>Headphones</t>
        </is>
      </c>
      <c r="E450" s="27" t="n">
        <v>2</v>
      </c>
      <c r="F450" s="28" t="n">
        <v>461.69</v>
      </c>
      <c r="G450" s="28" t="n">
        <v>292</v>
      </c>
      <c r="H450" s="28" t="n">
        <v>169.69</v>
      </c>
    </row>
    <row r="451">
      <c r="A451" s="26" t="n">
        <v>46159</v>
      </c>
      <c r="B451" s="27" t="inlineStr">
        <is>
          <t>HEA06</t>
        </is>
      </c>
      <c r="C451" s="27" t="inlineStr">
        <is>
          <t>Headphones model 6</t>
        </is>
      </c>
      <c r="D451" s="27" t="inlineStr">
        <is>
          <t>Headphones</t>
        </is>
      </c>
      <c r="E451" s="27" t="n">
        <v>4</v>
      </c>
      <c r="F451" s="28" t="n">
        <v>876.36</v>
      </c>
      <c r="G451" s="28" t="n">
        <v>584</v>
      </c>
      <c r="H451" s="28" t="n">
        <v>292.36</v>
      </c>
    </row>
    <row r="452">
      <c r="A452" s="26" t="n">
        <v>46166</v>
      </c>
      <c r="B452" s="27" t="inlineStr">
        <is>
          <t>HEA06</t>
        </is>
      </c>
      <c r="C452" s="27" t="inlineStr">
        <is>
          <t>Headphones model 6</t>
        </is>
      </c>
      <c r="D452" s="27" t="inlineStr">
        <is>
          <t>Headphones</t>
        </is>
      </c>
      <c r="E452" s="27" t="n">
        <v>1</v>
      </c>
      <c r="F452" s="28" t="n">
        <v>227.23</v>
      </c>
      <c r="G452" s="28" t="n">
        <v>146</v>
      </c>
      <c r="H452" s="28" t="n">
        <v>81.23</v>
      </c>
    </row>
    <row r="453">
      <c r="A453" s="26" t="n">
        <v>46173</v>
      </c>
      <c r="B453" s="27" t="inlineStr">
        <is>
          <t>HEA06</t>
        </is>
      </c>
      <c r="C453" s="27" t="inlineStr">
        <is>
          <t>Headphones model 6</t>
        </is>
      </c>
      <c r="D453" s="27" t="inlineStr">
        <is>
          <t>Headphones</t>
        </is>
      </c>
      <c r="E453" s="27" t="n">
        <v>2</v>
      </c>
      <c r="F453" s="28" t="n">
        <v>462.12</v>
      </c>
      <c r="G453" s="28" t="n">
        <v>292</v>
      </c>
      <c r="H453" s="28" t="n">
        <v>170.12</v>
      </c>
    </row>
    <row r="454">
      <c r="A454" s="26" t="n">
        <v>46180</v>
      </c>
      <c r="B454" s="27" t="inlineStr">
        <is>
          <t>HEA06</t>
        </is>
      </c>
      <c r="C454" s="27" t="inlineStr">
        <is>
          <t>Headphones model 6</t>
        </is>
      </c>
      <c r="D454" s="27" t="inlineStr">
        <is>
          <t>Headphones</t>
        </is>
      </c>
      <c r="E454" s="27" t="n">
        <v>1</v>
      </c>
      <c r="F454" s="28" t="n">
        <v>215.89</v>
      </c>
      <c r="G454" s="28" t="n">
        <v>146</v>
      </c>
      <c r="H454" s="28" t="n">
        <v>69.89</v>
      </c>
    </row>
    <row r="455">
      <c r="A455" s="26" t="n">
        <v>46187</v>
      </c>
      <c r="B455" s="27" t="inlineStr">
        <is>
          <t>HEA06</t>
        </is>
      </c>
      <c r="C455" s="27" t="inlineStr">
        <is>
          <t>Headphones model 6</t>
        </is>
      </c>
      <c r="D455" s="27" t="inlineStr">
        <is>
          <t>Headphones</t>
        </is>
      </c>
      <c r="E455" s="27" t="n">
        <v>3</v>
      </c>
      <c r="F455" s="28" t="n">
        <v>657.59</v>
      </c>
      <c r="G455" s="28" t="n">
        <v>438</v>
      </c>
      <c r="H455" s="28" t="n">
        <v>219.59</v>
      </c>
    </row>
    <row r="456">
      <c r="A456" s="26" t="n">
        <v>46194</v>
      </c>
      <c r="B456" s="27" t="inlineStr">
        <is>
          <t>HEA06</t>
        </is>
      </c>
      <c r="C456" s="27" t="inlineStr">
        <is>
          <t>Headphones model 6</t>
        </is>
      </c>
      <c r="D456" s="27" t="inlineStr">
        <is>
          <t>Headphones</t>
        </is>
      </c>
      <c r="E456" s="27" t="n">
        <v>3</v>
      </c>
      <c r="F456" s="28" t="n">
        <v>657.75</v>
      </c>
      <c r="G456" s="28" t="n">
        <v>438</v>
      </c>
      <c r="H456" s="28" t="n">
        <v>219.75</v>
      </c>
    </row>
    <row r="457">
      <c r="A457" s="26" t="n">
        <v>46201</v>
      </c>
      <c r="B457" s="27" t="inlineStr">
        <is>
          <t>HEA06</t>
        </is>
      </c>
      <c r="C457" s="27" t="inlineStr">
        <is>
          <t>Headphones model 6</t>
        </is>
      </c>
      <c r="D457" s="27" t="inlineStr">
        <is>
          <t>Headphones</t>
        </is>
      </c>
      <c r="E457" s="27" t="n">
        <v>2</v>
      </c>
      <c r="F457" s="28" t="n">
        <v>442.58</v>
      </c>
      <c r="G457" s="28" t="n">
        <v>292</v>
      </c>
      <c r="H457" s="28" t="n">
        <v>150.58</v>
      </c>
    </row>
    <row r="458">
      <c r="A458" s="26" t="n">
        <v>46208</v>
      </c>
      <c r="B458" s="27" t="inlineStr">
        <is>
          <t>HEA06</t>
        </is>
      </c>
      <c r="C458" s="27" t="inlineStr">
        <is>
          <t>Headphones model 6</t>
        </is>
      </c>
      <c r="D458" s="27" t="inlineStr">
        <is>
          <t>Headphones</t>
        </is>
      </c>
      <c r="E458" s="27" t="n">
        <v>3</v>
      </c>
      <c r="F458" s="28" t="n">
        <v>665.1799999999999</v>
      </c>
      <c r="G458" s="28" t="n">
        <v>438</v>
      </c>
      <c r="H458" s="28" t="n">
        <v>227.18</v>
      </c>
    </row>
    <row r="459">
      <c r="A459" s="26" t="n">
        <v>46215</v>
      </c>
      <c r="B459" s="27" t="inlineStr">
        <is>
          <t>HEA06</t>
        </is>
      </c>
      <c r="C459" s="27" t="inlineStr">
        <is>
          <t>Headphones model 6</t>
        </is>
      </c>
      <c r="D459" s="27" t="inlineStr">
        <is>
          <t>Headphones</t>
        </is>
      </c>
      <c r="E459" s="27" t="n">
        <v>4</v>
      </c>
      <c r="F459" s="28" t="n">
        <v>866.26</v>
      </c>
      <c r="G459" s="28" t="n">
        <v>584</v>
      </c>
      <c r="H459" s="28" t="n">
        <v>282.26</v>
      </c>
    </row>
    <row r="460">
      <c r="A460" s="26" t="n">
        <v>46222</v>
      </c>
      <c r="B460" s="27" t="inlineStr">
        <is>
          <t>HEA06</t>
        </is>
      </c>
      <c r="C460" s="27" t="inlineStr">
        <is>
          <t>Headphones model 6</t>
        </is>
      </c>
      <c r="D460" s="27" t="inlineStr">
        <is>
          <t>Headphones</t>
        </is>
      </c>
      <c r="E460" s="27" t="n">
        <v>3</v>
      </c>
      <c r="F460" s="28" t="n">
        <v>670.13</v>
      </c>
      <c r="G460" s="28" t="n">
        <v>438</v>
      </c>
      <c r="H460" s="28" t="n">
        <v>232.13</v>
      </c>
    </row>
    <row r="461">
      <c r="A461" s="26" t="n">
        <v>46229</v>
      </c>
      <c r="B461" s="27" t="inlineStr">
        <is>
          <t>HEA06</t>
        </is>
      </c>
      <c r="C461" s="27" t="inlineStr">
        <is>
          <t>Headphones model 6</t>
        </is>
      </c>
      <c r="D461" s="27" t="inlineStr">
        <is>
          <t>Headphones</t>
        </is>
      </c>
      <c r="E461" s="27" t="n">
        <v>9</v>
      </c>
      <c r="F461" s="28" t="n">
        <v>1936.8</v>
      </c>
      <c r="G461" s="28" t="n">
        <v>1314</v>
      </c>
      <c r="H461" s="28" t="n">
        <v>622.8</v>
      </c>
    </row>
    <row r="462">
      <c r="A462" s="26" t="n">
        <v>46236</v>
      </c>
      <c r="B462" s="27" t="inlineStr">
        <is>
          <t>HEA06</t>
        </is>
      </c>
      <c r="C462" s="27" t="inlineStr">
        <is>
          <t>Headphones model 6</t>
        </is>
      </c>
      <c r="D462" s="27" t="inlineStr">
        <is>
          <t>Headphones</t>
        </is>
      </c>
      <c r="E462" s="27" t="n">
        <v>1</v>
      </c>
      <c r="F462" s="28" t="n">
        <v>227.8</v>
      </c>
      <c r="G462" s="28" t="n">
        <v>146</v>
      </c>
      <c r="H462" s="28" t="n">
        <v>81.8</v>
      </c>
    </row>
    <row r="463">
      <c r="A463" s="26" t="n">
        <v>46243</v>
      </c>
      <c r="B463" s="27" t="inlineStr">
        <is>
          <t>HEA06</t>
        </is>
      </c>
      <c r="C463" s="27" t="inlineStr">
        <is>
          <t>Headphones model 6</t>
        </is>
      </c>
      <c r="D463" s="27" t="inlineStr">
        <is>
          <t>Headphones</t>
        </is>
      </c>
      <c r="E463" s="27" t="n">
        <v>3</v>
      </c>
      <c r="F463" s="28" t="n">
        <v>658.99</v>
      </c>
      <c r="G463" s="28" t="n">
        <v>438</v>
      </c>
      <c r="H463" s="28" t="n">
        <v>220.99</v>
      </c>
    </row>
    <row r="464">
      <c r="A464" s="26" t="n">
        <v>46250</v>
      </c>
      <c r="B464" s="27" t="inlineStr">
        <is>
          <t>HEA06</t>
        </is>
      </c>
      <c r="C464" s="27" t="inlineStr">
        <is>
          <t>Headphones model 6</t>
        </is>
      </c>
      <c r="D464" s="27" t="inlineStr">
        <is>
          <t>Headphones</t>
        </is>
      </c>
      <c r="E464" s="27" t="n">
        <v>2</v>
      </c>
      <c r="F464" s="28" t="n">
        <v>445.08</v>
      </c>
      <c r="G464" s="28" t="n">
        <v>292</v>
      </c>
      <c r="H464" s="28" t="n">
        <v>153.08</v>
      </c>
    </row>
    <row r="465">
      <c r="A465" s="26" t="n">
        <v>46257</v>
      </c>
      <c r="B465" s="27" t="inlineStr">
        <is>
          <t>HEA06</t>
        </is>
      </c>
      <c r="C465" s="27" t="inlineStr">
        <is>
          <t>Headphones model 6</t>
        </is>
      </c>
      <c r="D465" s="27" t="inlineStr">
        <is>
          <t>Headphones</t>
        </is>
      </c>
      <c r="E465" s="27" t="n">
        <v>1</v>
      </c>
      <c r="F465" s="28" t="n">
        <v>216.81</v>
      </c>
      <c r="G465" s="28" t="n">
        <v>146</v>
      </c>
      <c r="H465" s="28" t="n">
        <v>70.81</v>
      </c>
    </row>
    <row r="466">
      <c r="A466" s="26" t="n">
        <v>46264</v>
      </c>
      <c r="B466" s="27" t="inlineStr">
        <is>
          <t>HEA06</t>
        </is>
      </c>
      <c r="C466" s="27" t="inlineStr">
        <is>
          <t>Headphones model 6</t>
        </is>
      </c>
      <c r="D466" s="27" t="inlineStr">
        <is>
          <t>Headphones</t>
        </is>
      </c>
      <c r="E466" s="27" t="n">
        <v>3</v>
      </c>
      <c r="F466" s="28" t="n">
        <v>675.99</v>
      </c>
      <c r="G466" s="28" t="n">
        <v>438</v>
      </c>
      <c r="H466" s="28" t="n">
        <v>237.99</v>
      </c>
    </row>
    <row r="467">
      <c r="A467" s="26" t="n">
        <v>46271</v>
      </c>
      <c r="B467" s="27" t="inlineStr">
        <is>
          <t>HEA06</t>
        </is>
      </c>
      <c r="C467" s="27" t="inlineStr">
        <is>
          <t>Headphones model 6</t>
        </is>
      </c>
      <c r="D467" s="27" t="inlineStr">
        <is>
          <t>Headphones</t>
        </is>
      </c>
      <c r="E467" s="27" t="n">
        <v>5</v>
      </c>
      <c r="F467" s="28" t="n">
        <v>1071.73</v>
      </c>
      <c r="G467" s="28" t="n">
        <v>730</v>
      </c>
      <c r="H467" s="28" t="n">
        <v>341.73</v>
      </c>
    </row>
    <row r="468">
      <c r="A468" s="26" t="n">
        <v>46278</v>
      </c>
      <c r="B468" s="27" t="inlineStr">
        <is>
          <t>HEA06</t>
        </is>
      </c>
      <c r="C468" s="27" t="inlineStr">
        <is>
          <t>Headphones model 6</t>
        </is>
      </c>
      <c r="D468" s="27" t="inlineStr">
        <is>
          <t>Headphones</t>
        </is>
      </c>
      <c r="E468" s="27" t="n">
        <v>4</v>
      </c>
      <c r="F468" s="28" t="n">
        <v>906.4299999999999</v>
      </c>
      <c r="G468" s="28" t="n">
        <v>584</v>
      </c>
      <c r="H468" s="28" t="n">
        <v>322.43</v>
      </c>
    </row>
    <row r="469">
      <c r="A469" s="26" t="n">
        <v>46285</v>
      </c>
      <c r="B469" s="27" t="inlineStr">
        <is>
          <t>HEA06</t>
        </is>
      </c>
      <c r="C469" s="27" t="inlineStr">
        <is>
          <t>Headphones model 6</t>
        </is>
      </c>
      <c r="D469" s="27" t="inlineStr">
        <is>
          <t>Headphones</t>
        </is>
      </c>
      <c r="E469" s="27" t="n">
        <v>3</v>
      </c>
      <c r="F469" s="28" t="n">
        <v>670.35</v>
      </c>
      <c r="G469" s="28" t="n">
        <v>438</v>
      </c>
      <c r="H469" s="28" t="n">
        <v>232.35</v>
      </c>
    </row>
    <row r="470">
      <c r="A470" s="26" t="n">
        <v>46110</v>
      </c>
      <c r="B470" s="27" t="inlineStr">
        <is>
          <t>SMA01</t>
        </is>
      </c>
      <c r="C470" s="27" t="inlineStr">
        <is>
          <t>Smartphone model 1</t>
        </is>
      </c>
      <c r="D470" s="27" t="inlineStr">
        <is>
          <t>Smartphone</t>
        </is>
      </c>
      <c r="E470" s="27" t="n">
        <v>11</v>
      </c>
      <c r="F470" s="28" t="n">
        <v>11698.16</v>
      </c>
      <c r="G470" s="28" t="n">
        <v>10461</v>
      </c>
      <c r="H470" s="28" t="n">
        <v>1237.16</v>
      </c>
    </row>
    <row r="471">
      <c r="A471" s="26" t="n">
        <v>46117</v>
      </c>
      <c r="B471" s="27" t="inlineStr">
        <is>
          <t>SMA01</t>
        </is>
      </c>
      <c r="C471" s="27" t="inlineStr">
        <is>
          <t>Smartphone model 1</t>
        </is>
      </c>
      <c r="D471" s="27" t="inlineStr">
        <is>
          <t>Smartphone</t>
        </is>
      </c>
      <c r="E471" s="27" t="n">
        <v>12</v>
      </c>
      <c r="F471" s="28" t="n">
        <v>13204.31</v>
      </c>
      <c r="G471" s="28" t="n">
        <v>11412</v>
      </c>
      <c r="H471" s="28" t="n">
        <v>1792.31</v>
      </c>
    </row>
    <row r="472">
      <c r="A472" s="26" t="n">
        <v>46124</v>
      </c>
      <c r="B472" s="27" t="inlineStr">
        <is>
          <t>SMA01</t>
        </is>
      </c>
      <c r="C472" s="27" t="inlineStr">
        <is>
          <t>Smartphone model 1</t>
        </is>
      </c>
      <c r="D472" s="27" t="inlineStr">
        <is>
          <t>Smartphone</t>
        </is>
      </c>
      <c r="E472" s="27" t="n">
        <v>14</v>
      </c>
      <c r="F472" s="28" t="n">
        <v>14813.51</v>
      </c>
      <c r="G472" s="28" t="n">
        <v>13314</v>
      </c>
      <c r="H472" s="28" t="n">
        <v>1499.51</v>
      </c>
    </row>
    <row r="473">
      <c r="A473" s="26" t="n">
        <v>46131</v>
      </c>
      <c r="B473" s="27" t="inlineStr">
        <is>
          <t>SMA01</t>
        </is>
      </c>
      <c r="C473" s="27" t="inlineStr">
        <is>
          <t>Smartphone model 1</t>
        </is>
      </c>
      <c r="D473" s="27" t="inlineStr">
        <is>
          <t>Smartphone</t>
        </is>
      </c>
      <c r="E473" s="27" t="n">
        <v>19</v>
      </c>
      <c r="F473" s="28" t="n">
        <v>19926.85</v>
      </c>
      <c r="G473" s="28" t="n">
        <v>18069</v>
      </c>
      <c r="H473" s="28" t="n">
        <v>1857.85</v>
      </c>
    </row>
    <row r="474">
      <c r="A474" s="26" t="n">
        <v>46138</v>
      </c>
      <c r="B474" s="27" t="inlineStr">
        <is>
          <t>SMA01</t>
        </is>
      </c>
      <c r="C474" s="27" t="inlineStr">
        <is>
          <t>Smartphone model 1</t>
        </is>
      </c>
      <c r="D474" s="27" t="inlineStr">
        <is>
          <t>Smartphone</t>
        </is>
      </c>
      <c r="E474" s="27" t="n">
        <v>12</v>
      </c>
      <c r="F474" s="28" t="n">
        <v>12499.54</v>
      </c>
      <c r="G474" s="28" t="n">
        <v>11412</v>
      </c>
      <c r="H474" s="28" t="n">
        <v>1087.54</v>
      </c>
    </row>
    <row r="475">
      <c r="A475" s="26" t="n">
        <v>46145</v>
      </c>
      <c r="B475" s="27" t="inlineStr">
        <is>
          <t>SMA01</t>
        </is>
      </c>
      <c r="C475" s="27" t="inlineStr">
        <is>
          <t>Smartphone model 1</t>
        </is>
      </c>
      <c r="D475" s="27" t="inlineStr">
        <is>
          <t>Smartphone</t>
        </is>
      </c>
      <c r="E475" s="27" t="n">
        <v>12</v>
      </c>
      <c r="F475" s="28" t="n">
        <v>13308.48</v>
      </c>
      <c r="G475" s="28" t="n">
        <v>11412</v>
      </c>
      <c r="H475" s="28" t="n">
        <v>1896.48</v>
      </c>
    </row>
    <row r="476">
      <c r="A476" s="26" t="n">
        <v>46152</v>
      </c>
      <c r="B476" s="27" t="inlineStr">
        <is>
          <t>SMA01</t>
        </is>
      </c>
      <c r="C476" s="27" t="inlineStr">
        <is>
          <t>Smartphone model 1</t>
        </is>
      </c>
      <c r="D476" s="27" t="inlineStr">
        <is>
          <t>Smartphone</t>
        </is>
      </c>
      <c r="E476" s="27" t="n">
        <v>9</v>
      </c>
      <c r="F476" s="28" t="n">
        <v>9789.940000000001</v>
      </c>
      <c r="G476" s="28" t="n">
        <v>8559</v>
      </c>
      <c r="H476" s="28" t="n">
        <v>1230.94</v>
      </c>
    </row>
    <row r="477">
      <c r="A477" s="26" t="n">
        <v>46159</v>
      </c>
      <c r="B477" s="27" t="inlineStr">
        <is>
          <t>SMA01</t>
        </is>
      </c>
      <c r="C477" s="27" t="inlineStr">
        <is>
          <t>Smartphone model 1</t>
        </is>
      </c>
      <c r="D477" s="27" t="inlineStr">
        <is>
          <t>Smartphone</t>
        </is>
      </c>
      <c r="E477" s="27" t="n">
        <v>9</v>
      </c>
      <c r="F477" s="28" t="n">
        <v>9297.860000000001</v>
      </c>
      <c r="G477" s="28" t="n">
        <v>8559</v>
      </c>
      <c r="H477" s="28" t="n">
        <v>738.86</v>
      </c>
    </row>
    <row r="478">
      <c r="A478" s="26" t="n">
        <v>46166</v>
      </c>
      <c r="B478" s="27" t="inlineStr">
        <is>
          <t>SMA01</t>
        </is>
      </c>
      <c r="C478" s="27" t="inlineStr">
        <is>
          <t>Smartphone model 1</t>
        </is>
      </c>
      <c r="D478" s="27" t="inlineStr">
        <is>
          <t>Smartphone</t>
        </is>
      </c>
      <c r="E478" s="27" t="n">
        <v>9</v>
      </c>
      <c r="F478" s="28" t="n">
        <v>9347.120000000001</v>
      </c>
      <c r="G478" s="28" t="n">
        <v>8559</v>
      </c>
      <c r="H478" s="28" t="n">
        <v>788.12</v>
      </c>
    </row>
    <row r="479">
      <c r="A479" s="26" t="n">
        <v>46173</v>
      </c>
      <c r="B479" s="27" t="inlineStr">
        <is>
          <t>SMA01</t>
        </is>
      </c>
      <c r="C479" s="27" t="inlineStr">
        <is>
          <t>Smartphone model 1</t>
        </is>
      </c>
      <c r="D479" s="27" t="inlineStr">
        <is>
          <t>Smartphone</t>
        </is>
      </c>
      <c r="E479" s="27" t="n">
        <v>11</v>
      </c>
      <c r="F479" s="28" t="n">
        <v>11721.58</v>
      </c>
      <c r="G479" s="28" t="n">
        <v>10461</v>
      </c>
      <c r="H479" s="28" t="n">
        <v>1260.58</v>
      </c>
    </row>
    <row r="480">
      <c r="A480" s="26" t="n">
        <v>46180</v>
      </c>
      <c r="B480" s="27" t="inlineStr">
        <is>
          <t>SMA01</t>
        </is>
      </c>
      <c r="C480" s="27" t="inlineStr">
        <is>
          <t>Smartphone model 1</t>
        </is>
      </c>
      <c r="D480" s="27" t="inlineStr">
        <is>
          <t>Smartphone</t>
        </is>
      </c>
      <c r="E480" s="27" t="n">
        <v>16</v>
      </c>
      <c r="F480" s="28" t="n">
        <v>16201.52</v>
      </c>
      <c r="G480" s="28" t="n">
        <v>15216</v>
      </c>
      <c r="H480" s="28" t="n">
        <v>985.52</v>
      </c>
    </row>
    <row r="481">
      <c r="A481" s="26" t="n">
        <v>46187</v>
      </c>
      <c r="B481" s="27" t="inlineStr">
        <is>
          <t>SMA01</t>
        </is>
      </c>
      <c r="C481" s="27" t="inlineStr">
        <is>
          <t>Smartphone model 1</t>
        </is>
      </c>
      <c r="D481" s="27" t="inlineStr">
        <is>
          <t>Smartphone</t>
        </is>
      </c>
      <c r="E481" s="27" t="n">
        <v>19</v>
      </c>
      <c r="F481" s="28" t="n">
        <v>19615.97</v>
      </c>
      <c r="G481" s="28" t="n">
        <v>18069</v>
      </c>
      <c r="H481" s="28" t="n">
        <v>1546.97</v>
      </c>
    </row>
    <row r="482">
      <c r="A482" s="26" t="n">
        <v>46194</v>
      </c>
      <c r="B482" s="27" t="inlineStr">
        <is>
          <t>SMA01</t>
        </is>
      </c>
      <c r="C482" s="27" t="inlineStr">
        <is>
          <t>Smartphone model 1</t>
        </is>
      </c>
      <c r="D482" s="27" t="inlineStr">
        <is>
          <t>Smartphone</t>
        </is>
      </c>
      <c r="E482" s="27" t="n">
        <v>11</v>
      </c>
      <c r="F482" s="28" t="n">
        <v>11305.72</v>
      </c>
      <c r="G482" s="28" t="n">
        <v>10461</v>
      </c>
      <c r="H482" s="28" t="n">
        <v>844.72</v>
      </c>
    </row>
    <row r="483">
      <c r="A483" s="26" t="n">
        <v>46201</v>
      </c>
      <c r="B483" s="27" t="inlineStr">
        <is>
          <t>SMA01</t>
        </is>
      </c>
      <c r="C483" s="27" t="inlineStr">
        <is>
          <t>Smartphone model 1</t>
        </is>
      </c>
      <c r="D483" s="27" t="inlineStr">
        <is>
          <t>Smartphone</t>
        </is>
      </c>
      <c r="E483" s="27" t="n">
        <v>10</v>
      </c>
      <c r="F483" s="28" t="n">
        <v>10321.15</v>
      </c>
      <c r="G483" s="28" t="n">
        <v>9510</v>
      </c>
      <c r="H483" s="28" t="n">
        <v>811.15</v>
      </c>
    </row>
    <row r="484">
      <c r="A484" s="26" t="n">
        <v>46208</v>
      </c>
      <c r="B484" s="27" t="inlineStr">
        <is>
          <t>SMA01</t>
        </is>
      </c>
      <c r="C484" s="27" t="inlineStr">
        <is>
          <t>Smartphone model 1</t>
        </is>
      </c>
      <c r="D484" s="27" t="inlineStr">
        <is>
          <t>Smartphone</t>
        </is>
      </c>
      <c r="E484" s="27" t="n">
        <v>8</v>
      </c>
      <c r="F484" s="28" t="n">
        <v>8178.78</v>
      </c>
      <c r="G484" s="28" t="n">
        <v>7608</v>
      </c>
      <c r="H484" s="28" t="n">
        <v>570.78</v>
      </c>
    </row>
    <row r="485">
      <c r="A485" s="26" t="n">
        <v>46215</v>
      </c>
      <c r="B485" s="27" t="inlineStr">
        <is>
          <t>SMA01</t>
        </is>
      </c>
      <c r="C485" s="27" t="inlineStr">
        <is>
          <t>Smartphone model 1</t>
        </is>
      </c>
      <c r="D485" s="27" t="inlineStr">
        <is>
          <t>Smartphone</t>
        </is>
      </c>
      <c r="E485" s="27" t="n">
        <v>8</v>
      </c>
      <c r="F485" s="28" t="n">
        <v>8220.08</v>
      </c>
      <c r="G485" s="28" t="n">
        <v>7608</v>
      </c>
      <c r="H485" s="28" t="n">
        <v>612.08</v>
      </c>
    </row>
    <row r="486">
      <c r="A486" s="26" t="n">
        <v>46222</v>
      </c>
      <c r="B486" s="27" t="inlineStr">
        <is>
          <t>SMA01</t>
        </is>
      </c>
      <c r="C486" s="27" t="inlineStr">
        <is>
          <t>Smartphone model 1</t>
        </is>
      </c>
      <c r="D486" s="27" t="inlineStr">
        <is>
          <t>Smartphone</t>
        </is>
      </c>
      <c r="E486" s="27" t="n">
        <v>9</v>
      </c>
      <c r="F486" s="28" t="n">
        <v>9408.65</v>
      </c>
      <c r="G486" s="28" t="n">
        <v>8559</v>
      </c>
      <c r="H486" s="28" t="n">
        <v>849.65</v>
      </c>
    </row>
    <row r="487">
      <c r="A487" s="26" t="n">
        <v>46229</v>
      </c>
      <c r="B487" s="27" t="inlineStr">
        <is>
          <t>SMA01</t>
        </is>
      </c>
      <c r="C487" s="27" t="inlineStr">
        <is>
          <t>Smartphone model 1</t>
        </is>
      </c>
      <c r="D487" s="27" t="inlineStr">
        <is>
          <t>Smartphone</t>
        </is>
      </c>
      <c r="E487" s="27" t="n">
        <v>12</v>
      </c>
      <c r="F487" s="28" t="n">
        <v>12601.2</v>
      </c>
      <c r="G487" s="28" t="n">
        <v>11412</v>
      </c>
      <c r="H487" s="28" t="n">
        <v>1189.2</v>
      </c>
    </row>
    <row r="488">
      <c r="A488" s="26" t="n">
        <v>46236</v>
      </c>
      <c r="B488" s="27" t="inlineStr">
        <is>
          <t>SMA01</t>
        </is>
      </c>
      <c r="C488" s="27" t="inlineStr">
        <is>
          <t>Smartphone model 1</t>
        </is>
      </c>
      <c r="D488" s="27" t="inlineStr">
        <is>
          <t>Smartphone</t>
        </is>
      </c>
      <c r="E488" s="27" t="n">
        <v>9</v>
      </c>
      <c r="F488" s="28" t="n">
        <v>9348.5</v>
      </c>
      <c r="G488" s="28" t="n">
        <v>8559</v>
      </c>
      <c r="H488" s="28" t="n">
        <v>789.5</v>
      </c>
    </row>
    <row r="489">
      <c r="A489" s="26" t="n">
        <v>46243</v>
      </c>
      <c r="B489" s="27" t="inlineStr">
        <is>
          <t>SMA01</t>
        </is>
      </c>
      <c r="C489" s="27" t="inlineStr">
        <is>
          <t>Smartphone model 1</t>
        </is>
      </c>
      <c r="D489" s="27" t="inlineStr">
        <is>
          <t>Smartphone</t>
        </is>
      </c>
      <c r="E489" s="27" t="n">
        <v>15</v>
      </c>
      <c r="F489" s="28" t="n">
        <v>15140.32</v>
      </c>
      <c r="G489" s="28" t="n">
        <v>14265</v>
      </c>
      <c r="H489" s="28" t="n">
        <v>875.3200000000001</v>
      </c>
    </row>
    <row r="490">
      <c r="A490" s="26" t="n">
        <v>46250</v>
      </c>
      <c r="B490" s="27" t="inlineStr">
        <is>
          <t>SMA01</t>
        </is>
      </c>
      <c r="C490" s="27" t="inlineStr">
        <is>
          <t>Smartphone model 1</t>
        </is>
      </c>
      <c r="D490" s="27" t="inlineStr">
        <is>
          <t>Smartphone</t>
        </is>
      </c>
      <c r="E490" s="27" t="n">
        <v>13</v>
      </c>
      <c r="F490" s="28" t="n">
        <v>13102.06</v>
      </c>
      <c r="G490" s="28" t="n">
        <v>12363</v>
      </c>
      <c r="H490" s="28" t="n">
        <v>739.0599999999999</v>
      </c>
    </row>
    <row r="491">
      <c r="A491" s="26" t="n">
        <v>46257</v>
      </c>
      <c r="B491" s="27" t="inlineStr">
        <is>
          <t>SMA01</t>
        </is>
      </c>
      <c r="C491" s="27" t="inlineStr">
        <is>
          <t>Smartphone model 1</t>
        </is>
      </c>
      <c r="D491" s="27" t="inlineStr">
        <is>
          <t>Smartphone</t>
        </is>
      </c>
      <c r="E491" s="27" t="n">
        <v>6</v>
      </c>
      <c r="F491" s="28" t="n">
        <v>5934.54</v>
      </c>
      <c r="G491" s="28" t="n">
        <v>5706</v>
      </c>
      <c r="H491" s="28" t="n">
        <v>228.54</v>
      </c>
    </row>
    <row r="492">
      <c r="A492" s="26" t="n">
        <v>46264</v>
      </c>
      <c r="B492" s="27" t="inlineStr">
        <is>
          <t>SMA01</t>
        </is>
      </c>
      <c r="C492" s="27" t="inlineStr">
        <is>
          <t>Smartphone model 1</t>
        </is>
      </c>
      <c r="D492" s="27" t="inlineStr">
        <is>
          <t>Smartphone</t>
        </is>
      </c>
      <c r="E492" s="27" t="n">
        <v>8</v>
      </c>
      <c r="F492" s="28" t="n">
        <v>8160.85</v>
      </c>
      <c r="G492" s="28" t="n">
        <v>7608</v>
      </c>
      <c r="H492" s="28" t="n">
        <v>552.85</v>
      </c>
    </row>
    <row r="493">
      <c r="A493" s="26" t="n">
        <v>46271</v>
      </c>
      <c r="B493" s="27" t="inlineStr">
        <is>
          <t>SMA01</t>
        </is>
      </c>
      <c r="C493" s="27" t="inlineStr">
        <is>
          <t>Smartphone model 1</t>
        </is>
      </c>
      <c r="D493" s="27" t="inlineStr">
        <is>
          <t>Smartphone</t>
        </is>
      </c>
      <c r="E493" s="27" t="n">
        <v>10</v>
      </c>
      <c r="F493" s="28" t="n">
        <v>9635.26</v>
      </c>
      <c r="G493" s="28" t="n">
        <v>9510</v>
      </c>
      <c r="H493" s="28" t="n">
        <v>125.26</v>
      </c>
    </row>
    <row r="494">
      <c r="A494" s="26" t="n">
        <v>46278</v>
      </c>
      <c r="B494" s="27" t="inlineStr">
        <is>
          <t>SMA01</t>
        </is>
      </c>
      <c r="C494" s="27" t="inlineStr">
        <is>
          <t>Smartphone model 1</t>
        </is>
      </c>
      <c r="D494" s="27" t="inlineStr">
        <is>
          <t>Smartphone</t>
        </is>
      </c>
      <c r="E494" s="27" t="n">
        <v>8</v>
      </c>
      <c r="F494" s="28" t="n">
        <v>7990.79</v>
      </c>
      <c r="G494" s="28" t="n">
        <v>7608</v>
      </c>
      <c r="H494" s="28" t="n">
        <v>382.79</v>
      </c>
    </row>
    <row r="495">
      <c r="A495" s="26" t="n">
        <v>46285</v>
      </c>
      <c r="B495" s="27" t="inlineStr">
        <is>
          <t>SMA01</t>
        </is>
      </c>
      <c r="C495" s="27" t="inlineStr">
        <is>
          <t>Smartphone model 1</t>
        </is>
      </c>
      <c r="D495" s="27" t="inlineStr">
        <is>
          <t>Smartphone</t>
        </is>
      </c>
      <c r="E495" s="27" t="n">
        <v>5</v>
      </c>
      <c r="F495" s="28" t="n">
        <v>4893.79</v>
      </c>
      <c r="G495" s="28" t="n">
        <v>4755</v>
      </c>
      <c r="H495" s="28" t="n">
        <v>138.79</v>
      </c>
    </row>
    <row r="496">
      <c r="A496" s="26" t="n">
        <v>46110</v>
      </c>
      <c r="B496" s="27" t="inlineStr">
        <is>
          <t>SMA02</t>
        </is>
      </c>
      <c r="C496" s="27" t="inlineStr">
        <is>
          <t>Smartphone model 2</t>
        </is>
      </c>
      <c r="D496" s="27" t="inlineStr">
        <is>
          <t>Smartphone</t>
        </is>
      </c>
      <c r="E496" s="27" t="n">
        <v>9</v>
      </c>
      <c r="F496" s="28" t="n">
        <v>9924.129999999999</v>
      </c>
      <c r="G496" s="28" t="n">
        <v>8757</v>
      </c>
      <c r="H496" s="28" t="n">
        <v>1167.13</v>
      </c>
    </row>
    <row r="497">
      <c r="A497" s="26" t="n">
        <v>46117</v>
      </c>
      <c r="B497" s="27" t="inlineStr">
        <is>
          <t>SMA02</t>
        </is>
      </c>
      <c r="C497" s="27" t="inlineStr">
        <is>
          <t>Smartphone model 2</t>
        </is>
      </c>
      <c r="D497" s="27" t="inlineStr">
        <is>
          <t>Smartphone</t>
        </is>
      </c>
      <c r="E497" s="27" t="n">
        <v>9</v>
      </c>
      <c r="F497" s="28" t="n">
        <v>10154.42</v>
      </c>
      <c r="G497" s="28" t="n">
        <v>8757</v>
      </c>
      <c r="H497" s="28" t="n">
        <v>1397.42</v>
      </c>
    </row>
    <row r="498">
      <c r="A498" s="26" t="n">
        <v>46124</v>
      </c>
      <c r="B498" s="27" t="inlineStr">
        <is>
          <t>SMA02</t>
        </is>
      </c>
      <c r="C498" s="27" t="inlineStr">
        <is>
          <t>Smartphone model 2</t>
        </is>
      </c>
      <c r="D498" s="27" t="inlineStr">
        <is>
          <t>Smartphone</t>
        </is>
      </c>
      <c r="E498" s="27" t="n">
        <v>10</v>
      </c>
      <c r="F498" s="28" t="n">
        <v>10693.96</v>
      </c>
      <c r="G498" s="28" t="n">
        <v>9730</v>
      </c>
      <c r="H498" s="28" t="n">
        <v>963.96</v>
      </c>
    </row>
    <row r="499">
      <c r="A499" s="26" t="n">
        <v>46131</v>
      </c>
      <c r="B499" s="27" t="inlineStr">
        <is>
          <t>SMA02</t>
        </is>
      </c>
      <c r="C499" s="27" t="inlineStr">
        <is>
          <t>Smartphone model 2</t>
        </is>
      </c>
      <c r="D499" s="27" t="inlineStr">
        <is>
          <t>Smartphone</t>
        </is>
      </c>
      <c r="E499" s="27" t="n">
        <v>4</v>
      </c>
      <c r="F499" s="28" t="n">
        <v>4550.54</v>
      </c>
      <c r="G499" s="28" t="n">
        <v>3892</v>
      </c>
      <c r="H499" s="28" t="n">
        <v>658.54</v>
      </c>
    </row>
    <row r="500">
      <c r="A500" s="26" t="n">
        <v>46138</v>
      </c>
      <c r="B500" s="27" t="inlineStr">
        <is>
          <t>SMA02</t>
        </is>
      </c>
      <c r="C500" s="27" t="inlineStr">
        <is>
          <t>Smartphone model 2</t>
        </is>
      </c>
      <c r="D500" s="27" t="inlineStr">
        <is>
          <t>Smartphone</t>
        </is>
      </c>
      <c r="E500" s="27" t="n">
        <v>10</v>
      </c>
      <c r="F500" s="28" t="n">
        <v>11156.25</v>
      </c>
      <c r="G500" s="28" t="n">
        <v>9730</v>
      </c>
      <c r="H500" s="28" t="n">
        <v>1426.25</v>
      </c>
    </row>
    <row r="501">
      <c r="A501" s="26" t="n">
        <v>46145</v>
      </c>
      <c r="B501" s="27" t="inlineStr">
        <is>
          <t>SMA02</t>
        </is>
      </c>
      <c r="C501" s="27" t="inlineStr">
        <is>
          <t>Smartphone model 2</t>
        </is>
      </c>
      <c r="D501" s="27" t="inlineStr">
        <is>
          <t>Smartphone</t>
        </is>
      </c>
      <c r="E501" s="27" t="n">
        <v>5</v>
      </c>
      <c r="F501" s="28" t="n">
        <v>5411.13</v>
      </c>
      <c r="G501" s="28" t="n">
        <v>4865</v>
      </c>
      <c r="H501" s="28" t="n">
        <v>546.13</v>
      </c>
    </row>
    <row r="502">
      <c r="A502" s="26" t="n">
        <v>46152</v>
      </c>
      <c r="B502" s="27" t="inlineStr">
        <is>
          <t>SMA02</t>
        </is>
      </c>
      <c r="C502" s="27" t="inlineStr">
        <is>
          <t>Smartphone model 2</t>
        </is>
      </c>
      <c r="D502" s="27" t="inlineStr">
        <is>
          <t>Smartphone</t>
        </is>
      </c>
      <c r="E502" s="27" t="n">
        <v>10</v>
      </c>
      <c r="F502" s="28" t="n">
        <v>10581.92</v>
      </c>
      <c r="G502" s="28" t="n">
        <v>9730</v>
      </c>
      <c r="H502" s="28" t="n">
        <v>851.92</v>
      </c>
    </row>
    <row r="503">
      <c r="A503" s="26" t="n">
        <v>46159</v>
      </c>
      <c r="B503" s="27" t="inlineStr">
        <is>
          <t>SMA02</t>
        </is>
      </c>
      <c r="C503" s="27" t="inlineStr">
        <is>
          <t>Smartphone model 2</t>
        </is>
      </c>
      <c r="D503" s="27" t="inlineStr">
        <is>
          <t>Smartphone</t>
        </is>
      </c>
      <c r="E503" s="27" t="n">
        <v>16</v>
      </c>
      <c r="F503" s="28" t="n">
        <v>17217.57</v>
      </c>
      <c r="G503" s="28" t="n">
        <v>15568</v>
      </c>
      <c r="H503" s="28" t="n">
        <v>1649.57</v>
      </c>
    </row>
    <row r="504">
      <c r="A504" s="26" t="n">
        <v>46166</v>
      </c>
      <c r="B504" s="27" t="inlineStr">
        <is>
          <t>SMA02</t>
        </is>
      </c>
      <c r="C504" s="27" t="inlineStr">
        <is>
          <t>Smartphone model 2</t>
        </is>
      </c>
      <c r="D504" s="27" t="inlineStr">
        <is>
          <t>Smartphone</t>
        </is>
      </c>
      <c r="E504" s="27" t="n">
        <v>12</v>
      </c>
      <c r="F504" s="28" t="n">
        <v>13186.62</v>
      </c>
      <c r="G504" s="28" t="n">
        <v>11676</v>
      </c>
      <c r="H504" s="28" t="n">
        <v>1510.62</v>
      </c>
    </row>
    <row r="505">
      <c r="A505" s="26" t="n">
        <v>46173</v>
      </c>
      <c r="B505" s="27" t="inlineStr">
        <is>
          <t>SMA02</t>
        </is>
      </c>
      <c r="C505" s="27" t="inlineStr">
        <is>
          <t>Smartphone model 2</t>
        </is>
      </c>
      <c r="D505" s="27" t="inlineStr">
        <is>
          <t>Smartphone</t>
        </is>
      </c>
      <c r="E505" s="27" t="n">
        <v>11</v>
      </c>
      <c r="F505" s="28" t="n">
        <v>11953.08</v>
      </c>
      <c r="G505" s="28" t="n">
        <v>10703</v>
      </c>
      <c r="H505" s="28" t="n">
        <v>1250.08</v>
      </c>
    </row>
    <row r="506">
      <c r="A506" s="26" t="n">
        <v>46180</v>
      </c>
      <c r="B506" s="27" t="inlineStr">
        <is>
          <t>SMA02</t>
        </is>
      </c>
      <c r="C506" s="27" t="inlineStr">
        <is>
          <t>Smartphone model 2</t>
        </is>
      </c>
      <c r="D506" s="27" t="inlineStr">
        <is>
          <t>Smartphone</t>
        </is>
      </c>
      <c r="E506" s="27" t="n">
        <v>11</v>
      </c>
      <c r="F506" s="28" t="n">
        <v>11809.73</v>
      </c>
      <c r="G506" s="28" t="n">
        <v>10703</v>
      </c>
      <c r="H506" s="28" t="n">
        <v>1106.73</v>
      </c>
    </row>
    <row r="507">
      <c r="A507" s="26" t="n">
        <v>46187</v>
      </c>
      <c r="B507" s="27" t="inlineStr">
        <is>
          <t>SMA02</t>
        </is>
      </c>
      <c r="C507" s="27" t="inlineStr">
        <is>
          <t>Smartphone model 2</t>
        </is>
      </c>
      <c r="D507" s="27" t="inlineStr">
        <is>
          <t>Smartphone</t>
        </is>
      </c>
      <c r="E507" s="27" t="n">
        <v>16</v>
      </c>
      <c r="F507" s="28" t="n">
        <v>16723.07</v>
      </c>
      <c r="G507" s="28" t="n">
        <v>15568</v>
      </c>
      <c r="H507" s="28" t="n">
        <v>1155.07</v>
      </c>
    </row>
    <row r="508">
      <c r="A508" s="26" t="n">
        <v>46194</v>
      </c>
      <c r="B508" s="27" t="inlineStr">
        <is>
          <t>SMA02</t>
        </is>
      </c>
      <c r="C508" s="27" t="inlineStr">
        <is>
          <t>Smartphone model 2</t>
        </is>
      </c>
      <c r="D508" s="27" t="inlineStr">
        <is>
          <t>Smartphone</t>
        </is>
      </c>
      <c r="E508" s="27" t="n">
        <v>11</v>
      </c>
      <c r="F508" s="28" t="n">
        <v>11464.48</v>
      </c>
      <c r="G508" s="28" t="n">
        <v>10703</v>
      </c>
      <c r="H508" s="28" t="n">
        <v>761.48</v>
      </c>
    </row>
    <row r="509">
      <c r="A509" s="26" t="n">
        <v>46201</v>
      </c>
      <c r="B509" s="27" t="inlineStr">
        <is>
          <t>SMA02</t>
        </is>
      </c>
      <c r="C509" s="27" t="inlineStr">
        <is>
          <t>Smartphone model 2</t>
        </is>
      </c>
      <c r="D509" s="27" t="inlineStr">
        <is>
          <t>Smartphone</t>
        </is>
      </c>
      <c r="E509" s="27" t="n">
        <v>8</v>
      </c>
      <c r="F509" s="28" t="n">
        <v>8372.870000000001</v>
      </c>
      <c r="G509" s="28" t="n">
        <v>7784</v>
      </c>
      <c r="H509" s="28" t="n">
        <v>588.87</v>
      </c>
    </row>
    <row r="510">
      <c r="A510" s="26" t="n">
        <v>46208</v>
      </c>
      <c r="B510" s="27" t="inlineStr">
        <is>
          <t>SMA02</t>
        </is>
      </c>
      <c r="C510" s="27" t="inlineStr">
        <is>
          <t>Smartphone model 2</t>
        </is>
      </c>
      <c r="D510" s="27" t="inlineStr">
        <is>
          <t>Smartphone</t>
        </is>
      </c>
      <c r="E510" s="27" t="n">
        <v>8</v>
      </c>
      <c r="F510" s="28" t="n">
        <v>8445.43</v>
      </c>
      <c r="G510" s="28" t="n">
        <v>7784</v>
      </c>
      <c r="H510" s="28" t="n">
        <v>661.4299999999999</v>
      </c>
    </row>
    <row r="511">
      <c r="A511" s="26" t="n">
        <v>46215</v>
      </c>
      <c r="B511" s="27" t="inlineStr">
        <is>
          <t>SMA02</t>
        </is>
      </c>
      <c r="C511" s="27" t="inlineStr">
        <is>
          <t>Smartphone model 2</t>
        </is>
      </c>
      <c r="D511" s="27" t="inlineStr">
        <is>
          <t>Smartphone</t>
        </is>
      </c>
      <c r="E511" s="27" t="n">
        <v>11</v>
      </c>
      <c r="F511" s="28" t="n">
        <v>11684.71</v>
      </c>
      <c r="G511" s="28" t="n">
        <v>10703</v>
      </c>
      <c r="H511" s="28" t="n">
        <v>981.71</v>
      </c>
    </row>
    <row r="512">
      <c r="A512" s="26" t="n">
        <v>46222</v>
      </c>
      <c r="B512" s="27" t="inlineStr">
        <is>
          <t>SMA02</t>
        </is>
      </c>
      <c r="C512" s="27" t="inlineStr">
        <is>
          <t>Smartphone model 2</t>
        </is>
      </c>
      <c r="D512" s="27" t="inlineStr">
        <is>
          <t>Smartphone</t>
        </is>
      </c>
      <c r="E512" s="27" t="n">
        <v>11</v>
      </c>
      <c r="F512" s="28" t="n">
        <v>11154.78</v>
      </c>
      <c r="G512" s="28" t="n">
        <v>10703</v>
      </c>
      <c r="H512" s="28" t="n">
        <v>451.78</v>
      </c>
    </row>
    <row r="513">
      <c r="A513" s="26" t="n">
        <v>46229</v>
      </c>
      <c r="B513" s="27" t="inlineStr">
        <is>
          <t>SMA02</t>
        </is>
      </c>
      <c r="C513" s="27" t="inlineStr">
        <is>
          <t>Smartphone model 2</t>
        </is>
      </c>
      <c r="D513" s="27" t="inlineStr">
        <is>
          <t>Smartphone</t>
        </is>
      </c>
      <c r="E513" s="27" t="n">
        <v>6</v>
      </c>
      <c r="F513" s="28" t="n">
        <v>6323.91</v>
      </c>
      <c r="G513" s="28" t="n">
        <v>5838</v>
      </c>
      <c r="H513" s="28" t="n">
        <v>485.91</v>
      </c>
    </row>
    <row r="514">
      <c r="A514" s="26" t="n">
        <v>46236</v>
      </c>
      <c r="B514" s="27" t="inlineStr">
        <is>
          <t>SMA02</t>
        </is>
      </c>
      <c r="C514" s="27" t="inlineStr">
        <is>
          <t>Smartphone model 2</t>
        </is>
      </c>
      <c r="D514" s="27" t="inlineStr">
        <is>
          <t>Smartphone</t>
        </is>
      </c>
      <c r="E514" s="27" t="n">
        <v>6</v>
      </c>
      <c r="F514" s="28" t="n">
        <v>6088.75</v>
      </c>
      <c r="G514" s="28" t="n">
        <v>5838</v>
      </c>
      <c r="H514" s="28" t="n">
        <v>250.75</v>
      </c>
    </row>
    <row r="515">
      <c r="A515" s="26" t="n">
        <v>46243</v>
      </c>
      <c r="B515" s="27" t="inlineStr">
        <is>
          <t>SMA02</t>
        </is>
      </c>
      <c r="C515" s="27" t="inlineStr">
        <is>
          <t>Smartphone model 2</t>
        </is>
      </c>
      <c r="D515" s="27" t="inlineStr">
        <is>
          <t>Smartphone</t>
        </is>
      </c>
      <c r="E515" s="27" t="n">
        <v>10</v>
      </c>
      <c r="F515" s="28" t="n">
        <v>10408.73</v>
      </c>
      <c r="G515" s="28" t="n">
        <v>9730</v>
      </c>
      <c r="H515" s="28" t="n">
        <v>678.73</v>
      </c>
    </row>
    <row r="516">
      <c r="A516" s="26" t="n">
        <v>46250</v>
      </c>
      <c r="B516" s="27" t="inlineStr">
        <is>
          <t>SMA02</t>
        </is>
      </c>
      <c r="C516" s="27" t="inlineStr">
        <is>
          <t>Smartphone model 2</t>
        </is>
      </c>
      <c r="D516" s="27" t="inlineStr">
        <is>
          <t>Smartphone</t>
        </is>
      </c>
      <c r="E516" s="27" t="n">
        <v>7</v>
      </c>
      <c r="F516" s="28" t="n">
        <v>7248.25</v>
      </c>
      <c r="G516" s="28" t="n">
        <v>6811</v>
      </c>
      <c r="H516" s="28" t="n">
        <v>437.25</v>
      </c>
    </row>
    <row r="517">
      <c r="A517" s="26" t="n">
        <v>46257</v>
      </c>
      <c r="B517" s="27" t="inlineStr">
        <is>
          <t>SMA02</t>
        </is>
      </c>
      <c r="C517" s="27" t="inlineStr">
        <is>
          <t>Smartphone model 2</t>
        </is>
      </c>
      <c r="D517" s="27" t="inlineStr">
        <is>
          <t>Smartphone</t>
        </is>
      </c>
      <c r="E517" s="27" t="n">
        <v>5</v>
      </c>
      <c r="F517" s="28" t="n">
        <v>5007.82</v>
      </c>
      <c r="G517" s="28" t="n">
        <v>4865</v>
      </c>
      <c r="H517" s="28" t="n">
        <v>142.82</v>
      </c>
    </row>
    <row r="518">
      <c r="A518" s="26" t="n">
        <v>46264</v>
      </c>
      <c r="B518" s="27" t="inlineStr">
        <is>
          <t>SMA02</t>
        </is>
      </c>
      <c r="C518" s="27" t="inlineStr">
        <is>
          <t>Smartphone model 2</t>
        </is>
      </c>
      <c r="D518" s="27" t="inlineStr">
        <is>
          <t>Smartphone</t>
        </is>
      </c>
      <c r="E518" s="27" t="n">
        <v>12</v>
      </c>
      <c r="F518" s="28" t="n">
        <v>12579.8</v>
      </c>
      <c r="G518" s="28" t="n">
        <v>11676</v>
      </c>
      <c r="H518" s="28" t="n">
        <v>903.8</v>
      </c>
    </row>
    <row r="519">
      <c r="A519" s="26" t="n">
        <v>46271</v>
      </c>
      <c r="B519" s="27" t="inlineStr">
        <is>
          <t>SMA02</t>
        </is>
      </c>
      <c r="C519" s="27" t="inlineStr">
        <is>
          <t>Smartphone model 2</t>
        </is>
      </c>
      <c r="D519" s="27" t="inlineStr">
        <is>
          <t>Smartphone</t>
        </is>
      </c>
      <c r="E519" s="27" t="n">
        <v>4</v>
      </c>
      <c r="F519" s="28" t="n">
        <v>3920.32</v>
      </c>
      <c r="G519" s="28" t="n">
        <v>3892</v>
      </c>
      <c r="H519" s="28" t="n">
        <v>28.32</v>
      </c>
    </row>
    <row r="520">
      <c r="A520" s="26" t="n">
        <v>46278</v>
      </c>
      <c r="B520" s="27" t="inlineStr">
        <is>
          <t>SMA02</t>
        </is>
      </c>
      <c r="C520" s="27" t="inlineStr">
        <is>
          <t>Smartphone model 2</t>
        </is>
      </c>
      <c r="D520" s="27" t="inlineStr">
        <is>
          <t>Smartphone</t>
        </is>
      </c>
      <c r="E520" s="27" t="n">
        <v>4</v>
      </c>
      <c r="F520" s="28" t="n">
        <v>3900.56</v>
      </c>
      <c r="G520" s="28" t="n">
        <v>3892</v>
      </c>
      <c r="H520" s="28" t="n">
        <v>8.56</v>
      </c>
    </row>
    <row r="521">
      <c r="A521" s="26" t="n">
        <v>46285</v>
      </c>
      <c r="B521" s="27" t="inlineStr">
        <is>
          <t>SMA02</t>
        </is>
      </c>
      <c r="C521" s="27" t="inlineStr">
        <is>
          <t>Smartphone model 2</t>
        </is>
      </c>
      <c r="D521" s="27" t="inlineStr">
        <is>
          <t>Smartphone</t>
        </is>
      </c>
      <c r="E521" s="27" t="n">
        <v>6</v>
      </c>
      <c r="F521" s="28" t="n">
        <v>6005.91</v>
      </c>
      <c r="G521" s="28" t="n">
        <v>5838</v>
      </c>
      <c r="H521" s="28" t="n">
        <v>167.91</v>
      </c>
    </row>
    <row r="522">
      <c r="A522" s="26" t="n">
        <v>46110</v>
      </c>
      <c r="B522" s="27" t="inlineStr">
        <is>
          <t>SMA03</t>
        </is>
      </c>
      <c r="C522" s="27" t="inlineStr">
        <is>
          <t>Smartphone model 3</t>
        </is>
      </c>
      <c r="D522" s="27" t="inlineStr">
        <is>
          <t>Smartphone</t>
        </is>
      </c>
      <c r="E522" s="27" t="n">
        <v>9</v>
      </c>
      <c r="F522" s="28" t="n">
        <v>11012.29</v>
      </c>
      <c r="G522" s="28" t="n">
        <v>9261</v>
      </c>
      <c r="H522" s="28" t="n">
        <v>1751.29</v>
      </c>
    </row>
    <row r="523">
      <c r="A523" s="26" t="n">
        <v>46117</v>
      </c>
      <c r="B523" s="27" t="inlineStr">
        <is>
          <t>SMA03</t>
        </is>
      </c>
      <c r="C523" s="27" t="inlineStr">
        <is>
          <t>Smartphone model 3</t>
        </is>
      </c>
      <c r="D523" s="27" t="inlineStr">
        <is>
          <t>Smartphone</t>
        </is>
      </c>
      <c r="E523" s="27" t="n">
        <v>8</v>
      </c>
      <c r="F523" s="28" t="n">
        <v>9521.25</v>
      </c>
      <c r="G523" s="28" t="n">
        <v>8232</v>
      </c>
      <c r="H523" s="28" t="n">
        <v>1289.25</v>
      </c>
    </row>
    <row r="524">
      <c r="A524" s="26" t="n">
        <v>46124</v>
      </c>
      <c r="B524" s="27" t="inlineStr">
        <is>
          <t>SMA03</t>
        </is>
      </c>
      <c r="C524" s="27" t="inlineStr">
        <is>
          <t>Smartphone model 3</t>
        </is>
      </c>
      <c r="D524" s="27" t="inlineStr">
        <is>
          <t>Smartphone</t>
        </is>
      </c>
      <c r="E524" s="27" t="n">
        <v>6</v>
      </c>
      <c r="F524" s="28" t="n">
        <v>7268.33</v>
      </c>
      <c r="G524" s="28" t="n">
        <v>6174</v>
      </c>
      <c r="H524" s="28" t="n">
        <v>1094.33</v>
      </c>
    </row>
    <row r="525">
      <c r="A525" s="26" t="n">
        <v>46131</v>
      </c>
      <c r="B525" s="27" t="inlineStr">
        <is>
          <t>SMA03</t>
        </is>
      </c>
      <c r="C525" s="27" t="inlineStr">
        <is>
          <t>Smartphone model 3</t>
        </is>
      </c>
      <c r="D525" s="27" t="inlineStr">
        <is>
          <t>Smartphone</t>
        </is>
      </c>
      <c r="E525" s="27" t="n">
        <v>8</v>
      </c>
      <c r="F525" s="28" t="n">
        <v>9520.51</v>
      </c>
      <c r="G525" s="28" t="n">
        <v>8232</v>
      </c>
      <c r="H525" s="28" t="n">
        <v>1288.51</v>
      </c>
    </row>
    <row r="526">
      <c r="A526" s="26" t="n">
        <v>46138</v>
      </c>
      <c r="B526" s="27" t="inlineStr">
        <is>
          <t>SMA03</t>
        </is>
      </c>
      <c r="C526" s="27" t="inlineStr">
        <is>
          <t>Smartphone model 3</t>
        </is>
      </c>
      <c r="D526" s="27" t="inlineStr">
        <is>
          <t>Smartphone</t>
        </is>
      </c>
      <c r="E526" s="27" t="n">
        <v>11</v>
      </c>
      <c r="F526" s="28" t="n">
        <v>12754.73</v>
      </c>
      <c r="G526" s="28" t="n">
        <v>11319</v>
      </c>
      <c r="H526" s="28" t="n">
        <v>1435.73</v>
      </c>
    </row>
    <row r="527">
      <c r="A527" s="26" t="n">
        <v>46145</v>
      </c>
      <c r="B527" s="27" t="inlineStr">
        <is>
          <t>SMA03</t>
        </is>
      </c>
      <c r="C527" s="27" t="inlineStr">
        <is>
          <t>Smartphone model 3</t>
        </is>
      </c>
      <c r="D527" s="27" t="inlineStr">
        <is>
          <t>Smartphone</t>
        </is>
      </c>
      <c r="E527" s="27" t="n">
        <v>8</v>
      </c>
      <c r="F527" s="28" t="n">
        <v>9687.030000000001</v>
      </c>
      <c r="G527" s="28" t="n">
        <v>8232</v>
      </c>
      <c r="H527" s="28" t="n">
        <v>1455.03</v>
      </c>
    </row>
    <row r="528">
      <c r="A528" s="26" t="n">
        <v>46152</v>
      </c>
      <c r="B528" s="27" t="inlineStr">
        <is>
          <t>SMA03</t>
        </is>
      </c>
      <c r="C528" s="27" t="inlineStr">
        <is>
          <t>Smartphone model 3</t>
        </is>
      </c>
      <c r="D528" s="27" t="inlineStr">
        <is>
          <t>Smartphone</t>
        </is>
      </c>
      <c r="E528" s="27" t="n">
        <v>5</v>
      </c>
      <c r="F528" s="28" t="n">
        <v>5794.37</v>
      </c>
      <c r="G528" s="28" t="n">
        <v>5145</v>
      </c>
      <c r="H528" s="28" t="n">
        <v>649.37</v>
      </c>
    </row>
    <row r="529">
      <c r="A529" s="26" t="n">
        <v>46159</v>
      </c>
      <c r="B529" s="27" t="inlineStr">
        <is>
          <t>SMA03</t>
        </is>
      </c>
      <c r="C529" s="27" t="inlineStr">
        <is>
          <t>Smartphone model 3</t>
        </is>
      </c>
      <c r="D529" s="27" t="inlineStr">
        <is>
          <t>Smartphone</t>
        </is>
      </c>
      <c r="E529" s="27" t="n">
        <v>5</v>
      </c>
      <c r="F529" s="28" t="n">
        <v>6053.37</v>
      </c>
      <c r="G529" s="28" t="n">
        <v>5145</v>
      </c>
      <c r="H529" s="28" t="n">
        <v>908.37</v>
      </c>
    </row>
    <row r="530">
      <c r="A530" s="26" t="n">
        <v>46166</v>
      </c>
      <c r="B530" s="27" t="inlineStr">
        <is>
          <t>SMA03</t>
        </is>
      </c>
      <c r="C530" s="27" t="inlineStr">
        <is>
          <t>Smartphone model 3</t>
        </is>
      </c>
      <c r="D530" s="27" t="inlineStr">
        <is>
          <t>Smartphone</t>
        </is>
      </c>
      <c r="E530" s="27" t="n">
        <v>8</v>
      </c>
      <c r="F530" s="28" t="n">
        <v>9614.85</v>
      </c>
      <c r="G530" s="28" t="n">
        <v>8232</v>
      </c>
      <c r="H530" s="28" t="n">
        <v>1382.85</v>
      </c>
    </row>
    <row r="531">
      <c r="A531" s="26" t="n">
        <v>46173</v>
      </c>
      <c r="B531" s="27" t="inlineStr">
        <is>
          <t>SMA03</t>
        </is>
      </c>
      <c r="C531" s="27" t="inlineStr">
        <is>
          <t>Smartphone model 3</t>
        </is>
      </c>
      <c r="D531" s="27" t="inlineStr">
        <is>
          <t>Smartphone</t>
        </is>
      </c>
      <c r="E531" s="27" t="n">
        <v>13</v>
      </c>
      <c r="F531" s="28" t="n">
        <v>14823.55</v>
      </c>
      <c r="G531" s="28" t="n">
        <v>13377</v>
      </c>
      <c r="H531" s="28" t="n">
        <v>1446.55</v>
      </c>
    </row>
    <row r="532">
      <c r="A532" s="26" t="n">
        <v>46180</v>
      </c>
      <c r="B532" s="27" t="inlineStr">
        <is>
          <t>SMA03</t>
        </is>
      </c>
      <c r="C532" s="27" t="inlineStr">
        <is>
          <t>Smartphone model 3</t>
        </is>
      </c>
      <c r="D532" s="27" t="inlineStr">
        <is>
          <t>Smartphone</t>
        </is>
      </c>
      <c r="E532" s="27" t="n">
        <v>8</v>
      </c>
      <c r="F532" s="28" t="n">
        <v>9582.370000000001</v>
      </c>
      <c r="G532" s="28" t="n">
        <v>8232</v>
      </c>
      <c r="H532" s="28" t="n">
        <v>1350.37</v>
      </c>
    </row>
    <row r="533">
      <c r="A533" s="26" t="n">
        <v>46187</v>
      </c>
      <c r="B533" s="27" t="inlineStr">
        <is>
          <t>SMA03</t>
        </is>
      </c>
      <c r="C533" s="27" t="inlineStr">
        <is>
          <t>Smartphone model 3</t>
        </is>
      </c>
      <c r="D533" s="27" t="inlineStr">
        <is>
          <t>Smartphone</t>
        </is>
      </c>
      <c r="E533" s="27" t="n">
        <v>14</v>
      </c>
      <c r="F533" s="28" t="n">
        <v>16313.01</v>
      </c>
      <c r="G533" s="28" t="n">
        <v>14406</v>
      </c>
      <c r="H533" s="28" t="n">
        <v>1907.01</v>
      </c>
    </row>
    <row r="534">
      <c r="A534" s="26" t="n">
        <v>46194</v>
      </c>
      <c r="B534" s="27" t="inlineStr">
        <is>
          <t>SMA03</t>
        </is>
      </c>
      <c r="C534" s="27" t="inlineStr">
        <is>
          <t>Smartphone model 3</t>
        </is>
      </c>
      <c r="D534" s="27" t="inlineStr">
        <is>
          <t>Smartphone</t>
        </is>
      </c>
      <c r="E534" s="27" t="n">
        <v>13</v>
      </c>
      <c r="F534" s="28" t="n">
        <v>14951.48</v>
      </c>
      <c r="G534" s="28" t="n">
        <v>13377</v>
      </c>
      <c r="H534" s="28" t="n">
        <v>1574.48</v>
      </c>
    </row>
    <row r="535">
      <c r="A535" s="26" t="n">
        <v>46201</v>
      </c>
      <c r="B535" s="27" t="inlineStr">
        <is>
          <t>SMA03</t>
        </is>
      </c>
      <c r="C535" s="27" t="inlineStr">
        <is>
          <t>Smartphone model 3</t>
        </is>
      </c>
      <c r="D535" s="27" t="inlineStr">
        <is>
          <t>Smartphone</t>
        </is>
      </c>
      <c r="E535" s="27" t="n">
        <v>9</v>
      </c>
      <c r="F535" s="28" t="n">
        <v>10267.52</v>
      </c>
      <c r="G535" s="28" t="n">
        <v>9261</v>
      </c>
      <c r="H535" s="28" t="n">
        <v>1006.52</v>
      </c>
    </row>
    <row r="536">
      <c r="A536" s="26" t="n">
        <v>46208</v>
      </c>
      <c r="B536" s="27" t="inlineStr">
        <is>
          <t>SMA03</t>
        </is>
      </c>
      <c r="C536" s="27" t="inlineStr">
        <is>
          <t>Smartphone model 3</t>
        </is>
      </c>
      <c r="D536" s="27" t="inlineStr">
        <is>
          <t>Smartphone</t>
        </is>
      </c>
      <c r="E536" s="27" t="n">
        <v>8</v>
      </c>
      <c r="F536" s="28" t="n">
        <v>9153.41</v>
      </c>
      <c r="G536" s="28" t="n">
        <v>8232</v>
      </c>
      <c r="H536" s="28" t="n">
        <v>921.41</v>
      </c>
    </row>
    <row r="537">
      <c r="A537" s="26" t="n">
        <v>46215</v>
      </c>
      <c r="B537" s="27" t="inlineStr">
        <is>
          <t>SMA03</t>
        </is>
      </c>
      <c r="C537" s="27" t="inlineStr">
        <is>
          <t>Smartphone model 3</t>
        </is>
      </c>
      <c r="D537" s="27" t="inlineStr">
        <is>
          <t>Smartphone</t>
        </is>
      </c>
      <c r="E537" s="27" t="n">
        <v>8</v>
      </c>
      <c r="F537" s="28" t="n">
        <v>9508.43</v>
      </c>
      <c r="G537" s="28" t="n">
        <v>8232</v>
      </c>
      <c r="H537" s="28" t="n">
        <v>1276.43</v>
      </c>
    </row>
    <row r="538">
      <c r="A538" s="26" t="n">
        <v>46222</v>
      </c>
      <c r="B538" s="27" t="inlineStr">
        <is>
          <t>SMA03</t>
        </is>
      </c>
      <c r="C538" s="27" t="inlineStr">
        <is>
          <t>Smartphone model 3</t>
        </is>
      </c>
      <c r="D538" s="27" t="inlineStr">
        <is>
          <t>Smartphone</t>
        </is>
      </c>
      <c r="E538" s="27" t="n">
        <v>18</v>
      </c>
      <c r="F538" s="28" t="n">
        <v>20871.8</v>
      </c>
      <c r="G538" s="28" t="n">
        <v>18522</v>
      </c>
      <c r="H538" s="28" t="n">
        <v>2349.8</v>
      </c>
    </row>
    <row r="539">
      <c r="A539" s="26" t="n">
        <v>46229</v>
      </c>
      <c r="B539" s="27" t="inlineStr">
        <is>
          <t>SMA03</t>
        </is>
      </c>
      <c r="C539" s="27" t="inlineStr">
        <is>
          <t>Smartphone model 3</t>
        </is>
      </c>
      <c r="D539" s="27" t="inlineStr">
        <is>
          <t>Smartphone</t>
        </is>
      </c>
      <c r="E539" s="27" t="n">
        <v>12</v>
      </c>
      <c r="F539" s="28" t="n">
        <v>13855.42</v>
      </c>
      <c r="G539" s="28" t="n">
        <v>12348</v>
      </c>
      <c r="H539" s="28" t="n">
        <v>1507.42</v>
      </c>
    </row>
    <row r="540">
      <c r="A540" s="26" t="n">
        <v>46236</v>
      </c>
      <c r="B540" s="27" t="inlineStr">
        <is>
          <t>SMA03</t>
        </is>
      </c>
      <c r="C540" s="27" t="inlineStr">
        <is>
          <t>Smartphone model 3</t>
        </is>
      </c>
      <c r="D540" s="27" t="inlineStr">
        <is>
          <t>Smartphone</t>
        </is>
      </c>
      <c r="E540" s="27" t="n">
        <v>7</v>
      </c>
      <c r="F540" s="28" t="n">
        <v>7948.49</v>
      </c>
      <c r="G540" s="28" t="n">
        <v>7203</v>
      </c>
      <c r="H540" s="28" t="n">
        <v>745.49</v>
      </c>
    </row>
    <row r="541">
      <c r="A541" s="26" t="n">
        <v>46243</v>
      </c>
      <c r="B541" s="27" t="inlineStr">
        <is>
          <t>SMA03</t>
        </is>
      </c>
      <c r="C541" s="27" t="inlineStr">
        <is>
          <t>Smartphone model 3</t>
        </is>
      </c>
      <c r="D541" s="27" t="inlineStr">
        <is>
          <t>Smartphone</t>
        </is>
      </c>
      <c r="E541" s="27" t="n">
        <v>14</v>
      </c>
      <c r="F541" s="28" t="n">
        <v>16124.57</v>
      </c>
      <c r="G541" s="28" t="n">
        <v>14406</v>
      </c>
      <c r="H541" s="28" t="n">
        <v>1718.57</v>
      </c>
    </row>
    <row r="542">
      <c r="A542" s="26" t="n">
        <v>46250</v>
      </c>
      <c r="B542" s="27" t="inlineStr">
        <is>
          <t>SMA03</t>
        </is>
      </c>
      <c r="C542" s="27" t="inlineStr">
        <is>
          <t>Smartphone model 3</t>
        </is>
      </c>
      <c r="D542" s="27" t="inlineStr">
        <is>
          <t>Smartphone</t>
        </is>
      </c>
      <c r="E542" s="27" t="n">
        <v>11</v>
      </c>
      <c r="F542" s="28" t="n">
        <v>13005.96</v>
      </c>
      <c r="G542" s="28" t="n">
        <v>11319</v>
      </c>
      <c r="H542" s="28" t="n">
        <v>1686.96</v>
      </c>
    </row>
    <row r="543">
      <c r="A543" s="26" t="n">
        <v>46257</v>
      </c>
      <c r="B543" s="27" t="inlineStr">
        <is>
          <t>SMA03</t>
        </is>
      </c>
      <c r="C543" s="27" t="inlineStr">
        <is>
          <t>Smartphone model 3</t>
        </is>
      </c>
      <c r="D543" s="27" t="inlineStr">
        <is>
          <t>Smartphone</t>
        </is>
      </c>
      <c r="E543" s="27" t="n">
        <v>8</v>
      </c>
      <c r="F543" s="28" t="n">
        <v>9286.91</v>
      </c>
      <c r="G543" s="28" t="n">
        <v>8232</v>
      </c>
      <c r="H543" s="28" t="n">
        <v>1054.91</v>
      </c>
    </row>
    <row r="544">
      <c r="A544" s="26" t="n">
        <v>46264</v>
      </c>
      <c r="B544" s="27" t="inlineStr">
        <is>
          <t>SMA03</t>
        </is>
      </c>
      <c r="C544" s="27" t="inlineStr">
        <is>
          <t>Smartphone model 3</t>
        </is>
      </c>
      <c r="D544" s="27" t="inlineStr">
        <is>
          <t>Smartphone</t>
        </is>
      </c>
      <c r="E544" s="27" t="n">
        <v>10</v>
      </c>
      <c r="F544" s="28" t="n">
        <v>11143.12</v>
      </c>
      <c r="G544" s="28" t="n">
        <v>10290</v>
      </c>
      <c r="H544" s="28" t="n">
        <v>853.12</v>
      </c>
    </row>
    <row r="545">
      <c r="A545" s="26" t="n">
        <v>46271</v>
      </c>
      <c r="B545" s="27" t="inlineStr">
        <is>
          <t>SMA03</t>
        </is>
      </c>
      <c r="C545" s="27" t="inlineStr">
        <is>
          <t>Smartphone model 3</t>
        </is>
      </c>
      <c r="D545" s="27" t="inlineStr">
        <is>
          <t>Smartphone</t>
        </is>
      </c>
      <c r="E545" s="27" t="n">
        <v>6</v>
      </c>
      <c r="F545" s="28" t="n">
        <v>6792.57</v>
      </c>
      <c r="G545" s="28" t="n">
        <v>6174</v>
      </c>
      <c r="H545" s="28" t="n">
        <v>618.5700000000001</v>
      </c>
    </row>
    <row r="546">
      <c r="A546" s="26" t="n">
        <v>46278</v>
      </c>
      <c r="B546" s="27" t="inlineStr">
        <is>
          <t>SMA03</t>
        </is>
      </c>
      <c r="C546" s="27" t="inlineStr">
        <is>
          <t>Smartphone model 3</t>
        </is>
      </c>
      <c r="D546" s="27" t="inlineStr">
        <is>
          <t>Smartphone</t>
        </is>
      </c>
      <c r="E546" s="27" t="n">
        <v>14</v>
      </c>
      <c r="F546" s="28" t="n">
        <v>15653.07</v>
      </c>
      <c r="G546" s="28" t="n">
        <v>14406</v>
      </c>
      <c r="H546" s="28" t="n">
        <v>1247.07</v>
      </c>
    </row>
    <row r="547">
      <c r="A547" s="26" t="n">
        <v>46285</v>
      </c>
      <c r="B547" s="27" t="inlineStr">
        <is>
          <t>SMA03</t>
        </is>
      </c>
      <c r="C547" s="27" t="inlineStr">
        <is>
          <t>Smartphone model 3</t>
        </is>
      </c>
      <c r="D547" s="27" t="inlineStr">
        <is>
          <t>Smartphone</t>
        </is>
      </c>
      <c r="E547" s="27" t="n">
        <v>14</v>
      </c>
      <c r="F547" s="28" t="n">
        <v>15478</v>
      </c>
      <c r="G547" s="28" t="n">
        <v>14406</v>
      </c>
      <c r="H547" s="28" t="n">
        <v>1072</v>
      </c>
    </row>
    <row r="548">
      <c r="A548" s="26" t="n">
        <v>46110</v>
      </c>
      <c r="B548" s="27" t="inlineStr">
        <is>
          <t>SMA04</t>
        </is>
      </c>
      <c r="C548" s="27" t="inlineStr">
        <is>
          <t>Smartphone model 4</t>
        </is>
      </c>
      <c r="D548" s="27" t="inlineStr">
        <is>
          <t>Smartphone</t>
        </is>
      </c>
      <c r="E548" s="27" t="n">
        <v>11</v>
      </c>
      <c r="F548" s="28" t="n">
        <v>17866.19</v>
      </c>
      <c r="G548" s="28" t="n">
        <v>15433</v>
      </c>
      <c r="H548" s="28" t="n">
        <v>2433.19</v>
      </c>
    </row>
    <row r="549">
      <c r="A549" s="26" t="n">
        <v>46117</v>
      </c>
      <c r="B549" s="27" t="inlineStr">
        <is>
          <t>SMA04</t>
        </is>
      </c>
      <c r="C549" s="27" t="inlineStr">
        <is>
          <t>Smartphone model 4</t>
        </is>
      </c>
      <c r="D549" s="27" t="inlineStr">
        <is>
          <t>Smartphone</t>
        </is>
      </c>
      <c r="E549" s="27" t="n">
        <v>9</v>
      </c>
      <c r="F549" s="28" t="n">
        <v>14533.51</v>
      </c>
      <c r="G549" s="28" t="n">
        <v>12627</v>
      </c>
      <c r="H549" s="28" t="n">
        <v>1906.51</v>
      </c>
    </row>
    <row r="550">
      <c r="A550" s="26" t="n">
        <v>46124</v>
      </c>
      <c r="B550" s="27" t="inlineStr">
        <is>
          <t>SMA04</t>
        </is>
      </c>
      <c r="C550" s="27" t="inlineStr">
        <is>
          <t>Smartphone model 4</t>
        </is>
      </c>
      <c r="D550" s="27" t="inlineStr">
        <is>
          <t>Smartphone</t>
        </is>
      </c>
      <c r="E550" s="27" t="n">
        <v>8</v>
      </c>
      <c r="F550" s="28" t="n">
        <v>12691.23</v>
      </c>
      <c r="G550" s="28" t="n">
        <v>11224</v>
      </c>
      <c r="H550" s="28" t="n">
        <v>1467.23</v>
      </c>
    </row>
    <row r="551">
      <c r="A551" s="26" t="n">
        <v>46131</v>
      </c>
      <c r="B551" s="27" t="inlineStr">
        <is>
          <t>SMA04</t>
        </is>
      </c>
      <c r="C551" s="27" t="inlineStr">
        <is>
          <t>Smartphone model 4</t>
        </is>
      </c>
      <c r="D551" s="27" t="inlineStr">
        <is>
          <t>Smartphone</t>
        </is>
      </c>
      <c r="E551" s="27" t="n">
        <v>7</v>
      </c>
      <c r="F551" s="28" t="n">
        <v>11275.07</v>
      </c>
      <c r="G551" s="28" t="n">
        <v>9821</v>
      </c>
      <c r="H551" s="28" t="n">
        <v>1454.07</v>
      </c>
    </row>
    <row r="552">
      <c r="A552" s="26" t="n">
        <v>46138</v>
      </c>
      <c r="B552" s="27" t="inlineStr">
        <is>
          <t>SMA04</t>
        </is>
      </c>
      <c r="C552" s="27" t="inlineStr">
        <is>
          <t>Smartphone model 4</t>
        </is>
      </c>
      <c r="D552" s="27" t="inlineStr">
        <is>
          <t>Smartphone</t>
        </is>
      </c>
      <c r="E552" s="27" t="n">
        <v>12</v>
      </c>
      <c r="F552" s="28" t="n">
        <v>18718.91</v>
      </c>
      <c r="G552" s="28" t="n">
        <v>16836</v>
      </c>
      <c r="H552" s="28" t="n">
        <v>1882.91</v>
      </c>
    </row>
    <row r="553">
      <c r="A553" s="26" t="n">
        <v>46145</v>
      </c>
      <c r="B553" s="27" t="inlineStr">
        <is>
          <t>SMA04</t>
        </is>
      </c>
      <c r="C553" s="27" t="inlineStr">
        <is>
          <t>Smartphone model 4</t>
        </is>
      </c>
      <c r="D553" s="27" t="inlineStr">
        <is>
          <t>Smartphone</t>
        </is>
      </c>
      <c r="E553" s="27" t="n">
        <v>10</v>
      </c>
      <c r="F553" s="28" t="n">
        <v>16090.01</v>
      </c>
      <c r="G553" s="28" t="n">
        <v>14030</v>
      </c>
      <c r="H553" s="28" t="n">
        <v>2060.01</v>
      </c>
    </row>
    <row r="554">
      <c r="A554" s="26" t="n">
        <v>46152</v>
      </c>
      <c r="B554" s="27" t="inlineStr">
        <is>
          <t>SMA04</t>
        </is>
      </c>
      <c r="C554" s="27" t="inlineStr">
        <is>
          <t>Smartphone model 4</t>
        </is>
      </c>
      <c r="D554" s="27" t="inlineStr">
        <is>
          <t>Smartphone</t>
        </is>
      </c>
      <c r="E554" s="27" t="n">
        <v>10</v>
      </c>
      <c r="F554" s="28" t="n">
        <v>16026.47</v>
      </c>
      <c r="G554" s="28" t="n">
        <v>14030</v>
      </c>
      <c r="H554" s="28" t="n">
        <v>1996.47</v>
      </c>
    </row>
    <row r="555">
      <c r="A555" s="26" t="n">
        <v>46159</v>
      </c>
      <c r="B555" s="27" t="inlineStr">
        <is>
          <t>SMA04</t>
        </is>
      </c>
      <c r="C555" s="27" t="inlineStr">
        <is>
          <t>Smartphone model 4</t>
        </is>
      </c>
      <c r="D555" s="27" t="inlineStr">
        <is>
          <t>Smartphone</t>
        </is>
      </c>
      <c r="E555" s="27" t="n">
        <v>12</v>
      </c>
      <c r="F555" s="28" t="n">
        <v>18644.9</v>
      </c>
      <c r="G555" s="28" t="n">
        <v>16836</v>
      </c>
      <c r="H555" s="28" t="n">
        <v>1808.9</v>
      </c>
    </row>
    <row r="556">
      <c r="A556" s="26" t="n">
        <v>46166</v>
      </c>
      <c r="B556" s="27" t="inlineStr">
        <is>
          <t>SMA04</t>
        </is>
      </c>
      <c r="C556" s="27" t="inlineStr">
        <is>
          <t>Smartphone model 4</t>
        </is>
      </c>
      <c r="D556" s="27" t="inlineStr">
        <is>
          <t>Smartphone</t>
        </is>
      </c>
      <c r="E556" s="27" t="n">
        <v>11</v>
      </c>
      <c r="F556" s="28" t="n">
        <v>18021.51</v>
      </c>
      <c r="G556" s="28" t="n">
        <v>15433</v>
      </c>
      <c r="H556" s="28" t="n">
        <v>2588.51</v>
      </c>
    </row>
    <row r="557">
      <c r="A557" s="26" t="n">
        <v>46173</v>
      </c>
      <c r="B557" s="27" t="inlineStr">
        <is>
          <t>SMA04</t>
        </is>
      </c>
      <c r="C557" s="27" t="inlineStr">
        <is>
          <t>Smartphone model 4</t>
        </is>
      </c>
      <c r="D557" s="27" t="inlineStr">
        <is>
          <t>Smartphone</t>
        </is>
      </c>
      <c r="E557" s="27" t="n">
        <v>7</v>
      </c>
      <c r="F557" s="28" t="n">
        <v>10852.69</v>
      </c>
      <c r="G557" s="28" t="n">
        <v>9821</v>
      </c>
      <c r="H557" s="28" t="n">
        <v>1031.69</v>
      </c>
    </row>
    <row r="558">
      <c r="A558" s="26" t="n">
        <v>46180</v>
      </c>
      <c r="B558" s="27" t="inlineStr">
        <is>
          <t>SMA04</t>
        </is>
      </c>
      <c r="C558" s="27" t="inlineStr">
        <is>
          <t>Smartphone model 4</t>
        </is>
      </c>
      <c r="D558" s="27" t="inlineStr">
        <is>
          <t>Smartphone</t>
        </is>
      </c>
      <c r="E558" s="27" t="n">
        <v>11</v>
      </c>
      <c r="F558" s="28" t="n">
        <v>17401.87</v>
      </c>
      <c r="G558" s="28" t="n">
        <v>15433</v>
      </c>
      <c r="H558" s="28" t="n">
        <v>1968.87</v>
      </c>
    </row>
    <row r="559">
      <c r="A559" s="26" t="n">
        <v>46187</v>
      </c>
      <c r="B559" s="27" t="inlineStr">
        <is>
          <t>SMA04</t>
        </is>
      </c>
      <c r="C559" s="27" t="inlineStr">
        <is>
          <t>Smartphone model 4</t>
        </is>
      </c>
      <c r="D559" s="27" t="inlineStr">
        <is>
          <t>Smartphone</t>
        </is>
      </c>
      <c r="E559" s="27" t="n">
        <v>12</v>
      </c>
      <c r="F559" s="28" t="n">
        <v>19244.27</v>
      </c>
      <c r="G559" s="28" t="n">
        <v>16836</v>
      </c>
      <c r="H559" s="28" t="n">
        <v>2408.27</v>
      </c>
    </row>
    <row r="560">
      <c r="A560" s="26" t="n">
        <v>46194</v>
      </c>
      <c r="B560" s="27" t="inlineStr">
        <is>
          <t>SMA04</t>
        </is>
      </c>
      <c r="C560" s="27" t="inlineStr">
        <is>
          <t>Smartphone model 4</t>
        </is>
      </c>
      <c r="D560" s="27" t="inlineStr">
        <is>
          <t>Smartphone</t>
        </is>
      </c>
      <c r="E560" s="27" t="n">
        <v>8</v>
      </c>
      <c r="F560" s="28" t="n">
        <v>12610.65</v>
      </c>
      <c r="G560" s="28" t="n">
        <v>11224</v>
      </c>
      <c r="H560" s="28" t="n">
        <v>1386.65</v>
      </c>
    </row>
    <row r="561">
      <c r="A561" s="26" t="n">
        <v>46201</v>
      </c>
      <c r="B561" s="27" t="inlineStr">
        <is>
          <t>SMA04</t>
        </is>
      </c>
      <c r="C561" s="27" t="inlineStr">
        <is>
          <t>Smartphone model 4</t>
        </is>
      </c>
      <c r="D561" s="27" t="inlineStr">
        <is>
          <t>Smartphone</t>
        </is>
      </c>
      <c r="E561" s="27" t="n">
        <v>10</v>
      </c>
      <c r="F561" s="28" t="n">
        <v>15738.43</v>
      </c>
      <c r="G561" s="28" t="n">
        <v>14030</v>
      </c>
      <c r="H561" s="28" t="n">
        <v>1708.43</v>
      </c>
    </row>
    <row r="562">
      <c r="A562" s="26" t="n">
        <v>46208</v>
      </c>
      <c r="B562" s="27" t="inlineStr">
        <is>
          <t>SMA04</t>
        </is>
      </c>
      <c r="C562" s="27" t="inlineStr">
        <is>
          <t>Smartphone model 4</t>
        </is>
      </c>
      <c r="D562" s="27" t="inlineStr">
        <is>
          <t>Smartphone</t>
        </is>
      </c>
      <c r="E562" s="27" t="n">
        <v>7</v>
      </c>
      <c r="F562" s="28" t="n">
        <v>10751.61</v>
      </c>
      <c r="G562" s="28" t="n">
        <v>9821</v>
      </c>
      <c r="H562" s="28" t="n">
        <v>930.61</v>
      </c>
    </row>
    <row r="563">
      <c r="A563" s="26" t="n">
        <v>46215</v>
      </c>
      <c r="B563" s="27" t="inlineStr">
        <is>
          <t>SMA04</t>
        </is>
      </c>
      <c r="C563" s="27" t="inlineStr">
        <is>
          <t>Smartphone model 4</t>
        </is>
      </c>
      <c r="D563" s="27" t="inlineStr">
        <is>
          <t>Smartphone</t>
        </is>
      </c>
      <c r="E563" s="27" t="n">
        <v>8</v>
      </c>
      <c r="F563" s="28" t="n">
        <v>12387.63</v>
      </c>
      <c r="G563" s="28" t="n">
        <v>11224</v>
      </c>
      <c r="H563" s="28" t="n">
        <v>1163.63</v>
      </c>
    </row>
    <row r="564">
      <c r="A564" s="26" t="n">
        <v>46222</v>
      </c>
      <c r="B564" s="27" t="inlineStr">
        <is>
          <t>SMA04</t>
        </is>
      </c>
      <c r="C564" s="27" t="inlineStr">
        <is>
          <t>Smartphone model 4</t>
        </is>
      </c>
      <c r="D564" s="27" t="inlineStr">
        <is>
          <t>Smartphone</t>
        </is>
      </c>
      <c r="E564" s="27" t="n">
        <v>13</v>
      </c>
      <c r="F564" s="28" t="n">
        <v>20331.73</v>
      </c>
      <c r="G564" s="28" t="n">
        <v>18239</v>
      </c>
      <c r="H564" s="28" t="n">
        <v>2092.73</v>
      </c>
    </row>
    <row r="565">
      <c r="A565" s="26" t="n">
        <v>46229</v>
      </c>
      <c r="B565" s="27" t="inlineStr">
        <is>
          <t>SMA04</t>
        </is>
      </c>
      <c r="C565" s="27" t="inlineStr">
        <is>
          <t>Smartphone model 4</t>
        </is>
      </c>
      <c r="D565" s="27" t="inlineStr">
        <is>
          <t>Smartphone</t>
        </is>
      </c>
      <c r="E565" s="27" t="n">
        <v>4</v>
      </c>
      <c r="F565" s="28" t="n">
        <v>6223.66</v>
      </c>
      <c r="G565" s="28" t="n">
        <v>5612</v>
      </c>
      <c r="H565" s="28" t="n">
        <v>611.66</v>
      </c>
    </row>
    <row r="566">
      <c r="A566" s="26" t="n">
        <v>46236</v>
      </c>
      <c r="B566" s="27" t="inlineStr">
        <is>
          <t>SMA04</t>
        </is>
      </c>
      <c r="C566" s="27" t="inlineStr">
        <is>
          <t>Smartphone model 4</t>
        </is>
      </c>
      <c r="D566" s="27" t="inlineStr">
        <is>
          <t>Smartphone</t>
        </is>
      </c>
      <c r="E566" s="27" t="n">
        <v>8</v>
      </c>
      <c r="F566" s="28" t="n">
        <v>12099.69</v>
      </c>
      <c r="G566" s="28" t="n">
        <v>11224</v>
      </c>
      <c r="H566" s="28" t="n">
        <v>875.6900000000001</v>
      </c>
    </row>
    <row r="567">
      <c r="A567" s="26" t="n">
        <v>46243</v>
      </c>
      <c r="B567" s="27" t="inlineStr">
        <is>
          <t>SMA04</t>
        </is>
      </c>
      <c r="C567" s="27" t="inlineStr">
        <is>
          <t>Smartphone model 4</t>
        </is>
      </c>
      <c r="D567" s="27" t="inlineStr">
        <is>
          <t>Smartphone</t>
        </is>
      </c>
      <c r="E567" s="27" t="n">
        <v>12</v>
      </c>
      <c r="F567" s="28" t="n">
        <v>18671.36</v>
      </c>
      <c r="G567" s="28" t="n">
        <v>16836</v>
      </c>
      <c r="H567" s="28" t="n">
        <v>1835.36</v>
      </c>
    </row>
    <row r="568">
      <c r="A568" s="26" t="n">
        <v>46250</v>
      </c>
      <c r="B568" s="27" t="inlineStr">
        <is>
          <t>SMA04</t>
        </is>
      </c>
      <c r="C568" s="27" t="inlineStr">
        <is>
          <t>Smartphone model 4</t>
        </is>
      </c>
      <c r="D568" s="27" t="inlineStr">
        <is>
          <t>Smartphone</t>
        </is>
      </c>
      <c r="E568" s="27" t="n">
        <v>10</v>
      </c>
      <c r="F568" s="28" t="n">
        <v>15348.81</v>
      </c>
      <c r="G568" s="28" t="n">
        <v>14030</v>
      </c>
      <c r="H568" s="28" t="n">
        <v>1318.81</v>
      </c>
    </row>
    <row r="569">
      <c r="A569" s="26" t="n">
        <v>46257</v>
      </c>
      <c r="B569" s="27" t="inlineStr">
        <is>
          <t>SMA04</t>
        </is>
      </c>
      <c r="C569" s="27" t="inlineStr">
        <is>
          <t>Smartphone model 4</t>
        </is>
      </c>
      <c r="D569" s="27" t="inlineStr">
        <is>
          <t>Smartphone</t>
        </is>
      </c>
      <c r="E569" s="27" t="n">
        <v>12</v>
      </c>
      <c r="F569" s="28" t="n">
        <v>18742.73</v>
      </c>
      <c r="G569" s="28" t="n">
        <v>16836</v>
      </c>
      <c r="H569" s="28" t="n">
        <v>1906.73</v>
      </c>
    </row>
    <row r="570">
      <c r="A570" s="26" t="n">
        <v>46264</v>
      </c>
      <c r="B570" s="27" t="inlineStr">
        <is>
          <t>SMA04</t>
        </is>
      </c>
      <c r="C570" s="27" t="inlineStr">
        <is>
          <t>Smartphone model 4</t>
        </is>
      </c>
      <c r="D570" s="27" t="inlineStr">
        <is>
          <t>Smartphone</t>
        </is>
      </c>
      <c r="E570" s="27" t="n">
        <v>8</v>
      </c>
      <c r="F570" s="28" t="n">
        <v>12735.42</v>
      </c>
      <c r="G570" s="28" t="n">
        <v>11224</v>
      </c>
      <c r="H570" s="28" t="n">
        <v>1511.42</v>
      </c>
    </row>
    <row r="571">
      <c r="A571" s="26" t="n">
        <v>46271</v>
      </c>
      <c r="B571" s="27" t="inlineStr">
        <is>
          <t>SMA04</t>
        </is>
      </c>
      <c r="C571" s="27" t="inlineStr">
        <is>
          <t>Smartphone model 4</t>
        </is>
      </c>
      <c r="D571" s="27" t="inlineStr">
        <is>
          <t>Smartphone</t>
        </is>
      </c>
      <c r="E571" s="27" t="n">
        <v>6</v>
      </c>
      <c r="F571" s="28" t="n">
        <v>9504.75</v>
      </c>
      <c r="G571" s="28" t="n">
        <v>8418</v>
      </c>
      <c r="H571" s="28" t="n">
        <v>1086.75</v>
      </c>
    </row>
    <row r="572">
      <c r="A572" s="26" t="n">
        <v>46278</v>
      </c>
      <c r="B572" s="27" t="inlineStr">
        <is>
          <t>SMA04</t>
        </is>
      </c>
      <c r="C572" s="27" t="inlineStr">
        <is>
          <t>Smartphone model 4</t>
        </is>
      </c>
      <c r="D572" s="27" t="inlineStr">
        <is>
          <t>Smartphone</t>
        </is>
      </c>
      <c r="E572" s="27" t="n">
        <v>6</v>
      </c>
      <c r="F572" s="28" t="n">
        <v>9345.43</v>
      </c>
      <c r="G572" s="28" t="n">
        <v>8418</v>
      </c>
      <c r="H572" s="28" t="n">
        <v>927.4299999999999</v>
      </c>
    </row>
    <row r="573">
      <c r="A573" s="26" t="n">
        <v>46285</v>
      </c>
      <c r="B573" s="27" t="inlineStr">
        <is>
          <t>SMA04</t>
        </is>
      </c>
      <c r="C573" s="27" t="inlineStr">
        <is>
          <t>Smartphone model 4</t>
        </is>
      </c>
      <c r="D573" s="27" t="inlineStr">
        <is>
          <t>Smartphone</t>
        </is>
      </c>
      <c r="E573" s="27" t="n">
        <v>10</v>
      </c>
      <c r="F573" s="28" t="n">
        <v>14998.05</v>
      </c>
      <c r="G573" s="28" t="n">
        <v>14030</v>
      </c>
      <c r="H573" s="28" t="n">
        <v>968.05</v>
      </c>
    </row>
    <row r="574">
      <c r="A574" s="26" t="n">
        <v>46110</v>
      </c>
      <c r="B574" s="27" t="inlineStr">
        <is>
          <t>SMA05</t>
        </is>
      </c>
      <c r="C574" s="27" t="inlineStr">
        <is>
          <t>Smartphone model 5</t>
        </is>
      </c>
      <c r="D574" s="27" t="inlineStr">
        <is>
          <t>Smartphone</t>
        </is>
      </c>
      <c r="E574" s="27" t="n">
        <v>11</v>
      </c>
      <c r="F574" s="28" t="n">
        <v>17831.32</v>
      </c>
      <c r="G574" s="28" t="n">
        <v>15631</v>
      </c>
      <c r="H574" s="28" t="n">
        <v>2200.32</v>
      </c>
    </row>
    <row r="575">
      <c r="A575" s="26" t="n">
        <v>46117</v>
      </c>
      <c r="B575" s="27" t="inlineStr">
        <is>
          <t>SMA05</t>
        </is>
      </c>
      <c r="C575" s="27" t="inlineStr">
        <is>
          <t>Smartphone model 5</t>
        </is>
      </c>
      <c r="D575" s="27" t="inlineStr">
        <is>
          <t>Smartphone</t>
        </is>
      </c>
      <c r="E575" s="27" t="n">
        <v>11</v>
      </c>
      <c r="F575" s="28" t="n">
        <v>18147.87</v>
      </c>
      <c r="G575" s="28" t="n">
        <v>15631</v>
      </c>
      <c r="H575" s="28" t="n">
        <v>2516.87</v>
      </c>
    </row>
    <row r="576">
      <c r="A576" s="26" t="n">
        <v>46124</v>
      </c>
      <c r="B576" s="27" t="inlineStr">
        <is>
          <t>SMA05</t>
        </is>
      </c>
      <c r="C576" s="27" t="inlineStr">
        <is>
          <t>Smartphone model 5</t>
        </is>
      </c>
      <c r="D576" s="27" t="inlineStr">
        <is>
          <t>Smartphone</t>
        </is>
      </c>
      <c r="E576" s="27" t="n">
        <v>16</v>
      </c>
      <c r="F576" s="28" t="n">
        <v>26845.96</v>
      </c>
      <c r="G576" s="28" t="n">
        <v>22736</v>
      </c>
      <c r="H576" s="28" t="n">
        <v>4109.96</v>
      </c>
    </row>
    <row r="577">
      <c r="A577" s="26" t="n">
        <v>46131</v>
      </c>
      <c r="B577" s="27" t="inlineStr">
        <is>
          <t>SMA05</t>
        </is>
      </c>
      <c r="C577" s="27" t="inlineStr">
        <is>
          <t>Smartphone model 5</t>
        </is>
      </c>
      <c r="D577" s="27" t="inlineStr">
        <is>
          <t>Smartphone</t>
        </is>
      </c>
      <c r="E577" s="27" t="n">
        <v>13</v>
      </c>
      <c r="F577" s="28" t="n">
        <v>20429.04</v>
      </c>
      <c r="G577" s="28" t="n">
        <v>18473</v>
      </c>
      <c r="H577" s="28" t="n">
        <v>1956.04</v>
      </c>
    </row>
    <row r="578">
      <c r="A578" s="26" t="n">
        <v>46138</v>
      </c>
      <c r="B578" s="27" t="inlineStr">
        <is>
          <t>SMA05</t>
        </is>
      </c>
      <c r="C578" s="27" t="inlineStr">
        <is>
          <t>Smartphone model 5</t>
        </is>
      </c>
      <c r="D578" s="27" t="inlineStr">
        <is>
          <t>Smartphone</t>
        </is>
      </c>
      <c r="E578" s="27" t="n">
        <v>5</v>
      </c>
      <c r="F578" s="28" t="n">
        <v>7809.16</v>
      </c>
      <c r="G578" s="28" t="n">
        <v>7105</v>
      </c>
      <c r="H578" s="28" t="n">
        <v>704.16</v>
      </c>
    </row>
    <row r="579">
      <c r="A579" s="26" t="n">
        <v>46145</v>
      </c>
      <c r="B579" s="27" t="inlineStr">
        <is>
          <t>SMA05</t>
        </is>
      </c>
      <c r="C579" s="27" t="inlineStr">
        <is>
          <t>Smartphone model 5</t>
        </is>
      </c>
      <c r="D579" s="27" t="inlineStr">
        <is>
          <t>Smartphone</t>
        </is>
      </c>
      <c r="E579" s="27" t="n">
        <v>13</v>
      </c>
      <c r="F579" s="28" t="n">
        <v>20964.86</v>
      </c>
      <c r="G579" s="28" t="n">
        <v>18473</v>
      </c>
      <c r="H579" s="28" t="n">
        <v>2491.86</v>
      </c>
    </row>
    <row r="580">
      <c r="A580" s="26" t="n">
        <v>46152</v>
      </c>
      <c r="B580" s="27" t="inlineStr">
        <is>
          <t>SMA05</t>
        </is>
      </c>
      <c r="C580" s="27" t="inlineStr">
        <is>
          <t>Smartphone model 5</t>
        </is>
      </c>
      <c r="D580" s="27" t="inlineStr">
        <is>
          <t>Smartphone</t>
        </is>
      </c>
      <c r="E580" s="27" t="n">
        <v>10</v>
      </c>
      <c r="F580" s="28" t="n">
        <v>15653.49</v>
      </c>
      <c r="G580" s="28" t="n">
        <v>14210</v>
      </c>
      <c r="H580" s="28" t="n">
        <v>1443.49</v>
      </c>
    </row>
    <row r="581">
      <c r="A581" s="26" t="n">
        <v>46159</v>
      </c>
      <c r="B581" s="27" t="inlineStr">
        <is>
          <t>SMA05</t>
        </is>
      </c>
      <c r="C581" s="27" t="inlineStr">
        <is>
          <t>Smartphone model 5</t>
        </is>
      </c>
      <c r="D581" s="27" t="inlineStr">
        <is>
          <t>Smartphone</t>
        </is>
      </c>
      <c r="E581" s="27" t="n">
        <v>16</v>
      </c>
      <c r="F581" s="28" t="n">
        <v>25055.54</v>
      </c>
      <c r="G581" s="28" t="n">
        <v>22736</v>
      </c>
      <c r="H581" s="28" t="n">
        <v>2319.54</v>
      </c>
    </row>
    <row r="582">
      <c r="A582" s="26" t="n">
        <v>46166</v>
      </c>
      <c r="B582" s="27" t="inlineStr">
        <is>
          <t>SMA05</t>
        </is>
      </c>
      <c r="C582" s="27" t="inlineStr">
        <is>
          <t>Smartphone model 5</t>
        </is>
      </c>
      <c r="D582" s="27" t="inlineStr">
        <is>
          <t>Smartphone</t>
        </is>
      </c>
      <c r="E582" s="27" t="n">
        <v>11</v>
      </c>
      <c r="F582" s="28" t="n">
        <v>17827.65</v>
      </c>
      <c r="G582" s="28" t="n">
        <v>15631</v>
      </c>
      <c r="H582" s="28" t="n">
        <v>2196.65</v>
      </c>
    </row>
    <row r="583">
      <c r="A583" s="26" t="n">
        <v>46173</v>
      </c>
      <c r="B583" s="27" t="inlineStr">
        <is>
          <t>SMA05</t>
        </is>
      </c>
      <c r="C583" s="27" t="inlineStr">
        <is>
          <t>Smartphone model 5</t>
        </is>
      </c>
      <c r="D583" s="27" t="inlineStr">
        <is>
          <t>Smartphone</t>
        </is>
      </c>
      <c r="E583" s="27" t="n">
        <v>10</v>
      </c>
      <c r="F583" s="28" t="n">
        <v>15236.59</v>
      </c>
      <c r="G583" s="28" t="n">
        <v>14210</v>
      </c>
      <c r="H583" s="28" t="n">
        <v>1026.59</v>
      </c>
    </row>
    <row r="584">
      <c r="A584" s="26" t="n">
        <v>46180</v>
      </c>
      <c r="B584" s="27" t="inlineStr">
        <is>
          <t>SMA05</t>
        </is>
      </c>
      <c r="C584" s="27" t="inlineStr">
        <is>
          <t>Smartphone model 5</t>
        </is>
      </c>
      <c r="D584" s="27" t="inlineStr">
        <is>
          <t>Smartphone</t>
        </is>
      </c>
      <c r="E584" s="27" t="n">
        <v>8</v>
      </c>
      <c r="F584" s="28" t="n">
        <v>12337.3</v>
      </c>
      <c r="G584" s="28" t="n">
        <v>11368</v>
      </c>
      <c r="H584" s="28" t="n">
        <v>969.3</v>
      </c>
    </row>
    <row r="585">
      <c r="A585" s="26" t="n">
        <v>46187</v>
      </c>
      <c r="B585" s="27" t="inlineStr">
        <is>
          <t>SMA05</t>
        </is>
      </c>
      <c r="C585" s="27" t="inlineStr">
        <is>
          <t>Smartphone model 5</t>
        </is>
      </c>
      <c r="D585" s="27" t="inlineStr">
        <is>
          <t>Smartphone</t>
        </is>
      </c>
      <c r="E585" s="27" t="n">
        <v>12</v>
      </c>
      <c r="F585" s="28" t="n">
        <v>19256.03</v>
      </c>
      <c r="G585" s="28" t="n">
        <v>17052</v>
      </c>
      <c r="H585" s="28" t="n">
        <v>2204.03</v>
      </c>
    </row>
    <row r="586">
      <c r="A586" s="26" t="n">
        <v>46194</v>
      </c>
      <c r="B586" s="27" t="inlineStr">
        <is>
          <t>SMA05</t>
        </is>
      </c>
      <c r="C586" s="27" t="inlineStr">
        <is>
          <t>Smartphone model 5</t>
        </is>
      </c>
      <c r="D586" s="27" t="inlineStr">
        <is>
          <t>Smartphone</t>
        </is>
      </c>
      <c r="E586" s="27" t="n">
        <v>14</v>
      </c>
      <c r="F586" s="28" t="n">
        <v>21864.52</v>
      </c>
      <c r="G586" s="28" t="n">
        <v>19894</v>
      </c>
      <c r="H586" s="28" t="n">
        <v>1970.52</v>
      </c>
    </row>
    <row r="587">
      <c r="A587" s="26" t="n">
        <v>46201</v>
      </c>
      <c r="B587" s="27" t="inlineStr">
        <is>
          <t>SMA05</t>
        </is>
      </c>
      <c r="C587" s="27" t="inlineStr">
        <is>
          <t>Smartphone model 5</t>
        </is>
      </c>
      <c r="D587" s="27" t="inlineStr">
        <is>
          <t>Smartphone</t>
        </is>
      </c>
      <c r="E587" s="27" t="n">
        <v>8</v>
      </c>
      <c r="F587" s="28" t="n">
        <v>12115.41</v>
      </c>
      <c r="G587" s="28" t="n">
        <v>11368</v>
      </c>
      <c r="H587" s="28" t="n">
        <v>747.41</v>
      </c>
    </row>
    <row r="588">
      <c r="A588" s="26" t="n">
        <v>46208</v>
      </c>
      <c r="B588" s="27" t="inlineStr">
        <is>
          <t>SMA05</t>
        </is>
      </c>
      <c r="C588" s="27" t="inlineStr">
        <is>
          <t>Smartphone model 5</t>
        </is>
      </c>
      <c r="D588" s="27" t="inlineStr">
        <is>
          <t>Smartphone</t>
        </is>
      </c>
      <c r="E588" s="27" t="n">
        <v>6</v>
      </c>
      <c r="F588" s="28" t="n">
        <v>9060.85</v>
      </c>
      <c r="G588" s="28" t="n">
        <v>8526</v>
      </c>
      <c r="H588" s="28" t="n">
        <v>534.85</v>
      </c>
    </row>
    <row r="589">
      <c r="A589" s="26" t="n">
        <v>46215</v>
      </c>
      <c r="B589" s="27" t="inlineStr">
        <is>
          <t>SMA05</t>
        </is>
      </c>
      <c r="C589" s="27" t="inlineStr">
        <is>
          <t>Smartphone model 5</t>
        </is>
      </c>
      <c r="D589" s="27" t="inlineStr">
        <is>
          <t>Smartphone</t>
        </is>
      </c>
      <c r="E589" s="27" t="n">
        <v>12</v>
      </c>
      <c r="F589" s="28" t="n">
        <v>17807.13</v>
      </c>
      <c r="G589" s="28" t="n">
        <v>17052</v>
      </c>
      <c r="H589" s="28" t="n">
        <v>755.13</v>
      </c>
    </row>
    <row r="590">
      <c r="A590" s="26" t="n">
        <v>46222</v>
      </c>
      <c r="B590" s="27" t="inlineStr">
        <is>
          <t>SMA05</t>
        </is>
      </c>
      <c r="C590" s="27" t="inlineStr">
        <is>
          <t>Smartphone model 5</t>
        </is>
      </c>
      <c r="D590" s="27" t="inlineStr">
        <is>
          <t>Smartphone</t>
        </is>
      </c>
      <c r="E590" s="27" t="n">
        <v>10</v>
      </c>
      <c r="F590" s="28" t="n">
        <v>15488.41</v>
      </c>
      <c r="G590" s="28" t="n">
        <v>14210</v>
      </c>
      <c r="H590" s="28" t="n">
        <v>1278.41</v>
      </c>
    </row>
    <row r="591">
      <c r="A591" s="26" t="n">
        <v>46229</v>
      </c>
      <c r="B591" s="27" t="inlineStr">
        <is>
          <t>SMA05</t>
        </is>
      </c>
      <c r="C591" s="27" t="inlineStr">
        <is>
          <t>Smartphone model 5</t>
        </is>
      </c>
      <c r="D591" s="27" t="inlineStr">
        <is>
          <t>Smartphone</t>
        </is>
      </c>
      <c r="E591" s="27" t="n">
        <v>7</v>
      </c>
      <c r="F591" s="28" t="n">
        <v>10399.02</v>
      </c>
      <c r="G591" s="28" t="n">
        <v>9947</v>
      </c>
      <c r="H591" s="28" t="n">
        <v>452.02</v>
      </c>
    </row>
    <row r="592">
      <c r="A592" s="26" t="n">
        <v>46236</v>
      </c>
      <c r="B592" s="27" t="inlineStr">
        <is>
          <t>SMA05</t>
        </is>
      </c>
      <c r="C592" s="27" t="inlineStr">
        <is>
          <t>Smartphone model 5</t>
        </is>
      </c>
      <c r="D592" s="27" t="inlineStr">
        <is>
          <t>Smartphone</t>
        </is>
      </c>
      <c r="E592" s="27" t="n">
        <v>10</v>
      </c>
      <c r="F592" s="28" t="n">
        <v>14931.82</v>
      </c>
      <c r="G592" s="28" t="n">
        <v>14210</v>
      </c>
      <c r="H592" s="28" t="n">
        <v>721.8200000000001</v>
      </c>
    </row>
    <row r="593">
      <c r="A593" s="26" t="n">
        <v>46243</v>
      </c>
      <c r="B593" s="27" t="inlineStr">
        <is>
          <t>SMA05</t>
        </is>
      </c>
      <c r="C593" s="27" t="inlineStr">
        <is>
          <t>Smartphone model 5</t>
        </is>
      </c>
      <c r="D593" s="27" t="inlineStr">
        <is>
          <t>Smartphone</t>
        </is>
      </c>
      <c r="E593" s="27" t="n">
        <v>10</v>
      </c>
      <c r="F593" s="28" t="n">
        <v>14612.24</v>
      </c>
      <c r="G593" s="28" t="n">
        <v>14210</v>
      </c>
      <c r="H593" s="28" t="n">
        <v>402.24</v>
      </c>
    </row>
    <row r="594">
      <c r="A594" s="26" t="n">
        <v>46250</v>
      </c>
      <c r="B594" s="27" t="inlineStr">
        <is>
          <t>SMA05</t>
        </is>
      </c>
      <c r="C594" s="27" t="inlineStr">
        <is>
          <t>Smartphone model 5</t>
        </is>
      </c>
      <c r="D594" s="27" t="inlineStr">
        <is>
          <t>Smartphone</t>
        </is>
      </c>
      <c r="E594" s="27" t="n">
        <v>9</v>
      </c>
      <c r="F594" s="28" t="n">
        <v>13430.05</v>
      </c>
      <c r="G594" s="28" t="n">
        <v>12789</v>
      </c>
      <c r="H594" s="28" t="n">
        <v>641.05</v>
      </c>
    </row>
    <row r="595">
      <c r="A595" s="26" t="n">
        <v>46257</v>
      </c>
      <c r="B595" s="27" t="inlineStr">
        <is>
          <t>SMA05</t>
        </is>
      </c>
      <c r="C595" s="27" t="inlineStr">
        <is>
          <t>Smartphone model 5</t>
        </is>
      </c>
      <c r="D595" s="27" t="inlineStr">
        <is>
          <t>Smartphone</t>
        </is>
      </c>
      <c r="E595" s="27" t="n">
        <v>14</v>
      </c>
      <c r="F595" s="28" t="n">
        <v>20908.38</v>
      </c>
      <c r="G595" s="28" t="n">
        <v>19894</v>
      </c>
      <c r="H595" s="28" t="n">
        <v>1014.38</v>
      </c>
    </row>
    <row r="596">
      <c r="A596" s="26" t="n">
        <v>46264</v>
      </c>
      <c r="B596" s="27" t="inlineStr">
        <is>
          <t>SMA05</t>
        </is>
      </c>
      <c r="C596" s="27" t="inlineStr">
        <is>
          <t>Smartphone model 5</t>
        </is>
      </c>
      <c r="D596" s="27" t="inlineStr">
        <is>
          <t>Smartphone</t>
        </is>
      </c>
      <c r="E596" s="27" t="n">
        <v>11</v>
      </c>
      <c r="F596" s="28" t="n">
        <v>15816.53</v>
      </c>
      <c r="G596" s="28" t="n">
        <v>15631</v>
      </c>
      <c r="H596" s="28" t="n">
        <v>185.53</v>
      </c>
    </row>
    <row r="597">
      <c r="A597" s="26" t="n">
        <v>46271</v>
      </c>
      <c r="B597" s="27" t="inlineStr">
        <is>
          <t>SMA05</t>
        </is>
      </c>
      <c r="C597" s="27" t="inlineStr">
        <is>
          <t>Smartphone model 5</t>
        </is>
      </c>
      <c r="D597" s="27" t="inlineStr">
        <is>
          <t>Smartphone</t>
        </is>
      </c>
      <c r="E597" s="27" t="n">
        <v>9</v>
      </c>
      <c r="F597" s="28" t="n">
        <v>13425.31</v>
      </c>
      <c r="G597" s="28" t="n">
        <v>12789</v>
      </c>
      <c r="H597" s="28" t="n">
        <v>636.3099999999999</v>
      </c>
    </row>
    <row r="598">
      <c r="A598" s="26" t="n">
        <v>46278</v>
      </c>
      <c r="B598" s="27" t="inlineStr">
        <is>
          <t>SMA05</t>
        </is>
      </c>
      <c r="C598" s="27" t="inlineStr">
        <is>
          <t>Smartphone model 5</t>
        </is>
      </c>
      <c r="D598" s="27" t="inlineStr">
        <is>
          <t>Smartphone</t>
        </is>
      </c>
      <c r="E598" s="27" t="n">
        <v>6</v>
      </c>
      <c r="F598" s="28" t="n">
        <v>8977.969999999999</v>
      </c>
      <c r="G598" s="28" t="n">
        <v>8526</v>
      </c>
      <c r="H598" s="28" t="n">
        <v>451.97</v>
      </c>
    </row>
    <row r="599">
      <c r="A599" s="26" t="n">
        <v>46285</v>
      </c>
      <c r="B599" s="27" t="inlineStr">
        <is>
          <t>SMA05</t>
        </is>
      </c>
      <c r="C599" s="27" t="inlineStr">
        <is>
          <t>Smartphone model 5</t>
        </is>
      </c>
      <c r="D599" s="27" t="inlineStr">
        <is>
          <t>Smartphone</t>
        </is>
      </c>
      <c r="E599" s="27" t="n">
        <v>12</v>
      </c>
      <c r="F599" s="28" t="n">
        <v>17553.4</v>
      </c>
      <c r="G599" s="28" t="n">
        <v>17052</v>
      </c>
      <c r="H599" s="28" t="n">
        <v>501.4</v>
      </c>
    </row>
    <row r="600">
      <c r="A600" s="26" t="n">
        <v>46110</v>
      </c>
      <c r="B600" s="27" t="inlineStr">
        <is>
          <t>SMA06</t>
        </is>
      </c>
      <c r="C600" s="27" t="inlineStr">
        <is>
          <t>Smartphone model 6</t>
        </is>
      </c>
      <c r="D600" s="27" t="inlineStr">
        <is>
          <t>Smartphone</t>
        </is>
      </c>
      <c r="E600" s="27" t="n">
        <v>1</v>
      </c>
      <c r="F600" s="28" t="n">
        <v>1253</v>
      </c>
      <c r="G600" s="28" t="n">
        <v>1056</v>
      </c>
      <c r="H600" s="28" t="n">
        <v>197</v>
      </c>
    </row>
    <row r="601">
      <c r="A601" s="26" t="n">
        <v>46117</v>
      </c>
      <c r="B601" s="27" t="inlineStr">
        <is>
          <t>SMA06</t>
        </is>
      </c>
      <c r="C601" s="27" t="inlineStr">
        <is>
          <t>Smartphone model 6</t>
        </is>
      </c>
      <c r="D601" s="27" t="inlineStr">
        <is>
          <t>Smartphone</t>
        </is>
      </c>
      <c r="E601" s="27" t="n">
        <v>1</v>
      </c>
      <c r="F601" s="28" t="n">
        <v>1185.93</v>
      </c>
      <c r="G601" s="28" t="n">
        <v>1056</v>
      </c>
      <c r="H601" s="28" t="n">
        <v>129.93</v>
      </c>
    </row>
    <row r="602">
      <c r="A602" s="26" t="n">
        <v>46124</v>
      </c>
      <c r="B602" s="27" t="inlineStr">
        <is>
          <t>SMA06</t>
        </is>
      </c>
      <c r="C602" s="27" t="inlineStr">
        <is>
          <t>Smartphone model 6</t>
        </is>
      </c>
      <c r="D602" s="27" t="inlineStr">
        <is>
          <t>Smartphone</t>
        </is>
      </c>
      <c r="E602" s="27" t="n">
        <v>5</v>
      </c>
      <c r="F602" s="28" t="n">
        <v>6104.95</v>
      </c>
      <c r="G602" s="28" t="n">
        <v>5280</v>
      </c>
      <c r="H602" s="28" t="n">
        <v>824.95</v>
      </c>
    </row>
    <row r="603">
      <c r="A603" s="26" t="n">
        <v>46131</v>
      </c>
      <c r="B603" s="27" t="inlineStr">
        <is>
          <t>SMA06</t>
        </is>
      </c>
      <c r="C603" s="27" t="inlineStr">
        <is>
          <t>Smartphone model 6</t>
        </is>
      </c>
      <c r="D603" s="27" t="inlineStr">
        <is>
          <t>Smartphone</t>
        </is>
      </c>
      <c r="E603" s="27" t="n">
        <v>3</v>
      </c>
      <c r="F603" s="28" t="n">
        <v>3685.46</v>
      </c>
      <c r="G603" s="28" t="n">
        <v>3168</v>
      </c>
      <c r="H603" s="28" t="n">
        <v>517.46</v>
      </c>
    </row>
    <row r="604">
      <c r="A604" s="26" t="n">
        <v>46138</v>
      </c>
      <c r="B604" s="27" t="inlineStr">
        <is>
          <t>SMA06</t>
        </is>
      </c>
      <c r="C604" s="27" t="inlineStr">
        <is>
          <t>Smartphone model 6</t>
        </is>
      </c>
      <c r="D604" s="27" t="inlineStr">
        <is>
          <t>Smartphone</t>
        </is>
      </c>
      <c r="E604" s="27" t="n">
        <v>3</v>
      </c>
      <c r="F604" s="28" t="n">
        <v>3618.44</v>
      </c>
      <c r="G604" s="28" t="n">
        <v>3168</v>
      </c>
      <c r="H604" s="28" t="n">
        <v>450.44</v>
      </c>
    </row>
    <row r="605">
      <c r="A605" s="26" t="n">
        <v>46145</v>
      </c>
      <c r="B605" s="27" t="inlineStr">
        <is>
          <t>SMA06</t>
        </is>
      </c>
      <c r="C605" s="27" t="inlineStr">
        <is>
          <t>Smartphone model 6</t>
        </is>
      </c>
      <c r="D605" s="27" t="inlineStr">
        <is>
          <t>Smartphone</t>
        </is>
      </c>
      <c r="E605" s="27" t="n">
        <v>2</v>
      </c>
      <c r="F605" s="28" t="n">
        <v>2384.61</v>
      </c>
      <c r="G605" s="28" t="n">
        <v>2112</v>
      </c>
      <c r="H605" s="28" t="n">
        <v>272.61</v>
      </c>
    </row>
    <row r="606">
      <c r="A606" s="26" t="n">
        <v>46152</v>
      </c>
      <c r="B606" s="27" t="inlineStr">
        <is>
          <t>SMA06</t>
        </is>
      </c>
      <c r="C606" s="27" t="inlineStr">
        <is>
          <t>Smartphone model 6</t>
        </is>
      </c>
      <c r="D606" s="27" t="inlineStr">
        <is>
          <t>Smartphone</t>
        </is>
      </c>
      <c r="E606" s="27" t="n">
        <v>1</v>
      </c>
      <c r="F606" s="28" t="n">
        <v>1200.44</v>
      </c>
      <c r="G606" s="28" t="n">
        <v>1056</v>
      </c>
      <c r="H606" s="28" t="n">
        <v>144.44</v>
      </c>
    </row>
    <row r="607">
      <c r="A607" s="26" t="n">
        <v>46159</v>
      </c>
      <c r="B607" s="27" t="inlineStr">
        <is>
          <t>SMA06</t>
        </is>
      </c>
      <c r="C607" s="27" t="inlineStr">
        <is>
          <t>Smartphone model 6</t>
        </is>
      </c>
      <c r="D607" s="27" t="inlineStr">
        <is>
          <t>Smartphone</t>
        </is>
      </c>
      <c r="E607" s="27" t="n">
        <v>4</v>
      </c>
      <c r="F607" s="28" t="n">
        <v>4966.83</v>
      </c>
      <c r="G607" s="28" t="n">
        <v>4224</v>
      </c>
      <c r="H607" s="28" t="n">
        <v>742.83</v>
      </c>
    </row>
    <row r="608">
      <c r="A608" s="26" t="n">
        <v>46166</v>
      </c>
      <c r="B608" s="27" t="inlineStr">
        <is>
          <t>SMA06</t>
        </is>
      </c>
      <c r="C608" s="27" t="inlineStr">
        <is>
          <t>Smartphone model 6</t>
        </is>
      </c>
      <c r="D608" s="27" t="inlineStr">
        <is>
          <t>Smartphone</t>
        </is>
      </c>
      <c r="E608" s="27" t="n">
        <v>4</v>
      </c>
      <c r="F608" s="28" t="n">
        <v>4695.37</v>
      </c>
      <c r="G608" s="28" t="n">
        <v>4224</v>
      </c>
      <c r="H608" s="28" t="n">
        <v>471.37</v>
      </c>
    </row>
    <row r="609">
      <c r="A609" s="26" t="n">
        <v>46173</v>
      </c>
      <c r="B609" s="27" t="inlineStr">
        <is>
          <t>SMA06</t>
        </is>
      </c>
      <c r="C609" s="27" t="inlineStr">
        <is>
          <t>Smartphone model 6</t>
        </is>
      </c>
      <c r="D609" s="27" t="inlineStr">
        <is>
          <t>Smartphone</t>
        </is>
      </c>
      <c r="E609" s="27" t="n">
        <v>1</v>
      </c>
      <c r="F609" s="28" t="n">
        <v>1227.09</v>
      </c>
      <c r="G609" s="28" t="n">
        <v>1056</v>
      </c>
      <c r="H609" s="28" t="n">
        <v>171.09</v>
      </c>
    </row>
    <row r="610">
      <c r="A610" s="26" t="n">
        <v>46180</v>
      </c>
      <c r="B610" s="27" t="inlineStr">
        <is>
          <t>SMA06</t>
        </is>
      </c>
      <c r="C610" s="27" t="inlineStr">
        <is>
          <t>Smartphone model 6</t>
        </is>
      </c>
      <c r="D610" s="27" t="inlineStr">
        <is>
          <t>Smartphone</t>
        </is>
      </c>
      <c r="E610" s="27" t="n">
        <v>5</v>
      </c>
      <c r="F610" s="28" t="n">
        <v>5977.03</v>
      </c>
      <c r="G610" s="28" t="n">
        <v>5280</v>
      </c>
      <c r="H610" s="28" t="n">
        <v>697.03</v>
      </c>
    </row>
    <row r="611">
      <c r="A611" s="26" t="n">
        <v>46187</v>
      </c>
      <c r="B611" s="27" t="inlineStr">
        <is>
          <t>SMA06</t>
        </is>
      </c>
      <c r="C611" s="27" t="inlineStr">
        <is>
          <t>Smartphone model 6</t>
        </is>
      </c>
      <c r="D611" s="27" t="inlineStr">
        <is>
          <t>Smartphone</t>
        </is>
      </c>
      <c r="E611" s="27" t="n">
        <v>2</v>
      </c>
      <c r="F611" s="28" t="n">
        <v>2427.83</v>
      </c>
      <c r="G611" s="28" t="n">
        <v>2112</v>
      </c>
      <c r="H611" s="28" t="n">
        <v>315.83</v>
      </c>
    </row>
    <row r="612">
      <c r="A612" s="26" t="n">
        <v>46194</v>
      </c>
      <c r="B612" s="27" t="inlineStr">
        <is>
          <t>SMA06</t>
        </is>
      </c>
      <c r="C612" s="27" t="inlineStr">
        <is>
          <t>Smartphone model 6</t>
        </is>
      </c>
      <c r="D612" s="27" t="inlineStr">
        <is>
          <t>Smartphone</t>
        </is>
      </c>
      <c r="E612" s="27" t="n">
        <v>3</v>
      </c>
      <c r="F612" s="28" t="n">
        <v>3477.43</v>
      </c>
      <c r="G612" s="28" t="n">
        <v>3168</v>
      </c>
      <c r="H612" s="28" t="n">
        <v>309.43</v>
      </c>
    </row>
    <row r="613">
      <c r="A613" s="26" t="n">
        <v>46201</v>
      </c>
      <c r="B613" s="27" t="inlineStr">
        <is>
          <t>SMA06</t>
        </is>
      </c>
      <c r="C613" s="27" t="inlineStr">
        <is>
          <t>Smartphone model 6</t>
        </is>
      </c>
      <c r="D613" s="27" t="inlineStr">
        <is>
          <t>Smartphone</t>
        </is>
      </c>
      <c r="E613" s="27" t="n">
        <v>4</v>
      </c>
      <c r="F613" s="28" t="n">
        <v>4866.52</v>
      </c>
      <c r="G613" s="28" t="n">
        <v>4224</v>
      </c>
      <c r="H613" s="28" t="n">
        <v>642.52</v>
      </c>
    </row>
    <row r="614">
      <c r="A614" s="26" t="n">
        <v>46208</v>
      </c>
      <c r="B614" s="27" t="inlineStr">
        <is>
          <t>SMA06</t>
        </is>
      </c>
      <c r="C614" s="27" t="inlineStr">
        <is>
          <t>Smartphone model 6</t>
        </is>
      </c>
      <c r="D614" s="27" t="inlineStr">
        <is>
          <t>Smartphone</t>
        </is>
      </c>
      <c r="E614" s="27" t="n">
        <v>2</v>
      </c>
      <c r="F614" s="28" t="n">
        <v>2443.9</v>
      </c>
      <c r="G614" s="28" t="n">
        <v>2112</v>
      </c>
      <c r="H614" s="28" t="n">
        <v>331.9</v>
      </c>
    </row>
    <row r="615">
      <c r="A615" s="26" t="n">
        <v>46215</v>
      </c>
      <c r="B615" s="27" t="inlineStr">
        <is>
          <t>SMA06</t>
        </is>
      </c>
      <c r="C615" s="27" t="inlineStr">
        <is>
          <t>Smartphone model 6</t>
        </is>
      </c>
      <c r="D615" s="27" t="inlineStr">
        <is>
          <t>Smartphone</t>
        </is>
      </c>
      <c r="E615" s="27" t="n">
        <v>2</v>
      </c>
      <c r="F615" s="28" t="n">
        <v>2406.49</v>
      </c>
      <c r="G615" s="28" t="n">
        <v>2112</v>
      </c>
      <c r="H615" s="28" t="n">
        <v>294.49</v>
      </c>
    </row>
    <row r="616">
      <c r="A616" s="26" t="n">
        <v>46222</v>
      </c>
      <c r="B616" s="27" t="inlineStr">
        <is>
          <t>SMA06</t>
        </is>
      </c>
      <c r="C616" s="27" t="inlineStr">
        <is>
          <t>Smartphone model 6</t>
        </is>
      </c>
      <c r="D616" s="27" t="inlineStr">
        <is>
          <t>Smartphone</t>
        </is>
      </c>
      <c r="E616" s="27" t="n">
        <v>3</v>
      </c>
      <c r="F616" s="28" t="n">
        <v>3560.39</v>
      </c>
      <c r="G616" s="28" t="n">
        <v>3168</v>
      </c>
      <c r="H616" s="28" t="n">
        <v>392.39</v>
      </c>
    </row>
    <row r="617">
      <c r="A617" s="26" t="n">
        <v>46229</v>
      </c>
      <c r="B617" s="27" t="inlineStr">
        <is>
          <t>SMA06</t>
        </is>
      </c>
      <c r="C617" s="27" t="inlineStr">
        <is>
          <t>Smartphone model 6</t>
        </is>
      </c>
      <c r="D617" s="27" t="inlineStr">
        <is>
          <t>Smartphone</t>
        </is>
      </c>
      <c r="E617" s="27" t="n">
        <v>3</v>
      </c>
      <c r="F617" s="28" t="n">
        <v>3456.13</v>
      </c>
      <c r="G617" s="28" t="n">
        <v>3168</v>
      </c>
      <c r="H617" s="28" t="n">
        <v>288.13</v>
      </c>
    </row>
    <row r="618">
      <c r="A618" s="26" t="n">
        <v>46236</v>
      </c>
      <c r="B618" s="27" t="inlineStr">
        <is>
          <t>SMA06</t>
        </is>
      </c>
      <c r="C618" s="27" t="inlineStr">
        <is>
          <t>Smartphone model 6</t>
        </is>
      </c>
      <c r="D618" s="27" t="inlineStr">
        <is>
          <t>Smartphone</t>
        </is>
      </c>
      <c r="E618" s="27" t="n">
        <v>6</v>
      </c>
      <c r="F618" s="28" t="n">
        <v>7174.24</v>
      </c>
      <c r="G618" s="28" t="n">
        <v>6336</v>
      </c>
      <c r="H618" s="28" t="n">
        <v>838.24</v>
      </c>
    </row>
    <row r="619">
      <c r="A619" s="26" t="n">
        <v>46243</v>
      </c>
      <c r="B619" s="27" t="inlineStr">
        <is>
          <t>SMA06</t>
        </is>
      </c>
      <c r="C619" s="27" t="inlineStr">
        <is>
          <t>Smartphone model 6</t>
        </is>
      </c>
      <c r="D619" s="27" t="inlineStr">
        <is>
          <t>Smartphone</t>
        </is>
      </c>
      <c r="E619" s="27" t="n">
        <v>5</v>
      </c>
      <c r="F619" s="28" t="n">
        <v>5854.42</v>
      </c>
      <c r="G619" s="28" t="n">
        <v>5280</v>
      </c>
      <c r="H619" s="28" t="n">
        <v>574.42</v>
      </c>
    </row>
    <row r="620">
      <c r="A620" s="26" t="n">
        <v>46250</v>
      </c>
      <c r="B620" s="27" t="inlineStr">
        <is>
          <t>SMA06</t>
        </is>
      </c>
      <c r="C620" s="27" t="inlineStr">
        <is>
          <t>Smartphone model 6</t>
        </is>
      </c>
      <c r="D620" s="27" t="inlineStr">
        <is>
          <t>Smartphone</t>
        </is>
      </c>
      <c r="E620" s="27" t="n">
        <v>4</v>
      </c>
      <c r="F620" s="28" t="n">
        <v>4713.37</v>
      </c>
      <c r="G620" s="28" t="n">
        <v>4224</v>
      </c>
      <c r="H620" s="28" t="n">
        <v>489.37</v>
      </c>
    </row>
    <row r="621">
      <c r="A621" s="26" t="n">
        <v>46257</v>
      </c>
      <c r="B621" s="27" t="inlineStr">
        <is>
          <t>SMA06</t>
        </is>
      </c>
      <c r="C621" s="27" t="inlineStr">
        <is>
          <t>Smartphone model 6</t>
        </is>
      </c>
      <c r="D621" s="27" t="inlineStr">
        <is>
          <t>Smartphone</t>
        </is>
      </c>
      <c r="E621" s="27" t="n">
        <v>5</v>
      </c>
      <c r="F621" s="28" t="n">
        <v>5784.46</v>
      </c>
      <c r="G621" s="28" t="n">
        <v>5280</v>
      </c>
      <c r="H621" s="28" t="n">
        <v>504.46</v>
      </c>
    </row>
    <row r="622">
      <c r="A622" s="26" t="n">
        <v>46264</v>
      </c>
      <c r="B622" s="27" t="inlineStr">
        <is>
          <t>SMA06</t>
        </is>
      </c>
      <c r="C622" s="27" t="inlineStr">
        <is>
          <t>Smartphone model 6</t>
        </is>
      </c>
      <c r="D622" s="27" t="inlineStr">
        <is>
          <t>Smartphone</t>
        </is>
      </c>
      <c r="E622" s="27" t="n">
        <v>3</v>
      </c>
      <c r="F622" s="28" t="n">
        <v>3453.81</v>
      </c>
      <c r="G622" s="28" t="n">
        <v>3168</v>
      </c>
      <c r="H622" s="28" t="n">
        <v>285.81</v>
      </c>
    </row>
    <row r="623">
      <c r="A623" s="26" t="n">
        <v>46271</v>
      </c>
      <c r="B623" s="27" t="inlineStr">
        <is>
          <t>SMA06</t>
        </is>
      </c>
      <c r="C623" s="27" t="inlineStr">
        <is>
          <t>Smartphone model 6</t>
        </is>
      </c>
      <c r="D623" s="27" t="inlineStr">
        <is>
          <t>Smartphone</t>
        </is>
      </c>
      <c r="E623" s="27" t="n">
        <v>3</v>
      </c>
      <c r="F623" s="28" t="n">
        <v>3609.36</v>
      </c>
      <c r="G623" s="28" t="n">
        <v>3168</v>
      </c>
      <c r="H623" s="28" t="n">
        <v>441.36</v>
      </c>
    </row>
    <row r="624">
      <c r="A624" s="26" t="n">
        <v>46278</v>
      </c>
      <c r="B624" s="27" t="inlineStr">
        <is>
          <t>SMA06</t>
        </is>
      </c>
      <c r="C624" s="27" t="inlineStr">
        <is>
          <t>Smartphone model 6</t>
        </is>
      </c>
      <c r="D624" s="27" t="inlineStr">
        <is>
          <t>Smartphone</t>
        </is>
      </c>
      <c r="E624" s="27" t="n">
        <v>4</v>
      </c>
      <c r="F624" s="28" t="n">
        <v>4656.18</v>
      </c>
      <c r="G624" s="28" t="n">
        <v>4224</v>
      </c>
      <c r="H624" s="28" t="n">
        <v>432.18</v>
      </c>
    </row>
    <row r="625">
      <c r="A625" s="26" t="n">
        <v>46285</v>
      </c>
      <c r="B625" s="27" t="inlineStr">
        <is>
          <t>SMA06</t>
        </is>
      </c>
      <c r="C625" s="27" t="inlineStr">
        <is>
          <t>Smartphone model 6</t>
        </is>
      </c>
      <c r="D625" s="27" t="inlineStr">
        <is>
          <t>Smartphone</t>
        </is>
      </c>
      <c r="E625" s="27" t="n">
        <v>3</v>
      </c>
      <c r="F625" s="28" t="n">
        <v>3398.65</v>
      </c>
      <c r="G625" s="28" t="n">
        <v>3168</v>
      </c>
      <c r="H625" s="28" t="n">
        <v>230.65</v>
      </c>
    </row>
    <row r="626">
      <c r="A626" s="26" t="n">
        <v>46110</v>
      </c>
      <c r="B626" s="27" t="inlineStr">
        <is>
          <t>TAB01</t>
        </is>
      </c>
      <c r="C626" s="27" t="inlineStr">
        <is>
          <t>Tablet model 1</t>
        </is>
      </c>
      <c r="D626" s="27" t="inlineStr">
        <is>
          <t>Tablet</t>
        </is>
      </c>
      <c r="E626" s="27" t="n">
        <v>4</v>
      </c>
      <c r="F626" s="28" t="n">
        <v>4206.5</v>
      </c>
      <c r="G626" s="28" t="n">
        <v>3588</v>
      </c>
      <c r="H626" s="28" t="n">
        <v>618.5</v>
      </c>
    </row>
    <row r="627">
      <c r="A627" s="26" t="n">
        <v>46117</v>
      </c>
      <c r="B627" s="27" t="inlineStr">
        <is>
          <t>TAB01</t>
        </is>
      </c>
      <c r="C627" s="27" t="inlineStr">
        <is>
          <t>Tablet model 1</t>
        </is>
      </c>
      <c r="D627" s="27" t="inlineStr">
        <is>
          <t>Tablet</t>
        </is>
      </c>
      <c r="E627" s="27" t="n">
        <v>2</v>
      </c>
      <c r="F627" s="28" t="n">
        <v>2225.62</v>
      </c>
      <c r="G627" s="28" t="n">
        <v>1794</v>
      </c>
      <c r="H627" s="28" t="n">
        <v>431.62</v>
      </c>
    </row>
    <row r="628">
      <c r="A628" s="26" t="n">
        <v>46124</v>
      </c>
      <c r="B628" s="27" t="inlineStr">
        <is>
          <t>TAB01</t>
        </is>
      </c>
      <c r="C628" s="27" t="inlineStr">
        <is>
          <t>Tablet model 1</t>
        </is>
      </c>
      <c r="D628" s="27" t="inlineStr">
        <is>
          <t>Tablet</t>
        </is>
      </c>
      <c r="E628" s="27" t="n">
        <v>6</v>
      </c>
      <c r="F628" s="28" t="n">
        <v>6300.03</v>
      </c>
      <c r="G628" s="28" t="n">
        <v>5382</v>
      </c>
      <c r="H628" s="28" t="n">
        <v>918.03</v>
      </c>
    </row>
    <row r="629">
      <c r="A629" s="26" t="n">
        <v>46131</v>
      </c>
      <c r="B629" s="27" t="inlineStr">
        <is>
          <t>TAB01</t>
        </is>
      </c>
      <c r="C629" s="27" t="inlineStr">
        <is>
          <t>Tablet model 1</t>
        </is>
      </c>
      <c r="D629" s="27" t="inlineStr">
        <is>
          <t>Tablet</t>
        </is>
      </c>
      <c r="E629" s="27" t="n">
        <v>3</v>
      </c>
      <c r="F629" s="28" t="n">
        <v>3196.6</v>
      </c>
      <c r="G629" s="28" t="n">
        <v>2691</v>
      </c>
      <c r="H629" s="28" t="n">
        <v>505.6</v>
      </c>
    </row>
    <row r="630">
      <c r="A630" s="26" t="n">
        <v>46138</v>
      </c>
      <c r="B630" s="27" t="inlineStr">
        <is>
          <t>TAB01</t>
        </is>
      </c>
      <c r="C630" s="27" t="inlineStr">
        <is>
          <t>Tablet model 1</t>
        </is>
      </c>
      <c r="D630" s="27" t="inlineStr">
        <is>
          <t>Tablet</t>
        </is>
      </c>
      <c r="E630" s="27" t="n">
        <v>6</v>
      </c>
      <c r="F630" s="28" t="n">
        <v>6613.32</v>
      </c>
      <c r="G630" s="28" t="n">
        <v>5382</v>
      </c>
      <c r="H630" s="28" t="n">
        <v>1231.32</v>
      </c>
    </row>
    <row r="631">
      <c r="A631" s="26" t="n">
        <v>46145</v>
      </c>
      <c r="B631" s="27" t="inlineStr">
        <is>
          <t>TAB01</t>
        </is>
      </c>
      <c r="C631" s="27" t="inlineStr">
        <is>
          <t>Tablet model 1</t>
        </is>
      </c>
      <c r="D631" s="27" t="inlineStr">
        <is>
          <t>Tablet</t>
        </is>
      </c>
      <c r="E631" s="27" t="n">
        <v>2</v>
      </c>
      <c r="F631" s="28" t="n">
        <v>2109.19</v>
      </c>
      <c r="G631" s="28" t="n">
        <v>1794</v>
      </c>
      <c r="H631" s="28" t="n">
        <v>315.19</v>
      </c>
    </row>
    <row r="632">
      <c r="A632" s="26" t="n">
        <v>46152</v>
      </c>
      <c r="B632" s="27" t="inlineStr">
        <is>
          <t>TAB01</t>
        </is>
      </c>
      <c r="C632" s="27" t="inlineStr">
        <is>
          <t>Tablet model 1</t>
        </is>
      </c>
      <c r="D632" s="27" t="inlineStr">
        <is>
          <t>Tablet</t>
        </is>
      </c>
      <c r="E632" s="27" t="n">
        <v>2</v>
      </c>
      <c r="F632" s="28" t="n">
        <v>2096.1</v>
      </c>
      <c r="G632" s="28" t="n">
        <v>1794</v>
      </c>
      <c r="H632" s="28" t="n">
        <v>302.1</v>
      </c>
    </row>
    <row r="633">
      <c r="A633" s="26" t="n">
        <v>46159</v>
      </c>
      <c r="B633" s="27" t="inlineStr">
        <is>
          <t>TAB01</t>
        </is>
      </c>
      <c r="C633" s="27" t="inlineStr">
        <is>
          <t>Tablet model 1</t>
        </is>
      </c>
      <c r="D633" s="27" t="inlineStr">
        <is>
          <t>Tablet</t>
        </is>
      </c>
      <c r="E633" s="27" t="n">
        <v>4</v>
      </c>
      <c r="F633" s="28" t="n">
        <v>4377.32</v>
      </c>
      <c r="G633" s="28" t="n">
        <v>3588</v>
      </c>
      <c r="H633" s="28" t="n">
        <v>789.3200000000001</v>
      </c>
    </row>
    <row r="634">
      <c r="A634" s="26" t="n">
        <v>46166</v>
      </c>
      <c r="B634" s="27" t="inlineStr">
        <is>
          <t>TAB01</t>
        </is>
      </c>
      <c r="C634" s="27" t="inlineStr">
        <is>
          <t>Tablet model 1</t>
        </is>
      </c>
      <c r="D634" s="27" t="inlineStr">
        <is>
          <t>Tablet</t>
        </is>
      </c>
      <c r="E634" s="27" t="n">
        <v>2</v>
      </c>
      <c r="F634" s="28" t="n">
        <v>2065.43</v>
      </c>
      <c r="G634" s="28" t="n">
        <v>1794</v>
      </c>
      <c r="H634" s="28" t="n">
        <v>271.43</v>
      </c>
    </row>
    <row r="635">
      <c r="A635" s="26" t="n">
        <v>46173</v>
      </c>
      <c r="B635" s="27" t="inlineStr">
        <is>
          <t>TAB01</t>
        </is>
      </c>
      <c r="C635" s="27" t="inlineStr">
        <is>
          <t>Tablet model 1</t>
        </is>
      </c>
      <c r="D635" s="27" t="inlineStr">
        <is>
          <t>Tablet</t>
        </is>
      </c>
      <c r="E635" s="27" t="n">
        <v>5</v>
      </c>
      <c r="F635" s="28" t="n">
        <v>5166.88</v>
      </c>
      <c r="G635" s="28" t="n">
        <v>4485</v>
      </c>
      <c r="H635" s="28" t="n">
        <v>681.88</v>
      </c>
    </row>
    <row r="636">
      <c r="A636" s="26" t="n">
        <v>46180</v>
      </c>
      <c r="B636" s="27" t="inlineStr">
        <is>
          <t>TAB01</t>
        </is>
      </c>
      <c r="C636" s="27" t="inlineStr">
        <is>
          <t>Tablet model 1</t>
        </is>
      </c>
      <c r="D636" s="27" t="inlineStr">
        <is>
          <t>Tablet</t>
        </is>
      </c>
      <c r="E636" s="27" t="n">
        <v>3</v>
      </c>
      <c r="F636" s="28" t="n">
        <v>3184.17</v>
      </c>
      <c r="G636" s="28" t="n">
        <v>2691</v>
      </c>
      <c r="H636" s="28" t="n">
        <v>493.17</v>
      </c>
    </row>
    <row r="637">
      <c r="A637" s="26" t="n">
        <v>46187</v>
      </c>
      <c r="B637" s="27" t="inlineStr">
        <is>
          <t>TAB01</t>
        </is>
      </c>
      <c r="C637" s="27" t="inlineStr">
        <is>
          <t>Tablet model 1</t>
        </is>
      </c>
      <c r="D637" s="27" t="inlineStr">
        <is>
          <t>Tablet</t>
        </is>
      </c>
      <c r="E637" s="27" t="n">
        <v>4</v>
      </c>
      <c r="F637" s="28" t="n">
        <v>4249.49</v>
      </c>
      <c r="G637" s="28" t="n">
        <v>3588</v>
      </c>
      <c r="H637" s="28" t="n">
        <v>661.49</v>
      </c>
    </row>
    <row r="638">
      <c r="A638" s="26" t="n">
        <v>46194</v>
      </c>
      <c r="B638" s="27" t="inlineStr">
        <is>
          <t>TAB01</t>
        </is>
      </c>
      <c r="C638" s="27" t="inlineStr">
        <is>
          <t>Tablet model 1</t>
        </is>
      </c>
      <c r="D638" s="27" t="inlineStr">
        <is>
          <t>Tablet</t>
        </is>
      </c>
      <c r="E638" s="27" t="n">
        <v>2</v>
      </c>
      <c r="F638" s="28" t="n">
        <v>2059.86</v>
      </c>
      <c r="G638" s="28" t="n">
        <v>1794</v>
      </c>
      <c r="H638" s="28" t="n">
        <v>265.86</v>
      </c>
    </row>
    <row r="639">
      <c r="A639" s="26" t="n">
        <v>46201</v>
      </c>
      <c r="B639" s="27" t="inlineStr">
        <is>
          <t>TAB01</t>
        </is>
      </c>
      <c r="C639" s="27" t="inlineStr">
        <is>
          <t>Tablet model 1</t>
        </is>
      </c>
      <c r="D639" s="27" t="inlineStr">
        <is>
          <t>Tablet</t>
        </is>
      </c>
      <c r="E639" s="27" t="n">
        <v>1</v>
      </c>
      <c r="F639" s="28" t="n">
        <v>1072.15</v>
      </c>
      <c r="G639" s="28" t="n">
        <v>897</v>
      </c>
      <c r="H639" s="28" t="n">
        <v>175.15</v>
      </c>
    </row>
    <row r="640">
      <c r="A640" s="26" t="n">
        <v>46208</v>
      </c>
      <c r="B640" s="27" t="inlineStr">
        <is>
          <t>TAB01</t>
        </is>
      </c>
      <c r="C640" s="27" t="inlineStr">
        <is>
          <t>Tablet model 1</t>
        </is>
      </c>
      <c r="D640" s="27" t="inlineStr">
        <is>
          <t>Tablet</t>
        </is>
      </c>
      <c r="E640" s="27" t="n">
        <v>3</v>
      </c>
      <c r="F640" s="28" t="n">
        <v>3221.27</v>
      </c>
      <c r="G640" s="28" t="n">
        <v>2691</v>
      </c>
      <c r="H640" s="28" t="n">
        <v>530.27</v>
      </c>
    </row>
    <row r="641">
      <c r="A641" s="26" t="n">
        <v>46215</v>
      </c>
      <c r="B641" s="27" t="inlineStr">
        <is>
          <t>TAB01</t>
        </is>
      </c>
      <c r="C641" s="27" t="inlineStr">
        <is>
          <t>Tablet model 1</t>
        </is>
      </c>
      <c r="D641" s="27" t="inlineStr">
        <is>
          <t>Tablet</t>
        </is>
      </c>
      <c r="E641" s="27" t="n">
        <v>4</v>
      </c>
      <c r="F641" s="28" t="n">
        <v>4164.62</v>
      </c>
      <c r="G641" s="28" t="n">
        <v>3588</v>
      </c>
      <c r="H641" s="28" t="n">
        <v>576.62</v>
      </c>
    </row>
    <row r="642">
      <c r="A642" s="26" t="n">
        <v>46222</v>
      </c>
      <c r="B642" s="27" t="inlineStr">
        <is>
          <t>TAB01</t>
        </is>
      </c>
      <c r="C642" s="27" t="inlineStr">
        <is>
          <t>Tablet model 1</t>
        </is>
      </c>
      <c r="D642" s="27" t="inlineStr">
        <is>
          <t>Tablet</t>
        </is>
      </c>
      <c r="E642" s="27" t="n">
        <v>2</v>
      </c>
      <c r="F642" s="28" t="n">
        <v>2099.76</v>
      </c>
      <c r="G642" s="28" t="n">
        <v>1794</v>
      </c>
      <c r="H642" s="28" t="n">
        <v>305.76</v>
      </c>
    </row>
    <row r="643">
      <c r="A643" s="26" t="n">
        <v>46229</v>
      </c>
      <c r="B643" s="27" t="inlineStr">
        <is>
          <t>TAB01</t>
        </is>
      </c>
      <c r="C643" s="27" t="inlineStr">
        <is>
          <t>Tablet model 1</t>
        </is>
      </c>
      <c r="D643" s="27" t="inlineStr">
        <is>
          <t>Tablet</t>
        </is>
      </c>
      <c r="E643" s="27" t="n">
        <v>6</v>
      </c>
      <c r="F643" s="28" t="n">
        <v>6389.85</v>
      </c>
      <c r="G643" s="28" t="n">
        <v>5382</v>
      </c>
      <c r="H643" s="28" t="n">
        <v>1007.85</v>
      </c>
    </row>
    <row r="644">
      <c r="A644" s="26" t="n">
        <v>46236</v>
      </c>
      <c r="B644" s="27" t="inlineStr">
        <is>
          <t>TAB01</t>
        </is>
      </c>
      <c r="C644" s="27" t="inlineStr">
        <is>
          <t>Tablet model 1</t>
        </is>
      </c>
      <c r="D644" s="27" t="inlineStr">
        <is>
          <t>Tablet</t>
        </is>
      </c>
      <c r="E644" s="27" t="n">
        <v>3</v>
      </c>
      <c r="F644" s="28" t="n">
        <v>3244.17</v>
      </c>
      <c r="G644" s="28" t="n">
        <v>2691</v>
      </c>
      <c r="H644" s="28" t="n">
        <v>553.17</v>
      </c>
    </row>
    <row r="645">
      <c r="A645" s="26" t="n">
        <v>46243</v>
      </c>
      <c r="B645" s="27" t="inlineStr">
        <is>
          <t>TAB01</t>
        </is>
      </c>
      <c r="C645" s="27" t="inlineStr">
        <is>
          <t>Tablet model 1</t>
        </is>
      </c>
      <c r="D645" s="27" t="inlineStr">
        <is>
          <t>Tablet</t>
        </is>
      </c>
      <c r="E645" s="27" t="n">
        <v>4</v>
      </c>
      <c r="F645" s="28" t="n">
        <v>4144.48</v>
      </c>
      <c r="G645" s="28" t="n">
        <v>3588</v>
      </c>
      <c r="H645" s="28" t="n">
        <v>556.48</v>
      </c>
    </row>
    <row r="646">
      <c r="A646" s="26" t="n">
        <v>46250</v>
      </c>
      <c r="B646" s="27" t="inlineStr">
        <is>
          <t>TAB01</t>
        </is>
      </c>
      <c r="C646" s="27" t="inlineStr">
        <is>
          <t>Tablet model 1</t>
        </is>
      </c>
      <c r="D646" s="27" t="inlineStr">
        <is>
          <t>Tablet</t>
        </is>
      </c>
      <c r="E646" s="27" t="n">
        <v>2</v>
      </c>
      <c r="F646" s="28" t="n">
        <v>2067.26</v>
      </c>
      <c r="G646" s="28" t="n">
        <v>1794</v>
      </c>
      <c r="H646" s="28" t="n">
        <v>273.26</v>
      </c>
    </row>
    <row r="647">
      <c r="A647" s="26" t="n">
        <v>46257</v>
      </c>
      <c r="B647" s="27" t="inlineStr">
        <is>
          <t>TAB01</t>
        </is>
      </c>
      <c r="C647" s="27" t="inlineStr">
        <is>
          <t>Tablet model 1</t>
        </is>
      </c>
      <c r="D647" s="27" t="inlineStr">
        <is>
          <t>Tablet</t>
        </is>
      </c>
      <c r="E647" s="27" t="n">
        <v>3</v>
      </c>
      <c r="F647" s="28" t="n">
        <v>3072.03</v>
      </c>
      <c r="G647" s="28" t="n">
        <v>2691</v>
      </c>
      <c r="H647" s="28" t="n">
        <v>381.03</v>
      </c>
    </row>
    <row r="648">
      <c r="A648" s="26" t="n">
        <v>46264</v>
      </c>
      <c r="B648" s="27" t="inlineStr">
        <is>
          <t>TAB01</t>
        </is>
      </c>
      <c r="C648" s="27" t="inlineStr">
        <is>
          <t>Tablet model 1</t>
        </is>
      </c>
      <c r="D648" s="27" t="inlineStr">
        <is>
          <t>Tablet</t>
        </is>
      </c>
      <c r="E648" s="27" t="n">
        <v>2</v>
      </c>
      <c r="F648" s="28" t="n">
        <v>2094.85</v>
      </c>
      <c r="G648" s="28" t="n">
        <v>1794</v>
      </c>
      <c r="H648" s="28" t="n">
        <v>300.85</v>
      </c>
    </row>
    <row r="649">
      <c r="A649" s="26" t="n">
        <v>46271</v>
      </c>
      <c r="B649" s="27" t="inlineStr">
        <is>
          <t>TAB01</t>
        </is>
      </c>
      <c r="C649" s="27" t="inlineStr">
        <is>
          <t>Tablet model 1</t>
        </is>
      </c>
      <c r="D649" s="27" t="inlineStr">
        <is>
          <t>Tablet</t>
        </is>
      </c>
      <c r="E649" s="27" t="n">
        <v>4</v>
      </c>
      <c r="F649" s="28" t="n">
        <v>4189.6</v>
      </c>
      <c r="G649" s="28" t="n">
        <v>3588</v>
      </c>
      <c r="H649" s="28" t="n">
        <v>601.6</v>
      </c>
    </row>
    <row r="650">
      <c r="A650" s="26" t="n">
        <v>46278</v>
      </c>
      <c r="B650" s="27" t="inlineStr">
        <is>
          <t>TAB01</t>
        </is>
      </c>
      <c r="C650" s="27" t="inlineStr">
        <is>
          <t>Tablet model 1</t>
        </is>
      </c>
      <c r="D650" s="27" t="inlineStr">
        <is>
          <t>Tablet</t>
        </is>
      </c>
      <c r="E650" s="27" t="n">
        <v>3</v>
      </c>
      <c r="F650" s="28" t="n">
        <v>3143.21</v>
      </c>
      <c r="G650" s="28" t="n">
        <v>2691</v>
      </c>
      <c r="H650" s="28" t="n">
        <v>452.21</v>
      </c>
    </row>
    <row r="651">
      <c r="A651" s="26" t="n">
        <v>46285</v>
      </c>
      <c r="B651" s="27" t="inlineStr">
        <is>
          <t>TAB01</t>
        </is>
      </c>
      <c r="C651" s="27" t="inlineStr">
        <is>
          <t>Tablet model 1</t>
        </is>
      </c>
      <c r="D651" s="27" t="inlineStr">
        <is>
          <t>Tablet</t>
        </is>
      </c>
      <c r="E651" s="27" t="n">
        <v>3</v>
      </c>
      <c r="F651" s="28" t="n">
        <v>3185.84</v>
      </c>
      <c r="G651" s="28" t="n">
        <v>2691</v>
      </c>
      <c r="H651" s="28" t="n">
        <v>494.84</v>
      </c>
    </row>
    <row r="652">
      <c r="A652" s="26" t="n">
        <v>46110</v>
      </c>
      <c r="B652" s="27" t="inlineStr">
        <is>
          <t>TAB02</t>
        </is>
      </c>
      <c r="C652" s="27" t="inlineStr">
        <is>
          <t>Tablet model 2</t>
        </is>
      </c>
      <c r="D652" s="27" t="inlineStr">
        <is>
          <t>Tablet</t>
        </is>
      </c>
      <c r="E652" s="27" t="n">
        <v>0</v>
      </c>
      <c r="F652" s="28" t="n">
        <v>0</v>
      </c>
      <c r="G652" s="28" t="n">
        <v>0</v>
      </c>
      <c r="H652" s="28" t="n">
        <v>0</v>
      </c>
    </row>
    <row r="653">
      <c r="A653" s="26" t="n">
        <v>46117</v>
      </c>
      <c r="B653" s="27" t="inlineStr">
        <is>
          <t>TAB02</t>
        </is>
      </c>
      <c r="C653" s="27" t="inlineStr">
        <is>
          <t>Tablet model 2</t>
        </is>
      </c>
      <c r="D653" s="27" t="inlineStr">
        <is>
          <t>Tablet</t>
        </is>
      </c>
      <c r="E653" s="27" t="n">
        <v>3</v>
      </c>
      <c r="F653" s="28" t="n">
        <v>3596.28</v>
      </c>
      <c r="G653" s="28" t="n">
        <v>2979</v>
      </c>
      <c r="H653" s="28" t="n">
        <v>617.28</v>
      </c>
    </row>
    <row r="654">
      <c r="A654" s="26" t="n">
        <v>46124</v>
      </c>
      <c r="B654" s="27" t="inlineStr">
        <is>
          <t>TAB02</t>
        </is>
      </c>
      <c r="C654" s="27" t="inlineStr">
        <is>
          <t>Tablet model 2</t>
        </is>
      </c>
      <c r="D654" s="27" t="inlineStr">
        <is>
          <t>Tablet</t>
        </is>
      </c>
      <c r="E654" s="27" t="n">
        <v>6</v>
      </c>
      <c r="F654" s="28" t="n">
        <v>7032.52</v>
      </c>
      <c r="G654" s="28" t="n">
        <v>5958</v>
      </c>
      <c r="H654" s="28" t="n">
        <v>1074.52</v>
      </c>
    </row>
    <row r="655">
      <c r="A655" s="26" t="n">
        <v>46131</v>
      </c>
      <c r="B655" s="27" t="inlineStr">
        <is>
          <t>TAB02</t>
        </is>
      </c>
      <c r="C655" s="27" t="inlineStr">
        <is>
          <t>Tablet model 2</t>
        </is>
      </c>
      <c r="D655" s="27" t="inlineStr">
        <is>
          <t>Tablet</t>
        </is>
      </c>
      <c r="E655" s="27" t="n">
        <v>3</v>
      </c>
      <c r="F655" s="28" t="n">
        <v>3559.98</v>
      </c>
      <c r="G655" s="28" t="n">
        <v>2979</v>
      </c>
      <c r="H655" s="28" t="n">
        <v>580.98</v>
      </c>
    </row>
    <row r="656">
      <c r="A656" s="26" t="n">
        <v>46138</v>
      </c>
      <c r="B656" s="27" t="inlineStr">
        <is>
          <t>TAB02</t>
        </is>
      </c>
      <c r="C656" s="27" t="inlineStr">
        <is>
          <t>Tablet model 2</t>
        </is>
      </c>
      <c r="D656" s="27" t="inlineStr">
        <is>
          <t>Tablet</t>
        </is>
      </c>
      <c r="E656" s="27" t="n">
        <v>3</v>
      </c>
      <c r="F656" s="28" t="n">
        <v>3657.27</v>
      </c>
      <c r="G656" s="28" t="n">
        <v>2979</v>
      </c>
      <c r="H656" s="28" t="n">
        <v>678.27</v>
      </c>
    </row>
    <row r="657">
      <c r="A657" s="26" t="n">
        <v>46145</v>
      </c>
      <c r="B657" s="27" t="inlineStr">
        <is>
          <t>TAB02</t>
        </is>
      </c>
      <c r="C657" s="27" t="inlineStr">
        <is>
          <t>Tablet model 2</t>
        </is>
      </c>
      <c r="D657" s="27" t="inlineStr">
        <is>
          <t>Tablet</t>
        </is>
      </c>
      <c r="E657" s="27" t="n">
        <v>3</v>
      </c>
      <c r="F657" s="28" t="n">
        <v>3617.14</v>
      </c>
      <c r="G657" s="28" t="n">
        <v>2979</v>
      </c>
      <c r="H657" s="28" t="n">
        <v>638.14</v>
      </c>
    </row>
    <row r="658">
      <c r="A658" s="26" t="n">
        <v>46152</v>
      </c>
      <c r="B658" s="27" t="inlineStr">
        <is>
          <t>TAB02</t>
        </is>
      </c>
      <c r="C658" s="27" t="inlineStr">
        <is>
          <t>Tablet model 2</t>
        </is>
      </c>
      <c r="D658" s="27" t="inlineStr">
        <is>
          <t>Tablet</t>
        </is>
      </c>
      <c r="E658" s="27" t="n">
        <v>5</v>
      </c>
      <c r="F658" s="28" t="n">
        <v>5857.4</v>
      </c>
      <c r="G658" s="28" t="n">
        <v>4965</v>
      </c>
      <c r="H658" s="28" t="n">
        <v>892.4</v>
      </c>
    </row>
    <row r="659">
      <c r="A659" s="26" t="n">
        <v>46159</v>
      </c>
      <c r="B659" s="27" t="inlineStr">
        <is>
          <t>TAB02</t>
        </is>
      </c>
      <c r="C659" s="27" t="inlineStr">
        <is>
          <t>Tablet model 2</t>
        </is>
      </c>
      <c r="D659" s="27" t="inlineStr">
        <is>
          <t>Tablet</t>
        </is>
      </c>
      <c r="E659" s="27" t="n">
        <v>5</v>
      </c>
      <c r="F659" s="28" t="n">
        <v>5741.8</v>
      </c>
      <c r="G659" s="28" t="n">
        <v>4965</v>
      </c>
      <c r="H659" s="28" t="n">
        <v>776.8</v>
      </c>
    </row>
    <row r="660">
      <c r="A660" s="26" t="n">
        <v>46166</v>
      </c>
      <c r="B660" s="27" t="inlineStr">
        <is>
          <t>TAB02</t>
        </is>
      </c>
      <c r="C660" s="27" t="inlineStr">
        <is>
          <t>Tablet model 2</t>
        </is>
      </c>
      <c r="D660" s="27" t="inlineStr">
        <is>
          <t>Tablet</t>
        </is>
      </c>
      <c r="E660" s="27" t="n">
        <v>7</v>
      </c>
      <c r="F660" s="28" t="n">
        <v>7828.08</v>
      </c>
      <c r="G660" s="28" t="n">
        <v>6951</v>
      </c>
      <c r="H660" s="28" t="n">
        <v>877.08</v>
      </c>
    </row>
    <row r="661">
      <c r="A661" s="26" t="n">
        <v>46173</v>
      </c>
      <c r="B661" s="27" t="inlineStr">
        <is>
          <t>TAB02</t>
        </is>
      </c>
      <c r="C661" s="27" t="inlineStr">
        <is>
          <t>Tablet model 2</t>
        </is>
      </c>
      <c r="D661" s="27" t="inlineStr">
        <is>
          <t>Tablet</t>
        </is>
      </c>
      <c r="E661" s="27" t="n">
        <v>4</v>
      </c>
      <c r="F661" s="28" t="n">
        <v>4680.12</v>
      </c>
      <c r="G661" s="28" t="n">
        <v>3972</v>
      </c>
      <c r="H661" s="28" t="n">
        <v>708.12</v>
      </c>
    </row>
    <row r="662">
      <c r="A662" s="26" t="n">
        <v>46180</v>
      </c>
      <c r="B662" s="27" t="inlineStr">
        <is>
          <t>TAB02</t>
        </is>
      </c>
      <c r="C662" s="27" t="inlineStr">
        <is>
          <t>Tablet model 2</t>
        </is>
      </c>
      <c r="D662" s="27" t="inlineStr">
        <is>
          <t>Tablet</t>
        </is>
      </c>
      <c r="E662" s="27" t="n">
        <v>7</v>
      </c>
      <c r="F662" s="28" t="n">
        <v>7795.09</v>
      </c>
      <c r="G662" s="28" t="n">
        <v>6951</v>
      </c>
      <c r="H662" s="28" t="n">
        <v>844.09</v>
      </c>
    </row>
    <row r="663">
      <c r="A663" s="26" t="n">
        <v>46187</v>
      </c>
      <c r="B663" s="27" t="inlineStr">
        <is>
          <t>TAB02</t>
        </is>
      </c>
      <c r="C663" s="27" t="inlineStr">
        <is>
          <t>Tablet model 2</t>
        </is>
      </c>
      <c r="D663" s="27" t="inlineStr">
        <is>
          <t>Tablet</t>
        </is>
      </c>
      <c r="E663" s="27" t="n">
        <v>9</v>
      </c>
      <c r="F663" s="28" t="n">
        <v>10638.5</v>
      </c>
      <c r="G663" s="28" t="n">
        <v>8937</v>
      </c>
      <c r="H663" s="28" t="n">
        <v>1701.5</v>
      </c>
    </row>
    <row r="664">
      <c r="A664" s="26" t="n">
        <v>46194</v>
      </c>
      <c r="B664" s="27" t="inlineStr">
        <is>
          <t>TAB02</t>
        </is>
      </c>
      <c r="C664" s="27" t="inlineStr">
        <is>
          <t>Tablet model 2</t>
        </is>
      </c>
      <c r="D664" s="27" t="inlineStr">
        <is>
          <t>Tablet</t>
        </is>
      </c>
      <c r="E664" s="27" t="n">
        <v>5</v>
      </c>
      <c r="F664" s="28" t="n">
        <v>5800.79</v>
      </c>
      <c r="G664" s="28" t="n">
        <v>4965</v>
      </c>
      <c r="H664" s="28" t="n">
        <v>835.79</v>
      </c>
    </row>
    <row r="665">
      <c r="A665" s="26" t="n">
        <v>46201</v>
      </c>
      <c r="B665" s="27" t="inlineStr">
        <is>
          <t>TAB02</t>
        </is>
      </c>
      <c r="C665" s="27" t="inlineStr">
        <is>
          <t>Tablet model 2</t>
        </is>
      </c>
      <c r="D665" s="27" t="inlineStr">
        <is>
          <t>Tablet</t>
        </is>
      </c>
      <c r="E665" s="27" t="n">
        <v>5</v>
      </c>
      <c r="F665" s="28" t="n">
        <v>5477.07</v>
      </c>
      <c r="G665" s="28" t="n">
        <v>4965</v>
      </c>
      <c r="H665" s="28" t="n">
        <v>512.0700000000001</v>
      </c>
    </row>
    <row r="666">
      <c r="A666" s="26" t="n">
        <v>46208</v>
      </c>
      <c r="B666" s="27" t="inlineStr">
        <is>
          <t>TAB02</t>
        </is>
      </c>
      <c r="C666" s="27" t="inlineStr">
        <is>
          <t>Tablet model 2</t>
        </is>
      </c>
      <c r="D666" s="27" t="inlineStr">
        <is>
          <t>Tablet</t>
        </is>
      </c>
      <c r="E666" s="27" t="n">
        <v>5</v>
      </c>
      <c r="F666" s="28" t="n">
        <v>5705.75</v>
      </c>
      <c r="G666" s="28" t="n">
        <v>4965</v>
      </c>
      <c r="H666" s="28" t="n">
        <v>740.75</v>
      </c>
    </row>
    <row r="667">
      <c r="A667" s="26" t="n">
        <v>46215</v>
      </c>
      <c r="B667" s="27" t="inlineStr">
        <is>
          <t>TAB02</t>
        </is>
      </c>
      <c r="C667" s="27" t="inlineStr">
        <is>
          <t>Tablet model 2</t>
        </is>
      </c>
      <c r="D667" s="27" t="inlineStr">
        <is>
          <t>Tablet</t>
        </is>
      </c>
      <c r="E667" s="27" t="n">
        <v>6</v>
      </c>
      <c r="F667" s="28" t="n">
        <v>6982.05</v>
      </c>
      <c r="G667" s="28" t="n">
        <v>5958</v>
      </c>
      <c r="H667" s="28" t="n">
        <v>1024.05</v>
      </c>
    </row>
    <row r="668">
      <c r="A668" s="26" t="n">
        <v>46222</v>
      </c>
      <c r="B668" s="27" t="inlineStr">
        <is>
          <t>TAB02</t>
        </is>
      </c>
      <c r="C668" s="27" t="inlineStr">
        <is>
          <t>Tablet model 2</t>
        </is>
      </c>
      <c r="D668" s="27" t="inlineStr">
        <is>
          <t>Tablet</t>
        </is>
      </c>
      <c r="E668" s="27" t="n">
        <v>8</v>
      </c>
      <c r="F668" s="28" t="n">
        <v>9242.73</v>
      </c>
      <c r="G668" s="28" t="n">
        <v>7944</v>
      </c>
      <c r="H668" s="28" t="n">
        <v>1298.73</v>
      </c>
    </row>
    <row r="669">
      <c r="A669" s="26" t="n">
        <v>46229</v>
      </c>
      <c r="B669" s="27" t="inlineStr">
        <is>
          <t>TAB02</t>
        </is>
      </c>
      <c r="C669" s="27" t="inlineStr">
        <is>
          <t>Tablet model 2</t>
        </is>
      </c>
      <c r="D669" s="27" t="inlineStr">
        <is>
          <t>Tablet</t>
        </is>
      </c>
      <c r="E669" s="27" t="n">
        <v>3</v>
      </c>
      <c r="F669" s="28" t="n">
        <v>3373.33</v>
      </c>
      <c r="G669" s="28" t="n">
        <v>2979</v>
      </c>
      <c r="H669" s="28" t="n">
        <v>394.33</v>
      </c>
    </row>
    <row r="670">
      <c r="A670" s="26" t="n">
        <v>46236</v>
      </c>
      <c r="B670" s="27" t="inlineStr">
        <is>
          <t>TAB02</t>
        </is>
      </c>
      <c r="C670" s="27" t="inlineStr">
        <is>
          <t>Tablet model 2</t>
        </is>
      </c>
      <c r="D670" s="27" t="inlineStr">
        <is>
          <t>Tablet</t>
        </is>
      </c>
      <c r="E670" s="27" t="n">
        <v>4</v>
      </c>
      <c r="F670" s="28" t="n">
        <v>4547.69</v>
      </c>
      <c r="G670" s="28" t="n">
        <v>3972</v>
      </c>
      <c r="H670" s="28" t="n">
        <v>575.6900000000001</v>
      </c>
    </row>
    <row r="671">
      <c r="A671" s="26" t="n">
        <v>46243</v>
      </c>
      <c r="B671" s="27" t="inlineStr">
        <is>
          <t>TAB02</t>
        </is>
      </c>
      <c r="C671" s="27" t="inlineStr">
        <is>
          <t>Tablet model 2</t>
        </is>
      </c>
      <c r="D671" s="27" t="inlineStr">
        <is>
          <t>Tablet</t>
        </is>
      </c>
      <c r="E671" s="27" t="n">
        <v>0</v>
      </c>
      <c r="F671" s="28" t="n">
        <v>0</v>
      </c>
      <c r="G671" s="28" t="n">
        <v>0</v>
      </c>
      <c r="H671" s="28" t="n">
        <v>0</v>
      </c>
    </row>
    <row r="672">
      <c r="A672" s="26" t="n">
        <v>46250</v>
      </c>
      <c r="B672" s="27" t="inlineStr">
        <is>
          <t>TAB02</t>
        </is>
      </c>
      <c r="C672" s="27" t="inlineStr">
        <is>
          <t>Tablet model 2</t>
        </is>
      </c>
      <c r="D672" s="27" t="inlineStr">
        <is>
          <t>Tablet</t>
        </is>
      </c>
      <c r="E672" s="27" t="n">
        <v>6</v>
      </c>
      <c r="F672" s="28" t="n">
        <v>6792.98</v>
      </c>
      <c r="G672" s="28" t="n">
        <v>5958</v>
      </c>
      <c r="H672" s="28" t="n">
        <v>834.98</v>
      </c>
    </row>
    <row r="673">
      <c r="A673" s="26" t="n">
        <v>46257</v>
      </c>
      <c r="B673" s="27" t="inlineStr">
        <is>
          <t>TAB02</t>
        </is>
      </c>
      <c r="C673" s="27" t="inlineStr">
        <is>
          <t>Tablet model 2</t>
        </is>
      </c>
      <c r="D673" s="27" t="inlineStr">
        <is>
          <t>Tablet</t>
        </is>
      </c>
      <c r="E673" s="27" t="n">
        <v>4</v>
      </c>
      <c r="F673" s="28" t="n">
        <v>4486.22</v>
      </c>
      <c r="G673" s="28" t="n">
        <v>3972</v>
      </c>
      <c r="H673" s="28" t="n">
        <v>514.22</v>
      </c>
    </row>
    <row r="674">
      <c r="A674" s="26" t="n">
        <v>46264</v>
      </c>
      <c r="B674" s="27" t="inlineStr">
        <is>
          <t>TAB02</t>
        </is>
      </c>
      <c r="C674" s="27" t="inlineStr">
        <is>
          <t>Tablet model 2</t>
        </is>
      </c>
      <c r="D674" s="27" t="inlineStr">
        <is>
          <t>Tablet</t>
        </is>
      </c>
      <c r="E674" s="27" t="n">
        <v>2</v>
      </c>
      <c r="F674" s="28" t="n">
        <v>2214.07</v>
      </c>
      <c r="G674" s="28" t="n">
        <v>1986</v>
      </c>
      <c r="H674" s="28" t="n">
        <v>228.07</v>
      </c>
    </row>
    <row r="675">
      <c r="A675" s="26" t="n">
        <v>46271</v>
      </c>
      <c r="B675" s="27" t="inlineStr">
        <is>
          <t>TAB02</t>
        </is>
      </c>
      <c r="C675" s="27" t="inlineStr">
        <is>
          <t>Tablet model 2</t>
        </is>
      </c>
      <c r="D675" s="27" t="inlineStr">
        <is>
          <t>Tablet</t>
        </is>
      </c>
      <c r="E675" s="27" t="n">
        <v>1</v>
      </c>
      <c r="F675" s="28" t="n">
        <v>1049.8</v>
      </c>
      <c r="G675" s="28" t="n">
        <v>993</v>
      </c>
      <c r="H675" s="28" t="n">
        <v>56.8</v>
      </c>
    </row>
    <row r="676">
      <c r="A676" s="26" t="n">
        <v>46278</v>
      </c>
      <c r="B676" s="27" t="inlineStr">
        <is>
          <t>TAB02</t>
        </is>
      </c>
      <c r="C676" s="27" t="inlineStr">
        <is>
          <t>Tablet model 2</t>
        </is>
      </c>
      <c r="D676" s="27" t="inlineStr">
        <is>
          <t>Tablet</t>
        </is>
      </c>
      <c r="E676" s="27" t="n">
        <v>2</v>
      </c>
      <c r="F676" s="28" t="n">
        <v>2094.66</v>
      </c>
      <c r="G676" s="28" t="n">
        <v>1986</v>
      </c>
      <c r="H676" s="28" t="n">
        <v>108.66</v>
      </c>
    </row>
    <row r="677">
      <c r="A677" s="26" t="n">
        <v>46285</v>
      </c>
      <c r="B677" s="27" t="inlineStr">
        <is>
          <t>TAB02</t>
        </is>
      </c>
      <c r="C677" s="27" t="inlineStr">
        <is>
          <t>Tablet model 2</t>
        </is>
      </c>
      <c r="D677" s="27" t="inlineStr">
        <is>
          <t>Tablet</t>
        </is>
      </c>
      <c r="E677" s="27" t="n">
        <v>2</v>
      </c>
      <c r="F677" s="28" t="n">
        <v>2109.79</v>
      </c>
      <c r="G677" s="28" t="n">
        <v>1986</v>
      </c>
      <c r="H677" s="28" t="n">
        <v>123.79</v>
      </c>
    </row>
    <row r="678">
      <c r="A678" s="26" t="n">
        <v>46110</v>
      </c>
      <c r="B678" s="27" t="inlineStr">
        <is>
          <t>TAB03</t>
        </is>
      </c>
      <c r="C678" s="27" t="inlineStr">
        <is>
          <t>Tablet model 3</t>
        </is>
      </c>
      <c r="D678" s="27" t="inlineStr">
        <is>
          <t>Tablet</t>
        </is>
      </c>
      <c r="E678" s="27" t="n">
        <v>3</v>
      </c>
      <c r="F678" s="28" t="n">
        <v>3361.95</v>
      </c>
      <c r="G678" s="28" t="n">
        <v>2805</v>
      </c>
      <c r="H678" s="28" t="n">
        <v>556.95</v>
      </c>
    </row>
    <row r="679">
      <c r="A679" s="26" t="n">
        <v>46117</v>
      </c>
      <c r="B679" s="27" t="inlineStr">
        <is>
          <t>TAB03</t>
        </is>
      </c>
      <c r="C679" s="27" t="inlineStr">
        <is>
          <t>Tablet model 3</t>
        </is>
      </c>
      <c r="D679" s="27" t="inlineStr">
        <is>
          <t>Tablet</t>
        </is>
      </c>
      <c r="E679" s="27" t="n">
        <v>5</v>
      </c>
      <c r="F679" s="28" t="n">
        <v>5428.71</v>
      </c>
      <c r="G679" s="28" t="n">
        <v>4675</v>
      </c>
      <c r="H679" s="28" t="n">
        <v>753.71</v>
      </c>
    </row>
    <row r="680">
      <c r="A680" s="26" t="n">
        <v>46124</v>
      </c>
      <c r="B680" s="27" t="inlineStr">
        <is>
          <t>TAB03</t>
        </is>
      </c>
      <c r="C680" s="27" t="inlineStr">
        <is>
          <t>Tablet model 3</t>
        </is>
      </c>
      <c r="D680" s="27" t="inlineStr">
        <is>
          <t>Tablet</t>
        </is>
      </c>
      <c r="E680" s="27" t="n">
        <v>3</v>
      </c>
      <c r="F680" s="28" t="n">
        <v>3348.82</v>
      </c>
      <c r="G680" s="28" t="n">
        <v>2805</v>
      </c>
      <c r="H680" s="28" t="n">
        <v>543.8200000000001</v>
      </c>
    </row>
    <row r="681">
      <c r="A681" s="26" t="n">
        <v>46131</v>
      </c>
      <c r="B681" s="27" t="inlineStr">
        <is>
          <t>TAB03</t>
        </is>
      </c>
      <c r="C681" s="27" t="inlineStr">
        <is>
          <t>Tablet model 3</t>
        </is>
      </c>
      <c r="D681" s="27" t="inlineStr">
        <is>
          <t>Tablet</t>
        </is>
      </c>
      <c r="E681" s="27" t="n">
        <v>2</v>
      </c>
      <c r="F681" s="28" t="n">
        <v>2301.36</v>
      </c>
      <c r="G681" s="28" t="n">
        <v>1870</v>
      </c>
      <c r="H681" s="28" t="n">
        <v>431.36</v>
      </c>
    </row>
    <row r="682">
      <c r="A682" s="26" t="n">
        <v>46138</v>
      </c>
      <c r="B682" s="27" t="inlineStr">
        <is>
          <t>TAB03</t>
        </is>
      </c>
      <c r="C682" s="27" t="inlineStr">
        <is>
          <t>Tablet model 3</t>
        </is>
      </c>
      <c r="D682" s="27" t="inlineStr">
        <is>
          <t>Tablet</t>
        </is>
      </c>
      <c r="E682" s="27" t="n">
        <v>4</v>
      </c>
      <c r="F682" s="28" t="n">
        <v>4339.12</v>
      </c>
      <c r="G682" s="28" t="n">
        <v>3740</v>
      </c>
      <c r="H682" s="28" t="n">
        <v>599.12</v>
      </c>
    </row>
    <row r="683">
      <c r="A683" s="26" t="n">
        <v>46145</v>
      </c>
      <c r="B683" s="27" t="inlineStr">
        <is>
          <t>TAB03</t>
        </is>
      </c>
      <c r="C683" s="27" t="inlineStr">
        <is>
          <t>Tablet model 3</t>
        </is>
      </c>
      <c r="D683" s="27" t="inlineStr">
        <is>
          <t>Tablet</t>
        </is>
      </c>
      <c r="E683" s="27" t="n">
        <v>6</v>
      </c>
      <c r="F683" s="28" t="n">
        <v>6666.22</v>
      </c>
      <c r="G683" s="28" t="n">
        <v>5610</v>
      </c>
      <c r="H683" s="28" t="n">
        <v>1056.22</v>
      </c>
    </row>
    <row r="684">
      <c r="A684" s="26" t="n">
        <v>46152</v>
      </c>
      <c r="B684" s="27" t="inlineStr">
        <is>
          <t>TAB03</t>
        </is>
      </c>
      <c r="C684" s="27" t="inlineStr">
        <is>
          <t>Tablet model 3</t>
        </is>
      </c>
      <c r="D684" s="27" t="inlineStr">
        <is>
          <t>Tablet</t>
        </is>
      </c>
      <c r="E684" s="27" t="n">
        <v>3</v>
      </c>
      <c r="F684" s="28" t="n">
        <v>3206.31</v>
      </c>
      <c r="G684" s="28" t="n">
        <v>2805</v>
      </c>
      <c r="H684" s="28" t="n">
        <v>401.31</v>
      </c>
    </row>
    <row r="685">
      <c r="A685" s="26" t="n">
        <v>46159</v>
      </c>
      <c r="B685" s="27" t="inlineStr">
        <is>
          <t>TAB03</t>
        </is>
      </c>
      <c r="C685" s="27" t="inlineStr">
        <is>
          <t>Tablet model 3</t>
        </is>
      </c>
      <c r="D685" s="27" t="inlineStr">
        <is>
          <t>Tablet</t>
        </is>
      </c>
      <c r="E685" s="27" t="n">
        <v>3</v>
      </c>
      <c r="F685" s="28" t="n">
        <v>3388.45</v>
      </c>
      <c r="G685" s="28" t="n">
        <v>2805</v>
      </c>
      <c r="H685" s="28" t="n">
        <v>583.45</v>
      </c>
    </row>
    <row r="686">
      <c r="A686" s="26" t="n">
        <v>46166</v>
      </c>
      <c r="B686" s="27" t="inlineStr">
        <is>
          <t>TAB03</t>
        </is>
      </c>
      <c r="C686" s="27" t="inlineStr">
        <is>
          <t>Tablet model 3</t>
        </is>
      </c>
      <c r="D686" s="27" t="inlineStr">
        <is>
          <t>Tablet</t>
        </is>
      </c>
      <c r="E686" s="27" t="n">
        <v>3</v>
      </c>
      <c r="F686" s="28" t="n">
        <v>3301.6</v>
      </c>
      <c r="G686" s="28" t="n">
        <v>2805</v>
      </c>
      <c r="H686" s="28" t="n">
        <v>496.6</v>
      </c>
    </row>
    <row r="687">
      <c r="A687" s="26" t="n">
        <v>46173</v>
      </c>
      <c r="B687" s="27" t="inlineStr">
        <is>
          <t>TAB03</t>
        </is>
      </c>
      <c r="C687" s="27" t="inlineStr">
        <is>
          <t>Tablet model 3</t>
        </is>
      </c>
      <c r="D687" s="27" t="inlineStr">
        <is>
          <t>Tablet</t>
        </is>
      </c>
      <c r="E687" s="27" t="n">
        <v>4</v>
      </c>
      <c r="F687" s="28" t="n">
        <v>4397.63</v>
      </c>
      <c r="G687" s="28" t="n">
        <v>3740</v>
      </c>
      <c r="H687" s="28" t="n">
        <v>657.63</v>
      </c>
    </row>
    <row r="688">
      <c r="A688" s="26" t="n">
        <v>46180</v>
      </c>
      <c r="B688" s="27" t="inlineStr">
        <is>
          <t>TAB03</t>
        </is>
      </c>
      <c r="C688" s="27" t="inlineStr">
        <is>
          <t>Tablet model 3</t>
        </is>
      </c>
      <c r="D688" s="27" t="inlineStr">
        <is>
          <t>Tablet</t>
        </is>
      </c>
      <c r="E688" s="27" t="n">
        <v>4</v>
      </c>
      <c r="F688" s="28" t="n">
        <v>4193.96</v>
      </c>
      <c r="G688" s="28" t="n">
        <v>3740</v>
      </c>
      <c r="H688" s="28" t="n">
        <v>453.96</v>
      </c>
    </row>
    <row r="689">
      <c r="A689" s="26" t="n">
        <v>46187</v>
      </c>
      <c r="B689" s="27" t="inlineStr">
        <is>
          <t>TAB03</t>
        </is>
      </c>
      <c r="C689" s="27" t="inlineStr">
        <is>
          <t>Tablet model 3</t>
        </is>
      </c>
      <c r="D689" s="27" t="inlineStr">
        <is>
          <t>Tablet</t>
        </is>
      </c>
      <c r="E689" s="27" t="n">
        <v>4</v>
      </c>
      <c r="F689" s="28" t="n">
        <v>4465.81</v>
      </c>
      <c r="G689" s="28" t="n">
        <v>3740</v>
      </c>
      <c r="H689" s="28" t="n">
        <v>725.8099999999999</v>
      </c>
    </row>
    <row r="690">
      <c r="A690" s="26" t="n">
        <v>46194</v>
      </c>
      <c r="B690" s="27" t="inlineStr">
        <is>
          <t>TAB03</t>
        </is>
      </c>
      <c r="C690" s="27" t="inlineStr">
        <is>
          <t>Tablet model 3</t>
        </is>
      </c>
      <c r="D690" s="27" t="inlineStr">
        <is>
          <t>Tablet</t>
        </is>
      </c>
      <c r="E690" s="27" t="n">
        <v>3</v>
      </c>
      <c r="F690" s="28" t="n">
        <v>3126.37</v>
      </c>
      <c r="G690" s="28" t="n">
        <v>2805</v>
      </c>
      <c r="H690" s="28" t="n">
        <v>321.37</v>
      </c>
    </row>
    <row r="691">
      <c r="A691" s="26" t="n">
        <v>46201</v>
      </c>
      <c r="B691" s="27" t="inlineStr">
        <is>
          <t>TAB03</t>
        </is>
      </c>
      <c r="C691" s="27" t="inlineStr">
        <is>
          <t>Tablet model 3</t>
        </is>
      </c>
      <c r="D691" s="27" t="inlineStr">
        <is>
          <t>Tablet</t>
        </is>
      </c>
      <c r="E691" s="27" t="n">
        <v>1</v>
      </c>
      <c r="F691" s="28" t="n">
        <v>1107.15</v>
      </c>
      <c r="G691" s="28" t="n">
        <v>935</v>
      </c>
      <c r="H691" s="28" t="n">
        <v>172.15</v>
      </c>
    </row>
    <row r="692">
      <c r="A692" s="26" t="n">
        <v>46208</v>
      </c>
      <c r="B692" s="27" t="inlineStr">
        <is>
          <t>TAB03</t>
        </is>
      </c>
      <c r="C692" s="27" t="inlineStr">
        <is>
          <t>Tablet model 3</t>
        </is>
      </c>
      <c r="D692" s="27" t="inlineStr">
        <is>
          <t>Tablet</t>
        </is>
      </c>
      <c r="E692" s="27" t="n">
        <v>2</v>
      </c>
      <c r="F692" s="28" t="n">
        <v>2058.53</v>
      </c>
      <c r="G692" s="28" t="n">
        <v>1870</v>
      </c>
      <c r="H692" s="28" t="n">
        <v>188.53</v>
      </c>
    </row>
    <row r="693">
      <c r="A693" s="26" t="n">
        <v>46215</v>
      </c>
      <c r="B693" s="27" t="inlineStr">
        <is>
          <t>TAB03</t>
        </is>
      </c>
      <c r="C693" s="27" t="inlineStr">
        <is>
          <t>Tablet model 3</t>
        </is>
      </c>
      <c r="D693" s="27" t="inlineStr">
        <is>
          <t>Tablet</t>
        </is>
      </c>
      <c r="E693" s="27" t="n">
        <v>2</v>
      </c>
      <c r="F693" s="28" t="n">
        <v>2169.88</v>
      </c>
      <c r="G693" s="28" t="n">
        <v>1870</v>
      </c>
      <c r="H693" s="28" t="n">
        <v>299.88</v>
      </c>
    </row>
    <row r="694">
      <c r="A694" s="26" t="n">
        <v>46222</v>
      </c>
      <c r="B694" s="27" t="inlineStr">
        <is>
          <t>TAB03</t>
        </is>
      </c>
      <c r="C694" s="27" t="inlineStr">
        <is>
          <t>Tablet model 3</t>
        </is>
      </c>
      <c r="D694" s="27" t="inlineStr">
        <is>
          <t>Tablet</t>
        </is>
      </c>
      <c r="E694" s="27" t="n">
        <v>3</v>
      </c>
      <c r="F694" s="28" t="n">
        <v>3244.29</v>
      </c>
      <c r="G694" s="28" t="n">
        <v>2805</v>
      </c>
      <c r="H694" s="28" t="n">
        <v>439.29</v>
      </c>
    </row>
    <row r="695">
      <c r="A695" s="26" t="n">
        <v>46229</v>
      </c>
      <c r="B695" s="27" t="inlineStr">
        <is>
          <t>TAB03</t>
        </is>
      </c>
      <c r="C695" s="27" t="inlineStr">
        <is>
          <t>Tablet model 3</t>
        </is>
      </c>
      <c r="D695" s="27" t="inlineStr">
        <is>
          <t>Tablet</t>
        </is>
      </c>
      <c r="E695" s="27" t="n">
        <v>3</v>
      </c>
      <c r="F695" s="28" t="n">
        <v>3253.46</v>
      </c>
      <c r="G695" s="28" t="n">
        <v>2805</v>
      </c>
      <c r="H695" s="28" t="n">
        <v>448.46</v>
      </c>
    </row>
    <row r="696">
      <c r="A696" s="26" t="n">
        <v>46236</v>
      </c>
      <c r="B696" s="27" t="inlineStr">
        <is>
          <t>TAB03</t>
        </is>
      </c>
      <c r="C696" s="27" t="inlineStr">
        <is>
          <t>Tablet model 3</t>
        </is>
      </c>
      <c r="D696" s="27" t="inlineStr">
        <is>
          <t>Tablet</t>
        </is>
      </c>
      <c r="E696" s="27" t="n">
        <v>3</v>
      </c>
      <c r="F696" s="28" t="n">
        <v>3095.28</v>
      </c>
      <c r="G696" s="28" t="n">
        <v>2805</v>
      </c>
      <c r="H696" s="28" t="n">
        <v>290.28</v>
      </c>
    </row>
    <row r="697">
      <c r="A697" s="26" t="n">
        <v>46243</v>
      </c>
      <c r="B697" s="27" t="inlineStr">
        <is>
          <t>TAB03</t>
        </is>
      </c>
      <c r="C697" s="27" t="inlineStr">
        <is>
          <t>Tablet model 3</t>
        </is>
      </c>
      <c r="D697" s="27" t="inlineStr">
        <is>
          <t>Tablet</t>
        </is>
      </c>
      <c r="E697" s="27" t="n">
        <v>3</v>
      </c>
      <c r="F697" s="28" t="n">
        <v>3189.71</v>
      </c>
      <c r="G697" s="28" t="n">
        <v>2805</v>
      </c>
      <c r="H697" s="28" t="n">
        <v>384.71</v>
      </c>
    </row>
    <row r="698">
      <c r="A698" s="26" t="n">
        <v>46250</v>
      </c>
      <c r="B698" s="27" t="inlineStr">
        <is>
          <t>TAB03</t>
        </is>
      </c>
      <c r="C698" s="27" t="inlineStr">
        <is>
          <t>Tablet model 3</t>
        </is>
      </c>
      <c r="D698" s="27" t="inlineStr">
        <is>
          <t>Tablet</t>
        </is>
      </c>
      <c r="E698" s="27" t="n">
        <v>2</v>
      </c>
      <c r="F698" s="28" t="n">
        <v>2066.95</v>
      </c>
      <c r="G698" s="28" t="n">
        <v>1870</v>
      </c>
      <c r="H698" s="28" t="n">
        <v>196.95</v>
      </c>
    </row>
    <row r="699">
      <c r="A699" s="26" t="n">
        <v>46257</v>
      </c>
      <c r="B699" s="27" t="inlineStr">
        <is>
          <t>TAB03</t>
        </is>
      </c>
      <c r="C699" s="27" t="inlineStr">
        <is>
          <t>Tablet model 3</t>
        </is>
      </c>
      <c r="D699" s="27" t="inlineStr">
        <is>
          <t>Tablet</t>
        </is>
      </c>
      <c r="E699" s="27" t="n">
        <v>7</v>
      </c>
      <c r="F699" s="28" t="n">
        <v>7364.74</v>
      </c>
      <c r="G699" s="28" t="n">
        <v>6545</v>
      </c>
      <c r="H699" s="28" t="n">
        <v>819.74</v>
      </c>
    </row>
    <row r="700">
      <c r="A700" s="26" t="n">
        <v>46264</v>
      </c>
      <c r="B700" s="27" t="inlineStr">
        <is>
          <t>TAB03</t>
        </is>
      </c>
      <c r="C700" s="27" t="inlineStr">
        <is>
          <t>Tablet model 3</t>
        </is>
      </c>
      <c r="D700" s="27" t="inlineStr">
        <is>
          <t>Tablet</t>
        </is>
      </c>
      <c r="E700" s="27" t="n">
        <v>4</v>
      </c>
      <c r="F700" s="28" t="n">
        <v>4202.6</v>
      </c>
      <c r="G700" s="28" t="n">
        <v>3740</v>
      </c>
      <c r="H700" s="28" t="n">
        <v>462.6</v>
      </c>
    </row>
    <row r="701">
      <c r="A701" s="26" t="n">
        <v>46271</v>
      </c>
      <c r="B701" s="27" t="inlineStr">
        <is>
          <t>TAB03</t>
        </is>
      </c>
      <c r="C701" s="27" t="inlineStr">
        <is>
          <t>Tablet model 3</t>
        </is>
      </c>
      <c r="D701" s="27" t="inlineStr">
        <is>
          <t>Tablet</t>
        </is>
      </c>
      <c r="E701" s="27" t="n">
        <v>5</v>
      </c>
      <c r="F701" s="28" t="n">
        <v>5058.41</v>
      </c>
      <c r="G701" s="28" t="n">
        <v>4675</v>
      </c>
      <c r="H701" s="28" t="n">
        <v>383.41</v>
      </c>
    </row>
    <row r="702">
      <c r="A702" s="26" t="n">
        <v>46278</v>
      </c>
      <c r="B702" s="27" t="inlineStr">
        <is>
          <t>TAB03</t>
        </is>
      </c>
      <c r="C702" s="27" t="inlineStr">
        <is>
          <t>Tablet model 3</t>
        </is>
      </c>
      <c r="D702" s="27" t="inlineStr">
        <is>
          <t>Tablet</t>
        </is>
      </c>
      <c r="E702" s="27" t="n">
        <v>4</v>
      </c>
      <c r="F702" s="28" t="n">
        <v>4034.36</v>
      </c>
      <c r="G702" s="28" t="n">
        <v>3740</v>
      </c>
      <c r="H702" s="28" t="n">
        <v>294.36</v>
      </c>
    </row>
    <row r="703">
      <c r="A703" s="26" t="n">
        <v>46285</v>
      </c>
      <c r="B703" s="27" t="inlineStr">
        <is>
          <t>TAB03</t>
        </is>
      </c>
      <c r="C703" s="27" t="inlineStr">
        <is>
          <t>Tablet model 3</t>
        </is>
      </c>
      <c r="D703" s="27" t="inlineStr">
        <is>
          <t>Tablet</t>
        </is>
      </c>
      <c r="E703" s="27" t="n">
        <v>4</v>
      </c>
      <c r="F703" s="28" t="n">
        <v>3995.69</v>
      </c>
      <c r="G703" s="28" t="n">
        <v>3740</v>
      </c>
      <c r="H703" s="28" t="n">
        <v>255.69</v>
      </c>
    </row>
    <row r="704">
      <c r="A704" s="26" t="n">
        <v>46110</v>
      </c>
      <c r="B704" s="27" t="inlineStr">
        <is>
          <t>TAB04</t>
        </is>
      </c>
      <c r="C704" s="27" t="inlineStr">
        <is>
          <t>Tablet model 4</t>
        </is>
      </c>
      <c r="D704" s="27" t="inlineStr">
        <is>
          <t>Tablet</t>
        </is>
      </c>
      <c r="E704" s="27" t="n">
        <v>7</v>
      </c>
      <c r="F704" s="28" t="n">
        <v>3945.34</v>
      </c>
      <c r="G704" s="28" t="n">
        <v>3199</v>
      </c>
      <c r="H704" s="28" t="n">
        <v>746.34</v>
      </c>
    </row>
    <row r="705">
      <c r="A705" s="26" t="n">
        <v>46117</v>
      </c>
      <c r="B705" s="27" t="inlineStr">
        <is>
          <t>TAB04</t>
        </is>
      </c>
      <c r="C705" s="27" t="inlineStr">
        <is>
          <t>Tablet model 4</t>
        </is>
      </c>
      <c r="D705" s="27" t="inlineStr">
        <is>
          <t>Tablet</t>
        </is>
      </c>
      <c r="E705" s="27" t="n">
        <v>8</v>
      </c>
      <c r="F705" s="28" t="n">
        <v>4527.92</v>
      </c>
      <c r="G705" s="28" t="n">
        <v>3656</v>
      </c>
      <c r="H705" s="28" t="n">
        <v>871.92</v>
      </c>
    </row>
    <row r="706">
      <c r="A706" s="26" t="n">
        <v>46124</v>
      </c>
      <c r="B706" s="27" t="inlineStr">
        <is>
          <t>TAB04</t>
        </is>
      </c>
      <c r="C706" s="27" t="inlineStr">
        <is>
          <t>Tablet model 4</t>
        </is>
      </c>
      <c r="D706" s="27" t="inlineStr">
        <is>
          <t>Tablet</t>
        </is>
      </c>
      <c r="E706" s="27" t="n">
        <v>6</v>
      </c>
      <c r="F706" s="28" t="n">
        <v>3178.53</v>
      </c>
      <c r="G706" s="28" t="n">
        <v>2742</v>
      </c>
      <c r="H706" s="28" t="n">
        <v>436.53</v>
      </c>
    </row>
    <row r="707">
      <c r="A707" s="26" t="n">
        <v>46131</v>
      </c>
      <c r="B707" s="27" t="inlineStr">
        <is>
          <t>TAB04</t>
        </is>
      </c>
      <c r="C707" s="27" t="inlineStr">
        <is>
          <t>Tablet model 4</t>
        </is>
      </c>
      <c r="D707" s="27" t="inlineStr">
        <is>
          <t>Tablet</t>
        </is>
      </c>
      <c r="E707" s="27" t="n">
        <v>4</v>
      </c>
      <c r="F707" s="28" t="n">
        <v>2126.33</v>
      </c>
      <c r="G707" s="28" t="n">
        <v>1828</v>
      </c>
      <c r="H707" s="28" t="n">
        <v>298.33</v>
      </c>
    </row>
    <row r="708">
      <c r="A708" s="26" t="n">
        <v>46138</v>
      </c>
      <c r="B708" s="27" t="inlineStr">
        <is>
          <t>TAB04</t>
        </is>
      </c>
      <c r="C708" s="27" t="inlineStr">
        <is>
          <t>Tablet model 4</t>
        </is>
      </c>
      <c r="D708" s="27" t="inlineStr">
        <is>
          <t>Tablet</t>
        </is>
      </c>
      <c r="E708" s="27" t="n">
        <v>6</v>
      </c>
      <c r="F708" s="28" t="n">
        <v>3338.53</v>
      </c>
      <c r="G708" s="28" t="n">
        <v>2742</v>
      </c>
      <c r="H708" s="28" t="n">
        <v>596.53</v>
      </c>
    </row>
    <row r="709">
      <c r="A709" s="26" t="n">
        <v>46145</v>
      </c>
      <c r="B709" s="27" t="inlineStr">
        <is>
          <t>TAB04</t>
        </is>
      </c>
      <c r="C709" s="27" t="inlineStr">
        <is>
          <t>Tablet model 4</t>
        </is>
      </c>
      <c r="D709" s="27" t="inlineStr">
        <is>
          <t>Tablet</t>
        </is>
      </c>
      <c r="E709" s="27" t="n">
        <v>6</v>
      </c>
      <c r="F709" s="28" t="n">
        <v>3253.48</v>
      </c>
      <c r="G709" s="28" t="n">
        <v>2742</v>
      </c>
      <c r="H709" s="28" t="n">
        <v>511.48</v>
      </c>
    </row>
    <row r="710">
      <c r="A710" s="26" t="n">
        <v>46152</v>
      </c>
      <c r="B710" s="27" t="inlineStr">
        <is>
          <t>TAB04</t>
        </is>
      </c>
      <c r="C710" s="27" t="inlineStr">
        <is>
          <t>Tablet model 4</t>
        </is>
      </c>
      <c r="D710" s="27" t="inlineStr">
        <is>
          <t>Tablet</t>
        </is>
      </c>
      <c r="E710" s="27" t="n">
        <v>3</v>
      </c>
      <c r="F710" s="28" t="n">
        <v>1639.88</v>
      </c>
      <c r="G710" s="28" t="n">
        <v>1371</v>
      </c>
      <c r="H710" s="28" t="n">
        <v>268.88</v>
      </c>
    </row>
    <row r="711">
      <c r="A711" s="26" t="n">
        <v>46159</v>
      </c>
      <c r="B711" s="27" t="inlineStr">
        <is>
          <t>TAB04</t>
        </is>
      </c>
      <c r="C711" s="27" t="inlineStr">
        <is>
          <t>Tablet model 4</t>
        </is>
      </c>
      <c r="D711" s="27" t="inlineStr">
        <is>
          <t>Tablet</t>
        </is>
      </c>
      <c r="E711" s="27" t="n">
        <v>6</v>
      </c>
      <c r="F711" s="28" t="n">
        <v>3259.57</v>
      </c>
      <c r="G711" s="28" t="n">
        <v>2742</v>
      </c>
      <c r="H711" s="28" t="n">
        <v>517.5700000000001</v>
      </c>
    </row>
    <row r="712">
      <c r="A712" s="26" t="n">
        <v>46166</v>
      </c>
      <c r="B712" s="27" t="inlineStr">
        <is>
          <t>TAB04</t>
        </is>
      </c>
      <c r="C712" s="27" t="inlineStr">
        <is>
          <t>Tablet model 4</t>
        </is>
      </c>
      <c r="D712" s="27" t="inlineStr">
        <is>
          <t>Tablet</t>
        </is>
      </c>
      <c r="E712" s="27" t="n">
        <v>4</v>
      </c>
      <c r="F712" s="28" t="n">
        <v>2123.34</v>
      </c>
      <c r="G712" s="28" t="n">
        <v>1828</v>
      </c>
      <c r="H712" s="28" t="n">
        <v>295.34</v>
      </c>
    </row>
    <row r="713">
      <c r="A713" s="26" t="n">
        <v>46173</v>
      </c>
      <c r="B713" s="27" t="inlineStr">
        <is>
          <t>TAB04</t>
        </is>
      </c>
      <c r="C713" s="27" t="inlineStr">
        <is>
          <t>Tablet model 4</t>
        </is>
      </c>
      <c r="D713" s="27" t="inlineStr">
        <is>
          <t>Tablet</t>
        </is>
      </c>
      <c r="E713" s="27" t="n">
        <v>3</v>
      </c>
      <c r="F713" s="28" t="n">
        <v>1567.03</v>
      </c>
      <c r="G713" s="28" t="n">
        <v>1371</v>
      </c>
      <c r="H713" s="28" t="n">
        <v>196.03</v>
      </c>
    </row>
    <row r="714">
      <c r="A714" s="26" t="n">
        <v>46180</v>
      </c>
      <c r="B714" s="27" t="inlineStr">
        <is>
          <t>TAB04</t>
        </is>
      </c>
      <c r="C714" s="27" t="inlineStr">
        <is>
          <t>Tablet model 4</t>
        </is>
      </c>
      <c r="D714" s="27" t="inlineStr">
        <is>
          <t>Tablet</t>
        </is>
      </c>
      <c r="E714" s="27" t="n">
        <v>3</v>
      </c>
      <c r="F714" s="28" t="n">
        <v>1553.87</v>
      </c>
      <c r="G714" s="28" t="n">
        <v>1371</v>
      </c>
      <c r="H714" s="28" t="n">
        <v>182.87</v>
      </c>
    </row>
    <row r="715">
      <c r="A715" s="26" t="n">
        <v>46187</v>
      </c>
      <c r="B715" s="27" t="inlineStr">
        <is>
          <t>TAB04</t>
        </is>
      </c>
      <c r="C715" s="27" t="inlineStr">
        <is>
          <t>Tablet model 4</t>
        </is>
      </c>
      <c r="D715" s="27" t="inlineStr">
        <is>
          <t>Tablet</t>
        </is>
      </c>
      <c r="E715" s="27" t="n">
        <v>5</v>
      </c>
      <c r="F715" s="28" t="n">
        <v>2569.25</v>
      </c>
      <c r="G715" s="28" t="n">
        <v>2285</v>
      </c>
      <c r="H715" s="28" t="n">
        <v>284.25</v>
      </c>
    </row>
    <row r="716">
      <c r="A716" s="26" t="n">
        <v>46194</v>
      </c>
      <c r="B716" s="27" t="inlineStr">
        <is>
          <t>TAB04</t>
        </is>
      </c>
      <c r="C716" s="27" t="inlineStr">
        <is>
          <t>Tablet model 4</t>
        </is>
      </c>
      <c r="D716" s="27" t="inlineStr">
        <is>
          <t>Tablet</t>
        </is>
      </c>
      <c r="E716" s="27" t="n">
        <v>4</v>
      </c>
      <c r="F716" s="28" t="n">
        <v>2156.06</v>
      </c>
      <c r="G716" s="28" t="n">
        <v>1828</v>
      </c>
      <c r="H716" s="28" t="n">
        <v>328.06</v>
      </c>
    </row>
    <row r="717">
      <c r="A717" s="26" t="n">
        <v>46201</v>
      </c>
      <c r="B717" s="27" t="inlineStr">
        <is>
          <t>TAB04</t>
        </is>
      </c>
      <c r="C717" s="27" t="inlineStr">
        <is>
          <t>Tablet model 4</t>
        </is>
      </c>
      <c r="D717" s="27" t="inlineStr">
        <is>
          <t>Tablet</t>
        </is>
      </c>
      <c r="E717" s="27" t="n">
        <v>5</v>
      </c>
      <c r="F717" s="28" t="n">
        <v>2643.63</v>
      </c>
      <c r="G717" s="28" t="n">
        <v>2285</v>
      </c>
      <c r="H717" s="28" t="n">
        <v>358.63</v>
      </c>
    </row>
    <row r="718">
      <c r="A718" s="26" t="n">
        <v>46208</v>
      </c>
      <c r="B718" s="27" t="inlineStr">
        <is>
          <t>TAB04</t>
        </is>
      </c>
      <c r="C718" s="27" t="inlineStr">
        <is>
          <t>Tablet model 4</t>
        </is>
      </c>
      <c r="D718" s="27" t="inlineStr">
        <is>
          <t>Tablet</t>
        </is>
      </c>
      <c r="E718" s="27" t="n">
        <v>4</v>
      </c>
      <c r="F718" s="28" t="n">
        <v>2147.43</v>
      </c>
      <c r="G718" s="28" t="n">
        <v>1828</v>
      </c>
      <c r="H718" s="28" t="n">
        <v>319.43</v>
      </c>
    </row>
    <row r="719">
      <c r="A719" s="26" t="n">
        <v>46215</v>
      </c>
      <c r="B719" s="27" t="inlineStr">
        <is>
          <t>TAB04</t>
        </is>
      </c>
      <c r="C719" s="27" t="inlineStr">
        <is>
          <t>Tablet model 4</t>
        </is>
      </c>
      <c r="D719" s="27" t="inlineStr">
        <is>
          <t>Tablet</t>
        </is>
      </c>
      <c r="E719" s="27" t="n">
        <v>2</v>
      </c>
      <c r="F719" s="28" t="n">
        <v>1049.01</v>
      </c>
      <c r="G719" s="28" t="n">
        <v>914</v>
      </c>
      <c r="H719" s="28" t="n">
        <v>135.01</v>
      </c>
    </row>
    <row r="720">
      <c r="A720" s="26" t="n">
        <v>46222</v>
      </c>
      <c r="B720" s="27" t="inlineStr">
        <is>
          <t>TAB04</t>
        </is>
      </c>
      <c r="C720" s="27" t="inlineStr">
        <is>
          <t>Tablet model 4</t>
        </is>
      </c>
      <c r="D720" s="27" t="inlineStr">
        <is>
          <t>Tablet</t>
        </is>
      </c>
      <c r="E720" s="27" t="n">
        <v>1</v>
      </c>
      <c r="F720" s="28" t="n">
        <v>510.06</v>
      </c>
      <c r="G720" s="28" t="n">
        <v>457</v>
      </c>
      <c r="H720" s="28" t="n">
        <v>53.06</v>
      </c>
    </row>
    <row r="721">
      <c r="A721" s="26" t="n">
        <v>46229</v>
      </c>
      <c r="B721" s="27" t="inlineStr">
        <is>
          <t>TAB04</t>
        </is>
      </c>
      <c r="C721" s="27" t="inlineStr">
        <is>
          <t>Tablet model 4</t>
        </is>
      </c>
      <c r="D721" s="27" t="inlineStr">
        <is>
          <t>Tablet</t>
        </is>
      </c>
      <c r="E721" s="27" t="n">
        <v>3</v>
      </c>
      <c r="F721" s="28" t="n">
        <v>1570.93</v>
      </c>
      <c r="G721" s="28" t="n">
        <v>1371</v>
      </c>
      <c r="H721" s="28" t="n">
        <v>199.93</v>
      </c>
    </row>
    <row r="722">
      <c r="A722" s="26" t="n">
        <v>46236</v>
      </c>
      <c r="B722" s="27" t="inlineStr">
        <is>
          <t>TAB04</t>
        </is>
      </c>
      <c r="C722" s="27" t="inlineStr">
        <is>
          <t>Tablet model 4</t>
        </is>
      </c>
      <c r="D722" s="27" t="inlineStr">
        <is>
          <t>Tablet</t>
        </is>
      </c>
      <c r="E722" s="27" t="n">
        <v>6</v>
      </c>
      <c r="F722" s="28" t="n">
        <v>2970.78</v>
      </c>
      <c r="G722" s="28" t="n">
        <v>2742</v>
      </c>
      <c r="H722" s="28" t="n">
        <v>228.78</v>
      </c>
    </row>
    <row r="723">
      <c r="A723" s="26" t="n">
        <v>46243</v>
      </c>
      <c r="B723" s="27" t="inlineStr">
        <is>
          <t>TAB04</t>
        </is>
      </c>
      <c r="C723" s="27" t="inlineStr">
        <is>
          <t>Tablet model 4</t>
        </is>
      </c>
      <c r="D723" s="27" t="inlineStr">
        <is>
          <t>Tablet</t>
        </is>
      </c>
      <c r="E723" s="27" t="n">
        <v>9</v>
      </c>
      <c r="F723" s="28" t="n">
        <v>4472.69</v>
      </c>
      <c r="G723" s="28" t="n">
        <v>4113</v>
      </c>
      <c r="H723" s="28" t="n">
        <v>359.69</v>
      </c>
    </row>
    <row r="724">
      <c r="A724" s="26" t="n">
        <v>46250</v>
      </c>
      <c r="B724" s="27" t="inlineStr">
        <is>
          <t>TAB04</t>
        </is>
      </c>
      <c r="C724" s="27" t="inlineStr">
        <is>
          <t>Tablet model 4</t>
        </is>
      </c>
      <c r="D724" s="27" t="inlineStr">
        <is>
          <t>Tablet</t>
        </is>
      </c>
      <c r="E724" s="27" t="n">
        <v>6</v>
      </c>
      <c r="F724" s="28" t="n">
        <v>3051.96</v>
      </c>
      <c r="G724" s="28" t="n">
        <v>2742</v>
      </c>
      <c r="H724" s="28" t="n">
        <v>309.96</v>
      </c>
    </row>
    <row r="725">
      <c r="A725" s="26" t="n">
        <v>46257</v>
      </c>
      <c r="B725" s="27" t="inlineStr">
        <is>
          <t>TAB04</t>
        </is>
      </c>
      <c r="C725" s="27" t="inlineStr">
        <is>
          <t>Tablet model 4</t>
        </is>
      </c>
      <c r="D725" s="27" t="inlineStr">
        <is>
          <t>Tablet</t>
        </is>
      </c>
      <c r="E725" s="27" t="n">
        <v>7</v>
      </c>
      <c r="F725" s="28" t="n">
        <v>3505.74</v>
      </c>
      <c r="G725" s="28" t="n">
        <v>3199</v>
      </c>
      <c r="H725" s="28" t="n">
        <v>306.74</v>
      </c>
    </row>
    <row r="726">
      <c r="A726" s="26" t="n">
        <v>46264</v>
      </c>
      <c r="B726" s="27" t="inlineStr">
        <is>
          <t>TAB04</t>
        </is>
      </c>
      <c r="C726" s="27" t="inlineStr">
        <is>
          <t>Tablet model 4</t>
        </is>
      </c>
      <c r="D726" s="27" t="inlineStr">
        <is>
          <t>Tablet</t>
        </is>
      </c>
      <c r="E726" s="27" t="n">
        <v>4</v>
      </c>
      <c r="F726" s="28" t="n">
        <v>1938.07</v>
      </c>
      <c r="G726" s="28" t="n">
        <v>1828</v>
      </c>
      <c r="H726" s="28" t="n">
        <v>110.07</v>
      </c>
    </row>
    <row r="727">
      <c r="A727" s="26" t="n">
        <v>46271</v>
      </c>
      <c r="B727" s="27" t="inlineStr">
        <is>
          <t>TAB04</t>
        </is>
      </c>
      <c r="C727" s="27" t="inlineStr">
        <is>
          <t>Tablet model 4</t>
        </is>
      </c>
      <c r="D727" s="27" t="inlineStr">
        <is>
          <t>Tablet</t>
        </is>
      </c>
      <c r="E727" s="27" t="n">
        <v>5</v>
      </c>
      <c r="F727" s="28" t="n">
        <v>2550.44</v>
      </c>
      <c r="G727" s="28" t="n">
        <v>2285</v>
      </c>
      <c r="H727" s="28" t="n">
        <v>265.44</v>
      </c>
    </row>
    <row r="728">
      <c r="A728" s="26" t="n">
        <v>46278</v>
      </c>
      <c r="B728" s="27" t="inlineStr">
        <is>
          <t>TAB04</t>
        </is>
      </c>
      <c r="C728" s="27" t="inlineStr">
        <is>
          <t>Tablet model 4</t>
        </is>
      </c>
      <c r="D728" s="27" t="inlineStr">
        <is>
          <t>Tablet</t>
        </is>
      </c>
      <c r="E728" s="27" t="n">
        <v>4</v>
      </c>
      <c r="F728" s="28" t="n">
        <v>2064.76</v>
      </c>
      <c r="G728" s="28" t="n">
        <v>1828</v>
      </c>
      <c r="H728" s="28" t="n">
        <v>236.76</v>
      </c>
    </row>
    <row r="729">
      <c r="A729" s="26" t="n">
        <v>46285</v>
      </c>
      <c r="B729" s="27" t="inlineStr">
        <is>
          <t>TAB04</t>
        </is>
      </c>
      <c r="C729" s="27" t="inlineStr">
        <is>
          <t>Tablet model 4</t>
        </is>
      </c>
      <c r="D729" s="27" t="inlineStr">
        <is>
          <t>Tablet</t>
        </is>
      </c>
      <c r="E729" s="27" t="n">
        <v>4</v>
      </c>
      <c r="F729" s="28" t="n">
        <v>2015.79</v>
      </c>
      <c r="G729" s="28" t="n">
        <v>1828</v>
      </c>
      <c r="H729" s="28" t="n">
        <v>187.79</v>
      </c>
    </row>
    <row r="730">
      <c r="A730" s="26" t="n">
        <v>46110</v>
      </c>
      <c r="B730" s="27" t="inlineStr">
        <is>
          <t>TAB05</t>
        </is>
      </c>
      <c r="C730" s="27" t="inlineStr">
        <is>
          <t>Tablet model 5</t>
        </is>
      </c>
      <c r="D730" s="27" t="inlineStr">
        <is>
          <t>Tablet</t>
        </is>
      </c>
      <c r="E730" s="27" t="n">
        <v>7</v>
      </c>
      <c r="F730" s="28" t="n">
        <v>5522.16</v>
      </c>
      <c r="G730" s="28" t="n">
        <v>4732</v>
      </c>
      <c r="H730" s="28" t="n">
        <v>790.16</v>
      </c>
    </row>
    <row r="731">
      <c r="A731" s="26" t="n">
        <v>46117</v>
      </c>
      <c r="B731" s="27" t="inlineStr">
        <is>
          <t>TAB05</t>
        </is>
      </c>
      <c r="C731" s="27" t="inlineStr">
        <is>
          <t>Tablet model 5</t>
        </is>
      </c>
      <c r="D731" s="27" t="inlineStr">
        <is>
          <t>Tablet</t>
        </is>
      </c>
      <c r="E731" s="27" t="n">
        <v>2</v>
      </c>
      <c r="F731" s="28" t="n">
        <v>1669.11</v>
      </c>
      <c r="G731" s="28" t="n">
        <v>1352</v>
      </c>
      <c r="H731" s="28" t="n">
        <v>317.11</v>
      </c>
    </row>
    <row r="732">
      <c r="A732" s="26" t="n">
        <v>46124</v>
      </c>
      <c r="B732" s="27" t="inlineStr">
        <is>
          <t>TAB05</t>
        </is>
      </c>
      <c r="C732" s="27" t="inlineStr">
        <is>
          <t>Tablet model 5</t>
        </is>
      </c>
      <c r="D732" s="27" t="inlineStr">
        <is>
          <t>Tablet</t>
        </is>
      </c>
      <c r="E732" s="27" t="n">
        <v>4</v>
      </c>
      <c r="F732" s="28" t="n">
        <v>3350.59</v>
      </c>
      <c r="G732" s="28" t="n">
        <v>2704</v>
      </c>
      <c r="H732" s="28" t="n">
        <v>646.59</v>
      </c>
    </row>
    <row r="733">
      <c r="A733" s="26" t="n">
        <v>46131</v>
      </c>
      <c r="B733" s="27" t="inlineStr">
        <is>
          <t>TAB05</t>
        </is>
      </c>
      <c r="C733" s="27" t="inlineStr">
        <is>
          <t>Tablet model 5</t>
        </is>
      </c>
      <c r="D733" s="27" t="inlineStr">
        <is>
          <t>Tablet</t>
        </is>
      </c>
      <c r="E733" s="27" t="n">
        <v>5</v>
      </c>
      <c r="F733" s="28" t="n">
        <v>4080.15</v>
      </c>
      <c r="G733" s="28" t="n">
        <v>3380</v>
      </c>
      <c r="H733" s="28" t="n">
        <v>700.15</v>
      </c>
    </row>
    <row r="734">
      <c r="A734" s="26" t="n">
        <v>46138</v>
      </c>
      <c r="B734" s="27" t="inlineStr">
        <is>
          <t>TAB05</t>
        </is>
      </c>
      <c r="C734" s="27" t="inlineStr">
        <is>
          <t>Tablet model 5</t>
        </is>
      </c>
      <c r="D734" s="27" t="inlineStr">
        <is>
          <t>Tablet</t>
        </is>
      </c>
      <c r="E734" s="27" t="n">
        <v>5</v>
      </c>
      <c r="F734" s="28" t="n">
        <v>4129.19</v>
      </c>
      <c r="G734" s="28" t="n">
        <v>3380</v>
      </c>
      <c r="H734" s="28" t="n">
        <v>749.1900000000001</v>
      </c>
    </row>
    <row r="735">
      <c r="A735" s="26" t="n">
        <v>46145</v>
      </c>
      <c r="B735" s="27" t="inlineStr">
        <is>
          <t>TAB05</t>
        </is>
      </c>
      <c r="C735" s="27" t="inlineStr">
        <is>
          <t>Tablet model 5</t>
        </is>
      </c>
      <c r="D735" s="27" t="inlineStr">
        <is>
          <t>Tablet</t>
        </is>
      </c>
      <c r="E735" s="27" t="n">
        <v>5</v>
      </c>
      <c r="F735" s="28" t="n">
        <v>4188.9</v>
      </c>
      <c r="G735" s="28" t="n">
        <v>3380</v>
      </c>
      <c r="H735" s="28" t="n">
        <v>808.9</v>
      </c>
    </row>
    <row r="736">
      <c r="A736" s="26" t="n">
        <v>46152</v>
      </c>
      <c r="B736" s="27" t="inlineStr">
        <is>
          <t>TAB05</t>
        </is>
      </c>
      <c r="C736" s="27" t="inlineStr">
        <is>
          <t>Tablet model 5</t>
        </is>
      </c>
      <c r="D736" s="27" t="inlineStr">
        <is>
          <t>Tablet</t>
        </is>
      </c>
      <c r="E736" s="27" t="n">
        <v>7</v>
      </c>
      <c r="F736" s="28" t="n">
        <v>5622.1</v>
      </c>
      <c r="G736" s="28" t="n">
        <v>4732</v>
      </c>
      <c r="H736" s="28" t="n">
        <v>890.1</v>
      </c>
    </row>
    <row r="737">
      <c r="A737" s="26" t="n">
        <v>46159</v>
      </c>
      <c r="B737" s="27" t="inlineStr">
        <is>
          <t>TAB05</t>
        </is>
      </c>
      <c r="C737" s="27" t="inlineStr">
        <is>
          <t>Tablet model 5</t>
        </is>
      </c>
      <c r="D737" s="27" t="inlineStr">
        <is>
          <t>Tablet</t>
        </is>
      </c>
      <c r="E737" s="27" t="n">
        <v>6</v>
      </c>
      <c r="F737" s="28" t="n">
        <v>4980.49</v>
      </c>
      <c r="G737" s="28" t="n">
        <v>4056</v>
      </c>
      <c r="H737" s="28" t="n">
        <v>924.49</v>
      </c>
    </row>
    <row r="738">
      <c r="A738" s="26" t="n">
        <v>46166</v>
      </c>
      <c r="B738" s="27" t="inlineStr">
        <is>
          <t>TAB05</t>
        </is>
      </c>
      <c r="C738" s="27" t="inlineStr">
        <is>
          <t>Tablet model 5</t>
        </is>
      </c>
      <c r="D738" s="27" t="inlineStr">
        <is>
          <t>Tablet</t>
        </is>
      </c>
      <c r="E738" s="27" t="n">
        <v>1</v>
      </c>
      <c r="F738" s="28" t="n">
        <v>813.55</v>
      </c>
      <c r="G738" s="28" t="n">
        <v>676</v>
      </c>
      <c r="H738" s="28" t="n">
        <v>137.55</v>
      </c>
    </row>
    <row r="739">
      <c r="A739" s="26" t="n">
        <v>46173</v>
      </c>
      <c r="B739" s="27" t="inlineStr">
        <is>
          <t>TAB05</t>
        </is>
      </c>
      <c r="C739" s="27" t="inlineStr">
        <is>
          <t>Tablet model 5</t>
        </is>
      </c>
      <c r="D739" s="27" t="inlineStr">
        <is>
          <t>Tablet</t>
        </is>
      </c>
      <c r="E739" s="27" t="n">
        <v>3</v>
      </c>
      <c r="F739" s="28" t="n">
        <v>2471.43</v>
      </c>
      <c r="G739" s="28" t="n">
        <v>2028</v>
      </c>
      <c r="H739" s="28" t="n">
        <v>443.43</v>
      </c>
    </row>
    <row r="740">
      <c r="A740" s="26" t="n">
        <v>46180</v>
      </c>
      <c r="B740" s="27" t="inlineStr">
        <is>
          <t>TAB05</t>
        </is>
      </c>
      <c r="C740" s="27" t="inlineStr">
        <is>
          <t>Tablet model 5</t>
        </is>
      </c>
      <c r="D740" s="27" t="inlineStr">
        <is>
          <t>Tablet</t>
        </is>
      </c>
      <c r="E740" s="27" t="n">
        <v>6</v>
      </c>
      <c r="F740" s="28" t="n">
        <v>4893.78</v>
      </c>
      <c r="G740" s="28" t="n">
        <v>4056</v>
      </c>
      <c r="H740" s="28" t="n">
        <v>837.78</v>
      </c>
    </row>
    <row r="741">
      <c r="A741" s="26" t="n">
        <v>46187</v>
      </c>
      <c r="B741" s="27" t="inlineStr">
        <is>
          <t>TAB05</t>
        </is>
      </c>
      <c r="C741" s="27" t="inlineStr">
        <is>
          <t>Tablet model 5</t>
        </is>
      </c>
      <c r="D741" s="27" t="inlineStr">
        <is>
          <t>Tablet</t>
        </is>
      </c>
      <c r="E741" s="27" t="n">
        <v>3</v>
      </c>
      <c r="F741" s="28" t="n">
        <v>2488.16</v>
      </c>
      <c r="G741" s="28" t="n">
        <v>2028</v>
      </c>
      <c r="H741" s="28" t="n">
        <v>460.16</v>
      </c>
    </row>
    <row r="742">
      <c r="A742" s="26" t="n">
        <v>46194</v>
      </c>
      <c r="B742" s="27" t="inlineStr">
        <is>
          <t>TAB05</t>
        </is>
      </c>
      <c r="C742" s="27" t="inlineStr">
        <is>
          <t>Tablet model 5</t>
        </is>
      </c>
      <c r="D742" s="27" t="inlineStr">
        <is>
          <t>Tablet</t>
        </is>
      </c>
      <c r="E742" s="27" t="n">
        <v>7</v>
      </c>
      <c r="F742" s="28" t="n">
        <v>5674.38</v>
      </c>
      <c r="G742" s="28" t="n">
        <v>4732</v>
      </c>
      <c r="H742" s="28" t="n">
        <v>942.38</v>
      </c>
    </row>
    <row r="743">
      <c r="A743" s="26" t="n">
        <v>46201</v>
      </c>
      <c r="B743" s="27" t="inlineStr">
        <is>
          <t>TAB05</t>
        </is>
      </c>
      <c r="C743" s="27" t="inlineStr">
        <is>
          <t>Tablet model 5</t>
        </is>
      </c>
      <c r="D743" s="27" t="inlineStr">
        <is>
          <t>Tablet</t>
        </is>
      </c>
      <c r="E743" s="27" t="n">
        <v>3</v>
      </c>
      <c r="F743" s="28" t="n">
        <v>2461.02</v>
      </c>
      <c r="G743" s="28" t="n">
        <v>2028</v>
      </c>
      <c r="H743" s="28" t="n">
        <v>433.02</v>
      </c>
    </row>
    <row r="744">
      <c r="A744" s="26" t="n">
        <v>46208</v>
      </c>
      <c r="B744" s="27" t="inlineStr">
        <is>
          <t>TAB05</t>
        </is>
      </c>
      <c r="C744" s="27" t="inlineStr">
        <is>
          <t>Tablet model 5</t>
        </is>
      </c>
      <c r="D744" s="27" t="inlineStr">
        <is>
          <t>Tablet</t>
        </is>
      </c>
      <c r="E744" s="27" t="n">
        <v>4</v>
      </c>
      <c r="F744" s="28" t="n">
        <v>3279.69</v>
      </c>
      <c r="G744" s="28" t="n">
        <v>2704</v>
      </c>
      <c r="H744" s="28" t="n">
        <v>575.6900000000001</v>
      </c>
    </row>
    <row r="745">
      <c r="A745" s="26" t="n">
        <v>46215</v>
      </c>
      <c r="B745" s="27" t="inlineStr">
        <is>
          <t>TAB05</t>
        </is>
      </c>
      <c r="C745" s="27" t="inlineStr">
        <is>
          <t>Tablet model 5</t>
        </is>
      </c>
      <c r="D745" s="27" t="inlineStr">
        <is>
          <t>Tablet</t>
        </is>
      </c>
      <c r="E745" s="27" t="n">
        <v>3</v>
      </c>
      <c r="F745" s="28" t="n">
        <v>2414.3</v>
      </c>
      <c r="G745" s="28" t="n">
        <v>2028</v>
      </c>
      <c r="H745" s="28" t="n">
        <v>386.3</v>
      </c>
    </row>
    <row r="746">
      <c r="A746" s="26" t="n">
        <v>46222</v>
      </c>
      <c r="B746" s="27" t="inlineStr">
        <is>
          <t>TAB05</t>
        </is>
      </c>
      <c r="C746" s="27" t="inlineStr">
        <is>
          <t>Tablet model 5</t>
        </is>
      </c>
      <c r="D746" s="27" t="inlineStr">
        <is>
          <t>Tablet</t>
        </is>
      </c>
      <c r="E746" s="27" t="n">
        <v>4</v>
      </c>
      <c r="F746" s="28" t="n">
        <v>3072.36</v>
      </c>
      <c r="G746" s="28" t="n">
        <v>2704</v>
      </c>
      <c r="H746" s="28" t="n">
        <v>368.36</v>
      </c>
    </row>
    <row r="747">
      <c r="A747" s="26" t="n">
        <v>46229</v>
      </c>
      <c r="B747" s="27" t="inlineStr">
        <is>
          <t>TAB05</t>
        </is>
      </c>
      <c r="C747" s="27" t="inlineStr">
        <is>
          <t>Tablet model 5</t>
        </is>
      </c>
      <c r="D747" s="27" t="inlineStr">
        <is>
          <t>Tablet</t>
        </is>
      </c>
      <c r="E747" s="27" t="n">
        <v>4</v>
      </c>
      <c r="F747" s="28" t="n">
        <v>3247.56</v>
      </c>
      <c r="G747" s="28" t="n">
        <v>2704</v>
      </c>
      <c r="H747" s="28" t="n">
        <v>543.5599999999999</v>
      </c>
    </row>
    <row r="748">
      <c r="A748" s="26" t="n">
        <v>46236</v>
      </c>
      <c r="B748" s="27" t="inlineStr">
        <is>
          <t>TAB05</t>
        </is>
      </c>
      <c r="C748" s="27" t="inlineStr">
        <is>
          <t>Tablet model 5</t>
        </is>
      </c>
      <c r="D748" s="27" t="inlineStr">
        <is>
          <t>Tablet</t>
        </is>
      </c>
      <c r="E748" s="27" t="n">
        <v>7</v>
      </c>
      <c r="F748" s="28" t="n">
        <v>5687.58</v>
      </c>
      <c r="G748" s="28" t="n">
        <v>4732</v>
      </c>
      <c r="H748" s="28" t="n">
        <v>955.58</v>
      </c>
    </row>
    <row r="749">
      <c r="A749" s="26" t="n">
        <v>46243</v>
      </c>
      <c r="B749" s="27" t="inlineStr">
        <is>
          <t>TAB05</t>
        </is>
      </c>
      <c r="C749" s="27" t="inlineStr">
        <is>
          <t>Tablet model 5</t>
        </is>
      </c>
      <c r="D749" s="27" t="inlineStr">
        <is>
          <t>Tablet</t>
        </is>
      </c>
      <c r="E749" s="27" t="n">
        <v>3</v>
      </c>
      <c r="F749" s="28" t="n">
        <v>2364.89</v>
      </c>
      <c r="G749" s="28" t="n">
        <v>2028</v>
      </c>
      <c r="H749" s="28" t="n">
        <v>336.89</v>
      </c>
    </row>
    <row r="750">
      <c r="A750" s="26" t="n">
        <v>46250</v>
      </c>
      <c r="B750" s="27" t="inlineStr">
        <is>
          <t>TAB05</t>
        </is>
      </c>
      <c r="C750" s="27" t="inlineStr">
        <is>
          <t>Tablet model 5</t>
        </is>
      </c>
      <c r="D750" s="27" t="inlineStr">
        <is>
          <t>Tablet</t>
        </is>
      </c>
      <c r="E750" s="27" t="n">
        <v>3</v>
      </c>
      <c r="F750" s="28" t="n">
        <v>2315.75</v>
      </c>
      <c r="G750" s="28" t="n">
        <v>2028</v>
      </c>
      <c r="H750" s="28" t="n">
        <v>287.75</v>
      </c>
    </row>
    <row r="751">
      <c r="A751" s="26" t="n">
        <v>46257</v>
      </c>
      <c r="B751" s="27" t="inlineStr">
        <is>
          <t>TAB05</t>
        </is>
      </c>
      <c r="C751" s="27" t="inlineStr">
        <is>
          <t>Tablet model 5</t>
        </is>
      </c>
      <c r="D751" s="27" t="inlineStr">
        <is>
          <t>Tablet</t>
        </is>
      </c>
      <c r="E751" s="27" t="n">
        <v>2</v>
      </c>
      <c r="F751" s="28" t="n">
        <v>1623.96</v>
      </c>
      <c r="G751" s="28" t="n">
        <v>1352</v>
      </c>
      <c r="H751" s="28" t="n">
        <v>271.96</v>
      </c>
    </row>
    <row r="752">
      <c r="A752" s="26" t="n">
        <v>46264</v>
      </c>
      <c r="B752" s="27" t="inlineStr">
        <is>
          <t>TAB05</t>
        </is>
      </c>
      <c r="C752" s="27" t="inlineStr">
        <is>
          <t>Tablet model 5</t>
        </is>
      </c>
      <c r="D752" s="27" t="inlineStr">
        <is>
          <t>Tablet</t>
        </is>
      </c>
      <c r="E752" s="27" t="n">
        <v>2</v>
      </c>
      <c r="F752" s="28" t="n">
        <v>1549.97</v>
      </c>
      <c r="G752" s="28" t="n">
        <v>1352</v>
      </c>
      <c r="H752" s="28" t="n">
        <v>197.97</v>
      </c>
    </row>
    <row r="753">
      <c r="A753" s="26" t="n">
        <v>46271</v>
      </c>
      <c r="B753" s="27" t="inlineStr">
        <is>
          <t>TAB05</t>
        </is>
      </c>
      <c r="C753" s="27" t="inlineStr">
        <is>
          <t>Tablet model 5</t>
        </is>
      </c>
      <c r="D753" s="27" t="inlineStr">
        <is>
          <t>Tablet</t>
        </is>
      </c>
      <c r="E753" s="27" t="n">
        <v>1</v>
      </c>
      <c r="F753" s="28" t="n">
        <v>768.85</v>
      </c>
      <c r="G753" s="28" t="n">
        <v>676</v>
      </c>
      <c r="H753" s="28" t="n">
        <v>92.84999999999999</v>
      </c>
    </row>
    <row r="754">
      <c r="A754" s="26" t="n">
        <v>46278</v>
      </c>
      <c r="B754" s="27" t="inlineStr">
        <is>
          <t>TAB05</t>
        </is>
      </c>
      <c r="C754" s="27" t="inlineStr">
        <is>
          <t>Tablet model 5</t>
        </is>
      </c>
      <c r="D754" s="27" t="inlineStr">
        <is>
          <t>Tablet</t>
        </is>
      </c>
      <c r="E754" s="27" t="n">
        <v>3</v>
      </c>
      <c r="F754" s="28" t="n">
        <v>2304.65</v>
      </c>
      <c r="G754" s="28" t="n">
        <v>2028</v>
      </c>
      <c r="H754" s="28" t="n">
        <v>276.65</v>
      </c>
    </row>
    <row r="755">
      <c r="A755" s="26" t="n">
        <v>46285</v>
      </c>
      <c r="B755" s="27" t="inlineStr">
        <is>
          <t>TAB05</t>
        </is>
      </c>
      <c r="C755" s="27" t="inlineStr">
        <is>
          <t>Tablet model 5</t>
        </is>
      </c>
      <c r="D755" s="27" t="inlineStr">
        <is>
          <t>Tablet</t>
        </is>
      </c>
      <c r="E755" s="27" t="n">
        <v>5</v>
      </c>
      <c r="F755" s="28" t="n">
        <v>4008.01</v>
      </c>
      <c r="G755" s="28" t="n">
        <v>3380</v>
      </c>
      <c r="H755" s="28" t="n">
        <v>628.01</v>
      </c>
    </row>
    <row r="756">
      <c r="A756" s="26" t="n">
        <v>46110</v>
      </c>
      <c r="B756" s="27" t="inlineStr">
        <is>
          <t>TAB06</t>
        </is>
      </c>
      <c r="C756" s="27" t="inlineStr">
        <is>
          <t>Tablet model 6</t>
        </is>
      </c>
      <c r="D756" s="27" t="inlineStr">
        <is>
          <t>Tablet</t>
        </is>
      </c>
      <c r="E756" s="27" t="n">
        <v>2</v>
      </c>
      <c r="F756" s="28" t="n">
        <v>1994.26</v>
      </c>
      <c r="G756" s="28" t="n">
        <v>1626</v>
      </c>
      <c r="H756" s="28" t="n">
        <v>368.26</v>
      </c>
    </row>
    <row r="757">
      <c r="A757" s="26" t="n">
        <v>46117</v>
      </c>
      <c r="B757" s="27" t="inlineStr">
        <is>
          <t>TAB06</t>
        </is>
      </c>
      <c r="C757" s="27" t="inlineStr">
        <is>
          <t>Tablet model 6</t>
        </is>
      </c>
      <c r="D757" s="27" t="inlineStr">
        <is>
          <t>Tablet</t>
        </is>
      </c>
      <c r="E757" s="27" t="n">
        <v>1</v>
      </c>
      <c r="F757" s="28" t="n">
        <v>1002.38</v>
      </c>
      <c r="G757" s="28" t="n">
        <v>813</v>
      </c>
      <c r="H757" s="28" t="n">
        <v>189.38</v>
      </c>
    </row>
    <row r="758">
      <c r="A758" s="26" t="n">
        <v>46124</v>
      </c>
      <c r="B758" s="27" t="inlineStr">
        <is>
          <t>TAB06</t>
        </is>
      </c>
      <c r="C758" s="27" t="inlineStr">
        <is>
          <t>Tablet model 6</t>
        </is>
      </c>
      <c r="D758" s="27" t="inlineStr">
        <is>
          <t>Tablet</t>
        </is>
      </c>
      <c r="E758" s="27" t="n">
        <v>0</v>
      </c>
      <c r="F758" s="28" t="n">
        <v>0</v>
      </c>
      <c r="G758" s="28" t="n">
        <v>0</v>
      </c>
      <c r="H758" s="28" t="n">
        <v>0</v>
      </c>
    </row>
    <row r="759">
      <c r="A759" s="26" t="n">
        <v>46131</v>
      </c>
      <c r="B759" s="27" t="inlineStr">
        <is>
          <t>TAB06</t>
        </is>
      </c>
      <c r="C759" s="27" t="inlineStr">
        <is>
          <t>Tablet model 6</t>
        </is>
      </c>
      <c r="D759" s="27" t="inlineStr">
        <is>
          <t>Tablet</t>
        </is>
      </c>
      <c r="E759" s="27" t="n">
        <v>2</v>
      </c>
      <c r="F759" s="28" t="n">
        <v>1975.79</v>
      </c>
      <c r="G759" s="28" t="n">
        <v>1626</v>
      </c>
      <c r="H759" s="28" t="n">
        <v>349.79</v>
      </c>
    </row>
    <row r="760">
      <c r="A760" s="26" t="n">
        <v>46138</v>
      </c>
      <c r="B760" s="27" t="inlineStr">
        <is>
          <t>TAB06</t>
        </is>
      </c>
      <c r="C760" s="27" t="inlineStr">
        <is>
          <t>Tablet model 6</t>
        </is>
      </c>
      <c r="D760" s="27" t="inlineStr">
        <is>
          <t>Tablet</t>
        </is>
      </c>
      <c r="E760" s="27" t="n">
        <v>1</v>
      </c>
      <c r="F760" s="28" t="n">
        <v>962.4299999999999</v>
      </c>
      <c r="G760" s="28" t="n">
        <v>813</v>
      </c>
      <c r="H760" s="28" t="n">
        <v>149.43</v>
      </c>
    </row>
    <row r="761">
      <c r="A761" s="26" t="n">
        <v>46145</v>
      </c>
      <c r="B761" s="27" t="inlineStr">
        <is>
          <t>TAB06</t>
        </is>
      </c>
      <c r="C761" s="27" t="inlineStr">
        <is>
          <t>Tablet model 6</t>
        </is>
      </c>
      <c r="D761" s="27" t="inlineStr">
        <is>
          <t>Tablet</t>
        </is>
      </c>
      <c r="E761" s="27" t="n">
        <v>1</v>
      </c>
      <c r="F761" s="28" t="n">
        <v>997.39</v>
      </c>
      <c r="G761" s="28" t="n">
        <v>813</v>
      </c>
      <c r="H761" s="28" t="n">
        <v>184.39</v>
      </c>
    </row>
    <row r="762">
      <c r="A762" s="26" t="n">
        <v>46152</v>
      </c>
      <c r="B762" s="27" t="inlineStr">
        <is>
          <t>TAB06</t>
        </is>
      </c>
      <c r="C762" s="27" t="inlineStr">
        <is>
          <t>Tablet model 6</t>
        </is>
      </c>
      <c r="D762" s="27" t="inlineStr">
        <is>
          <t>Tablet</t>
        </is>
      </c>
      <c r="E762" s="27" t="n">
        <v>0</v>
      </c>
      <c r="F762" s="28" t="n">
        <v>0</v>
      </c>
      <c r="G762" s="28" t="n">
        <v>0</v>
      </c>
      <c r="H762" s="28" t="n">
        <v>0</v>
      </c>
    </row>
    <row r="763">
      <c r="A763" s="26" t="n">
        <v>46159</v>
      </c>
      <c r="B763" s="27" t="inlineStr">
        <is>
          <t>TAB06</t>
        </is>
      </c>
      <c r="C763" s="27" t="inlineStr">
        <is>
          <t>Tablet model 6</t>
        </is>
      </c>
      <c r="D763" s="27" t="inlineStr">
        <is>
          <t>Tablet</t>
        </is>
      </c>
      <c r="E763" s="27" t="n">
        <v>1</v>
      </c>
      <c r="F763" s="28" t="n">
        <v>999.8</v>
      </c>
      <c r="G763" s="28" t="n">
        <v>813</v>
      </c>
      <c r="H763" s="28" t="n">
        <v>186.8</v>
      </c>
    </row>
    <row r="764">
      <c r="A764" s="26" t="n">
        <v>46166</v>
      </c>
      <c r="B764" s="27" t="inlineStr">
        <is>
          <t>TAB06</t>
        </is>
      </c>
      <c r="C764" s="27" t="inlineStr">
        <is>
          <t>Tablet model 6</t>
        </is>
      </c>
      <c r="D764" s="27" t="inlineStr">
        <is>
          <t>Tablet</t>
        </is>
      </c>
      <c r="E764" s="27" t="n">
        <v>2</v>
      </c>
      <c r="F764" s="28" t="n">
        <v>1983.61</v>
      </c>
      <c r="G764" s="28" t="n">
        <v>1626</v>
      </c>
      <c r="H764" s="28" t="n">
        <v>357.61</v>
      </c>
    </row>
    <row r="765">
      <c r="A765" s="26" t="n">
        <v>46173</v>
      </c>
      <c r="B765" s="27" t="inlineStr">
        <is>
          <t>TAB06</t>
        </is>
      </c>
      <c r="C765" s="27" t="inlineStr">
        <is>
          <t>Tablet model 6</t>
        </is>
      </c>
      <c r="D765" s="27" t="inlineStr">
        <is>
          <t>Tablet</t>
        </is>
      </c>
      <c r="E765" s="27" t="n">
        <v>1</v>
      </c>
      <c r="F765" s="28" t="n">
        <v>980.26</v>
      </c>
      <c r="G765" s="28" t="n">
        <v>813</v>
      </c>
      <c r="H765" s="28" t="n">
        <v>167.26</v>
      </c>
    </row>
    <row r="766">
      <c r="A766" s="26" t="n">
        <v>46180</v>
      </c>
      <c r="B766" s="27" t="inlineStr">
        <is>
          <t>TAB06</t>
        </is>
      </c>
      <c r="C766" s="27" t="inlineStr">
        <is>
          <t>Tablet model 6</t>
        </is>
      </c>
      <c r="D766" s="27" t="inlineStr">
        <is>
          <t>Tablet</t>
        </is>
      </c>
      <c r="E766" s="27" t="n">
        <v>0</v>
      </c>
      <c r="F766" s="28" t="n">
        <v>0</v>
      </c>
      <c r="G766" s="28" t="n">
        <v>0</v>
      </c>
      <c r="H766" s="28" t="n">
        <v>0</v>
      </c>
    </row>
    <row r="767">
      <c r="A767" s="26" t="n">
        <v>46187</v>
      </c>
      <c r="B767" s="27" t="inlineStr">
        <is>
          <t>TAB06</t>
        </is>
      </c>
      <c r="C767" s="27" t="inlineStr">
        <is>
          <t>Tablet model 6</t>
        </is>
      </c>
      <c r="D767" s="27" t="inlineStr">
        <is>
          <t>Tablet</t>
        </is>
      </c>
      <c r="E767" s="27" t="n">
        <v>3</v>
      </c>
      <c r="F767" s="28" t="n">
        <v>2806.53</v>
      </c>
      <c r="G767" s="28" t="n">
        <v>2439</v>
      </c>
      <c r="H767" s="28" t="n">
        <v>367.53</v>
      </c>
    </row>
    <row r="768">
      <c r="A768" s="26" t="n">
        <v>46194</v>
      </c>
      <c r="B768" s="27" t="inlineStr">
        <is>
          <t>TAB06</t>
        </is>
      </c>
      <c r="C768" s="27" t="inlineStr">
        <is>
          <t>Tablet model 6</t>
        </is>
      </c>
      <c r="D768" s="27" t="inlineStr">
        <is>
          <t>Tablet</t>
        </is>
      </c>
      <c r="E768" s="27" t="n">
        <v>1</v>
      </c>
      <c r="F768" s="28" t="n">
        <v>933.25</v>
      </c>
      <c r="G768" s="28" t="n">
        <v>813</v>
      </c>
      <c r="H768" s="28" t="n">
        <v>120.25</v>
      </c>
    </row>
    <row r="769">
      <c r="A769" s="26" t="n">
        <v>46201</v>
      </c>
      <c r="B769" s="27" t="inlineStr">
        <is>
          <t>TAB06</t>
        </is>
      </c>
      <c r="C769" s="27" t="inlineStr">
        <is>
          <t>Tablet model 6</t>
        </is>
      </c>
      <c r="D769" s="27" t="inlineStr">
        <is>
          <t>Tablet</t>
        </is>
      </c>
      <c r="E769" s="27" t="n">
        <v>0</v>
      </c>
      <c r="F769" s="28" t="n">
        <v>0</v>
      </c>
      <c r="G769" s="28" t="n">
        <v>0</v>
      </c>
      <c r="H769" s="28" t="n">
        <v>0</v>
      </c>
    </row>
    <row r="770">
      <c r="A770" s="26" t="n">
        <v>46208</v>
      </c>
      <c r="B770" s="27" t="inlineStr">
        <is>
          <t>TAB06</t>
        </is>
      </c>
      <c r="C770" s="27" t="inlineStr">
        <is>
          <t>Tablet model 6</t>
        </is>
      </c>
      <c r="D770" s="27" t="inlineStr">
        <is>
          <t>Tablet</t>
        </is>
      </c>
      <c r="E770" s="27" t="n">
        <v>1</v>
      </c>
      <c r="F770" s="28" t="n">
        <v>991.71</v>
      </c>
      <c r="G770" s="28" t="n">
        <v>813</v>
      </c>
      <c r="H770" s="28" t="n">
        <v>178.71</v>
      </c>
    </row>
    <row r="771">
      <c r="A771" s="26" t="n">
        <v>46215</v>
      </c>
      <c r="B771" s="27" t="inlineStr">
        <is>
          <t>TAB06</t>
        </is>
      </c>
      <c r="C771" s="27" t="inlineStr">
        <is>
          <t>Tablet model 6</t>
        </is>
      </c>
      <c r="D771" s="27" t="inlineStr">
        <is>
          <t>Tablet</t>
        </is>
      </c>
      <c r="E771" s="27" t="n">
        <v>2</v>
      </c>
      <c r="F771" s="28" t="n">
        <v>1950.95</v>
      </c>
      <c r="G771" s="28" t="n">
        <v>1626</v>
      </c>
      <c r="H771" s="28" t="n">
        <v>324.95</v>
      </c>
    </row>
    <row r="772">
      <c r="A772" s="26" t="n">
        <v>46222</v>
      </c>
      <c r="B772" s="27" t="inlineStr">
        <is>
          <t>TAB06</t>
        </is>
      </c>
      <c r="C772" s="27" t="inlineStr">
        <is>
          <t>Tablet model 6</t>
        </is>
      </c>
      <c r="D772" s="27" t="inlineStr">
        <is>
          <t>Tablet</t>
        </is>
      </c>
      <c r="E772" s="27" t="n">
        <v>2</v>
      </c>
      <c r="F772" s="28" t="n">
        <v>1872.72</v>
      </c>
      <c r="G772" s="28" t="n">
        <v>1626</v>
      </c>
      <c r="H772" s="28" t="n">
        <v>246.72</v>
      </c>
    </row>
    <row r="773">
      <c r="A773" s="26" t="n">
        <v>46229</v>
      </c>
      <c r="B773" s="27" t="inlineStr">
        <is>
          <t>TAB06</t>
        </is>
      </c>
      <c r="C773" s="27" t="inlineStr">
        <is>
          <t>Tablet model 6</t>
        </is>
      </c>
      <c r="D773" s="27" t="inlineStr">
        <is>
          <t>Tablet</t>
        </is>
      </c>
      <c r="E773" s="27" t="n">
        <v>1</v>
      </c>
      <c r="F773" s="28" t="n">
        <v>981.83</v>
      </c>
      <c r="G773" s="28" t="n">
        <v>813</v>
      </c>
      <c r="H773" s="28" t="n">
        <v>168.83</v>
      </c>
    </row>
    <row r="774">
      <c r="A774" s="26" t="n">
        <v>46236</v>
      </c>
      <c r="B774" s="27" t="inlineStr">
        <is>
          <t>TAB06</t>
        </is>
      </c>
      <c r="C774" s="27" t="inlineStr">
        <is>
          <t>Tablet model 6</t>
        </is>
      </c>
      <c r="D774" s="27" t="inlineStr">
        <is>
          <t>Tablet</t>
        </is>
      </c>
      <c r="E774" s="27" t="n">
        <v>3</v>
      </c>
      <c r="F774" s="28" t="n">
        <v>2790.69</v>
      </c>
      <c r="G774" s="28" t="n">
        <v>2439</v>
      </c>
      <c r="H774" s="28" t="n">
        <v>351.69</v>
      </c>
    </row>
    <row r="775">
      <c r="A775" s="26" t="n">
        <v>46243</v>
      </c>
      <c r="B775" s="27" t="inlineStr">
        <is>
          <t>TAB06</t>
        </is>
      </c>
      <c r="C775" s="27" t="inlineStr">
        <is>
          <t>Tablet model 6</t>
        </is>
      </c>
      <c r="D775" s="27" t="inlineStr">
        <is>
          <t>Tablet</t>
        </is>
      </c>
      <c r="E775" s="27" t="n">
        <v>2</v>
      </c>
      <c r="F775" s="28" t="n">
        <v>1866</v>
      </c>
      <c r="G775" s="28" t="n">
        <v>1626</v>
      </c>
      <c r="H775" s="28" t="n">
        <v>240</v>
      </c>
    </row>
    <row r="776">
      <c r="A776" s="26" t="n">
        <v>46250</v>
      </c>
      <c r="B776" s="27" t="inlineStr">
        <is>
          <t>TAB06</t>
        </is>
      </c>
      <c r="C776" s="27" t="inlineStr">
        <is>
          <t>Tablet model 6</t>
        </is>
      </c>
      <c r="D776" s="27" t="inlineStr">
        <is>
          <t>Tablet</t>
        </is>
      </c>
      <c r="E776" s="27" t="n">
        <v>4</v>
      </c>
      <c r="F776" s="28" t="n">
        <v>3768.15</v>
      </c>
      <c r="G776" s="28" t="n">
        <v>3252</v>
      </c>
      <c r="H776" s="28" t="n">
        <v>516.15</v>
      </c>
    </row>
    <row r="777">
      <c r="A777" s="26" t="n">
        <v>46257</v>
      </c>
      <c r="B777" s="27" t="inlineStr">
        <is>
          <t>TAB06</t>
        </is>
      </c>
      <c r="C777" s="27" t="inlineStr">
        <is>
          <t>Tablet model 6</t>
        </is>
      </c>
      <c r="D777" s="27" t="inlineStr">
        <is>
          <t>Tablet</t>
        </is>
      </c>
      <c r="E777" s="27" t="n">
        <v>0</v>
      </c>
      <c r="F777" s="28" t="n">
        <v>0</v>
      </c>
      <c r="G777" s="28" t="n">
        <v>0</v>
      </c>
      <c r="H777" s="28" t="n">
        <v>0</v>
      </c>
    </row>
    <row r="778">
      <c r="A778" s="26" t="n">
        <v>46264</v>
      </c>
      <c r="B778" s="27" t="inlineStr">
        <is>
          <t>TAB06</t>
        </is>
      </c>
      <c r="C778" s="27" t="inlineStr">
        <is>
          <t>Tablet model 6</t>
        </is>
      </c>
      <c r="D778" s="27" t="inlineStr">
        <is>
          <t>Tablet</t>
        </is>
      </c>
      <c r="E778" s="27" t="n">
        <v>0</v>
      </c>
      <c r="F778" s="28" t="n">
        <v>0</v>
      </c>
      <c r="G778" s="28" t="n">
        <v>0</v>
      </c>
      <c r="H778" s="28" t="n">
        <v>0</v>
      </c>
    </row>
    <row r="779">
      <c r="A779" s="26" t="n">
        <v>46271</v>
      </c>
      <c r="B779" s="27" t="inlineStr">
        <is>
          <t>TAB06</t>
        </is>
      </c>
      <c r="C779" s="27" t="inlineStr">
        <is>
          <t>Tablet model 6</t>
        </is>
      </c>
      <c r="D779" s="27" t="inlineStr">
        <is>
          <t>Tablet</t>
        </is>
      </c>
      <c r="E779" s="27" t="n">
        <v>0</v>
      </c>
      <c r="F779" s="28" t="n">
        <v>0</v>
      </c>
      <c r="G779" s="28" t="n">
        <v>0</v>
      </c>
      <c r="H779" s="28" t="n">
        <v>0</v>
      </c>
    </row>
    <row r="780">
      <c r="A780" s="26" t="n">
        <v>46278</v>
      </c>
      <c r="B780" s="27" t="inlineStr">
        <is>
          <t>TAB06</t>
        </is>
      </c>
      <c r="C780" s="27" t="inlineStr">
        <is>
          <t>Tablet model 6</t>
        </is>
      </c>
      <c r="D780" s="27" t="inlineStr">
        <is>
          <t>Tablet</t>
        </is>
      </c>
      <c r="E780" s="27" t="n">
        <v>1</v>
      </c>
      <c r="F780" s="28" t="n">
        <v>950.49</v>
      </c>
      <c r="G780" s="28" t="n">
        <v>813</v>
      </c>
      <c r="H780" s="28" t="n">
        <v>137.49</v>
      </c>
    </row>
    <row r="781">
      <c r="A781" s="26" t="n">
        <v>46285</v>
      </c>
      <c r="B781" s="27" t="inlineStr">
        <is>
          <t>TAB06</t>
        </is>
      </c>
      <c r="C781" s="27" t="inlineStr">
        <is>
          <t>Tablet model 6</t>
        </is>
      </c>
      <c r="D781" s="27" t="inlineStr">
        <is>
          <t>Tablet</t>
        </is>
      </c>
      <c r="E781" s="27" t="n">
        <v>0</v>
      </c>
      <c r="F781" s="28" t="n">
        <v>0</v>
      </c>
      <c r="G781" s="28" t="n">
        <v>0</v>
      </c>
      <c r="H781" s="28" t="n">
        <v>0</v>
      </c>
    </row>
    <row r="782">
      <c r="A782" s="26" t="n">
        <v>46110</v>
      </c>
      <c r="B782" s="27" t="inlineStr">
        <is>
          <t>ACC01</t>
        </is>
      </c>
      <c r="C782" s="27" t="inlineStr">
        <is>
          <t>Accessory model 1</t>
        </is>
      </c>
      <c r="D782" s="27" t="inlineStr">
        <is>
          <t>Accessory</t>
        </is>
      </c>
      <c r="E782" s="27" t="n">
        <v>1</v>
      </c>
      <c r="F782" s="28" t="n">
        <v>60.28</v>
      </c>
      <c r="G782" s="28" t="n">
        <v>26</v>
      </c>
      <c r="H782" s="28" t="n">
        <v>34.28</v>
      </c>
    </row>
    <row r="783">
      <c r="A783" s="26" t="n">
        <v>46117</v>
      </c>
      <c r="B783" s="27" t="inlineStr">
        <is>
          <t>ACC01</t>
        </is>
      </c>
      <c r="C783" s="27" t="inlineStr">
        <is>
          <t>Accessory model 1</t>
        </is>
      </c>
      <c r="D783" s="27" t="inlineStr">
        <is>
          <t>Accessory</t>
        </is>
      </c>
      <c r="E783" s="27" t="n">
        <v>2</v>
      </c>
      <c r="F783" s="28" t="n">
        <v>127.82</v>
      </c>
      <c r="G783" s="28" t="n">
        <v>52</v>
      </c>
      <c r="H783" s="28" t="n">
        <v>75.81999999999999</v>
      </c>
    </row>
    <row r="784">
      <c r="A784" s="26" t="n">
        <v>46124</v>
      </c>
      <c r="B784" s="27" t="inlineStr">
        <is>
          <t>ACC01</t>
        </is>
      </c>
      <c r="C784" s="27" t="inlineStr">
        <is>
          <t>Accessory model 1</t>
        </is>
      </c>
      <c r="D784" s="27" t="inlineStr">
        <is>
          <t>Accessory</t>
        </is>
      </c>
      <c r="E784" s="27" t="n">
        <v>3</v>
      </c>
      <c r="F784" s="28" t="n">
        <v>192.07</v>
      </c>
      <c r="G784" s="28" t="n">
        <v>78</v>
      </c>
      <c r="H784" s="28" t="n">
        <v>114.07</v>
      </c>
    </row>
    <row r="785">
      <c r="A785" s="26" t="n">
        <v>46131</v>
      </c>
      <c r="B785" s="27" t="inlineStr">
        <is>
          <t>ACC01</t>
        </is>
      </c>
      <c r="C785" s="27" t="inlineStr">
        <is>
          <t>Accessory model 1</t>
        </is>
      </c>
      <c r="D785" s="27" t="inlineStr">
        <is>
          <t>Accessory</t>
        </is>
      </c>
      <c r="E785" s="27" t="n">
        <v>5</v>
      </c>
      <c r="F785" s="28" t="n">
        <v>313.69</v>
      </c>
      <c r="G785" s="28" t="n">
        <v>130</v>
      </c>
      <c r="H785" s="28" t="n">
        <v>183.69</v>
      </c>
    </row>
    <row r="786">
      <c r="A786" s="26" t="n">
        <v>46138</v>
      </c>
      <c r="B786" s="27" t="inlineStr">
        <is>
          <t>ACC01</t>
        </is>
      </c>
      <c r="C786" s="27" t="inlineStr">
        <is>
          <t>Accessory model 1</t>
        </is>
      </c>
      <c r="D786" s="27" t="inlineStr">
        <is>
          <t>Accessory</t>
        </is>
      </c>
      <c r="E786" s="27" t="n">
        <v>3</v>
      </c>
      <c r="F786" s="28" t="n">
        <v>181.71</v>
      </c>
      <c r="G786" s="28" t="n">
        <v>78</v>
      </c>
      <c r="H786" s="28" t="n">
        <v>103.71</v>
      </c>
    </row>
    <row r="787">
      <c r="A787" s="26" t="n">
        <v>46145</v>
      </c>
      <c r="B787" s="27" t="inlineStr">
        <is>
          <t>ACC01</t>
        </is>
      </c>
      <c r="C787" s="27" t="inlineStr">
        <is>
          <t>Accessory model 1</t>
        </is>
      </c>
      <c r="D787" s="27" t="inlineStr">
        <is>
          <t>Accessory</t>
        </is>
      </c>
      <c r="E787" s="27" t="n">
        <v>2</v>
      </c>
      <c r="F787" s="28" t="n">
        <v>125.34</v>
      </c>
      <c r="G787" s="28" t="n">
        <v>52</v>
      </c>
      <c r="H787" s="28" t="n">
        <v>73.34</v>
      </c>
    </row>
    <row r="788">
      <c r="A788" s="26" t="n">
        <v>46152</v>
      </c>
      <c r="B788" s="27" t="inlineStr">
        <is>
          <t>ACC01</t>
        </is>
      </c>
      <c r="C788" s="27" t="inlineStr">
        <is>
          <t>Accessory model 1</t>
        </is>
      </c>
      <c r="D788" s="27" t="inlineStr">
        <is>
          <t>Accessory</t>
        </is>
      </c>
      <c r="E788" s="27" t="n">
        <v>5</v>
      </c>
      <c r="F788" s="28" t="n">
        <v>294.95</v>
      </c>
      <c r="G788" s="28" t="n">
        <v>130</v>
      </c>
      <c r="H788" s="28" t="n">
        <v>164.95</v>
      </c>
    </row>
    <row r="789">
      <c r="A789" s="26" t="n">
        <v>46159</v>
      </c>
      <c r="B789" s="27" t="inlineStr">
        <is>
          <t>ACC01</t>
        </is>
      </c>
      <c r="C789" s="27" t="inlineStr">
        <is>
          <t>Accessory model 1</t>
        </is>
      </c>
      <c r="D789" s="27" t="inlineStr">
        <is>
          <t>Accessory</t>
        </is>
      </c>
      <c r="E789" s="27" t="n">
        <v>1</v>
      </c>
      <c r="F789" s="28" t="n">
        <v>62.29</v>
      </c>
      <c r="G789" s="28" t="n">
        <v>26</v>
      </c>
      <c r="H789" s="28" t="n">
        <v>36.29</v>
      </c>
    </row>
    <row r="790">
      <c r="A790" s="26" t="n">
        <v>46166</v>
      </c>
      <c r="B790" s="27" t="inlineStr">
        <is>
          <t>ACC01</t>
        </is>
      </c>
      <c r="C790" s="27" t="inlineStr">
        <is>
          <t>Accessory model 1</t>
        </is>
      </c>
      <c r="D790" s="27" t="inlineStr">
        <is>
          <t>Accessory</t>
        </is>
      </c>
      <c r="E790" s="27" t="n">
        <v>3</v>
      </c>
      <c r="F790" s="28" t="n">
        <v>186.76</v>
      </c>
      <c r="G790" s="28" t="n">
        <v>78</v>
      </c>
      <c r="H790" s="28" t="n">
        <v>108.76</v>
      </c>
    </row>
    <row r="791">
      <c r="A791" s="26" t="n">
        <v>46173</v>
      </c>
      <c r="B791" s="27" t="inlineStr">
        <is>
          <t>ACC01</t>
        </is>
      </c>
      <c r="C791" s="27" t="inlineStr">
        <is>
          <t>Accessory model 1</t>
        </is>
      </c>
      <c r="D791" s="27" t="inlineStr">
        <is>
          <t>Accessory</t>
        </is>
      </c>
      <c r="E791" s="27" t="n">
        <v>4</v>
      </c>
      <c r="F791" s="28" t="n">
        <v>243.71</v>
      </c>
      <c r="G791" s="28" t="n">
        <v>104</v>
      </c>
      <c r="H791" s="28" t="n">
        <v>139.71</v>
      </c>
    </row>
    <row r="792">
      <c r="A792" s="26" t="n">
        <v>46180</v>
      </c>
      <c r="B792" s="27" t="inlineStr">
        <is>
          <t>ACC01</t>
        </is>
      </c>
      <c r="C792" s="27" t="inlineStr">
        <is>
          <t>Accessory model 1</t>
        </is>
      </c>
      <c r="D792" s="27" t="inlineStr">
        <is>
          <t>Accessory</t>
        </is>
      </c>
      <c r="E792" s="27" t="n">
        <v>2</v>
      </c>
      <c r="F792" s="28" t="n">
        <v>123.26</v>
      </c>
      <c r="G792" s="28" t="n">
        <v>52</v>
      </c>
      <c r="H792" s="28" t="n">
        <v>71.26000000000001</v>
      </c>
    </row>
    <row r="793">
      <c r="A793" s="26" t="n">
        <v>46187</v>
      </c>
      <c r="B793" s="27" t="inlineStr">
        <is>
          <t>ACC01</t>
        </is>
      </c>
      <c r="C793" s="27" t="inlineStr">
        <is>
          <t>Accessory model 1</t>
        </is>
      </c>
      <c r="D793" s="27" t="inlineStr">
        <is>
          <t>Accessory</t>
        </is>
      </c>
      <c r="E793" s="27" t="n">
        <v>3</v>
      </c>
      <c r="F793" s="28" t="n">
        <v>175.39</v>
      </c>
      <c r="G793" s="28" t="n">
        <v>78</v>
      </c>
      <c r="H793" s="28" t="n">
        <v>97.39</v>
      </c>
    </row>
    <row r="794">
      <c r="A794" s="26" t="n">
        <v>46194</v>
      </c>
      <c r="B794" s="27" t="inlineStr">
        <is>
          <t>ACC01</t>
        </is>
      </c>
      <c r="C794" s="27" t="inlineStr">
        <is>
          <t>Accessory model 1</t>
        </is>
      </c>
      <c r="D794" s="27" t="inlineStr">
        <is>
          <t>Accessory</t>
        </is>
      </c>
      <c r="E794" s="27" t="n">
        <v>5</v>
      </c>
      <c r="F794" s="28" t="n">
        <v>291.13</v>
      </c>
      <c r="G794" s="28" t="n">
        <v>130</v>
      </c>
      <c r="H794" s="28" t="n">
        <v>161.13</v>
      </c>
    </row>
    <row r="795">
      <c r="A795" s="26" t="n">
        <v>46201</v>
      </c>
      <c r="B795" s="27" t="inlineStr">
        <is>
          <t>ACC01</t>
        </is>
      </c>
      <c r="C795" s="27" t="inlineStr">
        <is>
          <t>Accessory model 1</t>
        </is>
      </c>
      <c r="D795" s="27" t="inlineStr">
        <is>
          <t>Accessory</t>
        </is>
      </c>
      <c r="E795" s="27" t="n">
        <v>2</v>
      </c>
      <c r="F795" s="28" t="n">
        <v>118.45</v>
      </c>
      <c r="G795" s="28" t="n">
        <v>52</v>
      </c>
      <c r="H795" s="28" t="n">
        <v>66.45</v>
      </c>
    </row>
    <row r="796">
      <c r="A796" s="26" t="n">
        <v>46208</v>
      </c>
      <c r="B796" s="27" t="inlineStr">
        <is>
          <t>ACC01</t>
        </is>
      </c>
      <c r="C796" s="27" t="inlineStr">
        <is>
          <t>Accessory model 1</t>
        </is>
      </c>
      <c r="D796" s="27" t="inlineStr">
        <is>
          <t>Accessory</t>
        </is>
      </c>
      <c r="E796" s="27" t="n">
        <v>2</v>
      </c>
      <c r="F796" s="28" t="n">
        <v>117.05</v>
      </c>
      <c r="G796" s="28" t="n">
        <v>52</v>
      </c>
      <c r="H796" s="28" t="n">
        <v>65.05</v>
      </c>
    </row>
    <row r="797">
      <c r="A797" s="26" t="n">
        <v>46215</v>
      </c>
      <c r="B797" s="27" t="inlineStr">
        <is>
          <t>ACC01</t>
        </is>
      </c>
      <c r="C797" s="27" t="inlineStr">
        <is>
          <t>Accessory model 1</t>
        </is>
      </c>
      <c r="D797" s="27" t="inlineStr">
        <is>
          <t>Accessory</t>
        </is>
      </c>
      <c r="E797" s="27" t="n">
        <v>5</v>
      </c>
      <c r="F797" s="28" t="n">
        <v>288.24</v>
      </c>
      <c r="G797" s="28" t="n">
        <v>130</v>
      </c>
      <c r="H797" s="28" t="n">
        <v>158.24</v>
      </c>
    </row>
    <row r="798">
      <c r="A798" s="26" t="n">
        <v>46222</v>
      </c>
      <c r="B798" s="27" t="inlineStr">
        <is>
          <t>ACC01</t>
        </is>
      </c>
      <c r="C798" s="27" t="inlineStr">
        <is>
          <t>Accessory model 1</t>
        </is>
      </c>
      <c r="D798" s="27" t="inlineStr">
        <is>
          <t>Accessory</t>
        </is>
      </c>
      <c r="E798" s="27" t="n">
        <v>2</v>
      </c>
      <c r="F798" s="28" t="n">
        <v>114.95</v>
      </c>
      <c r="G798" s="28" t="n">
        <v>52</v>
      </c>
      <c r="H798" s="28" t="n">
        <v>62.95</v>
      </c>
    </row>
    <row r="799">
      <c r="A799" s="26" t="n">
        <v>46229</v>
      </c>
      <c r="B799" s="27" t="inlineStr">
        <is>
          <t>ACC01</t>
        </is>
      </c>
      <c r="C799" s="27" t="inlineStr">
        <is>
          <t>Accessory model 1</t>
        </is>
      </c>
      <c r="D799" s="27" t="inlineStr">
        <is>
          <t>Accessory</t>
        </is>
      </c>
      <c r="E799" s="27" t="n">
        <v>9</v>
      </c>
      <c r="F799" s="28" t="n">
        <v>532.96</v>
      </c>
      <c r="G799" s="28" t="n">
        <v>234</v>
      </c>
      <c r="H799" s="28" t="n">
        <v>298.96</v>
      </c>
    </row>
    <row r="800">
      <c r="A800" s="26" t="n">
        <v>46236</v>
      </c>
      <c r="B800" s="27" t="inlineStr">
        <is>
          <t>ACC01</t>
        </is>
      </c>
      <c r="C800" s="27" t="inlineStr">
        <is>
          <t>Accessory model 1</t>
        </is>
      </c>
      <c r="D800" s="27" t="inlineStr">
        <is>
          <t>Accessory</t>
        </is>
      </c>
      <c r="E800" s="27" t="n">
        <v>3</v>
      </c>
      <c r="F800" s="28" t="n">
        <v>178.96</v>
      </c>
      <c r="G800" s="28" t="n">
        <v>78</v>
      </c>
      <c r="H800" s="28" t="n">
        <v>100.96</v>
      </c>
    </row>
    <row r="801">
      <c r="A801" s="26" t="n">
        <v>46243</v>
      </c>
      <c r="B801" s="27" t="inlineStr">
        <is>
          <t>ACC01</t>
        </is>
      </c>
      <c r="C801" s="27" t="inlineStr">
        <is>
          <t>Accessory model 1</t>
        </is>
      </c>
      <c r="D801" s="27" t="inlineStr">
        <is>
          <t>Accessory</t>
        </is>
      </c>
      <c r="E801" s="27" t="n">
        <v>3</v>
      </c>
      <c r="F801" s="28" t="n">
        <v>178.86</v>
      </c>
      <c r="G801" s="28" t="n">
        <v>78</v>
      </c>
      <c r="H801" s="28" t="n">
        <v>100.86</v>
      </c>
    </row>
    <row r="802">
      <c r="A802" s="26" t="n">
        <v>46250</v>
      </c>
      <c r="B802" s="27" t="inlineStr">
        <is>
          <t>ACC01</t>
        </is>
      </c>
      <c r="C802" s="27" t="inlineStr">
        <is>
          <t>Accessory model 1</t>
        </is>
      </c>
      <c r="D802" s="27" t="inlineStr">
        <is>
          <t>Accessory</t>
        </is>
      </c>
      <c r="E802" s="27" t="n">
        <v>7</v>
      </c>
      <c r="F802" s="28" t="n">
        <v>401.89</v>
      </c>
      <c r="G802" s="28" t="n">
        <v>182</v>
      </c>
      <c r="H802" s="28" t="n">
        <v>219.89</v>
      </c>
    </row>
    <row r="803">
      <c r="A803" s="26" t="n">
        <v>46257</v>
      </c>
      <c r="B803" s="27" t="inlineStr">
        <is>
          <t>ACC01</t>
        </is>
      </c>
      <c r="C803" s="27" t="inlineStr">
        <is>
          <t>Accessory model 1</t>
        </is>
      </c>
      <c r="D803" s="27" t="inlineStr">
        <is>
          <t>Accessory</t>
        </is>
      </c>
      <c r="E803" s="27" t="n">
        <v>5</v>
      </c>
      <c r="F803" s="28" t="n">
        <v>275.34</v>
      </c>
      <c r="G803" s="28" t="n">
        <v>130</v>
      </c>
      <c r="H803" s="28" t="n">
        <v>145.34</v>
      </c>
    </row>
    <row r="804">
      <c r="A804" s="26" t="n">
        <v>46264</v>
      </c>
      <c r="B804" s="27" t="inlineStr">
        <is>
          <t>ACC01</t>
        </is>
      </c>
      <c r="C804" s="27" t="inlineStr">
        <is>
          <t>Accessory model 1</t>
        </is>
      </c>
      <c r="D804" s="27" t="inlineStr">
        <is>
          <t>Accessory</t>
        </is>
      </c>
      <c r="E804" s="27" t="n">
        <v>1</v>
      </c>
      <c r="F804" s="28" t="n">
        <v>56.34</v>
      </c>
      <c r="G804" s="28" t="n">
        <v>26</v>
      </c>
      <c r="H804" s="28" t="n">
        <v>30.34</v>
      </c>
    </row>
    <row r="805">
      <c r="A805" s="26" t="n">
        <v>46271</v>
      </c>
      <c r="B805" s="27" t="inlineStr">
        <is>
          <t>ACC01</t>
        </is>
      </c>
      <c r="C805" s="27" t="inlineStr">
        <is>
          <t>Accessory model 1</t>
        </is>
      </c>
      <c r="D805" s="27" t="inlineStr">
        <is>
          <t>Accessory</t>
        </is>
      </c>
      <c r="E805" s="27" t="n">
        <v>4</v>
      </c>
      <c r="F805" s="28" t="n">
        <v>232.15</v>
      </c>
      <c r="G805" s="28" t="n">
        <v>104</v>
      </c>
      <c r="H805" s="28" t="n">
        <v>128.15</v>
      </c>
    </row>
    <row r="806">
      <c r="A806" s="26" t="n">
        <v>46278</v>
      </c>
      <c r="B806" s="27" t="inlineStr">
        <is>
          <t>ACC01</t>
        </is>
      </c>
      <c r="C806" s="27" t="inlineStr">
        <is>
          <t>Accessory model 1</t>
        </is>
      </c>
      <c r="D806" s="27" t="inlineStr">
        <is>
          <t>Accessory</t>
        </is>
      </c>
      <c r="E806" s="27" t="n">
        <v>2</v>
      </c>
      <c r="F806" s="28" t="n">
        <v>112.51</v>
      </c>
      <c r="G806" s="28" t="n">
        <v>52</v>
      </c>
      <c r="H806" s="28" t="n">
        <v>60.51</v>
      </c>
    </row>
    <row r="807">
      <c r="A807" s="26" t="n">
        <v>46285</v>
      </c>
      <c r="B807" s="27" t="inlineStr">
        <is>
          <t>ACC01</t>
        </is>
      </c>
      <c r="C807" s="27" t="inlineStr">
        <is>
          <t>Accessory model 1</t>
        </is>
      </c>
      <c r="D807" s="27" t="inlineStr">
        <is>
          <t>Accessory</t>
        </is>
      </c>
      <c r="E807" s="27" t="n">
        <v>1</v>
      </c>
      <c r="F807" s="28" t="n">
        <v>55.32</v>
      </c>
      <c r="G807" s="28" t="n">
        <v>26</v>
      </c>
      <c r="H807" s="28" t="n">
        <v>29.32</v>
      </c>
    </row>
    <row r="808">
      <c r="A808" s="26" t="n">
        <v>46110</v>
      </c>
      <c r="B808" s="27" t="inlineStr">
        <is>
          <t>ACC02</t>
        </is>
      </c>
      <c r="C808" s="27" t="inlineStr">
        <is>
          <t>Accessory model 2</t>
        </is>
      </c>
      <c r="D808" s="27" t="inlineStr">
        <is>
          <t>Accessory</t>
        </is>
      </c>
      <c r="E808" s="27" t="n">
        <v>6</v>
      </c>
      <c r="F808" s="28" t="n">
        <v>318.98</v>
      </c>
      <c r="G808" s="28" t="n">
        <v>132</v>
      </c>
      <c r="H808" s="28" t="n">
        <v>186.98</v>
      </c>
    </row>
    <row r="809">
      <c r="A809" s="26" t="n">
        <v>46117</v>
      </c>
      <c r="B809" s="27" t="inlineStr">
        <is>
          <t>ACC02</t>
        </is>
      </c>
      <c r="C809" s="27" t="inlineStr">
        <is>
          <t>Accessory model 2</t>
        </is>
      </c>
      <c r="D809" s="27" t="inlineStr">
        <is>
          <t>Accessory</t>
        </is>
      </c>
      <c r="E809" s="27" t="n">
        <v>3</v>
      </c>
      <c r="F809" s="28" t="n">
        <v>162.47</v>
      </c>
      <c r="G809" s="28" t="n">
        <v>66</v>
      </c>
      <c r="H809" s="28" t="n">
        <v>96.47</v>
      </c>
    </row>
    <row r="810">
      <c r="A810" s="26" t="n">
        <v>46124</v>
      </c>
      <c r="B810" s="27" t="inlineStr">
        <is>
          <t>ACC02</t>
        </is>
      </c>
      <c r="C810" s="27" t="inlineStr">
        <is>
          <t>Accessory model 2</t>
        </is>
      </c>
      <c r="D810" s="27" t="inlineStr">
        <is>
          <t>Accessory</t>
        </is>
      </c>
      <c r="E810" s="27" t="n">
        <v>1</v>
      </c>
      <c r="F810" s="28" t="n">
        <v>52.9</v>
      </c>
      <c r="G810" s="28" t="n">
        <v>22</v>
      </c>
      <c r="H810" s="28" t="n">
        <v>30.9</v>
      </c>
    </row>
    <row r="811">
      <c r="A811" s="26" t="n">
        <v>46131</v>
      </c>
      <c r="B811" s="27" t="inlineStr">
        <is>
          <t>ACC02</t>
        </is>
      </c>
      <c r="C811" s="27" t="inlineStr">
        <is>
          <t>Accessory model 2</t>
        </is>
      </c>
      <c r="D811" s="27" t="inlineStr">
        <is>
          <t>Accessory</t>
        </is>
      </c>
      <c r="E811" s="27" t="n">
        <v>2</v>
      </c>
      <c r="F811" s="28" t="n">
        <v>107.71</v>
      </c>
      <c r="G811" s="28" t="n">
        <v>44</v>
      </c>
      <c r="H811" s="28" t="n">
        <v>63.71</v>
      </c>
    </row>
    <row r="812">
      <c r="A812" s="26" t="n">
        <v>46138</v>
      </c>
      <c r="B812" s="27" t="inlineStr">
        <is>
          <t>ACC02</t>
        </is>
      </c>
      <c r="C812" s="27" t="inlineStr">
        <is>
          <t>Accessory model 2</t>
        </is>
      </c>
      <c r="D812" s="27" t="inlineStr">
        <is>
          <t>Accessory</t>
        </is>
      </c>
      <c r="E812" s="27" t="n">
        <v>2</v>
      </c>
      <c r="F812" s="28" t="n">
        <v>104.46</v>
      </c>
      <c r="G812" s="28" t="n">
        <v>44</v>
      </c>
      <c r="H812" s="28" t="n">
        <v>60.46</v>
      </c>
    </row>
    <row r="813">
      <c r="A813" s="26" t="n">
        <v>46145</v>
      </c>
      <c r="B813" s="27" t="inlineStr">
        <is>
          <t>ACC02</t>
        </is>
      </c>
      <c r="C813" s="27" t="inlineStr">
        <is>
          <t>Accessory model 2</t>
        </is>
      </c>
      <c r="D813" s="27" t="inlineStr">
        <is>
          <t>Accessory</t>
        </is>
      </c>
      <c r="E813" s="27" t="n">
        <v>3</v>
      </c>
      <c r="F813" s="28" t="n">
        <v>155.19</v>
      </c>
      <c r="G813" s="28" t="n">
        <v>66</v>
      </c>
      <c r="H813" s="28" t="n">
        <v>89.19</v>
      </c>
    </row>
    <row r="814">
      <c r="A814" s="26" t="n">
        <v>46152</v>
      </c>
      <c r="B814" s="27" t="inlineStr">
        <is>
          <t>ACC02</t>
        </is>
      </c>
      <c r="C814" s="27" t="inlineStr">
        <is>
          <t>Accessory model 2</t>
        </is>
      </c>
      <c r="D814" s="27" t="inlineStr">
        <is>
          <t>Accessory</t>
        </is>
      </c>
      <c r="E814" s="27" t="n">
        <v>1</v>
      </c>
      <c r="F814" s="28" t="n">
        <v>53.01</v>
      </c>
      <c r="G814" s="28" t="n">
        <v>22</v>
      </c>
      <c r="H814" s="28" t="n">
        <v>31.01</v>
      </c>
    </row>
    <row r="815">
      <c r="A815" s="26" t="n">
        <v>46159</v>
      </c>
      <c r="B815" s="27" t="inlineStr">
        <is>
          <t>ACC02</t>
        </is>
      </c>
      <c r="C815" s="27" t="inlineStr">
        <is>
          <t>Accessory model 2</t>
        </is>
      </c>
      <c r="D815" s="27" t="inlineStr">
        <is>
          <t>Accessory</t>
        </is>
      </c>
      <c r="E815" s="27" t="n">
        <v>3</v>
      </c>
      <c r="F815" s="28" t="n">
        <v>157.28</v>
      </c>
      <c r="G815" s="28" t="n">
        <v>66</v>
      </c>
      <c r="H815" s="28" t="n">
        <v>91.28</v>
      </c>
    </row>
    <row r="816">
      <c r="A816" s="26" t="n">
        <v>46166</v>
      </c>
      <c r="B816" s="27" t="inlineStr">
        <is>
          <t>ACC02</t>
        </is>
      </c>
      <c r="C816" s="27" t="inlineStr">
        <is>
          <t>Accessory model 2</t>
        </is>
      </c>
      <c r="D816" s="27" t="inlineStr">
        <is>
          <t>Accessory</t>
        </is>
      </c>
      <c r="E816" s="27" t="n">
        <v>2</v>
      </c>
      <c r="F816" s="28" t="n">
        <v>102.16</v>
      </c>
      <c r="G816" s="28" t="n">
        <v>44</v>
      </c>
      <c r="H816" s="28" t="n">
        <v>58.16</v>
      </c>
    </row>
    <row r="817">
      <c r="A817" s="26" t="n">
        <v>46173</v>
      </c>
      <c r="B817" s="27" t="inlineStr">
        <is>
          <t>ACC02</t>
        </is>
      </c>
      <c r="C817" s="27" t="inlineStr">
        <is>
          <t>Accessory model 2</t>
        </is>
      </c>
      <c r="D817" s="27" t="inlineStr">
        <is>
          <t>Accessory</t>
        </is>
      </c>
      <c r="E817" s="27" t="n">
        <v>4</v>
      </c>
      <c r="F817" s="28" t="n">
        <v>206.57</v>
      </c>
      <c r="G817" s="28" t="n">
        <v>88</v>
      </c>
      <c r="H817" s="28" t="n">
        <v>118.57</v>
      </c>
    </row>
    <row r="818">
      <c r="A818" s="26" t="n">
        <v>46180</v>
      </c>
      <c r="B818" s="27" t="inlineStr">
        <is>
          <t>ACC02</t>
        </is>
      </c>
      <c r="C818" s="27" t="inlineStr">
        <is>
          <t>Accessory model 2</t>
        </is>
      </c>
      <c r="D818" s="27" t="inlineStr">
        <is>
          <t>Accessory</t>
        </is>
      </c>
      <c r="E818" s="27" t="n">
        <v>6</v>
      </c>
      <c r="F818" s="28" t="n">
        <v>305.57</v>
      </c>
      <c r="G818" s="28" t="n">
        <v>132</v>
      </c>
      <c r="H818" s="28" t="n">
        <v>173.57</v>
      </c>
    </row>
    <row r="819">
      <c r="A819" s="26" t="n">
        <v>46187</v>
      </c>
      <c r="B819" s="27" t="inlineStr">
        <is>
          <t>ACC02</t>
        </is>
      </c>
      <c r="C819" s="27" t="inlineStr">
        <is>
          <t>Accessory model 2</t>
        </is>
      </c>
      <c r="D819" s="27" t="inlineStr">
        <is>
          <t>Accessory</t>
        </is>
      </c>
      <c r="E819" s="27" t="n">
        <v>2</v>
      </c>
      <c r="F819" s="28" t="n">
        <v>106.67</v>
      </c>
      <c r="G819" s="28" t="n">
        <v>44</v>
      </c>
      <c r="H819" s="28" t="n">
        <v>62.67</v>
      </c>
    </row>
    <row r="820">
      <c r="A820" s="26" t="n">
        <v>46194</v>
      </c>
      <c r="B820" s="27" t="inlineStr">
        <is>
          <t>ACC02</t>
        </is>
      </c>
      <c r="C820" s="27" t="inlineStr">
        <is>
          <t>Accessory model 2</t>
        </is>
      </c>
      <c r="D820" s="27" t="inlineStr">
        <is>
          <t>Accessory</t>
        </is>
      </c>
      <c r="E820" s="27" t="n">
        <v>4</v>
      </c>
      <c r="F820" s="28" t="n">
        <v>201.22</v>
      </c>
      <c r="G820" s="28" t="n">
        <v>88</v>
      </c>
      <c r="H820" s="28" t="n">
        <v>113.22</v>
      </c>
    </row>
    <row r="821">
      <c r="A821" s="26" t="n">
        <v>46201</v>
      </c>
      <c r="B821" s="27" t="inlineStr">
        <is>
          <t>ACC02</t>
        </is>
      </c>
      <c r="C821" s="27" t="inlineStr">
        <is>
          <t>Accessory model 2</t>
        </is>
      </c>
      <c r="D821" s="27" t="inlineStr">
        <is>
          <t>Accessory</t>
        </is>
      </c>
      <c r="E821" s="27" t="n">
        <v>1</v>
      </c>
      <c r="F821" s="28" t="n">
        <v>52.35</v>
      </c>
      <c r="G821" s="28" t="n">
        <v>22</v>
      </c>
      <c r="H821" s="28" t="n">
        <v>30.35</v>
      </c>
    </row>
    <row r="822">
      <c r="A822" s="26" t="n">
        <v>46208</v>
      </c>
      <c r="B822" s="27" t="inlineStr">
        <is>
          <t>ACC02</t>
        </is>
      </c>
      <c r="C822" s="27" t="inlineStr">
        <is>
          <t>Accessory model 2</t>
        </is>
      </c>
      <c r="D822" s="27" t="inlineStr">
        <is>
          <t>Accessory</t>
        </is>
      </c>
      <c r="E822" s="27" t="n">
        <v>2</v>
      </c>
      <c r="F822" s="28" t="n">
        <v>103.66</v>
      </c>
      <c r="G822" s="28" t="n">
        <v>44</v>
      </c>
      <c r="H822" s="28" t="n">
        <v>59.66</v>
      </c>
    </row>
    <row r="823">
      <c r="A823" s="26" t="n">
        <v>46215</v>
      </c>
      <c r="B823" s="27" t="inlineStr">
        <is>
          <t>ACC02</t>
        </is>
      </c>
      <c r="C823" s="27" t="inlineStr">
        <is>
          <t>Accessory model 2</t>
        </is>
      </c>
      <c r="D823" s="27" t="inlineStr">
        <is>
          <t>Accessory</t>
        </is>
      </c>
      <c r="E823" s="27" t="n">
        <v>2</v>
      </c>
      <c r="F823" s="28" t="n">
        <v>99.62</v>
      </c>
      <c r="G823" s="28" t="n">
        <v>44</v>
      </c>
      <c r="H823" s="28" t="n">
        <v>55.62</v>
      </c>
    </row>
    <row r="824">
      <c r="A824" s="26" t="n">
        <v>46222</v>
      </c>
      <c r="B824" s="27" t="inlineStr">
        <is>
          <t>ACC02</t>
        </is>
      </c>
      <c r="C824" s="27" t="inlineStr">
        <is>
          <t>Accessory model 2</t>
        </is>
      </c>
      <c r="D824" s="27" t="inlineStr">
        <is>
          <t>Accessory</t>
        </is>
      </c>
      <c r="E824" s="27" t="n">
        <v>4</v>
      </c>
      <c r="F824" s="28" t="n">
        <v>201.72</v>
      </c>
      <c r="G824" s="28" t="n">
        <v>88</v>
      </c>
      <c r="H824" s="28" t="n">
        <v>113.72</v>
      </c>
    </row>
    <row r="825">
      <c r="A825" s="26" t="n">
        <v>46229</v>
      </c>
      <c r="B825" s="27" t="inlineStr">
        <is>
          <t>ACC02</t>
        </is>
      </c>
      <c r="C825" s="27" t="inlineStr">
        <is>
          <t>Accessory model 2</t>
        </is>
      </c>
      <c r="D825" s="27" t="inlineStr">
        <is>
          <t>Accessory</t>
        </is>
      </c>
      <c r="E825" s="27" t="n">
        <v>5</v>
      </c>
      <c r="F825" s="28" t="n">
        <v>261.46</v>
      </c>
      <c r="G825" s="28" t="n">
        <v>110</v>
      </c>
      <c r="H825" s="28" t="n">
        <v>151.46</v>
      </c>
    </row>
    <row r="826">
      <c r="A826" s="26" t="n">
        <v>46236</v>
      </c>
      <c r="B826" s="27" t="inlineStr">
        <is>
          <t>ACC02</t>
        </is>
      </c>
      <c r="C826" s="27" t="inlineStr">
        <is>
          <t>Accessory model 2</t>
        </is>
      </c>
      <c r="D826" s="27" t="inlineStr">
        <is>
          <t>Accessory</t>
        </is>
      </c>
      <c r="E826" s="27" t="n">
        <v>0</v>
      </c>
      <c r="F826" s="28" t="n">
        <v>0</v>
      </c>
      <c r="G826" s="28" t="n">
        <v>0</v>
      </c>
      <c r="H826" s="28" t="n">
        <v>0</v>
      </c>
    </row>
    <row r="827">
      <c r="A827" s="26" t="n">
        <v>46243</v>
      </c>
      <c r="B827" s="27" t="inlineStr">
        <is>
          <t>ACC02</t>
        </is>
      </c>
      <c r="C827" s="27" t="inlineStr">
        <is>
          <t>Accessory model 2</t>
        </is>
      </c>
      <c r="D827" s="27" t="inlineStr">
        <is>
          <t>Accessory</t>
        </is>
      </c>
      <c r="E827" s="27" t="n">
        <v>4</v>
      </c>
      <c r="F827" s="28" t="n">
        <v>202.51</v>
      </c>
      <c r="G827" s="28" t="n">
        <v>88</v>
      </c>
      <c r="H827" s="28" t="n">
        <v>114.51</v>
      </c>
    </row>
    <row r="828">
      <c r="A828" s="26" t="n">
        <v>46250</v>
      </c>
      <c r="B828" s="27" t="inlineStr">
        <is>
          <t>ACC02</t>
        </is>
      </c>
      <c r="C828" s="27" t="inlineStr">
        <is>
          <t>Accessory model 2</t>
        </is>
      </c>
      <c r="D828" s="27" t="inlineStr">
        <is>
          <t>Accessory</t>
        </is>
      </c>
      <c r="E828" s="27" t="n">
        <v>0</v>
      </c>
      <c r="F828" s="28" t="n">
        <v>0</v>
      </c>
      <c r="G828" s="28" t="n">
        <v>0</v>
      </c>
      <c r="H828" s="28" t="n">
        <v>0</v>
      </c>
    </row>
    <row r="829">
      <c r="A829" s="26" t="n">
        <v>46257</v>
      </c>
      <c r="B829" s="27" t="inlineStr">
        <is>
          <t>ACC02</t>
        </is>
      </c>
      <c r="C829" s="27" t="inlineStr">
        <is>
          <t>Accessory model 2</t>
        </is>
      </c>
      <c r="D829" s="27" t="inlineStr">
        <is>
          <t>Accessory</t>
        </is>
      </c>
      <c r="E829" s="27" t="n">
        <v>0</v>
      </c>
      <c r="F829" s="28" t="n">
        <v>0</v>
      </c>
      <c r="G829" s="28" t="n">
        <v>0</v>
      </c>
      <c r="H829" s="28" t="n">
        <v>0</v>
      </c>
    </row>
    <row r="830">
      <c r="A830" s="26" t="n">
        <v>46264</v>
      </c>
      <c r="B830" s="27" t="inlineStr">
        <is>
          <t>ACC02</t>
        </is>
      </c>
      <c r="C830" s="27" t="inlineStr">
        <is>
          <t>Accessory model 2</t>
        </is>
      </c>
      <c r="D830" s="27" t="inlineStr">
        <is>
          <t>Accessory</t>
        </is>
      </c>
      <c r="E830" s="27" t="n">
        <v>0</v>
      </c>
      <c r="F830" s="28" t="n">
        <v>0</v>
      </c>
      <c r="G830" s="28" t="n">
        <v>0</v>
      </c>
      <c r="H830" s="28" t="n">
        <v>0</v>
      </c>
    </row>
    <row r="831">
      <c r="A831" s="26" t="n">
        <v>46271</v>
      </c>
      <c r="B831" s="27" t="inlineStr">
        <is>
          <t>ACC02</t>
        </is>
      </c>
      <c r="C831" s="27" t="inlineStr">
        <is>
          <t>Accessory model 2</t>
        </is>
      </c>
      <c r="D831" s="27" t="inlineStr">
        <is>
          <t>Accessory</t>
        </is>
      </c>
      <c r="E831" s="27" t="n">
        <v>4</v>
      </c>
      <c r="F831" s="28" t="n">
        <v>203.1</v>
      </c>
      <c r="G831" s="28" t="n">
        <v>88</v>
      </c>
      <c r="H831" s="28" t="n">
        <v>115.1</v>
      </c>
    </row>
    <row r="832">
      <c r="A832" s="26" t="n">
        <v>46278</v>
      </c>
      <c r="B832" s="27" t="inlineStr">
        <is>
          <t>ACC02</t>
        </is>
      </c>
      <c r="C832" s="27" t="inlineStr">
        <is>
          <t>Accessory model 2</t>
        </is>
      </c>
      <c r="D832" s="27" t="inlineStr">
        <is>
          <t>Accessory</t>
        </is>
      </c>
      <c r="E832" s="27" t="n">
        <v>2</v>
      </c>
      <c r="F832" s="28" t="n">
        <v>101.14</v>
      </c>
      <c r="G832" s="28" t="n">
        <v>44</v>
      </c>
      <c r="H832" s="28" t="n">
        <v>57.14</v>
      </c>
    </row>
    <row r="833">
      <c r="A833" s="26" t="n">
        <v>46285</v>
      </c>
      <c r="B833" s="27" t="inlineStr">
        <is>
          <t>ACC02</t>
        </is>
      </c>
      <c r="C833" s="27" t="inlineStr">
        <is>
          <t>Accessory model 2</t>
        </is>
      </c>
      <c r="D833" s="27" t="inlineStr">
        <is>
          <t>Accessory</t>
        </is>
      </c>
      <c r="E833" s="27" t="n">
        <v>2</v>
      </c>
      <c r="F833" s="28" t="n">
        <v>96.09999999999999</v>
      </c>
      <c r="G833" s="28" t="n">
        <v>44</v>
      </c>
      <c r="H833" s="28" t="n">
        <v>52.1</v>
      </c>
    </row>
    <row r="834">
      <c r="A834" s="26" t="n">
        <v>46110</v>
      </c>
      <c r="B834" s="27" t="inlineStr">
        <is>
          <t>ACC03</t>
        </is>
      </c>
      <c r="C834" s="27" t="inlineStr">
        <is>
          <t>Accessory model 3</t>
        </is>
      </c>
      <c r="D834" s="27" t="inlineStr">
        <is>
          <t>Accessory</t>
        </is>
      </c>
      <c r="E834" s="27" t="n">
        <v>1</v>
      </c>
      <c r="F834" s="28" t="n">
        <v>44.96</v>
      </c>
      <c r="G834" s="28" t="n">
        <v>19</v>
      </c>
      <c r="H834" s="28" t="n">
        <v>25.96</v>
      </c>
    </row>
    <row r="835">
      <c r="A835" s="26" t="n">
        <v>46117</v>
      </c>
      <c r="B835" s="27" t="inlineStr">
        <is>
          <t>ACC03</t>
        </is>
      </c>
      <c r="C835" s="27" t="inlineStr">
        <is>
          <t>Accessory model 3</t>
        </is>
      </c>
      <c r="D835" s="27" t="inlineStr">
        <is>
          <t>Accessory</t>
        </is>
      </c>
      <c r="E835" s="27" t="n">
        <v>4</v>
      </c>
      <c r="F835" s="28" t="n">
        <v>189.44</v>
      </c>
      <c r="G835" s="28" t="n">
        <v>76</v>
      </c>
      <c r="H835" s="28" t="n">
        <v>113.44</v>
      </c>
    </row>
    <row r="836">
      <c r="A836" s="26" t="n">
        <v>46124</v>
      </c>
      <c r="B836" s="27" t="inlineStr">
        <is>
          <t>ACC03</t>
        </is>
      </c>
      <c r="C836" s="27" t="inlineStr">
        <is>
          <t>Accessory model 3</t>
        </is>
      </c>
      <c r="D836" s="27" t="inlineStr">
        <is>
          <t>Accessory</t>
        </is>
      </c>
      <c r="E836" s="27" t="n">
        <v>7</v>
      </c>
      <c r="F836" s="28" t="n">
        <v>313.78</v>
      </c>
      <c r="G836" s="28" t="n">
        <v>133</v>
      </c>
      <c r="H836" s="28" t="n">
        <v>180.78</v>
      </c>
    </row>
    <row r="837">
      <c r="A837" s="26" t="n">
        <v>46131</v>
      </c>
      <c r="B837" s="27" t="inlineStr">
        <is>
          <t>ACC03</t>
        </is>
      </c>
      <c r="C837" s="27" t="inlineStr">
        <is>
          <t>Accessory model 3</t>
        </is>
      </c>
      <c r="D837" s="27" t="inlineStr">
        <is>
          <t>Accessory</t>
        </is>
      </c>
      <c r="E837" s="27" t="n">
        <v>3</v>
      </c>
      <c r="F837" s="28" t="n">
        <v>134.43</v>
      </c>
      <c r="G837" s="28" t="n">
        <v>57</v>
      </c>
      <c r="H837" s="28" t="n">
        <v>77.43000000000001</v>
      </c>
    </row>
    <row r="838">
      <c r="A838" s="26" t="n">
        <v>46138</v>
      </c>
      <c r="B838" s="27" t="inlineStr">
        <is>
          <t>ACC03</t>
        </is>
      </c>
      <c r="C838" s="27" t="inlineStr">
        <is>
          <t>Accessory model 3</t>
        </is>
      </c>
      <c r="D838" s="27" t="inlineStr">
        <is>
          <t>Accessory</t>
        </is>
      </c>
      <c r="E838" s="27" t="n">
        <v>2</v>
      </c>
      <c r="F838" s="28" t="n">
        <v>88.61</v>
      </c>
      <c r="G838" s="28" t="n">
        <v>38</v>
      </c>
      <c r="H838" s="28" t="n">
        <v>50.61</v>
      </c>
    </row>
    <row r="839">
      <c r="A839" s="26" t="n">
        <v>46145</v>
      </c>
      <c r="B839" s="27" t="inlineStr">
        <is>
          <t>ACC03</t>
        </is>
      </c>
      <c r="C839" s="27" t="inlineStr">
        <is>
          <t>Accessory model 3</t>
        </is>
      </c>
      <c r="D839" s="27" t="inlineStr">
        <is>
          <t>Accessory</t>
        </is>
      </c>
      <c r="E839" s="27" t="n">
        <v>2</v>
      </c>
      <c r="F839" s="28" t="n">
        <v>88.69</v>
      </c>
      <c r="G839" s="28" t="n">
        <v>38</v>
      </c>
      <c r="H839" s="28" t="n">
        <v>50.69</v>
      </c>
    </row>
    <row r="840">
      <c r="A840" s="26" t="n">
        <v>46152</v>
      </c>
      <c r="B840" s="27" t="inlineStr">
        <is>
          <t>ACC03</t>
        </is>
      </c>
      <c r="C840" s="27" t="inlineStr">
        <is>
          <t>Accessory model 3</t>
        </is>
      </c>
      <c r="D840" s="27" t="inlineStr">
        <is>
          <t>Accessory</t>
        </is>
      </c>
      <c r="E840" s="27" t="n">
        <v>1</v>
      </c>
      <c r="F840" s="28" t="n">
        <v>44.33</v>
      </c>
      <c r="G840" s="28" t="n">
        <v>19</v>
      </c>
      <c r="H840" s="28" t="n">
        <v>25.33</v>
      </c>
    </row>
    <row r="841">
      <c r="A841" s="26" t="n">
        <v>46159</v>
      </c>
      <c r="B841" s="27" t="inlineStr">
        <is>
          <t>ACC03</t>
        </is>
      </c>
      <c r="C841" s="27" t="inlineStr">
        <is>
          <t>Accessory model 3</t>
        </is>
      </c>
      <c r="D841" s="27" t="inlineStr">
        <is>
          <t>Accessory</t>
        </is>
      </c>
      <c r="E841" s="27" t="n">
        <v>0</v>
      </c>
      <c r="F841" s="28" t="n">
        <v>0</v>
      </c>
      <c r="G841" s="28" t="n">
        <v>0</v>
      </c>
      <c r="H841" s="28" t="n">
        <v>0</v>
      </c>
    </row>
    <row r="842">
      <c r="A842" s="26" t="n">
        <v>46166</v>
      </c>
      <c r="B842" s="27" t="inlineStr">
        <is>
          <t>ACC03</t>
        </is>
      </c>
      <c r="C842" s="27" t="inlineStr">
        <is>
          <t>Accessory model 3</t>
        </is>
      </c>
      <c r="D842" s="27" t="inlineStr">
        <is>
          <t>Accessory</t>
        </is>
      </c>
      <c r="E842" s="27" t="n">
        <v>4</v>
      </c>
      <c r="F842" s="28" t="n">
        <v>174.56</v>
      </c>
      <c r="G842" s="28" t="n">
        <v>76</v>
      </c>
      <c r="H842" s="28" t="n">
        <v>98.56</v>
      </c>
    </row>
    <row r="843">
      <c r="A843" s="26" t="n">
        <v>46173</v>
      </c>
      <c r="B843" s="27" t="inlineStr">
        <is>
          <t>ACC03</t>
        </is>
      </c>
      <c r="C843" s="27" t="inlineStr">
        <is>
          <t>Accessory model 3</t>
        </is>
      </c>
      <c r="D843" s="27" t="inlineStr">
        <is>
          <t>Accessory</t>
        </is>
      </c>
      <c r="E843" s="27" t="n">
        <v>4</v>
      </c>
      <c r="F843" s="28" t="n">
        <v>182.93</v>
      </c>
      <c r="G843" s="28" t="n">
        <v>76</v>
      </c>
      <c r="H843" s="28" t="n">
        <v>106.93</v>
      </c>
    </row>
    <row r="844">
      <c r="A844" s="26" t="n">
        <v>46180</v>
      </c>
      <c r="B844" s="27" t="inlineStr">
        <is>
          <t>ACC03</t>
        </is>
      </c>
      <c r="C844" s="27" t="inlineStr">
        <is>
          <t>Accessory model 3</t>
        </is>
      </c>
      <c r="D844" s="27" t="inlineStr">
        <is>
          <t>Accessory</t>
        </is>
      </c>
      <c r="E844" s="27" t="n">
        <v>4</v>
      </c>
      <c r="F844" s="28" t="n">
        <v>176.23</v>
      </c>
      <c r="G844" s="28" t="n">
        <v>76</v>
      </c>
      <c r="H844" s="28" t="n">
        <v>100.23</v>
      </c>
    </row>
    <row r="845">
      <c r="A845" s="26" t="n">
        <v>46187</v>
      </c>
      <c r="B845" s="27" t="inlineStr">
        <is>
          <t>ACC03</t>
        </is>
      </c>
      <c r="C845" s="27" t="inlineStr">
        <is>
          <t>Accessory model 3</t>
        </is>
      </c>
      <c r="D845" s="27" t="inlineStr">
        <is>
          <t>Accessory</t>
        </is>
      </c>
      <c r="E845" s="27" t="n">
        <v>4</v>
      </c>
      <c r="F845" s="28" t="n">
        <v>173.33</v>
      </c>
      <c r="G845" s="28" t="n">
        <v>76</v>
      </c>
      <c r="H845" s="28" t="n">
        <v>97.33</v>
      </c>
    </row>
    <row r="846">
      <c r="A846" s="26" t="n">
        <v>46194</v>
      </c>
      <c r="B846" s="27" t="inlineStr">
        <is>
          <t>ACC03</t>
        </is>
      </c>
      <c r="C846" s="27" t="inlineStr">
        <is>
          <t>Accessory model 3</t>
        </is>
      </c>
      <c r="D846" s="27" t="inlineStr">
        <is>
          <t>Accessory</t>
        </is>
      </c>
      <c r="E846" s="27" t="n">
        <v>1</v>
      </c>
      <c r="F846" s="28" t="n">
        <v>43.22</v>
      </c>
      <c r="G846" s="28" t="n">
        <v>19</v>
      </c>
      <c r="H846" s="28" t="n">
        <v>24.22</v>
      </c>
    </row>
    <row r="847">
      <c r="A847" s="26" t="n">
        <v>46201</v>
      </c>
      <c r="B847" s="27" t="inlineStr">
        <is>
          <t>ACC03</t>
        </is>
      </c>
      <c r="C847" s="27" t="inlineStr">
        <is>
          <t>Accessory model 3</t>
        </is>
      </c>
      <c r="D847" s="27" t="inlineStr">
        <is>
          <t>Accessory</t>
        </is>
      </c>
      <c r="E847" s="27" t="n">
        <v>3</v>
      </c>
      <c r="F847" s="28" t="n">
        <v>137.22</v>
      </c>
      <c r="G847" s="28" t="n">
        <v>57</v>
      </c>
      <c r="H847" s="28" t="n">
        <v>80.22</v>
      </c>
    </row>
    <row r="848">
      <c r="A848" s="26" t="n">
        <v>46208</v>
      </c>
      <c r="B848" s="27" t="inlineStr">
        <is>
          <t>ACC03</t>
        </is>
      </c>
      <c r="C848" s="27" t="inlineStr">
        <is>
          <t>Accessory model 3</t>
        </is>
      </c>
      <c r="D848" s="27" t="inlineStr">
        <is>
          <t>Accessory</t>
        </is>
      </c>
      <c r="E848" s="27" t="n">
        <v>3</v>
      </c>
      <c r="F848" s="28" t="n">
        <v>131.57</v>
      </c>
      <c r="G848" s="28" t="n">
        <v>57</v>
      </c>
      <c r="H848" s="28" t="n">
        <v>74.56999999999999</v>
      </c>
    </row>
    <row r="849">
      <c r="A849" s="26" t="n">
        <v>46215</v>
      </c>
      <c r="B849" s="27" t="inlineStr">
        <is>
          <t>ACC03</t>
        </is>
      </c>
      <c r="C849" s="27" t="inlineStr">
        <is>
          <t>Accessory model 3</t>
        </is>
      </c>
      <c r="D849" s="27" t="inlineStr">
        <is>
          <t>Accessory</t>
        </is>
      </c>
      <c r="E849" s="27" t="n">
        <v>2</v>
      </c>
      <c r="F849" s="28" t="n">
        <v>86.48999999999999</v>
      </c>
      <c r="G849" s="28" t="n">
        <v>38</v>
      </c>
      <c r="H849" s="28" t="n">
        <v>48.49</v>
      </c>
    </row>
    <row r="850">
      <c r="A850" s="26" t="n">
        <v>46222</v>
      </c>
      <c r="B850" s="27" t="inlineStr">
        <is>
          <t>ACC03</t>
        </is>
      </c>
      <c r="C850" s="27" t="inlineStr">
        <is>
          <t>Accessory model 3</t>
        </is>
      </c>
      <c r="D850" s="27" t="inlineStr">
        <is>
          <t>Accessory</t>
        </is>
      </c>
      <c r="E850" s="27" t="n">
        <v>2</v>
      </c>
      <c r="F850" s="28" t="n">
        <v>85.88</v>
      </c>
      <c r="G850" s="28" t="n">
        <v>38</v>
      </c>
      <c r="H850" s="28" t="n">
        <v>47.88</v>
      </c>
    </row>
    <row r="851">
      <c r="A851" s="26" t="n">
        <v>46229</v>
      </c>
      <c r="B851" s="27" t="inlineStr">
        <is>
          <t>ACC03</t>
        </is>
      </c>
      <c r="C851" s="27" t="inlineStr">
        <is>
          <t>Accessory model 3</t>
        </is>
      </c>
      <c r="D851" s="27" t="inlineStr">
        <is>
          <t>Accessory</t>
        </is>
      </c>
      <c r="E851" s="27" t="n">
        <v>1</v>
      </c>
      <c r="F851" s="28" t="n">
        <v>42.59</v>
      </c>
      <c r="G851" s="28" t="n">
        <v>19</v>
      </c>
      <c r="H851" s="28" t="n">
        <v>23.59</v>
      </c>
    </row>
    <row r="852">
      <c r="A852" s="26" t="n">
        <v>46236</v>
      </c>
      <c r="B852" s="27" t="inlineStr">
        <is>
          <t>ACC03</t>
        </is>
      </c>
      <c r="C852" s="27" t="inlineStr">
        <is>
          <t>Accessory model 3</t>
        </is>
      </c>
      <c r="D852" s="27" t="inlineStr">
        <is>
          <t>Accessory</t>
        </is>
      </c>
      <c r="E852" s="27" t="n">
        <v>3</v>
      </c>
      <c r="F852" s="28" t="n">
        <v>131.43</v>
      </c>
      <c r="G852" s="28" t="n">
        <v>57</v>
      </c>
      <c r="H852" s="28" t="n">
        <v>74.43000000000001</v>
      </c>
    </row>
    <row r="853">
      <c r="A853" s="26" t="n">
        <v>46243</v>
      </c>
      <c r="B853" s="27" t="inlineStr">
        <is>
          <t>ACC03</t>
        </is>
      </c>
      <c r="C853" s="27" t="inlineStr">
        <is>
          <t>Accessory model 3</t>
        </is>
      </c>
      <c r="D853" s="27" t="inlineStr">
        <is>
          <t>Accessory</t>
        </is>
      </c>
      <c r="E853" s="27" t="n">
        <v>2</v>
      </c>
      <c r="F853" s="28" t="n">
        <v>86.92</v>
      </c>
      <c r="G853" s="28" t="n">
        <v>38</v>
      </c>
      <c r="H853" s="28" t="n">
        <v>48.92</v>
      </c>
    </row>
    <row r="854">
      <c r="A854" s="26" t="n">
        <v>46250</v>
      </c>
      <c r="B854" s="27" t="inlineStr">
        <is>
          <t>ACC03</t>
        </is>
      </c>
      <c r="C854" s="27" t="inlineStr">
        <is>
          <t>Accessory model 3</t>
        </is>
      </c>
      <c r="D854" s="27" t="inlineStr">
        <is>
          <t>Accessory</t>
        </is>
      </c>
      <c r="E854" s="27" t="n">
        <v>2</v>
      </c>
      <c r="F854" s="28" t="n">
        <v>86.02</v>
      </c>
      <c r="G854" s="28" t="n">
        <v>38</v>
      </c>
      <c r="H854" s="28" t="n">
        <v>48.02</v>
      </c>
    </row>
    <row r="855">
      <c r="A855" s="26" t="n">
        <v>46257</v>
      </c>
      <c r="B855" s="27" t="inlineStr">
        <is>
          <t>ACC03</t>
        </is>
      </c>
      <c r="C855" s="27" t="inlineStr">
        <is>
          <t>Accessory model 3</t>
        </is>
      </c>
      <c r="D855" s="27" t="inlineStr">
        <is>
          <t>Accessory</t>
        </is>
      </c>
      <c r="E855" s="27" t="n">
        <v>1</v>
      </c>
      <c r="F855" s="28" t="n">
        <v>43.84</v>
      </c>
      <c r="G855" s="28" t="n">
        <v>19</v>
      </c>
      <c r="H855" s="28" t="n">
        <v>24.84</v>
      </c>
    </row>
    <row r="856">
      <c r="A856" s="26" t="n">
        <v>46264</v>
      </c>
      <c r="B856" s="27" t="inlineStr">
        <is>
          <t>ACC03</t>
        </is>
      </c>
      <c r="C856" s="27" t="inlineStr">
        <is>
          <t>Accessory model 3</t>
        </is>
      </c>
      <c r="D856" s="27" t="inlineStr">
        <is>
          <t>Accessory</t>
        </is>
      </c>
      <c r="E856" s="27" t="n">
        <v>4</v>
      </c>
      <c r="F856" s="28" t="n">
        <v>165.8</v>
      </c>
      <c r="G856" s="28" t="n">
        <v>76</v>
      </c>
      <c r="H856" s="28" t="n">
        <v>89.8</v>
      </c>
    </row>
    <row r="857">
      <c r="A857" s="26" t="n">
        <v>46271</v>
      </c>
      <c r="B857" s="27" t="inlineStr">
        <is>
          <t>ACC03</t>
        </is>
      </c>
      <c r="C857" s="27" t="inlineStr">
        <is>
          <t>Accessory model 3</t>
        </is>
      </c>
      <c r="D857" s="27" t="inlineStr">
        <is>
          <t>Accessory</t>
        </is>
      </c>
      <c r="E857" s="27" t="n">
        <v>0</v>
      </c>
      <c r="F857" s="28" t="n">
        <v>0</v>
      </c>
      <c r="G857" s="28" t="n">
        <v>0</v>
      </c>
      <c r="H857" s="28" t="n">
        <v>0</v>
      </c>
    </row>
    <row r="858">
      <c r="A858" s="26" t="n">
        <v>46278</v>
      </c>
      <c r="B858" s="27" t="inlineStr">
        <is>
          <t>ACC03</t>
        </is>
      </c>
      <c r="C858" s="27" t="inlineStr">
        <is>
          <t>Accessory model 3</t>
        </is>
      </c>
      <c r="D858" s="27" t="inlineStr">
        <is>
          <t>Accessory</t>
        </is>
      </c>
      <c r="E858" s="27" t="n">
        <v>3</v>
      </c>
      <c r="F858" s="28" t="n">
        <v>128.7</v>
      </c>
      <c r="G858" s="28" t="n">
        <v>57</v>
      </c>
      <c r="H858" s="28" t="n">
        <v>71.7</v>
      </c>
    </row>
    <row r="859">
      <c r="A859" s="26" t="n">
        <v>46285</v>
      </c>
      <c r="B859" s="27" t="inlineStr">
        <is>
          <t>ACC03</t>
        </is>
      </c>
      <c r="C859" s="27" t="inlineStr">
        <is>
          <t>Accessory model 3</t>
        </is>
      </c>
      <c r="D859" s="27" t="inlineStr">
        <is>
          <t>Accessory</t>
        </is>
      </c>
      <c r="E859" s="27" t="n">
        <v>1</v>
      </c>
      <c r="F859" s="28" t="n">
        <v>42.22</v>
      </c>
      <c r="G859" s="28" t="n">
        <v>19</v>
      </c>
      <c r="H859" s="28" t="n">
        <v>23.22</v>
      </c>
    </row>
    <row r="860">
      <c r="A860" s="26" t="n">
        <v>46110</v>
      </c>
      <c r="B860" s="27" t="inlineStr">
        <is>
          <t>ACC04</t>
        </is>
      </c>
      <c r="C860" s="27" t="inlineStr">
        <is>
          <t>Accessory model 4</t>
        </is>
      </c>
      <c r="D860" s="27" t="inlineStr">
        <is>
          <t>Accessory</t>
        </is>
      </c>
      <c r="E860" s="27" t="n">
        <v>4</v>
      </c>
      <c r="F860" s="28" t="n">
        <v>184.32</v>
      </c>
      <c r="G860" s="28" t="n">
        <v>76</v>
      </c>
      <c r="H860" s="28" t="n">
        <v>108.32</v>
      </c>
    </row>
    <row r="861">
      <c r="A861" s="26" t="n">
        <v>46117</v>
      </c>
      <c r="B861" s="27" t="inlineStr">
        <is>
          <t>ACC04</t>
        </is>
      </c>
      <c r="C861" s="27" t="inlineStr">
        <is>
          <t>Accessory model 4</t>
        </is>
      </c>
      <c r="D861" s="27" t="inlineStr">
        <is>
          <t>Accessory</t>
        </is>
      </c>
      <c r="E861" s="27" t="n">
        <v>4</v>
      </c>
      <c r="F861" s="28" t="n">
        <v>179.12</v>
      </c>
      <c r="G861" s="28" t="n">
        <v>76</v>
      </c>
      <c r="H861" s="28" t="n">
        <v>103.12</v>
      </c>
    </row>
    <row r="862">
      <c r="A862" s="26" t="n">
        <v>46124</v>
      </c>
      <c r="B862" s="27" t="inlineStr">
        <is>
          <t>ACC04</t>
        </is>
      </c>
      <c r="C862" s="27" t="inlineStr">
        <is>
          <t>Accessory model 4</t>
        </is>
      </c>
      <c r="D862" s="27" t="inlineStr">
        <is>
          <t>Accessory</t>
        </is>
      </c>
      <c r="E862" s="27" t="n">
        <v>4</v>
      </c>
      <c r="F862" s="28" t="n">
        <v>178.99</v>
      </c>
      <c r="G862" s="28" t="n">
        <v>76</v>
      </c>
      <c r="H862" s="28" t="n">
        <v>102.99</v>
      </c>
    </row>
    <row r="863">
      <c r="A863" s="26" t="n">
        <v>46131</v>
      </c>
      <c r="B863" s="27" t="inlineStr">
        <is>
          <t>ACC04</t>
        </is>
      </c>
      <c r="C863" s="27" t="inlineStr">
        <is>
          <t>Accessory model 4</t>
        </is>
      </c>
      <c r="D863" s="27" t="inlineStr">
        <is>
          <t>Accessory</t>
        </is>
      </c>
      <c r="E863" s="27" t="n">
        <v>0</v>
      </c>
      <c r="F863" s="28" t="n">
        <v>0</v>
      </c>
      <c r="G863" s="28" t="n">
        <v>0</v>
      </c>
      <c r="H863" s="28" t="n">
        <v>0</v>
      </c>
    </row>
    <row r="864">
      <c r="A864" s="26" t="n">
        <v>46138</v>
      </c>
      <c r="B864" s="27" t="inlineStr">
        <is>
          <t>ACC04</t>
        </is>
      </c>
      <c r="C864" s="27" t="inlineStr">
        <is>
          <t>Accessory model 4</t>
        </is>
      </c>
      <c r="D864" s="27" t="inlineStr">
        <is>
          <t>Accessory</t>
        </is>
      </c>
      <c r="E864" s="27" t="n">
        <v>2</v>
      </c>
      <c r="F864" s="28" t="n">
        <v>88.14</v>
      </c>
      <c r="G864" s="28" t="n">
        <v>38</v>
      </c>
      <c r="H864" s="28" t="n">
        <v>50.14</v>
      </c>
    </row>
    <row r="865">
      <c r="A865" s="26" t="n">
        <v>46145</v>
      </c>
      <c r="B865" s="27" t="inlineStr">
        <is>
          <t>ACC04</t>
        </is>
      </c>
      <c r="C865" s="27" t="inlineStr">
        <is>
          <t>Accessory model 4</t>
        </is>
      </c>
      <c r="D865" s="27" t="inlineStr">
        <is>
          <t>Accessory</t>
        </is>
      </c>
      <c r="E865" s="27" t="n">
        <v>4</v>
      </c>
      <c r="F865" s="28" t="n">
        <v>173.7</v>
      </c>
      <c r="G865" s="28" t="n">
        <v>76</v>
      </c>
      <c r="H865" s="28" t="n">
        <v>97.7</v>
      </c>
    </row>
    <row r="866">
      <c r="A866" s="26" t="n">
        <v>46152</v>
      </c>
      <c r="B866" s="27" t="inlineStr">
        <is>
          <t>ACC04</t>
        </is>
      </c>
      <c r="C866" s="27" t="inlineStr">
        <is>
          <t>Accessory model 4</t>
        </is>
      </c>
      <c r="D866" s="27" t="inlineStr">
        <is>
          <t>Accessory</t>
        </is>
      </c>
      <c r="E866" s="27" t="n">
        <v>5</v>
      </c>
      <c r="F866" s="28" t="n">
        <v>226.03</v>
      </c>
      <c r="G866" s="28" t="n">
        <v>95</v>
      </c>
      <c r="H866" s="28" t="n">
        <v>131.03</v>
      </c>
    </row>
    <row r="867">
      <c r="A867" s="26" t="n">
        <v>46159</v>
      </c>
      <c r="B867" s="27" t="inlineStr">
        <is>
          <t>ACC04</t>
        </is>
      </c>
      <c r="C867" s="27" t="inlineStr">
        <is>
          <t>Accessory model 4</t>
        </is>
      </c>
      <c r="D867" s="27" t="inlineStr">
        <is>
          <t>Accessory</t>
        </is>
      </c>
      <c r="E867" s="27" t="n">
        <v>0</v>
      </c>
      <c r="F867" s="28" t="n">
        <v>0</v>
      </c>
      <c r="G867" s="28" t="n">
        <v>0</v>
      </c>
      <c r="H867" s="28" t="n">
        <v>0</v>
      </c>
    </row>
    <row r="868">
      <c r="A868" s="26" t="n">
        <v>46166</v>
      </c>
      <c r="B868" s="27" t="inlineStr">
        <is>
          <t>ACC04</t>
        </is>
      </c>
      <c r="C868" s="27" t="inlineStr">
        <is>
          <t>Accessory model 4</t>
        </is>
      </c>
      <c r="D868" s="27" t="inlineStr">
        <is>
          <t>Accessory</t>
        </is>
      </c>
      <c r="E868" s="27" t="n">
        <v>4</v>
      </c>
      <c r="F868" s="28" t="n">
        <v>171.55</v>
      </c>
      <c r="G868" s="28" t="n">
        <v>76</v>
      </c>
      <c r="H868" s="28" t="n">
        <v>95.55</v>
      </c>
    </row>
    <row r="869">
      <c r="A869" s="26" t="n">
        <v>46173</v>
      </c>
      <c r="B869" s="27" t="inlineStr">
        <is>
          <t>ACC04</t>
        </is>
      </c>
      <c r="C869" s="27" t="inlineStr">
        <is>
          <t>Accessory model 4</t>
        </is>
      </c>
      <c r="D869" s="27" t="inlineStr">
        <is>
          <t>Accessory</t>
        </is>
      </c>
      <c r="E869" s="27" t="n">
        <v>2</v>
      </c>
      <c r="F869" s="28" t="n">
        <v>85.95999999999999</v>
      </c>
      <c r="G869" s="28" t="n">
        <v>38</v>
      </c>
      <c r="H869" s="28" t="n">
        <v>47.96</v>
      </c>
    </row>
    <row r="870">
      <c r="A870" s="26" t="n">
        <v>46180</v>
      </c>
      <c r="B870" s="27" t="inlineStr">
        <is>
          <t>ACC04</t>
        </is>
      </c>
      <c r="C870" s="27" t="inlineStr">
        <is>
          <t>Accessory model 4</t>
        </is>
      </c>
      <c r="D870" s="27" t="inlineStr">
        <is>
          <t>Accessory</t>
        </is>
      </c>
      <c r="E870" s="27" t="n">
        <v>4</v>
      </c>
      <c r="F870" s="28" t="n">
        <v>175.75</v>
      </c>
      <c r="G870" s="28" t="n">
        <v>76</v>
      </c>
      <c r="H870" s="28" t="n">
        <v>99.75</v>
      </c>
    </row>
    <row r="871">
      <c r="A871" s="26" t="n">
        <v>46187</v>
      </c>
      <c r="B871" s="27" t="inlineStr">
        <is>
          <t>ACC04</t>
        </is>
      </c>
      <c r="C871" s="27" t="inlineStr">
        <is>
          <t>Accessory model 4</t>
        </is>
      </c>
      <c r="D871" s="27" t="inlineStr">
        <is>
          <t>Accessory</t>
        </is>
      </c>
      <c r="E871" s="27" t="n">
        <v>9</v>
      </c>
      <c r="F871" s="28" t="n">
        <v>389.53</v>
      </c>
      <c r="G871" s="28" t="n">
        <v>171</v>
      </c>
      <c r="H871" s="28" t="n">
        <v>218.53</v>
      </c>
    </row>
    <row r="872">
      <c r="A872" s="26" t="n">
        <v>46194</v>
      </c>
      <c r="B872" s="27" t="inlineStr">
        <is>
          <t>ACC04</t>
        </is>
      </c>
      <c r="C872" s="27" t="inlineStr">
        <is>
          <t>Accessory model 4</t>
        </is>
      </c>
      <c r="D872" s="27" t="inlineStr">
        <is>
          <t>Accessory</t>
        </is>
      </c>
      <c r="E872" s="27" t="n">
        <v>0</v>
      </c>
      <c r="F872" s="28" t="n">
        <v>0</v>
      </c>
      <c r="G872" s="28" t="n">
        <v>0</v>
      </c>
      <c r="H872" s="28" t="n">
        <v>0</v>
      </c>
    </row>
    <row r="873">
      <c r="A873" s="26" t="n">
        <v>46201</v>
      </c>
      <c r="B873" s="27" t="inlineStr">
        <is>
          <t>ACC04</t>
        </is>
      </c>
      <c r="C873" s="27" t="inlineStr">
        <is>
          <t>Accessory model 4</t>
        </is>
      </c>
      <c r="D873" s="27" t="inlineStr">
        <is>
          <t>Accessory</t>
        </is>
      </c>
      <c r="E873" s="27" t="n">
        <v>7</v>
      </c>
      <c r="F873" s="28" t="n">
        <v>302.34</v>
      </c>
      <c r="G873" s="28" t="n">
        <v>133</v>
      </c>
      <c r="H873" s="28" t="n">
        <v>169.34</v>
      </c>
    </row>
    <row r="874">
      <c r="A874" s="26" t="n">
        <v>46208</v>
      </c>
      <c r="B874" s="27" t="inlineStr">
        <is>
          <t>ACC04</t>
        </is>
      </c>
      <c r="C874" s="27" t="inlineStr">
        <is>
          <t>Accessory model 4</t>
        </is>
      </c>
      <c r="D874" s="27" t="inlineStr">
        <is>
          <t>Accessory</t>
        </is>
      </c>
      <c r="E874" s="27" t="n">
        <v>2</v>
      </c>
      <c r="F874" s="28" t="n">
        <v>89.06</v>
      </c>
      <c r="G874" s="28" t="n">
        <v>38</v>
      </c>
      <c r="H874" s="28" t="n">
        <v>51.06</v>
      </c>
    </row>
    <row r="875">
      <c r="A875" s="26" t="n">
        <v>46215</v>
      </c>
      <c r="B875" s="27" t="inlineStr">
        <is>
          <t>ACC04</t>
        </is>
      </c>
      <c r="C875" s="27" t="inlineStr">
        <is>
          <t>Accessory model 4</t>
        </is>
      </c>
      <c r="D875" s="27" t="inlineStr">
        <is>
          <t>Accessory</t>
        </is>
      </c>
      <c r="E875" s="27" t="n">
        <v>5</v>
      </c>
      <c r="F875" s="28" t="n">
        <v>209.97</v>
      </c>
      <c r="G875" s="28" t="n">
        <v>95</v>
      </c>
      <c r="H875" s="28" t="n">
        <v>114.97</v>
      </c>
    </row>
    <row r="876">
      <c r="A876" s="26" t="n">
        <v>46222</v>
      </c>
      <c r="B876" s="27" t="inlineStr">
        <is>
          <t>ACC04</t>
        </is>
      </c>
      <c r="C876" s="27" t="inlineStr">
        <is>
          <t>Accessory model 4</t>
        </is>
      </c>
      <c r="D876" s="27" t="inlineStr">
        <is>
          <t>Accessory</t>
        </is>
      </c>
      <c r="E876" s="27" t="n">
        <v>9</v>
      </c>
      <c r="F876" s="28" t="n">
        <v>389.48</v>
      </c>
      <c r="G876" s="28" t="n">
        <v>171</v>
      </c>
      <c r="H876" s="28" t="n">
        <v>218.48</v>
      </c>
    </row>
    <row r="877">
      <c r="A877" s="26" t="n">
        <v>46229</v>
      </c>
      <c r="B877" s="27" t="inlineStr">
        <is>
          <t>ACC04</t>
        </is>
      </c>
      <c r="C877" s="27" t="inlineStr">
        <is>
          <t>Accessory model 4</t>
        </is>
      </c>
      <c r="D877" s="27" t="inlineStr">
        <is>
          <t>Accessory</t>
        </is>
      </c>
      <c r="E877" s="27" t="n">
        <v>1</v>
      </c>
      <c r="F877" s="28" t="n">
        <v>41.34</v>
      </c>
      <c r="G877" s="28" t="n">
        <v>19</v>
      </c>
      <c r="H877" s="28" t="n">
        <v>22.34</v>
      </c>
    </row>
    <row r="878">
      <c r="A878" s="26" t="n">
        <v>46236</v>
      </c>
      <c r="B878" s="27" t="inlineStr">
        <is>
          <t>ACC04</t>
        </is>
      </c>
      <c r="C878" s="27" t="inlineStr">
        <is>
          <t>Accessory model 4</t>
        </is>
      </c>
      <c r="D878" s="27" t="inlineStr">
        <is>
          <t>Accessory</t>
        </is>
      </c>
      <c r="E878" s="27" t="n">
        <v>3</v>
      </c>
      <c r="F878" s="28" t="n">
        <v>129.29</v>
      </c>
      <c r="G878" s="28" t="n">
        <v>57</v>
      </c>
      <c r="H878" s="28" t="n">
        <v>72.29000000000001</v>
      </c>
    </row>
    <row r="879">
      <c r="A879" s="26" t="n">
        <v>46243</v>
      </c>
      <c r="B879" s="27" t="inlineStr">
        <is>
          <t>ACC04</t>
        </is>
      </c>
      <c r="C879" s="27" t="inlineStr">
        <is>
          <t>Accessory model 4</t>
        </is>
      </c>
      <c r="D879" s="27" t="inlineStr">
        <is>
          <t>Accessory</t>
        </is>
      </c>
      <c r="E879" s="27" t="n">
        <v>2</v>
      </c>
      <c r="F879" s="28" t="n">
        <v>85.70999999999999</v>
      </c>
      <c r="G879" s="28" t="n">
        <v>38</v>
      </c>
      <c r="H879" s="28" t="n">
        <v>47.71</v>
      </c>
    </row>
    <row r="880">
      <c r="A880" s="26" t="n">
        <v>46250</v>
      </c>
      <c r="B880" s="27" t="inlineStr">
        <is>
          <t>ACC04</t>
        </is>
      </c>
      <c r="C880" s="27" t="inlineStr">
        <is>
          <t>Accessory model 4</t>
        </is>
      </c>
      <c r="D880" s="27" t="inlineStr">
        <is>
          <t>Accessory</t>
        </is>
      </c>
      <c r="E880" s="27" t="n">
        <v>3</v>
      </c>
      <c r="F880" s="28" t="n">
        <v>129.67</v>
      </c>
      <c r="G880" s="28" t="n">
        <v>57</v>
      </c>
      <c r="H880" s="28" t="n">
        <v>72.67</v>
      </c>
    </row>
    <row r="881">
      <c r="A881" s="26" t="n">
        <v>46257</v>
      </c>
      <c r="B881" s="27" t="inlineStr">
        <is>
          <t>ACC04</t>
        </is>
      </c>
      <c r="C881" s="27" t="inlineStr">
        <is>
          <t>Accessory model 4</t>
        </is>
      </c>
      <c r="D881" s="27" t="inlineStr">
        <is>
          <t>Accessory</t>
        </is>
      </c>
      <c r="E881" s="27" t="n">
        <v>6</v>
      </c>
      <c r="F881" s="28" t="n">
        <v>244.31</v>
      </c>
      <c r="G881" s="28" t="n">
        <v>114</v>
      </c>
      <c r="H881" s="28" t="n">
        <v>130.31</v>
      </c>
    </row>
    <row r="882">
      <c r="A882" s="26" t="n">
        <v>46264</v>
      </c>
      <c r="B882" s="27" t="inlineStr">
        <is>
          <t>ACC04</t>
        </is>
      </c>
      <c r="C882" s="27" t="inlineStr">
        <is>
          <t>Accessory model 4</t>
        </is>
      </c>
      <c r="D882" s="27" t="inlineStr">
        <is>
          <t>Accessory</t>
        </is>
      </c>
      <c r="E882" s="27" t="n">
        <v>0</v>
      </c>
      <c r="F882" s="28" t="n">
        <v>0</v>
      </c>
      <c r="G882" s="28" t="n">
        <v>0</v>
      </c>
      <c r="H882" s="28" t="n">
        <v>0</v>
      </c>
    </row>
    <row r="883">
      <c r="A883" s="26" t="n">
        <v>46271</v>
      </c>
      <c r="B883" s="27" t="inlineStr">
        <is>
          <t>ACC04</t>
        </is>
      </c>
      <c r="C883" s="27" t="inlineStr">
        <is>
          <t>Accessory model 4</t>
        </is>
      </c>
      <c r="D883" s="27" t="inlineStr">
        <is>
          <t>Accessory</t>
        </is>
      </c>
      <c r="E883" s="27" t="n">
        <v>0</v>
      </c>
      <c r="F883" s="28" t="n">
        <v>0</v>
      </c>
      <c r="G883" s="28" t="n">
        <v>0</v>
      </c>
      <c r="H883" s="28" t="n">
        <v>0</v>
      </c>
    </row>
    <row r="884">
      <c r="A884" s="26" t="n">
        <v>46278</v>
      </c>
      <c r="B884" s="27" t="inlineStr">
        <is>
          <t>ACC04</t>
        </is>
      </c>
      <c r="C884" s="27" t="inlineStr">
        <is>
          <t>Accessory model 4</t>
        </is>
      </c>
      <c r="D884" s="27" t="inlineStr">
        <is>
          <t>Accessory</t>
        </is>
      </c>
      <c r="E884" s="27" t="n">
        <v>3</v>
      </c>
      <c r="F884" s="28" t="n">
        <v>127.32</v>
      </c>
      <c r="G884" s="28" t="n">
        <v>57</v>
      </c>
      <c r="H884" s="28" t="n">
        <v>70.31999999999999</v>
      </c>
    </row>
    <row r="885">
      <c r="A885" s="26" t="n">
        <v>46285</v>
      </c>
      <c r="B885" s="27" t="inlineStr">
        <is>
          <t>ACC04</t>
        </is>
      </c>
      <c r="C885" s="27" t="inlineStr">
        <is>
          <t>Accessory model 4</t>
        </is>
      </c>
      <c r="D885" s="27" t="inlineStr">
        <is>
          <t>Accessory</t>
        </is>
      </c>
      <c r="E885" s="27" t="n">
        <v>2</v>
      </c>
      <c r="F885" s="28" t="n">
        <v>82.61</v>
      </c>
      <c r="G885" s="28" t="n">
        <v>38</v>
      </c>
      <c r="H885" s="28" t="n">
        <v>44.61</v>
      </c>
    </row>
    <row r="886">
      <c r="A886" s="26" t="n">
        <v>46110</v>
      </c>
      <c r="B886" s="27" t="inlineStr">
        <is>
          <t>ACC05</t>
        </is>
      </c>
      <c r="C886" s="27" t="inlineStr">
        <is>
          <t>Accessory model 5</t>
        </is>
      </c>
      <c r="D886" s="27" t="inlineStr">
        <is>
          <t>Accessory</t>
        </is>
      </c>
      <c r="E886" s="27" t="n">
        <v>2</v>
      </c>
      <c r="F886" s="28" t="n">
        <v>110.43</v>
      </c>
      <c r="G886" s="28" t="n">
        <v>46</v>
      </c>
      <c r="H886" s="28" t="n">
        <v>64.43000000000001</v>
      </c>
    </row>
    <row r="887">
      <c r="A887" s="26" t="n">
        <v>46117</v>
      </c>
      <c r="B887" s="27" t="inlineStr">
        <is>
          <t>ACC05</t>
        </is>
      </c>
      <c r="C887" s="27" t="inlineStr">
        <is>
          <t>Accessory model 5</t>
        </is>
      </c>
      <c r="D887" s="27" t="inlineStr">
        <is>
          <t>Accessory</t>
        </is>
      </c>
      <c r="E887" s="27" t="n">
        <v>3</v>
      </c>
      <c r="F887" s="28" t="n">
        <v>166.02</v>
      </c>
      <c r="G887" s="28" t="n">
        <v>69</v>
      </c>
      <c r="H887" s="28" t="n">
        <v>97.02</v>
      </c>
    </row>
    <row r="888">
      <c r="A888" s="26" t="n">
        <v>46124</v>
      </c>
      <c r="B888" s="27" t="inlineStr">
        <is>
          <t>ACC05</t>
        </is>
      </c>
      <c r="C888" s="27" t="inlineStr">
        <is>
          <t>Accessory model 5</t>
        </is>
      </c>
      <c r="D888" s="27" t="inlineStr">
        <is>
          <t>Accessory</t>
        </is>
      </c>
      <c r="E888" s="27" t="n">
        <v>1</v>
      </c>
      <c r="F888" s="28" t="n">
        <v>56.93</v>
      </c>
      <c r="G888" s="28" t="n">
        <v>23</v>
      </c>
      <c r="H888" s="28" t="n">
        <v>33.93</v>
      </c>
    </row>
    <row r="889">
      <c r="A889" s="26" t="n">
        <v>46131</v>
      </c>
      <c r="B889" s="27" t="inlineStr">
        <is>
          <t>ACC05</t>
        </is>
      </c>
      <c r="C889" s="27" t="inlineStr">
        <is>
          <t>Accessory model 5</t>
        </is>
      </c>
      <c r="D889" s="27" t="inlineStr">
        <is>
          <t>Accessory</t>
        </is>
      </c>
      <c r="E889" s="27" t="n">
        <v>4</v>
      </c>
      <c r="F889" s="28" t="n">
        <v>221.07</v>
      </c>
      <c r="G889" s="28" t="n">
        <v>92</v>
      </c>
      <c r="H889" s="28" t="n">
        <v>129.07</v>
      </c>
    </row>
    <row r="890">
      <c r="A890" s="26" t="n">
        <v>46138</v>
      </c>
      <c r="B890" s="27" t="inlineStr">
        <is>
          <t>ACC05</t>
        </is>
      </c>
      <c r="C890" s="27" t="inlineStr">
        <is>
          <t>Accessory model 5</t>
        </is>
      </c>
      <c r="D890" s="27" t="inlineStr">
        <is>
          <t>Accessory</t>
        </is>
      </c>
      <c r="E890" s="27" t="n">
        <v>2</v>
      </c>
      <c r="F890" s="28" t="n">
        <v>111.65</v>
      </c>
      <c r="G890" s="28" t="n">
        <v>46</v>
      </c>
      <c r="H890" s="28" t="n">
        <v>65.65000000000001</v>
      </c>
    </row>
    <row r="891">
      <c r="A891" s="26" t="n">
        <v>46145</v>
      </c>
      <c r="B891" s="27" t="inlineStr">
        <is>
          <t>ACC05</t>
        </is>
      </c>
      <c r="C891" s="27" t="inlineStr">
        <is>
          <t>Accessory model 5</t>
        </is>
      </c>
      <c r="D891" s="27" t="inlineStr">
        <is>
          <t>Accessory</t>
        </is>
      </c>
      <c r="E891" s="27" t="n">
        <v>0</v>
      </c>
      <c r="F891" s="28" t="n">
        <v>0</v>
      </c>
      <c r="G891" s="28" t="n">
        <v>0</v>
      </c>
      <c r="H891" s="28" t="n">
        <v>0</v>
      </c>
    </row>
    <row r="892">
      <c r="A892" s="26" t="n">
        <v>46152</v>
      </c>
      <c r="B892" s="27" t="inlineStr">
        <is>
          <t>ACC05</t>
        </is>
      </c>
      <c r="C892" s="27" t="inlineStr">
        <is>
          <t>Accessory model 5</t>
        </is>
      </c>
      <c r="D892" s="27" t="inlineStr">
        <is>
          <t>Accessory</t>
        </is>
      </c>
      <c r="E892" s="27" t="n">
        <v>4</v>
      </c>
      <c r="F892" s="28" t="n">
        <v>214.96</v>
      </c>
      <c r="G892" s="28" t="n">
        <v>92</v>
      </c>
      <c r="H892" s="28" t="n">
        <v>122.96</v>
      </c>
    </row>
    <row r="893">
      <c r="A893" s="26" t="n">
        <v>46159</v>
      </c>
      <c r="B893" s="27" t="inlineStr">
        <is>
          <t>ACC05</t>
        </is>
      </c>
      <c r="C893" s="27" t="inlineStr">
        <is>
          <t>Accessory model 5</t>
        </is>
      </c>
      <c r="D893" s="27" t="inlineStr">
        <is>
          <t>Accessory</t>
        </is>
      </c>
      <c r="E893" s="27" t="n">
        <v>4</v>
      </c>
      <c r="F893" s="28" t="n">
        <v>223.61</v>
      </c>
      <c r="G893" s="28" t="n">
        <v>92</v>
      </c>
      <c r="H893" s="28" t="n">
        <v>131.61</v>
      </c>
    </row>
    <row r="894">
      <c r="A894" s="26" t="n">
        <v>46166</v>
      </c>
      <c r="B894" s="27" t="inlineStr">
        <is>
          <t>ACC05</t>
        </is>
      </c>
      <c r="C894" s="27" t="inlineStr">
        <is>
          <t>Accessory model 5</t>
        </is>
      </c>
      <c r="D894" s="27" t="inlineStr">
        <is>
          <t>Accessory</t>
        </is>
      </c>
      <c r="E894" s="27" t="n">
        <v>1</v>
      </c>
      <c r="F894" s="28" t="n">
        <v>54.63</v>
      </c>
      <c r="G894" s="28" t="n">
        <v>23</v>
      </c>
      <c r="H894" s="28" t="n">
        <v>31.63</v>
      </c>
    </row>
    <row r="895">
      <c r="A895" s="26" t="n">
        <v>46173</v>
      </c>
      <c r="B895" s="27" t="inlineStr">
        <is>
          <t>ACC05</t>
        </is>
      </c>
      <c r="C895" s="27" t="inlineStr">
        <is>
          <t>Accessory model 5</t>
        </is>
      </c>
      <c r="D895" s="27" t="inlineStr">
        <is>
          <t>Accessory</t>
        </is>
      </c>
      <c r="E895" s="27" t="n">
        <v>2</v>
      </c>
      <c r="F895" s="28" t="n">
        <v>106.74</v>
      </c>
      <c r="G895" s="28" t="n">
        <v>46</v>
      </c>
      <c r="H895" s="28" t="n">
        <v>60.74</v>
      </c>
    </row>
    <row r="896">
      <c r="A896" s="26" t="n">
        <v>46180</v>
      </c>
      <c r="B896" s="27" t="inlineStr">
        <is>
          <t>ACC05</t>
        </is>
      </c>
      <c r="C896" s="27" t="inlineStr">
        <is>
          <t>Accessory model 5</t>
        </is>
      </c>
      <c r="D896" s="27" t="inlineStr">
        <is>
          <t>Accessory</t>
        </is>
      </c>
      <c r="E896" s="27" t="n">
        <v>2</v>
      </c>
      <c r="F896" s="28" t="n">
        <v>103.94</v>
      </c>
      <c r="G896" s="28" t="n">
        <v>46</v>
      </c>
      <c r="H896" s="28" t="n">
        <v>57.94</v>
      </c>
    </row>
    <row r="897">
      <c r="A897" s="26" t="n">
        <v>46187</v>
      </c>
      <c r="B897" s="27" t="inlineStr">
        <is>
          <t>ACC05</t>
        </is>
      </c>
      <c r="C897" s="27" t="inlineStr">
        <is>
          <t>Accessory model 5</t>
        </is>
      </c>
      <c r="D897" s="27" t="inlineStr">
        <is>
          <t>Accessory</t>
        </is>
      </c>
      <c r="E897" s="27" t="n">
        <v>1</v>
      </c>
      <c r="F897" s="28" t="n">
        <v>52.16</v>
      </c>
      <c r="G897" s="28" t="n">
        <v>23</v>
      </c>
      <c r="H897" s="28" t="n">
        <v>29.16</v>
      </c>
    </row>
    <row r="898">
      <c r="A898" s="26" t="n">
        <v>46194</v>
      </c>
      <c r="B898" s="27" t="inlineStr">
        <is>
          <t>ACC05</t>
        </is>
      </c>
      <c r="C898" s="27" t="inlineStr">
        <is>
          <t>Accessory model 5</t>
        </is>
      </c>
      <c r="D898" s="27" t="inlineStr">
        <is>
          <t>Accessory</t>
        </is>
      </c>
      <c r="E898" s="27" t="n">
        <v>3</v>
      </c>
      <c r="F898" s="28" t="n">
        <v>162.47</v>
      </c>
      <c r="G898" s="28" t="n">
        <v>69</v>
      </c>
      <c r="H898" s="28" t="n">
        <v>93.47</v>
      </c>
    </row>
    <row r="899">
      <c r="A899" s="26" t="n">
        <v>46201</v>
      </c>
      <c r="B899" s="27" t="inlineStr">
        <is>
          <t>ACC05</t>
        </is>
      </c>
      <c r="C899" s="27" t="inlineStr">
        <is>
          <t>Accessory model 5</t>
        </is>
      </c>
      <c r="D899" s="27" t="inlineStr">
        <is>
          <t>Accessory</t>
        </is>
      </c>
      <c r="E899" s="27" t="n">
        <v>5</v>
      </c>
      <c r="F899" s="28" t="n">
        <v>258.47</v>
      </c>
      <c r="G899" s="28" t="n">
        <v>115</v>
      </c>
      <c r="H899" s="28" t="n">
        <v>143.47</v>
      </c>
    </row>
    <row r="900">
      <c r="A900" s="26" t="n">
        <v>46208</v>
      </c>
      <c r="B900" s="27" t="inlineStr">
        <is>
          <t>ACC05</t>
        </is>
      </c>
      <c r="C900" s="27" t="inlineStr">
        <is>
          <t>Accessory model 5</t>
        </is>
      </c>
      <c r="D900" s="27" t="inlineStr">
        <is>
          <t>Accessory</t>
        </is>
      </c>
      <c r="E900" s="27" t="n">
        <v>6</v>
      </c>
      <c r="F900" s="28" t="n">
        <v>306.33</v>
      </c>
      <c r="G900" s="28" t="n">
        <v>138</v>
      </c>
      <c r="H900" s="28" t="n">
        <v>168.33</v>
      </c>
    </row>
    <row r="901">
      <c r="A901" s="26" t="n">
        <v>46215</v>
      </c>
      <c r="B901" s="27" t="inlineStr">
        <is>
          <t>ACC05</t>
        </is>
      </c>
      <c r="C901" s="27" t="inlineStr">
        <is>
          <t>Accessory model 5</t>
        </is>
      </c>
      <c r="D901" s="27" t="inlineStr">
        <is>
          <t>Accessory</t>
        </is>
      </c>
      <c r="E901" s="27" t="n">
        <v>3</v>
      </c>
      <c r="F901" s="28" t="n">
        <v>153.25</v>
      </c>
      <c r="G901" s="28" t="n">
        <v>69</v>
      </c>
      <c r="H901" s="28" t="n">
        <v>84.25</v>
      </c>
    </row>
    <row r="902">
      <c r="A902" s="26" t="n">
        <v>46222</v>
      </c>
      <c r="B902" s="27" t="inlineStr">
        <is>
          <t>ACC05</t>
        </is>
      </c>
      <c r="C902" s="27" t="inlineStr">
        <is>
          <t>Accessory model 5</t>
        </is>
      </c>
      <c r="D902" s="27" t="inlineStr">
        <is>
          <t>Accessory</t>
        </is>
      </c>
      <c r="E902" s="27" t="n">
        <v>5</v>
      </c>
      <c r="F902" s="28" t="n">
        <v>254.86</v>
      </c>
      <c r="G902" s="28" t="n">
        <v>115</v>
      </c>
      <c r="H902" s="28" t="n">
        <v>139.86</v>
      </c>
    </row>
    <row r="903">
      <c r="A903" s="26" t="n">
        <v>46229</v>
      </c>
      <c r="B903" s="27" t="inlineStr">
        <is>
          <t>ACC05</t>
        </is>
      </c>
      <c r="C903" s="27" t="inlineStr">
        <is>
          <t>Accessory model 5</t>
        </is>
      </c>
      <c r="D903" s="27" t="inlineStr">
        <is>
          <t>Accessory</t>
        </is>
      </c>
      <c r="E903" s="27" t="n">
        <v>4</v>
      </c>
      <c r="F903" s="28" t="n">
        <v>211.68</v>
      </c>
      <c r="G903" s="28" t="n">
        <v>92</v>
      </c>
      <c r="H903" s="28" t="n">
        <v>119.68</v>
      </c>
    </row>
    <row r="904">
      <c r="A904" s="26" t="n">
        <v>46236</v>
      </c>
      <c r="B904" s="27" t="inlineStr">
        <is>
          <t>ACC05</t>
        </is>
      </c>
      <c r="C904" s="27" t="inlineStr">
        <is>
          <t>Accessory model 5</t>
        </is>
      </c>
      <c r="D904" s="27" t="inlineStr">
        <is>
          <t>Accessory</t>
        </is>
      </c>
      <c r="E904" s="27" t="n">
        <v>0</v>
      </c>
      <c r="F904" s="28" t="n">
        <v>0</v>
      </c>
      <c r="G904" s="28" t="n">
        <v>0</v>
      </c>
      <c r="H904" s="28" t="n">
        <v>0</v>
      </c>
    </row>
    <row r="905">
      <c r="A905" s="26" t="n">
        <v>46243</v>
      </c>
      <c r="B905" s="27" t="inlineStr">
        <is>
          <t>ACC05</t>
        </is>
      </c>
      <c r="C905" s="27" t="inlineStr">
        <is>
          <t>Accessory model 5</t>
        </is>
      </c>
      <c r="D905" s="27" t="inlineStr">
        <is>
          <t>Accessory</t>
        </is>
      </c>
      <c r="E905" s="27" t="n">
        <v>1</v>
      </c>
      <c r="F905" s="28" t="n">
        <v>50.29</v>
      </c>
      <c r="G905" s="28" t="n">
        <v>23</v>
      </c>
      <c r="H905" s="28" t="n">
        <v>27.29</v>
      </c>
    </row>
    <row r="906">
      <c r="A906" s="26" t="n">
        <v>46250</v>
      </c>
      <c r="B906" s="27" t="inlineStr">
        <is>
          <t>ACC05</t>
        </is>
      </c>
      <c r="C906" s="27" t="inlineStr">
        <is>
          <t>Accessory model 5</t>
        </is>
      </c>
      <c r="D906" s="27" t="inlineStr">
        <is>
          <t>Accessory</t>
        </is>
      </c>
      <c r="E906" s="27" t="n">
        <v>2</v>
      </c>
      <c r="F906" s="28" t="n">
        <v>99.89</v>
      </c>
      <c r="G906" s="28" t="n">
        <v>46</v>
      </c>
      <c r="H906" s="28" t="n">
        <v>53.89</v>
      </c>
    </row>
    <row r="907">
      <c r="A907" s="26" t="n">
        <v>46257</v>
      </c>
      <c r="B907" s="27" t="inlineStr">
        <is>
          <t>ACC05</t>
        </is>
      </c>
      <c r="C907" s="27" t="inlineStr">
        <is>
          <t>Accessory model 5</t>
        </is>
      </c>
      <c r="D907" s="27" t="inlineStr">
        <is>
          <t>Accessory</t>
        </is>
      </c>
      <c r="E907" s="27" t="n">
        <v>4</v>
      </c>
      <c r="F907" s="28" t="n">
        <v>211.92</v>
      </c>
      <c r="G907" s="28" t="n">
        <v>92</v>
      </c>
      <c r="H907" s="28" t="n">
        <v>119.92</v>
      </c>
    </row>
    <row r="908">
      <c r="A908" s="26" t="n">
        <v>46264</v>
      </c>
      <c r="B908" s="27" t="inlineStr">
        <is>
          <t>ACC05</t>
        </is>
      </c>
      <c r="C908" s="27" t="inlineStr">
        <is>
          <t>Accessory model 5</t>
        </is>
      </c>
      <c r="D908" s="27" t="inlineStr">
        <is>
          <t>Accessory</t>
        </is>
      </c>
      <c r="E908" s="27" t="n">
        <v>1</v>
      </c>
      <c r="F908" s="28" t="n">
        <v>50.78</v>
      </c>
      <c r="G908" s="28" t="n">
        <v>23</v>
      </c>
      <c r="H908" s="28" t="n">
        <v>27.78</v>
      </c>
    </row>
    <row r="909">
      <c r="A909" s="26" t="n">
        <v>46271</v>
      </c>
      <c r="B909" s="27" t="inlineStr">
        <is>
          <t>ACC05</t>
        </is>
      </c>
      <c r="C909" s="27" t="inlineStr">
        <is>
          <t>Accessory model 5</t>
        </is>
      </c>
      <c r="D909" s="27" t="inlineStr">
        <is>
          <t>Accessory</t>
        </is>
      </c>
      <c r="E909" s="27" t="n">
        <v>2</v>
      </c>
      <c r="F909" s="28" t="n">
        <v>98.64</v>
      </c>
      <c r="G909" s="28" t="n">
        <v>46</v>
      </c>
      <c r="H909" s="28" t="n">
        <v>52.64</v>
      </c>
    </row>
    <row r="910">
      <c r="A910" s="26" t="n">
        <v>46278</v>
      </c>
      <c r="B910" s="27" t="inlineStr">
        <is>
          <t>ACC05</t>
        </is>
      </c>
      <c r="C910" s="27" t="inlineStr">
        <is>
          <t>Accessory model 5</t>
        </is>
      </c>
      <c r="D910" s="27" t="inlineStr">
        <is>
          <t>Accessory</t>
        </is>
      </c>
      <c r="E910" s="27" t="n">
        <v>1</v>
      </c>
      <c r="F910" s="28" t="n">
        <v>51.24</v>
      </c>
      <c r="G910" s="28" t="n">
        <v>23</v>
      </c>
      <c r="H910" s="28" t="n">
        <v>28.24</v>
      </c>
    </row>
    <row r="911">
      <c r="A911" s="26" t="n">
        <v>46285</v>
      </c>
      <c r="B911" s="27" t="inlineStr">
        <is>
          <t>ACC05</t>
        </is>
      </c>
      <c r="C911" s="27" t="inlineStr">
        <is>
          <t>Accessory model 5</t>
        </is>
      </c>
      <c r="D911" s="27" t="inlineStr">
        <is>
          <t>Accessory</t>
        </is>
      </c>
      <c r="E911" s="27" t="n">
        <v>1</v>
      </c>
      <c r="F911" s="28" t="n">
        <v>51.25</v>
      </c>
      <c r="G911" s="28" t="n">
        <v>23</v>
      </c>
      <c r="H911" s="28" t="n">
        <v>28.25</v>
      </c>
    </row>
    <row r="912">
      <c r="A912" s="26" t="n">
        <v>46110</v>
      </c>
      <c r="B912" s="27" t="inlineStr">
        <is>
          <t>ACC06</t>
        </is>
      </c>
      <c r="C912" s="27" t="inlineStr">
        <is>
          <t>Accessory model 6</t>
        </is>
      </c>
      <c r="D912" s="27" t="inlineStr">
        <is>
          <t>Accessory</t>
        </is>
      </c>
      <c r="E912" s="27" t="n">
        <v>1</v>
      </c>
      <c r="F912" s="28" t="n">
        <v>48.32</v>
      </c>
      <c r="G912" s="28" t="n">
        <v>20</v>
      </c>
      <c r="H912" s="28" t="n">
        <v>28.32</v>
      </c>
    </row>
    <row r="913">
      <c r="A913" s="26" t="n">
        <v>46117</v>
      </c>
      <c r="B913" s="27" t="inlineStr">
        <is>
          <t>ACC06</t>
        </is>
      </c>
      <c r="C913" s="27" t="inlineStr">
        <is>
          <t>Accessory model 6</t>
        </is>
      </c>
      <c r="D913" s="27" t="inlineStr">
        <is>
          <t>Accessory</t>
        </is>
      </c>
      <c r="E913" s="27" t="n">
        <v>0</v>
      </c>
      <c r="F913" s="28" t="n">
        <v>0</v>
      </c>
      <c r="G913" s="28" t="n">
        <v>0</v>
      </c>
      <c r="H913" s="28" t="n">
        <v>0</v>
      </c>
    </row>
    <row r="914">
      <c r="A914" s="26" t="n">
        <v>46124</v>
      </c>
      <c r="B914" s="27" t="inlineStr">
        <is>
          <t>ACC06</t>
        </is>
      </c>
      <c r="C914" s="27" t="inlineStr">
        <is>
          <t>Accessory model 6</t>
        </is>
      </c>
      <c r="D914" s="27" t="inlineStr">
        <is>
          <t>Accessory</t>
        </is>
      </c>
      <c r="E914" s="27" t="n">
        <v>3</v>
      </c>
      <c r="F914" s="28" t="n">
        <v>142.39</v>
      </c>
      <c r="G914" s="28" t="n">
        <v>60</v>
      </c>
      <c r="H914" s="28" t="n">
        <v>82.39</v>
      </c>
    </row>
    <row r="915">
      <c r="A915" s="26" t="n">
        <v>46131</v>
      </c>
      <c r="B915" s="27" t="inlineStr">
        <is>
          <t>ACC06</t>
        </is>
      </c>
      <c r="C915" s="27" t="inlineStr">
        <is>
          <t>Accessory model 6</t>
        </is>
      </c>
      <c r="D915" s="27" t="inlineStr">
        <is>
          <t>Accessory</t>
        </is>
      </c>
      <c r="E915" s="27" t="n">
        <v>0</v>
      </c>
      <c r="F915" s="28" t="n">
        <v>0</v>
      </c>
      <c r="G915" s="28" t="n">
        <v>0</v>
      </c>
      <c r="H915" s="28" t="n">
        <v>0</v>
      </c>
    </row>
    <row r="916">
      <c r="A916" s="26" t="n">
        <v>46138</v>
      </c>
      <c r="B916" s="27" t="inlineStr">
        <is>
          <t>ACC06</t>
        </is>
      </c>
      <c r="C916" s="27" t="inlineStr">
        <is>
          <t>Accessory model 6</t>
        </is>
      </c>
      <c r="D916" s="27" t="inlineStr">
        <is>
          <t>Accessory</t>
        </is>
      </c>
      <c r="E916" s="27" t="n">
        <v>0</v>
      </c>
      <c r="F916" s="28" t="n">
        <v>0</v>
      </c>
      <c r="G916" s="28" t="n">
        <v>0</v>
      </c>
      <c r="H916" s="28" t="n">
        <v>0</v>
      </c>
    </row>
    <row r="917">
      <c r="A917" s="26" t="n">
        <v>46145</v>
      </c>
      <c r="B917" s="27" t="inlineStr">
        <is>
          <t>ACC06</t>
        </is>
      </c>
      <c r="C917" s="27" t="inlineStr">
        <is>
          <t>Accessory model 6</t>
        </is>
      </c>
      <c r="D917" s="27" t="inlineStr">
        <is>
          <t>Accessory</t>
        </is>
      </c>
      <c r="E917" s="27" t="n">
        <v>0</v>
      </c>
      <c r="F917" s="28" t="n">
        <v>0</v>
      </c>
      <c r="G917" s="28" t="n">
        <v>0</v>
      </c>
      <c r="H917" s="28" t="n">
        <v>0</v>
      </c>
    </row>
    <row r="918">
      <c r="A918" s="26" t="n">
        <v>46152</v>
      </c>
      <c r="B918" s="27" t="inlineStr">
        <is>
          <t>ACC06</t>
        </is>
      </c>
      <c r="C918" s="27" t="inlineStr">
        <is>
          <t>Accessory model 6</t>
        </is>
      </c>
      <c r="D918" s="27" t="inlineStr">
        <is>
          <t>Accessory</t>
        </is>
      </c>
      <c r="E918" s="27" t="n">
        <v>1</v>
      </c>
      <c r="F918" s="28" t="n">
        <v>47.73</v>
      </c>
      <c r="G918" s="28" t="n">
        <v>20</v>
      </c>
      <c r="H918" s="28" t="n">
        <v>27.73</v>
      </c>
    </row>
    <row r="919">
      <c r="A919" s="26" t="n">
        <v>46159</v>
      </c>
      <c r="B919" s="27" t="inlineStr">
        <is>
          <t>ACC06</t>
        </is>
      </c>
      <c r="C919" s="27" t="inlineStr">
        <is>
          <t>Accessory model 6</t>
        </is>
      </c>
      <c r="D919" s="27" t="inlineStr">
        <is>
          <t>Accessory</t>
        </is>
      </c>
      <c r="E919" s="27" t="n">
        <v>2</v>
      </c>
      <c r="F919" s="28" t="n">
        <v>91.90000000000001</v>
      </c>
      <c r="G919" s="28" t="n">
        <v>40</v>
      </c>
      <c r="H919" s="28" t="n">
        <v>51.9</v>
      </c>
    </row>
    <row r="920">
      <c r="A920" s="26" t="n">
        <v>46166</v>
      </c>
      <c r="B920" s="27" t="inlineStr">
        <is>
          <t>ACC06</t>
        </is>
      </c>
      <c r="C920" s="27" t="inlineStr">
        <is>
          <t>Accessory model 6</t>
        </is>
      </c>
      <c r="D920" s="27" t="inlineStr">
        <is>
          <t>Accessory</t>
        </is>
      </c>
      <c r="E920" s="27" t="n">
        <v>1</v>
      </c>
      <c r="F920" s="28" t="n">
        <v>47.93</v>
      </c>
      <c r="G920" s="28" t="n">
        <v>20</v>
      </c>
      <c r="H920" s="28" t="n">
        <v>27.93</v>
      </c>
    </row>
    <row r="921">
      <c r="A921" s="26" t="n">
        <v>46173</v>
      </c>
      <c r="B921" s="27" t="inlineStr">
        <is>
          <t>ACC06</t>
        </is>
      </c>
      <c r="C921" s="27" t="inlineStr">
        <is>
          <t>Accessory model 6</t>
        </is>
      </c>
      <c r="D921" s="27" t="inlineStr">
        <is>
          <t>Accessory</t>
        </is>
      </c>
      <c r="E921" s="27" t="n">
        <v>1</v>
      </c>
      <c r="F921" s="28" t="n">
        <v>46.68</v>
      </c>
      <c r="G921" s="28" t="n">
        <v>20</v>
      </c>
      <c r="H921" s="28" t="n">
        <v>26.68</v>
      </c>
    </row>
    <row r="922">
      <c r="A922" s="26" t="n">
        <v>46180</v>
      </c>
      <c r="B922" s="27" t="inlineStr">
        <is>
          <t>ACC06</t>
        </is>
      </c>
      <c r="C922" s="27" t="inlineStr">
        <is>
          <t>Accessory model 6</t>
        </is>
      </c>
      <c r="D922" s="27" t="inlineStr">
        <is>
          <t>Accessory</t>
        </is>
      </c>
      <c r="E922" s="27" t="n">
        <v>0</v>
      </c>
      <c r="F922" s="28" t="n">
        <v>0</v>
      </c>
      <c r="G922" s="28" t="n">
        <v>0</v>
      </c>
      <c r="H922" s="28" t="n">
        <v>0</v>
      </c>
    </row>
    <row r="923">
      <c r="A923" s="26" t="n">
        <v>46187</v>
      </c>
      <c r="B923" s="27" t="inlineStr">
        <is>
          <t>ACC06</t>
        </is>
      </c>
      <c r="C923" s="27" t="inlineStr">
        <is>
          <t>Accessory model 6</t>
        </is>
      </c>
      <c r="D923" s="27" t="inlineStr">
        <is>
          <t>Accessory</t>
        </is>
      </c>
      <c r="E923" s="27" t="n">
        <v>2</v>
      </c>
      <c r="F923" s="28" t="n">
        <v>91.14</v>
      </c>
      <c r="G923" s="28" t="n">
        <v>40</v>
      </c>
      <c r="H923" s="28" t="n">
        <v>51.14</v>
      </c>
    </row>
    <row r="924">
      <c r="A924" s="26" t="n">
        <v>46194</v>
      </c>
      <c r="B924" s="27" t="inlineStr">
        <is>
          <t>ACC06</t>
        </is>
      </c>
      <c r="C924" s="27" t="inlineStr">
        <is>
          <t>Accessory model 6</t>
        </is>
      </c>
      <c r="D924" s="27" t="inlineStr">
        <is>
          <t>Accessory</t>
        </is>
      </c>
      <c r="E924" s="27" t="n">
        <v>0</v>
      </c>
      <c r="F924" s="28" t="n">
        <v>0</v>
      </c>
      <c r="G924" s="28" t="n">
        <v>0</v>
      </c>
      <c r="H924" s="28" t="n">
        <v>0</v>
      </c>
    </row>
    <row r="925">
      <c r="A925" s="26" t="n">
        <v>46201</v>
      </c>
      <c r="B925" s="27" t="inlineStr">
        <is>
          <t>ACC06</t>
        </is>
      </c>
      <c r="C925" s="27" t="inlineStr">
        <is>
          <t>Accessory model 6</t>
        </is>
      </c>
      <c r="D925" s="27" t="inlineStr">
        <is>
          <t>Accessory</t>
        </is>
      </c>
      <c r="E925" s="27" t="n">
        <v>2</v>
      </c>
      <c r="F925" s="28" t="n">
        <v>91.53</v>
      </c>
      <c r="G925" s="28" t="n">
        <v>40</v>
      </c>
      <c r="H925" s="28" t="n">
        <v>51.53</v>
      </c>
    </row>
    <row r="926">
      <c r="A926" s="26" t="n">
        <v>46208</v>
      </c>
      <c r="B926" s="27" t="inlineStr">
        <is>
          <t>ACC06</t>
        </is>
      </c>
      <c r="C926" s="27" t="inlineStr">
        <is>
          <t>Accessory model 6</t>
        </is>
      </c>
      <c r="D926" s="27" t="inlineStr">
        <is>
          <t>Accessory</t>
        </is>
      </c>
      <c r="E926" s="27" t="n">
        <v>0</v>
      </c>
      <c r="F926" s="28" t="n">
        <v>0</v>
      </c>
      <c r="G926" s="28" t="n">
        <v>0</v>
      </c>
      <c r="H926" s="28" t="n">
        <v>0</v>
      </c>
    </row>
    <row r="927">
      <c r="A927" s="26" t="n">
        <v>46215</v>
      </c>
      <c r="B927" s="27" t="inlineStr">
        <is>
          <t>ACC06</t>
        </is>
      </c>
      <c r="C927" s="27" t="inlineStr">
        <is>
          <t>Accessory model 6</t>
        </is>
      </c>
      <c r="D927" s="27" t="inlineStr">
        <is>
          <t>Accessory</t>
        </is>
      </c>
      <c r="E927" s="27" t="n">
        <v>1</v>
      </c>
      <c r="F927" s="28" t="n">
        <v>45.27</v>
      </c>
      <c r="G927" s="28" t="n">
        <v>20</v>
      </c>
      <c r="H927" s="28" t="n">
        <v>25.27</v>
      </c>
    </row>
    <row r="928">
      <c r="A928" s="26" t="n">
        <v>46222</v>
      </c>
      <c r="B928" s="27" t="inlineStr">
        <is>
          <t>ACC06</t>
        </is>
      </c>
      <c r="C928" s="27" t="inlineStr">
        <is>
          <t>Accessory model 6</t>
        </is>
      </c>
      <c r="D928" s="27" t="inlineStr">
        <is>
          <t>Accessory</t>
        </is>
      </c>
      <c r="E928" s="27" t="n">
        <v>1</v>
      </c>
      <c r="F928" s="28" t="n">
        <v>43.35</v>
      </c>
      <c r="G928" s="28" t="n">
        <v>20</v>
      </c>
      <c r="H928" s="28" t="n">
        <v>23.35</v>
      </c>
    </row>
    <row r="929">
      <c r="A929" s="26" t="n">
        <v>46229</v>
      </c>
      <c r="B929" s="27" t="inlineStr">
        <is>
          <t>ACC06</t>
        </is>
      </c>
      <c r="C929" s="27" t="inlineStr">
        <is>
          <t>Accessory model 6</t>
        </is>
      </c>
      <c r="D929" s="27" t="inlineStr">
        <is>
          <t>Accessory</t>
        </is>
      </c>
      <c r="E929" s="27" t="n">
        <v>0</v>
      </c>
      <c r="F929" s="28" t="n">
        <v>0</v>
      </c>
      <c r="G929" s="28" t="n">
        <v>0</v>
      </c>
      <c r="H929" s="28" t="n">
        <v>0</v>
      </c>
    </row>
    <row r="930">
      <c r="A930" s="26" t="n">
        <v>46236</v>
      </c>
      <c r="B930" s="27" t="inlineStr">
        <is>
          <t>ACC06</t>
        </is>
      </c>
      <c r="C930" s="27" t="inlineStr">
        <is>
          <t>Accessory model 6</t>
        </is>
      </c>
      <c r="D930" s="27" t="inlineStr">
        <is>
          <t>Accessory</t>
        </is>
      </c>
      <c r="E930" s="27" t="n">
        <v>0</v>
      </c>
      <c r="F930" s="28" t="n">
        <v>0</v>
      </c>
      <c r="G930" s="28" t="n">
        <v>0</v>
      </c>
      <c r="H930" s="28" t="n">
        <v>0</v>
      </c>
    </row>
    <row r="931">
      <c r="A931" s="26" t="n">
        <v>46243</v>
      </c>
      <c r="B931" s="27" t="inlineStr">
        <is>
          <t>ACC06</t>
        </is>
      </c>
      <c r="C931" s="27" t="inlineStr">
        <is>
          <t>Accessory model 6</t>
        </is>
      </c>
      <c r="D931" s="27" t="inlineStr">
        <is>
          <t>Accessory</t>
        </is>
      </c>
      <c r="E931" s="27" t="n">
        <v>1</v>
      </c>
      <c r="F931" s="28" t="n">
        <v>44.95</v>
      </c>
      <c r="G931" s="28" t="n">
        <v>20</v>
      </c>
      <c r="H931" s="28" t="n">
        <v>24.95</v>
      </c>
    </row>
    <row r="932">
      <c r="A932" s="26" t="n">
        <v>46250</v>
      </c>
      <c r="B932" s="27" t="inlineStr">
        <is>
          <t>ACC06</t>
        </is>
      </c>
      <c r="C932" s="27" t="inlineStr">
        <is>
          <t>Accessory model 6</t>
        </is>
      </c>
      <c r="D932" s="27" t="inlineStr">
        <is>
          <t>Accessory</t>
        </is>
      </c>
      <c r="E932" s="27" t="n">
        <v>1</v>
      </c>
      <c r="F932" s="28" t="n">
        <v>44.05</v>
      </c>
      <c r="G932" s="28" t="n">
        <v>20</v>
      </c>
      <c r="H932" s="28" t="n">
        <v>24.05</v>
      </c>
    </row>
    <row r="933">
      <c r="A933" s="26" t="n">
        <v>46257</v>
      </c>
      <c r="B933" s="27" t="inlineStr">
        <is>
          <t>ACC06</t>
        </is>
      </c>
      <c r="C933" s="27" t="inlineStr">
        <is>
          <t>Accessory model 6</t>
        </is>
      </c>
      <c r="D933" s="27" t="inlineStr">
        <is>
          <t>Accessory</t>
        </is>
      </c>
      <c r="E933" s="27" t="n">
        <v>0</v>
      </c>
      <c r="F933" s="28" t="n">
        <v>0</v>
      </c>
      <c r="G933" s="28" t="n">
        <v>0</v>
      </c>
      <c r="H933" s="28" t="n">
        <v>0</v>
      </c>
    </row>
    <row r="934">
      <c r="A934" s="26" t="n">
        <v>46264</v>
      </c>
      <c r="B934" s="27" t="inlineStr">
        <is>
          <t>ACC06</t>
        </is>
      </c>
      <c r="C934" s="27" t="inlineStr">
        <is>
          <t>Accessory model 6</t>
        </is>
      </c>
      <c r="D934" s="27" t="inlineStr">
        <is>
          <t>Accessory</t>
        </is>
      </c>
      <c r="E934" s="27" t="n">
        <v>1</v>
      </c>
      <c r="F934" s="28" t="n">
        <v>42.51</v>
      </c>
      <c r="G934" s="28" t="n">
        <v>20</v>
      </c>
      <c r="H934" s="28" t="n">
        <v>22.51</v>
      </c>
    </row>
    <row r="935">
      <c r="A935" s="26" t="n">
        <v>46271</v>
      </c>
      <c r="B935" s="27" t="inlineStr">
        <is>
          <t>ACC06</t>
        </is>
      </c>
      <c r="C935" s="27" t="inlineStr">
        <is>
          <t>Accessory model 6</t>
        </is>
      </c>
      <c r="D935" s="27" t="inlineStr">
        <is>
          <t>Accessory</t>
        </is>
      </c>
      <c r="E935" s="27" t="n">
        <v>3</v>
      </c>
      <c r="F935" s="28" t="n">
        <v>129.21</v>
      </c>
      <c r="G935" s="28" t="n">
        <v>60</v>
      </c>
      <c r="H935" s="28" t="n">
        <v>69.20999999999999</v>
      </c>
    </row>
    <row r="936">
      <c r="A936" s="26" t="n">
        <v>46278</v>
      </c>
      <c r="B936" s="27" t="inlineStr">
        <is>
          <t>ACC06</t>
        </is>
      </c>
      <c r="C936" s="27" t="inlineStr">
        <is>
          <t>Accessory model 6</t>
        </is>
      </c>
      <c r="D936" s="27" t="inlineStr">
        <is>
          <t>Accessory</t>
        </is>
      </c>
      <c r="E936" s="27" t="n">
        <v>1</v>
      </c>
      <c r="F936" s="28" t="n">
        <v>42.11</v>
      </c>
      <c r="G936" s="28" t="n">
        <v>20</v>
      </c>
      <c r="H936" s="28" t="n">
        <v>22.11</v>
      </c>
    </row>
    <row r="937">
      <c r="A937" s="26" t="n">
        <v>46285</v>
      </c>
      <c r="B937" s="27" t="inlineStr">
        <is>
          <t>ACC06</t>
        </is>
      </c>
      <c r="C937" s="27" t="inlineStr">
        <is>
          <t>Accessory model 6</t>
        </is>
      </c>
      <c r="D937" s="27" t="inlineStr">
        <is>
          <t>Accessory</t>
        </is>
      </c>
      <c r="E937" s="27" t="n">
        <v>0</v>
      </c>
      <c r="F937" s="28" t="n">
        <v>0</v>
      </c>
      <c r="G937" s="28" t="n">
        <v>0</v>
      </c>
      <c r="H937" s="28" t="n">
        <v>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tabColor rgb="009AA5B1"/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cols>
    <col width="2" customWidth="1" min="1" max="1"/>
  </cols>
  <sheetData>
    <row r="1">
      <c r="A1" s="1" t="n"/>
      <c r="B1" s="2" t="inlineStr">
        <is>
          <t>SHELLY</t>
        </is>
      </c>
      <c r="C1" s="1" t="n"/>
      <c r="D1" s="1" t="n"/>
      <c r="E1" s="1" t="n"/>
      <c r="F1" s="1" t="n"/>
      <c r="G1" s="1" t="n"/>
      <c r="H1" s="1" t="n"/>
      <c r="I1" s="1" t="n"/>
      <c r="J1" s="1" t="n"/>
    </row>
    <row r="2" ht="26" customHeight="1">
      <c r="A2" s="1" t="n"/>
      <c r="B2" s="3" t="inlineStr">
        <is>
          <t>Lookup tables</t>
        </is>
      </c>
      <c r="C2" s="1" t="n"/>
      <c r="D2" s="1" t="n"/>
      <c r="E2" s="1" t="n"/>
      <c r="F2" s="1" t="n"/>
      <c r="G2" s="1" t="n"/>
      <c r="H2" s="1" t="n"/>
      <c r="I2" s="1" t="n"/>
      <c r="J2" s="1" t="n"/>
    </row>
    <row r="3">
      <c r="A3" s="1" t="n"/>
      <c r="B3" s="4" t="inlineStr">
        <is>
          <t>Reference data used by INDEX-MATCH formulas in the Model sheet.</t>
        </is>
      </c>
      <c r="C3" s="1" t="n"/>
      <c r="D3" s="1" t="n"/>
      <c r="E3" s="1" t="n"/>
      <c r="F3" s="1" t="n"/>
      <c r="G3" s="1" t="n"/>
      <c r="H3" s="1" t="n"/>
      <c r="I3" s="1" t="n"/>
      <c r="J3" s="1" t="n"/>
    </row>
    <row r="5">
      <c r="M5" s="13" t="inlineStr">
        <is>
          <t>Category list</t>
        </is>
      </c>
    </row>
    <row r="6">
      <c r="M6" s="27" t="inlineStr">
        <is>
          <t>All</t>
        </is>
      </c>
    </row>
    <row r="7">
      <c r="M7" s="27" t="inlineStr">
        <is>
          <t>Accessory</t>
        </is>
      </c>
    </row>
    <row r="8">
      <c r="M8" s="27" t="inlineStr">
        <is>
          <t>Headphones</t>
        </is>
      </c>
    </row>
    <row r="9">
      <c r="M9" s="27" t="inlineStr">
        <is>
          <t>Smartphone</t>
        </is>
      </c>
    </row>
    <row r="10">
      <c r="M10" s="27" t="inlineStr">
        <is>
          <t>Soundbar</t>
        </is>
      </c>
    </row>
    <row r="11">
      <c r="M11" s="27" t="inlineStr">
        <is>
          <t>TV</t>
        </is>
      </c>
    </row>
    <row r="12">
      <c r="M12" s="27" t="inlineStr">
        <is>
          <t>Tablet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9AA5B1"/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2" customWidth="1" min="1" max="1"/>
    <col width="34" customWidth="1" min="2" max="2"/>
    <col width="14" customWidth="1" min="3" max="3"/>
    <col width="70" customWidth="1" min="4" max="4"/>
  </cols>
  <sheetData>
    <row r="1">
      <c r="A1" s="1" t="n"/>
      <c r="B1" s="2" t="inlineStr">
        <is>
          <t>SHELLY</t>
        </is>
      </c>
      <c r="C1" s="1" t="n"/>
      <c r="D1" s="1" t="n"/>
      <c r="E1" s="1" t="n"/>
      <c r="F1" s="1" t="n"/>
    </row>
    <row r="2" ht="26" customHeight="1">
      <c r="A2" s="1" t="n"/>
      <c r="B2" s="3" t="inlineStr">
        <is>
          <t>Assumptions</t>
        </is>
      </c>
      <c r="C2" s="1" t="n"/>
      <c r="D2" s="1" t="n"/>
      <c r="E2" s="1" t="n"/>
      <c r="F2" s="1" t="n"/>
    </row>
    <row r="3">
      <c r="A3" s="1" t="n"/>
      <c r="B3" s="4" t="inlineStr">
        <is>
          <t>Blue cells are inputs: change them and every sheet recalculates.</t>
        </is>
      </c>
      <c r="C3" s="1" t="n"/>
      <c r="D3" s="1" t="n"/>
      <c r="E3" s="1" t="n"/>
      <c r="F3" s="1" t="n"/>
    </row>
    <row r="5" ht="28" customHeight="1">
      <c r="B5" s="14" t="inlineStr">
        <is>
          <t>Input</t>
        </is>
      </c>
      <c r="C5" s="14" t="inlineStr">
        <is>
          <t>Value</t>
        </is>
      </c>
      <c r="D5" s="14" t="inlineStr">
        <is>
          <t>Why / source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9AA5B1"/>
    <outlinePr summaryBelow="1" summaryRight="1"/>
    <pageSetUpPr/>
  </sheetPr>
  <dimension ref="A1:G22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13" customWidth="1" min="2" max="2"/>
    <col width="13" customWidth="1" min="3" max="3"/>
    <col width="13" customWidth="1" min="4" max="4"/>
    <col width="13" customWidth="1" min="5" max="5"/>
    <col width="17" customWidth="1" min="6" max="6"/>
    <col width="13" customWidth="1" min="7" max="7"/>
  </cols>
  <sheetData>
    <row r="1">
      <c r="A1" s="1" t="n"/>
      <c r="B1" s="2" t="inlineStr">
        <is>
          <t>SHELLY</t>
        </is>
      </c>
      <c r="C1" s="1" t="n"/>
      <c r="D1" s="1" t="n"/>
      <c r="E1" s="1" t="n"/>
      <c r="F1" s="1" t="n"/>
      <c r="G1" s="1" t="n"/>
    </row>
    <row r="2" ht="26" customHeight="1">
      <c r="A2" s="1" t="n"/>
      <c r="B2" s="3" t="inlineStr">
        <is>
          <t>Actions</t>
        </is>
      </c>
      <c r="C2" s="1" t="n"/>
      <c r="D2" s="1" t="n"/>
      <c r="E2" s="1" t="n"/>
      <c r="F2" s="1" t="n"/>
      <c r="G2" s="1" t="n"/>
    </row>
    <row r="3">
      <c r="A3" s="1" t="n"/>
      <c r="B3" s="4" t="inlineStr"/>
      <c r="C3" s="1" t="n"/>
      <c r="D3" s="1" t="n"/>
      <c r="E3" s="1" t="n"/>
      <c r="F3" s="1" t="n"/>
      <c r="G3" s="1" t="n"/>
    </row>
    <row r="5" ht="28" customHeight="1">
      <c r="B5" s="14" t="inlineStr">
        <is>
          <t>Priority</t>
        </is>
      </c>
      <c r="C5" s="14" t="inlineStr">
        <is>
          <t>Area</t>
        </is>
      </c>
      <c r="D5" s="14" t="inlineStr">
        <is>
          <t>Action</t>
        </is>
      </c>
      <c r="E5" s="14" t="inlineStr">
        <is>
          <t>Why</t>
        </is>
      </c>
      <c r="F5" s="14" t="inlineStr">
        <is>
          <t>Impact $/week</t>
        </is>
      </c>
      <c r="G5" s="14" t="inlineStr">
        <is>
          <t>Owner</t>
        </is>
      </c>
    </row>
    <row r="6">
      <c r="B6" s="29" t="inlineStr">
        <is>
          <t>P2</t>
        </is>
      </c>
      <c r="C6" s="29" t="inlineStr">
        <is>
          <t>Markdown</t>
        </is>
      </c>
      <c r="D6" s="29" t="inlineStr">
        <is>
          <t>Don't mark TV model 1 down 30% yet: ask the supplier for price protection or return-to-vendor, or bundle it; cap any markdown at 20%</t>
        </is>
      </c>
      <c r="E6" s="29" t="inlineStr">
        <is>
          <t>$65,229 at cost, 189 days old; a 30% markdown sells at -11% margin (below cost). Break-even markdown is 22%</t>
        </is>
      </c>
      <c r="F6" s="30" t="n">
        <v>-1632</v>
      </c>
      <c r="G6" s="29" t="inlineStr">
        <is>
          <t>Category Manager</t>
        </is>
      </c>
    </row>
    <row r="7">
      <c r="B7" s="29" t="inlineStr">
        <is>
          <t>P2</t>
        </is>
      </c>
      <c r="C7" s="29" t="inlineStr">
        <is>
          <t>Markdown</t>
        </is>
      </c>
      <c r="D7" s="29" t="inlineStr">
        <is>
          <t>Mark down TV model 3 by 20% (154 days old)</t>
        </is>
      </c>
      <c r="E7" s="29" t="inlineStr">
        <is>
          <t>$44,362 at cost ageing; margin after markdown 3%; $/week = margin given up, spread over an 8-week sell-down</t>
        </is>
      </c>
      <c r="F7" s="30" t="n">
        <v>-1109</v>
      </c>
      <c r="G7" s="29" t="inlineStr">
        <is>
          <t>Category Manager</t>
        </is>
      </c>
    </row>
    <row r="8">
      <c r="B8" s="29" t="inlineStr">
        <is>
          <t>P2</t>
        </is>
      </c>
      <c r="C8" s="29" t="inlineStr">
        <is>
          <t>Markdown</t>
        </is>
      </c>
      <c r="D8" s="29" t="inlineStr">
        <is>
          <t>Don't mark TV model 6 down 30% yet: ask the supplier for price protection or return-to-vendor, or bundle it; cap any markdown at 20%</t>
        </is>
      </c>
      <c r="E8" s="29" t="inlineStr">
        <is>
          <t>$42,021 at cost, 224 days old; a 30% markdown sells at -11% margin (below cost). Break-even markdown is 22%</t>
        </is>
      </c>
      <c r="F8" s="30" t="n">
        <v>-1049</v>
      </c>
      <c r="G8" s="29" t="inlineStr">
        <is>
          <t>Category Manager</t>
        </is>
      </c>
    </row>
    <row r="9">
      <c r="B9" s="29" t="inlineStr">
        <is>
          <t>P2</t>
        </is>
      </c>
      <c r="C9" s="29" t="inlineStr">
        <is>
          <t>Markdown</t>
        </is>
      </c>
      <c r="D9" s="29" t="inlineStr">
        <is>
          <t>Mark down TV model 2 by 20% (168 days old)</t>
        </is>
      </c>
      <c r="E9" s="29" t="inlineStr">
        <is>
          <t>$37,200 at cost ageing; margin after markdown 3%; $/week = margin given up, spread over an 8-week sell-down</t>
        </is>
      </c>
      <c r="F9" s="30" t="n">
        <v>-930</v>
      </c>
      <c r="G9" s="29" t="inlineStr">
        <is>
          <t>Category Manager</t>
        </is>
      </c>
    </row>
    <row r="10">
      <c r="B10" s="29" t="inlineStr">
        <is>
          <t>P2</t>
        </is>
      </c>
      <c r="C10" s="29" t="inlineStr">
        <is>
          <t>Markdown</t>
        </is>
      </c>
      <c r="D10" s="29" t="inlineStr">
        <is>
          <t>Don't mark Tablet model 3 down 30% yet: ask the supplier for price protection or return-to-vendor, or bundle it; cap any markdown at 18%</t>
        </is>
      </c>
      <c r="E10" s="29" t="inlineStr">
        <is>
          <t>$32,725 at cost, 182 days old; a 30% markdown sells at -14% margin (below cost). Break-even markdown is 20%</t>
        </is>
      </c>
      <c r="F10" s="30" t="n">
        <v>-737</v>
      </c>
      <c r="G10" s="29" t="inlineStr">
        <is>
          <t>Category Manager</t>
        </is>
      </c>
    </row>
    <row r="11">
      <c r="B11" s="29" t="inlineStr">
        <is>
          <t>P2</t>
        </is>
      </c>
      <c r="C11" s="29" t="inlineStr">
        <is>
          <t>Markdown</t>
        </is>
      </c>
      <c r="D11" s="29" t="inlineStr">
        <is>
          <t>Mark down Smartphone model 6 by 10% (105 days old)</t>
        </is>
      </c>
      <c r="E11" s="29" t="inlineStr">
        <is>
          <t>$31,680 at cost ageing; margin after markdown 7%; $/week = margin given up, spread over an 8-week sell-down</t>
        </is>
      </c>
      <c r="F11" s="30" t="n">
        <v>-396</v>
      </c>
      <c r="G11" s="29" t="inlineStr">
        <is>
          <t>Category Manager</t>
        </is>
      </c>
    </row>
    <row r="12">
      <c r="B12" s="29" t="inlineStr">
        <is>
          <t>P2</t>
        </is>
      </c>
      <c r="C12" s="29" t="inlineStr">
        <is>
          <t>Range &amp; stock</t>
        </is>
      </c>
      <c r="D12" s="29" t="inlineStr">
        <is>
          <t>Stop reordering TV model 1 and plan a sell-down (15 weeks cover)</t>
        </is>
      </c>
      <c r="E12" s="29" t="inlineStr">
        <is>
          <t>51 on hand, 14 sold in 4 weeks; ~$29,417 tied up above an 8-week target (holding cost ~0.5%/week)</t>
        </is>
      </c>
      <c r="F12" s="30" t="n">
        <v>-147</v>
      </c>
      <c r="G12" s="29" t="inlineStr">
        <is>
          <t>Category Manager</t>
        </is>
      </c>
    </row>
    <row r="13">
      <c r="B13" s="29" t="inlineStr">
        <is>
          <t>P2</t>
        </is>
      </c>
      <c r="C13" s="29" t="inlineStr">
        <is>
          <t>Range &amp; stock</t>
        </is>
      </c>
      <c r="D13" s="29" t="inlineStr">
        <is>
          <t>Stop reordering Tablet model 6 and plan a sell-down (40 weeks cover)</t>
        </is>
      </c>
      <c r="E13" s="29" t="inlineStr">
        <is>
          <t>10 on hand, 1 sold in 4 weeks; ~$6,504 tied up above an 8-week target (holding cost ~0.5%/week)</t>
        </is>
      </c>
      <c r="F13" s="30" t="n">
        <v>-33</v>
      </c>
      <c r="G13" s="29" t="inlineStr">
        <is>
          <t>Category Manager</t>
        </is>
      </c>
    </row>
    <row r="14">
      <c r="B14" s="29" t="inlineStr">
        <is>
          <t>P2</t>
        </is>
      </c>
      <c r="C14" s="29" t="inlineStr">
        <is>
          <t>Range &amp; stock</t>
        </is>
      </c>
      <c r="D14" s="29" t="inlineStr">
        <is>
          <t>Stop reordering Headphones model 6 and plan a sell-down (12 weeks cover)</t>
        </is>
      </c>
      <c r="E14" s="29" t="inlineStr">
        <is>
          <t>46 on hand, 15 sold in 4 weeks; ~$2,336 tied up above an 8-week target (holding cost ~0.5%/week)</t>
        </is>
      </c>
      <c r="F14" s="30" t="n">
        <v>-12</v>
      </c>
      <c r="G14" s="29" t="inlineStr">
        <is>
          <t>Category Manager</t>
        </is>
      </c>
    </row>
    <row r="15">
      <c r="B15" s="29" t="inlineStr">
        <is>
          <t>P2</t>
        </is>
      </c>
      <c r="C15" s="29" t="inlineStr">
        <is>
          <t>Range &amp; stock</t>
        </is>
      </c>
      <c r="D15" s="29" t="inlineStr">
        <is>
          <t>Stop reordering Soundbar model 6 and plan a sell-down (13 weeks cover)</t>
        </is>
      </c>
      <c r="E15" s="29" t="inlineStr">
        <is>
          <t>13 on hand, 4 sold in 4 weeks; ~$2,315 tied up above an 8-week target (holding cost ~0.5%/week)</t>
        </is>
      </c>
      <c r="F15" s="30" t="n">
        <v>-12</v>
      </c>
      <c r="G15" s="29" t="inlineStr">
        <is>
          <t>Category Manager</t>
        </is>
      </c>
    </row>
    <row r="16">
      <c r="B16" s="29" t="inlineStr">
        <is>
          <t>P2</t>
        </is>
      </c>
      <c r="C16" s="29" t="inlineStr">
        <is>
          <t>Range &amp; stock</t>
        </is>
      </c>
      <c r="D16" s="29" t="inlineStr">
        <is>
          <t>Stop reordering Accessory model 6 and plan a sell-down (20 weeks cover)</t>
        </is>
      </c>
      <c r="E16" s="29" t="inlineStr">
        <is>
          <t>25 on hand, 5 sold in 4 weeks; ~$300 tied up above an 8-week target (holding cost ~0.5%/week)</t>
        </is>
      </c>
      <c r="F16" s="30" t="n">
        <v>-2</v>
      </c>
      <c r="G16" s="29" t="inlineStr">
        <is>
          <t>Category Manager</t>
        </is>
      </c>
    </row>
    <row r="17">
      <c r="B17" s="29" t="inlineStr">
        <is>
          <t>P3</t>
        </is>
      </c>
      <c r="C17" s="29" t="inlineStr">
        <is>
          <t>Attach</t>
        </is>
      </c>
      <c r="D17" s="29" t="inlineStr">
        <is>
          <t>Lift accessory attach from 11% towards 25% (bundles, till prompts, staff incentive)</t>
        </is>
      </c>
      <c r="E17" s="29" t="inlineStr">
        <is>
          <t>39 accessories on 368 devices in 4 weeks</t>
        </is>
      </c>
      <c r="F17" s="30" t="n">
        <v>390</v>
      </c>
      <c r="G17" s="29" t="inlineStr">
        <is>
          <t>Store Manager</t>
        </is>
      </c>
    </row>
    <row r="18">
      <c r="B18" s="29" t="inlineStr">
        <is>
          <t>P3</t>
        </is>
      </c>
      <c r="C18" s="29" t="inlineStr">
        <is>
          <t>Pricing</t>
        </is>
      </c>
      <c r="D18" s="29" t="inlineStr">
        <is>
          <t>Review Accessory pricing and promotion depth (ASP -7.2% in 26 weeks)</t>
        </is>
      </c>
      <c r="E18" s="29" t="inlineStr">
        <is>
          <t>price erosion beyond 5% squeezes margin unless volume grows faster</t>
        </is>
      </c>
      <c r="F18" s="30" t="n">
        <v>0</v>
      </c>
      <c r="G18" s="29" t="inlineStr">
        <is>
          <t>Category Manager</t>
        </is>
      </c>
    </row>
    <row r="19">
      <c r="B19" s="29" t="inlineStr">
        <is>
          <t>P3</t>
        </is>
      </c>
      <c r="C19" s="29" t="inlineStr">
        <is>
          <t>Pricing</t>
        </is>
      </c>
      <c r="D19" s="29" t="inlineStr">
        <is>
          <t>Review Headphones pricing and promotion depth (ASP -5.6% in 26 weeks)</t>
        </is>
      </c>
      <c r="E19" s="29" t="inlineStr">
        <is>
          <t>price erosion beyond 5% squeezes margin unless volume grows faster</t>
        </is>
      </c>
      <c r="F19" s="30" t="n">
        <v>0</v>
      </c>
      <c r="G19" s="29" t="inlineStr">
        <is>
          <t>Category Manager</t>
        </is>
      </c>
    </row>
    <row r="20">
      <c r="B20" s="29" t="inlineStr">
        <is>
          <t>P3</t>
        </is>
      </c>
      <c r="C20" s="29" t="inlineStr">
        <is>
          <t>Pricing</t>
        </is>
      </c>
      <c r="D20" s="29" t="inlineStr">
        <is>
          <t>Review Smartphone pricing and promotion depth (ASP -7.0% in 26 weeks)</t>
        </is>
      </c>
      <c r="E20" s="29" t="inlineStr">
        <is>
          <t>price erosion beyond 5% squeezes margin unless volume grows faster</t>
        </is>
      </c>
      <c r="F20" s="30" t="n">
        <v>0</v>
      </c>
      <c r="G20" s="29" t="inlineStr">
        <is>
          <t>Category Manager</t>
        </is>
      </c>
    </row>
    <row r="21">
      <c r="B21" s="29" t="inlineStr">
        <is>
          <t>P3</t>
        </is>
      </c>
      <c r="C21" s="29" t="inlineStr">
        <is>
          <t>Pricing</t>
        </is>
      </c>
      <c r="D21" s="29" t="inlineStr">
        <is>
          <t>Review Soundbar pricing and promotion depth (ASP -5.4% in 26 weeks)</t>
        </is>
      </c>
      <c r="E21" s="29" t="inlineStr">
        <is>
          <t>price erosion beyond 5% squeezes margin unless volume grows faster</t>
        </is>
      </c>
      <c r="F21" s="30" t="n">
        <v>0</v>
      </c>
      <c r="G21" s="29" t="inlineStr">
        <is>
          <t>Category Manager</t>
        </is>
      </c>
    </row>
    <row r="22">
      <c r="B22" s="29" t="inlineStr">
        <is>
          <t>P3</t>
        </is>
      </c>
      <c r="C22" s="29" t="inlineStr">
        <is>
          <t>Pricing</t>
        </is>
      </c>
      <c r="D22" s="29" t="inlineStr">
        <is>
          <t>Review TV pricing and promotion depth (ASP -5.5% in 26 weeks)</t>
        </is>
      </c>
      <c r="E22" s="29" t="inlineStr">
        <is>
          <t>price erosion beyond 5% squeezes margin unless volume grows faster</t>
        </is>
      </c>
      <c r="F22" s="30" t="n">
        <v>0</v>
      </c>
      <c r="G22" s="29" t="inlineStr">
        <is>
          <t>Category Manager</t>
        </is>
      </c>
    </row>
  </sheetData>
  <autoFilter ref="B5:G2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9AA5B1"/>
    <outlinePr summaryBelow="1" summaryRight="1"/>
    <pageSetUpPr/>
  </sheetPr>
  <dimension ref="A1:I4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13" customWidth="1" min="2" max="2"/>
    <col width="13" customWidth="1" min="3" max="3"/>
    <col width="13" customWidth="1" min="4" max="4"/>
    <col width="13" customWidth="1" min="5" max="5"/>
    <col width="20" customWidth="1" min="6" max="6"/>
    <col width="15" customWidth="1" min="7" max="7"/>
    <col width="15" customWidth="1" min="8" max="8"/>
    <col width="13" customWidth="1" min="9" max="9"/>
  </cols>
  <sheetData>
    <row r="1">
      <c r="A1" s="1" t="n"/>
      <c r="B1" s="2" t="inlineStr">
        <is>
          <t>SHELLY</t>
        </is>
      </c>
      <c r="C1" s="1" t="n"/>
      <c r="D1" s="1" t="n"/>
      <c r="E1" s="1" t="n"/>
      <c r="F1" s="1" t="n"/>
      <c r="G1" s="1" t="n"/>
      <c r="H1" s="1" t="n"/>
      <c r="I1" s="1" t="n"/>
    </row>
    <row r="2" ht="26" customHeight="1">
      <c r="A2" s="1" t="n"/>
      <c r="B2" s="3" t="inlineStr">
        <is>
          <t>Sell-through &amp; weeks of cover</t>
        </is>
      </c>
      <c r="C2" s="1" t="n"/>
      <c r="D2" s="1" t="n"/>
      <c r="E2" s="1" t="n"/>
      <c r="F2" s="1" t="n"/>
      <c r="G2" s="1" t="n"/>
      <c r="H2" s="1" t="n"/>
      <c r="I2" s="1" t="n"/>
    </row>
    <row r="3">
      <c r="A3" s="1" t="n"/>
      <c r="B3" s="4" t="inlineStr"/>
      <c r="C3" s="1" t="n"/>
      <c r="D3" s="1" t="n"/>
      <c r="E3" s="1" t="n"/>
      <c r="F3" s="1" t="n"/>
      <c r="G3" s="1" t="n"/>
      <c r="H3" s="1" t="n"/>
      <c r="I3" s="1" t="n"/>
    </row>
    <row r="5" ht="28" customHeight="1">
      <c r="B5" s="14" t="inlineStr">
        <is>
          <t>name</t>
        </is>
      </c>
      <c r="C5" s="14" t="inlineStr">
        <is>
          <t>category</t>
        </is>
      </c>
      <c r="D5" s="14" t="inlineStr">
        <is>
          <t>on_hand</t>
        </is>
      </c>
      <c r="E5" s="14" t="inlineStr">
        <is>
          <t>units_4w</t>
        </is>
      </c>
      <c r="F5" s="14" t="inlineStr">
        <is>
          <t>sell_through_pct</t>
        </is>
      </c>
      <c r="G5" s="14" t="inlineStr">
        <is>
          <t>weeks_cover</t>
        </is>
      </c>
      <c r="H5" s="14" t="inlineStr">
        <is>
          <t>stock_value</t>
        </is>
      </c>
      <c r="I5" s="14" t="inlineStr">
        <is>
          <t>status</t>
        </is>
      </c>
    </row>
    <row r="6">
      <c r="B6" s="29" t="inlineStr">
        <is>
          <t>Tablet model 6</t>
        </is>
      </c>
      <c r="C6" s="29" t="inlineStr">
        <is>
          <t>Tablet</t>
        </is>
      </c>
      <c r="D6" s="29" t="n">
        <v>10</v>
      </c>
      <c r="E6" s="29" t="n">
        <v>1</v>
      </c>
      <c r="F6" s="29" t="n">
        <v>9.090999999999999</v>
      </c>
      <c r="G6" s="29" t="n">
        <v>40</v>
      </c>
      <c r="H6" s="30" t="n">
        <v>8130</v>
      </c>
      <c r="I6" s="29" t="inlineStr">
        <is>
          <t>Overstock</t>
        </is>
      </c>
    </row>
    <row r="7">
      <c r="B7" s="29" t="inlineStr">
        <is>
          <t>Accessory model 6</t>
        </is>
      </c>
      <c r="C7" s="29" t="inlineStr">
        <is>
          <t>Accessory</t>
        </is>
      </c>
      <c r="D7" s="29" t="n">
        <v>25</v>
      </c>
      <c r="E7" s="29" t="n">
        <v>5</v>
      </c>
      <c r="F7" s="29" t="n">
        <v>16.667</v>
      </c>
      <c r="G7" s="29" t="n">
        <v>20</v>
      </c>
      <c r="H7" s="30" t="n">
        <v>500</v>
      </c>
      <c r="I7" s="29" t="inlineStr">
        <is>
          <t>Overstock</t>
        </is>
      </c>
    </row>
    <row r="8">
      <c r="B8" s="29" t="inlineStr">
        <is>
          <t>Accessory model 4</t>
        </is>
      </c>
      <c r="C8" s="29" t="inlineStr">
        <is>
          <t>Accessory</t>
        </is>
      </c>
      <c r="D8" s="29" t="n">
        <v>19</v>
      </c>
      <c r="E8" s="29" t="n">
        <v>5</v>
      </c>
      <c r="F8" s="29" t="n">
        <v>20.833</v>
      </c>
      <c r="G8" s="29" t="n">
        <v>15.2</v>
      </c>
      <c r="H8" s="30" t="n">
        <v>361</v>
      </c>
      <c r="I8" s="29" t="inlineStr">
        <is>
          <t>Overstock</t>
        </is>
      </c>
    </row>
    <row r="9">
      <c r="B9" s="29" t="inlineStr">
        <is>
          <t>TV model 1</t>
        </is>
      </c>
      <c r="C9" s="29" t="inlineStr">
        <is>
          <t>TV</t>
        </is>
      </c>
      <c r="D9" s="29" t="n">
        <v>51</v>
      </c>
      <c r="E9" s="29" t="n">
        <v>14</v>
      </c>
      <c r="F9" s="29" t="n">
        <v>21.538</v>
      </c>
      <c r="G9" s="29" t="n">
        <v>14.571</v>
      </c>
      <c r="H9" s="30" t="n">
        <v>65229</v>
      </c>
      <c r="I9" s="29" t="inlineStr">
        <is>
          <t>Overstock</t>
        </is>
      </c>
    </row>
    <row r="10">
      <c r="B10" s="29" t="inlineStr">
        <is>
          <t>Soundbar model 6</t>
        </is>
      </c>
      <c r="C10" s="29" t="inlineStr">
        <is>
          <t>Soundbar</t>
        </is>
      </c>
      <c r="D10" s="29" t="n">
        <v>13</v>
      </c>
      <c r="E10" s="29" t="n">
        <v>4</v>
      </c>
      <c r="F10" s="29" t="n">
        <v>23.529</v>
      </c>
      <c r="G10" s="29" t="n">
        <v>13</v>
      </c>
      <c r="H10" s="30" t="n">
        <v>6019</v>
      </c>
      <c r="I10" s="29" t="inlineStr">
        <is>
          <t>Overstock</t>
        </is>
      </c>
    </row>
    <row r="11">
      <c r="B11" s="29" t="inlineStr">
        <is>
          <t>Headphones model 6</t>
        </is>
      </c>
      <c r="C11" s="29" t="inlineStr">
        <is>
          <t>Headphones</t>
        </is>
      </c>
      <c r="D11" s="29" t="n">
        <v>46</v>
      </c>
      <c r="E11" s="29" t="n">
        <v>15</v>
      </c>
      <c r="F11" s="29" t="n">
        <v>24.59</v>
      </c>
      <c r="G11" s="29" t="n">
        <v>12.267</v>
      </c>
      <c r="H11" s="30" t="n">
        <v>6716</v>
      </c>
      <c r="I11" s="29" t="inlineStr">
        <is>
          <t>Overstock</t>
        </is>
      </c>
    </row>
    <row r="12">
      <c r="B12" s="29" t="inlineStr">
        <is>
          <t>Tablet model 2</t>
        </is>
      </c>
      <c r="C12" s="29" t="inlineStr">
        <is>
          <t>Tablet</t>
        </is>
      </c>
      <c r="D12" s="29" t="n">
        <v>20</v>
      </c>
      <c r="E12" s="29" t="n">
        <v>7</v>
      </c>
      <c r="F12" s="29" t="n">
        <v>25.926</v>
      </c>
      <c r="G12" s="29" t="n">
        <v>11.429</v>
      </c>
      <c r="H12" s="30" t="n">
        <v>19860</v>
      </c>
      <c r="I12" s="29" t="inlineStr">
        <is>
          <t>OK</t>
        </is>
      </c>
    </row>
    <row r="13">
      <c r="B13" s="29" t="inlineStr">
        <is>
          <t>Accessory model 5</t>
        </is>
      </c>
      <c r="C13" s="29" t="inlineStr">
        <is>
          <t>Accessory</t>
        </is>
      </c>
      <c r="D13" s="29" t="n">
        <v>14</v>
      </c>
      <c r="E13" s="29" t="n">
        <v>5</v>
      </c>
      <c r="F13" s="29" t="n">
        <v>26.316</v>
      </c>
      <c r="G13" s="29" t="n">
        <v>11.2</v>
      </c>
      <c r="H13" s="30" t="n">
        <v>322</v>
      </c>
      <c r="I13" s="29" t="inlineStr">
        <is>
          <t>OK</t>
        </is>
      </c>
    </row>
    <row r="14">
      <c r="B14" s="29" t="inlineStr">
        <is>
          <t>Tablet model 5</t>
        </is>
      </c>
      <c r="C14" s="29" t="inlineStr">
        <is>
          <t>Tablet</t>
        </is>
      </c>
      <c r="D14" s="29" t="n">
        <v>30</v>
      </c>
      <c r="E14" s="29" t="n">
        <v>11</v>
      </c>
      <c r="F14" s="29" t="n">
        <v>26.829</v>
      </c>
      <c r="G14" s="29" t="n">
        <v>10.909</v>
      </c>
      <c r="H14" s="30" t="n">
        <v>20280</v>
      </c>
      <c r="I14" s="29" t="inlineStr">
        <is>
          <t>OK</t>
        </is>
      </c>
    </row>
    <row r="15">
      <c r="B15" s="29" t="inlineStr">
        <is>
          <t>TV model 4</t>
        </is>
      </c>
      <c r="C15" s="29" t="inlineStr">
        <is>
          <t>TV</t>
        </is>
      </c>
      <c r="D15" s="29" t="n">
        <v>51</v>
      </c>
      <c r="E15" s="29" t="n">
        <v>21</v>
      </c>
      <c r="F15" s="29" t="n">
        <v>29.167</v>
      </c>
      <c r="G15" s="29" t="n">
        <v>9.714</v>
      </c>
      <c r="H15" s="30" t="n">
        <v>54213</v>
      </c>
      <c r="I15" s="29" t="inlineStr">
        <is>
          <t>OK</t>
        </is>
      </c>
    </row>
    <row r="16">
      <c r="B16" s="29" t="inlineStr">
        <is>
          <t>Smartphone model 6</t>
        </is>
      </c>
      <c r="C16" s="29" t="inlineStr">
        <is>
          <t>Smartphone</t>
        </is>
      </c>
      <c r="D16" s="29" t="n">
        <v>30</v>
      </c>
      <c r="E16" s="29" t="n">
        <v>13</v>
      </c>
      <c r="F16" s="29" t="n">
        <v>30.233</v>
      </c>
      <c r="G16" s="29" t="n">
        <v>9.231</v>
      </c>
      <c r="H16" s="30" t="n">
        <v>31680</v>
      </c>
      <c r="I16" s="29" t="inlineStr">
        <is>
          <t>OK</t>
        </is>
      </c>
    </row>
    <row r="17">
      <c r="B17" s="29" t="inlineStr">
        <is>
          <t>TV model 6</t>
        </is>
      </c>
      <c r="C17" s="29" t="inlineStr">
        <is>
          <t>TV</t>
        </is>
      </c>
      <c r="D17" s="29" t="n">
        <v>29</v>
      </c>
      <c r="E17" s="29" t="n">
        <v>13</v>
      </c>
      <c r="F17" s="29" t="n">
        <v>30.952</v>
      </c>
      <c r="G17" s="29" t="n">
        <v>8.923</v>
      </c>
      <c r="H17" s="30" t="n">
        <v>42021</v>
      </c>
      <c r="I17" s="29" t="inlineStr">
        <is>
          <t>OK</t>
        </is>
      </c>
    </row>
    <row r="18">
      <c r="B18" s="29" t="inlineStr">
        <is>
          <t>Soundbar model 1</t>
        </is>
      </c>
      <c r="C18" s="29" t="inlineStr">
        <is>
          <t>Soundbar</t>
        </is>
      </c>
      <c r="D18" s="29" t="n">
        <v>33</v>
      </c>
      <c r="E18" s="29" t="n">
        <v>15</v>
      </c>
      <c r="F18" s="29" t="n">
        <v>31.25</v>
      </c>
      <c r="G18" s="29" t="n">
        <v>8.800000000000001</v>
      </c>
      <c r="H18" s="30" t="n">
        <v>9405</v>
      </c>
      <c r="I18" s="29" t="inlineStr">
        <is>
          <t>OK</t>
        </is>
      </c>
    </row>
    <row r="19">
      <c r="B19" s="29" t="inlineStr">
        <is>
          <t>Tablet model 3</t>
        </is>
      </c>
      <c r="C19" s="29" t="inlineStr">
        <is>
          <t>Tablet</t>
        </is>
      </c>
      <c r="D19" s="29" t="n">
        <v>35</v>
      </c>
      <c r="E19" s="29" t="n">
        <v>17</v>
      </c>
      <c r="F19" s="29" t="n">
        <v>32.692</v>
      </c>
      <c r="G19" s="29" t="n">
        <v>8.234999999999999</v>
      </c>
      <c r="H19" s="30" t="n">
        <v>32725</v>
      </c>
      <c r="I19" s="29" t="inlineStr">
        <is>
          <t>OK</t>
        </is>
      </c>
    </row>
    <row r="20">
      <c r="B20" s="29" t="inlineStr">
        <is>
          <t>Smartphone model 4</t>
        </is>
      </c>
      <c r="C20" s="29" t="inlineStr">
        <is>
          <t>Smartphone</t>
        </is>
      </c>
      <c r="D20" s="29" t="n">
        <v>58</v>
      </c>
      <c r="E20" s="29" t="n">
        <v>30</v>
      </c>
      <c r="F20" s="29" t="n">
        <v>34.091</v>
      </c>
      <c r="G20" s="29" t="n">
        <v>7.733</v>
      </c>
      <c r="H20" s="30" t="n">
        <v>81374</v>
      </c>
      <c r="I20" s="29" t="inlineStr">
        <is>
          <t>OK</t>
        </is>
      </c>
    </row>
    <row r="21">
      <c r="B21" s="29" t="inlineStr">
        <is>
          <t>Headphones model 1</t>
        </is>
      </c>
      <c r="C21" s="29" t="inlineStr">
        <is>
          <t>Headphones</t>
        </is>
      </c>
      <c r="D21" s="29" t="n">
        <v>56</v>
      </c>
      <c r="E21" s="29" t="n">
        <v>29</v>
      </c>
      <c r="F21" s="29" t="n">
        <v>34.118</v>
      </c>
      <c r="G21" s="29" t="n">
        <v>7.724</v>
      </c>
      <c r="H21" s="30" t="n">
        <v>11088</v>
      </c>
      <c r="I21" s="29" t="inlineStr">
        <is>
          <t>OK</t>
        </is>
      </c>
    </row>
    <row r="22">
      <c r="B22" s="29" t="inlineStr">
        <is>
          <t>TV model 3</t>
        </is>
      </c>
      <c r="C22" s="29" t="inlineStr">
        <is>
          <t>TV</t>
        </is>
      </c>
      <c r="D22" s="29" t="n">
        <v>41</v>
      </c>
      <c r="E22" s="29" t="n">
        <v>22</v>
      </c>
      <c r="F22" s="29" t="n">
        <v>34.921</v>
      </c>
      <c r="G22" s="29" t="n">
        <v>7.455</v>
      </c>
      <c r="H22" s="30" t="n">
        <v>44362</v>
      </c>
      <c r="I22" s="29" t="inlineStr">
        <is>
          <t>OK</t>
        </is>
      </c>
    </row>
    <row r="23">
      <c r="B23" s="29" t="inlineStr">
        <is>
          <t>Accessory model 1</t>
        </is>
      </c>
      <c r="C23" s="29" t="inlineStr">
        <is>
          <t>Accessory</t>
        </is>
      </c>
      <c r="D23" s="29" t="n">
        <v>14</v>
      </c>
      <c r="E23" s="29" t="n">
        <v>8</v>
      </c>
      <c r="F23" s="29" t="n">
        <v>36.364</v>
      </c>
      <c r="G23" s="29" t="n">
        <v>7</v>
      </c>
      <c r="H23" s="30" t="n">
        <v>364</v>
      </c>
      <c r="I23" s="29" t="inlineStr">
        <is>
          <t>OK</t>
        </is>
      </c>
    </row>
    <row r="24">
      <c r="B24" s="29" t="inlineStr">
        <is>
          <t>Soundbar model 3</t>
        </is>
      </c>
      <c r="C24" s="29" t="inlineStr">
        <is>
          <t>Soundbar</t>
        </is>
      </c>
      <c r="D24" s="29" t="n">
        <v>26</v>
      </c>
      <c r="E24" s="29" t="n">
        <v>17</v>
      </c>
      <c r="F24" s="29" t="n">
        <v>39.535</v>
      </c>
      <c r="G24" s="29" t="n">
        <v>6.118</v>
      </c>
      <c r="H24" s="30" t="n">
        <v>8398</v>
      </c>
      <c r="I24" s="29" t="inlineStr">
        <is>
          <t>OK</t>
        </is>
      </c>
    </row>
    <row r="25">
      <c r="B25" s="29" t="inlineStr">
        <is>
          <t>Accessory model 2</t>
        </is>
      </c>
      <c r="C25" s="29" t="inlineStr">
        <is>
          <t>Accessory</t>
        </is>
      </c>
      <c r="D25" s="29" t="n">
        <v>12</v>
      </c>
      <c r="E25" s="29" t="n">
        <v>8</v>
      </c>
      <c r="F25" s="29" t="n">
        <v>40</v>
      </c>
      <c r="G25" s="29" t="n">
        <v>6</v>
      </c>
      <c r="H25" s="30" t="n">
        <v>264</v>
      </c>
      <c r="I25" s="29" t="inlineStr">
        <is>
          <t>OK</t>
        </is>
      </c>
    </row>
    <row r="26">
      <c r="B26" s="29" t="inlineStr">
        <is>
          <t>Headphones model 2</t>
        </is>
      </c>
      <c r="C26" s="29" t="inlineStr">
        <is>
          <t>Headphones</t>
        </is>
      </c>
      <c r="D26" s="29" t="n">
        <v>43</v>
      </c>
      <c r="E26" s="29" t="n">
        <v>29</v>
      </c>
      <c r="F26" s="29" t="n">
        <v>40.278</v>
      </c>
      <c r="G26" s="29" t="n">
        <v>5.931</v>
      </c>
      <c r="H26" s="30" t="n">
        <v>6708</v>
      </c>
      <c r="I26" s="29" t="inlineStr">
        <is>
          <t>OK</t>
        </is>
      </c>
    </row>
    <row r="27">
      <c r="B27" s="29" t="inlineStr">
        <is>
          <t>Tablet model 4</t>
        </is>
      </c>
      <c r="C27" s="29" t="inlineStr">
        <is>
          <t>Tablet</t>
        </is>
      </c>
      <c r="D27" s="29" t="n">
        <v>25</v>
      </c>
      <c r="E27" s="29" t="n">
        <v>17</v>
      </c>
      <c r="F27" s="29" t="n">
        <v>40.476</v>
      </c>
      <c r="G27" s="29" t="n">
        <v>5.882</v>
      </c>
      <c r="H27" s="30" t="n">
        <v>11425</v>
      </c>
      <c r="I27" s="29" t="inlineStr">
        <is>
          <t>OK</t>
        </is>
      </c>
    </row>
    <row r="28">
      <c r="B28" s="29" t="inlineStr">
        <is>
          <t>Smartphone model 2</t>
        </is>
      </c>
      <c r="C28" s="29" t="inlineStr">
        <is>
          <t>Smartphone</t>
        </is>
      </c>
      <c r="D28" s="29" t="n">
        <v>38</v>
      </c>
      <c r="E28" s="29" t="n">
        <v>26</v>
      </c>
      <c r="F28" s="29" t="n">
        <v>40.625</v>
      </c>
      <c r="G28" s="29" t="n">
        <v>5.846</v>
      </c>
      <c r="H28" s="30" t="n">
        <v>36974</v>
      </c>
      <c r="I28" s="29" t="inlineStr">
        <is>
          <t>OK</t>
        </is>
      </c>
    </row>
    <row r="29">
      <c r="B29" s="29" t="inlineStr">
        <is>
          <t>Headphones model 5</t>
        </is>
      </c>
      <c r="C29" s="29" t="inlineStr">
        <is>
          <t>Headphones</t>
        </is>
      </c>
      <c r="D29" s="29" t="n">
        <v>45</v>
      </c>
      <c r="E29" s="29" t="n">
        <v>34</v>
      </c>
      <c r="F29" s="29" t="n">
        <v>43.038</v>
      </c>
      <c r="G29" s="29" t="n">
        <v>5.294</v>
      </c>
      <c r="H29" s="30" t="n">
        <v>6075</v>
      </c>
      <c r="I29" s="29" t="inlineStr">
        <is>
          <t>OK</t>
        </is>
      </c>
    </row>
    <row r="30">
      <c r="B30" s="29" t="inlineStr">
        <is>
          <t>Soundbar model 5</t>
        </is>
      </c>
      <c r="C30" s="29" t="inlineStr">
        <is>
          <t>Soundbar</t>
        </is>
      </c>
      <c r="D30" s="29" t="n">
        <v>21</v>
      </c>
      <c r="E30" s="29" t="n">
        <v>16</v>
      </c>
      <c r="F30" s="29" t="n">
        <v>43.243</v>
      </c>
      <c r="G30" s="29" t="n">
        <v>5.25</v>
      </c>
      <c r="H30" s="30" t="n">
        <v>11193</v>
      </c>
      <c r="I30" s="29" t="inlineStr">
        <is>
          <t>OK</t>
        </is>
      </c>
    </row>
    <row r="31">
      <c r="B31" s="29" t="inlineStr">
        <is>
          <t>Headphones model 3</t>
        </is>
      </c>
      <c r="C31" s="29" t="inlineStr">
        <is>
          <t>Headphones</t>
        </is>
      </c>
      <c r="D31" s="29" t="n">
        <v>38</v>
      </c>
      <c r="E31" s="29" t="n">
        <v>32</v>
      </c>
      <c r="F31" s="29" t="n">
        <v>45.714</v>
      </c>
      <c r="G31" s="29" t="n">
        <v>4.75</v>
      </c>
      <c r="H31" s="30" t="n">
        <v>5282</v>
      </c>
      <c r="I31" s="29" t="inlineStr">
        <is>
          <t>OK</t>
        </is>
      </c>
    </row>
    <row r="32">
      <c r="B32" s="29" t="inlineStr">
        <is>
          <t>Soundbar model 2</t>
        </is>
      </c>
      <c r="C32" s="29" t="inlineStr">
        <is>
          <t>Soundbar</t>
        </is>
      </c>
      <c r="D32" s="29" t="n">
        <v>13</v>
      </c>
      <c r="E32" s="29" t="n">
        <v>11</v>
      </c>
      <c r="F32" s="29" t="n">
        <v>45.833</v>
      </c>
      <c r="G32" s="29" t="n">
        <v>4.727</v>
      </c>
      <c r="H32" s="30" t="n">
        <v>6812</v>
      </c>
      <c r="I32" s="29" t="inlineStr">
        <is>
          <t>OK</t>
        </is>
      </c>
    </row>
    <row r="33">
      <c r="B33" s="29" t="inlineStr">
        <is>
          <t>Tablet model 1</t>
        </is>
      </c>
      <c r="C33" s="29" t="inlineStr">
        <is>
          <t>Tablet</t>
        </is>
      </c>
      <c r="D33" s="29" t="n">
        <v>14</v>
      </c>
      <c r="E33" s="29" t="n">
        <v>12</v>
      </c>
      <c r="F33" s="29" t="n">
        <v>46.154</v>
      </c>
      <c r="G33" s="29" t="n">
        <v>4.667</v>
      </c>
      <c r="H33" s="30" t="n">
        <v>12558</v>
      </c>
      <c r="I33" s="29" t="inlineStr">
        <is>
          <t>OK</t>
        </is>
      </c>
    </row>
    <row r="34">
      <c r="B34" s="29" t="inlineStr">
        <is>
          <t>Soundbar model 4</t>
        </is>
      </c>
      <c r="C34" s="29" t="inlineStr">
        <is>
          <t>Soundbar</t>
        </is>
      </c>
      <c r="D34" s="29" t="n">
        <v>16</v>
      </c>
      <c r="E34" s="29" t="n">
        <v>14</v>
      </c>
      <c r="F34" s="29" t="n">
        <v>46.667</v>
      </c>
      <c r="G34" s="29" t="n">
        <v>4.571</v>
      </c>
      <c r="H34" s="30" t="n">
        <v>6592</v>
      </c>
      <c r="I34" s="29" t="inlineStr">
        <is>
          <t>OK</t>
        </is>
      </c>
    </row>
    <row r="35">
      <c r="B35" s="29" t="inlineStr">
        <is>
          <t>Accessory model 3</t>
        </is>
      </c>
      <c r="C35" s="29" t="inlineStr">
        <is>
          <t>Accessory</t>
        </is>
      </c>
      <c r="D35" s="29" t="n">
        <v>9</v>
      </c>
      <c r="E35" s="29" t="n">
        <v>8</v>
      </c>
      <c r="F35" s="29" t="n">
        <v>47.059</v>
      </c>
      <c r="G35" s="29" t="n">
        <v>4.5</v>
      </c>
      <c r="H35" s="30" t="n">
        <v>171</v>
      </c>
      <c r="I35" s="29" t="inlineStr">
        <is>
          <t>OK</t>
        </is>
      </c>
    </row>
    <row r="36">
      <c r="B36" s="29" t="inlineStr">
        <is>
          <t>Smartphone model 5</t>
        </is>
      </c>
      <c r="C36" s="29" t="inlineStr">
        <is>
          <t>Smartphone</t>
        </is>
      </c>
      <c r="D36" s="29" t="n">
        <v>40</v>
      </c>
      <c r="E36" s="29" t="n">
        <v>38</v>
      </c>
      <c r="F36" s="29" t="n">
        <v>48.718</v>
      </c>
      <c r="G36" s="29" t="n">
        <v>4.211</v>
      </c>
      <c r="H36" s="30" t="n">
        <v>56840</v>
      </c>
      <c r="I36" s="29" t="inlineStr">
        <is>
          <t>OK</t>
        </is>
      </c>
    </row>
    <row r="37">
      <c r="B37" s="29" t="inlineStr">
        <is>
          <t>TV model 2</t>
        </is>
      </c>
      <c r="C37" s="29" t="inlineStr">
        <is>
          <t>TV</t>
        </is>
      </c>
      <c r="D37" s="29" t="n">
        <v>31</v>
      </c>
      <c r="E37" s="29" t="n">
        <v>33</v>
      </c>
      <c r="F37" s="29" t="n">
        <v>51.562</v>
      </c>
      <c r="G37" s="29" t="n">
        <v>3.758</v>
      </c>
      <c r="H37" s="30" t="n">
        <v>37200</v>
      </c>
      <c r="I37" s="29" t="inlineStr">
        <is>
          <t>OK</t>
        </is>
      </c>
    </row>
    <row r="38">
      <c r="B38" s="29" t="inlineStr">
        <is>
          <t>Smartphone model 1</t>
        </is>
      </c>
      <c r="C38" s="29" t="inlineStr">
        <is>
          <t>Smartphone</t>
        </is>
      </c>
      <c r="D38" s="29" t="n">
        <v>28</v>
      </c>
      <c r="E38" s="29" t="n">
        <v>31</v>
      </c>
      <c r="F38" s="29" t="n">
        <v>52.542</v>
      </c>
      <c r="G38" s="29" t="n">
        <v>3.613</v>
      </c>
      <c r="H38" s="30" t="n">
        <v>26628</v>
      </c>
      <c r="I38" s="29" t="inlineStr">
        <is>
          <t>OK</t>
        </is>
      </c>
    </row>
    <row r="39">
      <c r="B39" s="29" t="inlineStr">
        <is>
          <t>TV model 5</t>
        </is>
      </c>
      <c r="C39" s="29" t="inlineStr">
        <is>
          <t>TV</t>
        </is>
      </c>
      <c r="D39" s="29" t="n">
        <v>16</v>
      </c>
      <c r="E39" s="29" t="n">
        <v>18</v>
      </c>
      <c r="F39" s="29" t="n">
        <v>52.941</v>
      </c>
      <c r="G39" s="29" t="n">
        <v>3.556</v>
      </c>
      <c r="H39" s="30" t="n">
        <v>11968</v>
      </c>
      <c r="I39" s="29" t="inlineStr">
        <is>
          <t>OK</t>
        </is>
      </c>
    </row>
    <row r="40">
      <c r="B40" s="29" t="inlineStr">
        <is>
          <t>Smartphone model 3</t>
        </is>
      </c>
      <c r="C40" s="29" t="inlineStr">
        <is>
          <t>Smartphone</t>
        </is>
      </c>
      <c r="D40" s="29" t="n">
        <v>35</v>
      </c>
      <c r="E40" s="29" t="n">
        <v>44</v>
      </c>
      <c r="F40" s="29" t="n">
        <v>55.696</v>
      </c>
      <c r="G40" s="29" t="n">
        <v>3.182</v>
      </c>
      <c r="H40" s="30" t="n">
        <v>36015</v>
      </c>
      <c r="I40" s="29" t="inlineStr">
        <is>
          <t>OK</t>
        </is>
      </c>
    </row>
    <row r="41">
      <c r="B41" s="29" t="inlineStr">
        <is>
          <t>Headphones model 4</t>
        </is>
      </c>
      <c r="C41" s="29" t="inlineStr">
        <is>
          <t>Headphones</t>
        </is>
      </c>
      <c r="D41" s="29" t="n">
        <v>19</v>
      </c>
      <c r="E41" s="29" t="n">
        <v>33</v>
      </c>
      <c r="F41" s="29" t="n">
        <v>63.462</v>
      </c>
      <c r="G41" s="29" t="n">
        <v>2.303</v>
      </c>
      <c r="H41" s="30" t="n">
        <v>2432</v>
      </c>
      <c r="I41" s="29" t="inlineStr">
        <is>
          <t>OK</t>
        </is>
      </c>
    </row>
  </sheetData>
  <autoFilter ref="B5:I41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9AA5B1"/>
    <outlinePr summaryBelow="1" summaryRight="1"/>
    <pageSetUpPr/>
  </sheetPr>
  <dimension ref="A1:F9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13" customWidth="1" min="2" max="2"/>
    <col width="15" customWidth="1" min="3" max="3"/>
  </cols>
  <sheetData>
    <row r="1">
      <c r="A1" s="1" t="n"/>
      <c r="B1" s="2" t="inlineStr">
        <is>
          <t>SHELLY</t>
        </is>
      </c>
      <c r="C1" s="1" t="n"/>
      <c r="D1" s="1" t="n"/>
      <c r="E1" s="1" t="n"/>
      <c r="F1" s="1" t="n"/>
    </row>
    <row r="2" ht="26" customHeight="1">
      <c r="A2" s="1" t="n"/>
      <c r="B2" s="3" t="inlineStr">
        <is>
          <t>Aged stock &amp; markdown ladder</t>
        </is>
      </c>
      <c r="C2" s="1" t="n"/>
      <c r="D2" s="1" t="n"/>
      <c r="E2" s="1" t="n"/>
      <c r="F2" s="1" t="n"/>
    </row>
    <row r="3">
      <c r="A3" s="1" t="n"/>
      <c r="B3" s="4" t="inlineStr"/>
      <c r="C3" s="1" t="n"/>
      <c r="D3" s="1" t="n"/>
      <c r="E3" s="1" t="n"/>
      <c r="F3" s="1" t="n"/>
    </row>
    <row r="5" ht="28" customHeight="1">
      <c r="B5" s="14" t="inlineStr">
        <is>
          <t>band</t>
        </is>
      </c>
      <c r="C5" s="14" t="inlineStr">
        <is>
          <t>stock_value</t>
        </is>
      </c>
    </row>
    <row r="6">
      <c r="B6" s="29" t="inlineStr">
        <is>
          <t>&lt;90</t>
        </is>
      </c>
      <c r="C6" s="30" t="n">
        <v>345854</v>
      </c>
    </row>
    <row r="7">
      <c r="B7" s="29" t="inlineStr">
        <is>
          <t>90-120</t>
        </is>
      </c>
      <c r="C7" s="30" t="n">
        <v>46344</v>
      </c>
    </row>
    <row r="8">
      <c r="B8" s="29" t="inlineStr">
        <is>
          <t>120-180</t>
        </is>
      </c>
      <c r="C8" s="30" t="n">
        <v>124911</v>
      </c>
    </row>
    <row r="9">
      <c r="B9" s="29" t="inlineStr">
        <is>
          <t>180+</t>
        </is>
      </c>
      <c r="C9" s="30" t="n">
        <v>201075</v>
      </c>
    </row>
  </sheetData>
  <autoFilter ref="B5:C9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9AA5B1"/>
    <outlinePr summaryBelow="1" summaryRight="1"/>
    <pageSetUpPr/>
  </sheetPr>
  <dimension ref="A1:F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13" customWidth="1" min="2" max="2"/>
    <col width="13" customWidth="1" min="3" max="3"/>
    <col width="13" customWidth="1" min="4" max="4"/>
    <col width="15" customWidth="1" min="5" max="5"/>
  </cols>
  <sheetData>
    <row r="1">
      <c r="A1" s="1" t="n"/>
      <c r="B1" s="2" t="inlineStr">
        <is>
          <t>SHELLY</t>
        </is>
      </c>
      <c r="C1" s="1" t="n"/>
      <c r="D1" s="1" t="n"/>
      <c r="E1" s="1" t="n"/>
      <c r="F1" s="1" t="n"/>
    </row>
    <row r="2" ht="26" customHeight="1">
      <c r="A2" s="1" t="n"/>
      <c r="B2" s="3" t="inlineStr">
        <is>
          <t>Price erosion ASP</t>
        </is>
      </c>
      <c r="C2" s="1" t="n"/>
      <c r="D2" s="1" t="n"/>
      <c r="E2" s="1" t="n"/>
      <c r="F2" s="1" t="n"/>
    </row>
    <row r="3">
      <c r="A3" s="1" t="n"/>
      <c r="B3" s="4" t="inlineStr"/>
      <c r="C3" s="1" t="n"/>
      <c r="D3" s="1" t="n"/>
      <c r="E3" s="1" t="n"/>
      <c r="F3" s="1" t="n"/>
    </row>
    <row r="5" ht="28" customHeight="1">
      <c r="B5" s="14" t="inlineStr">
        <is>
          <t>category</t>
        </is>
      </c>
      <c r="C5" s="14" t="inlineStr">
        <is>
          <t>asp_then</t>
        </is>
      </c>
      <c r="D5" s="14" t="inlineStr">
        <is>
          <t>asp_now</t>
        </is>
      </c>
      <c r="E5" s="14" t="inlineStr">
        <is>
          <t>erosion_pct</t>
        </is>
      </c>
    </row>
    <row r="6">
      <c r="B6" s="29" t="inlineStr">
        <is>
          <t>Accessory</t>
        </is>
      </c>
      <c r="C6" s="29" t="n">
        <v>51.7</v>
      </c>
      <c r="D6" s="29" t="n">
        <v>47.9</v>
      </c>
      <c r="E6" s="29" t="n">
        <v>-7.2</v>
      </c>
    </row>
    <row r="7">
      <c r="B7" s="29" t="inlineStr">
        <is>
          <t>Headphones</t>
        </is>
      </c>
      <c r="C7" s="29" t="n">
        <v>233.5</v>
      </c>
      <c r="D7" s="29" t="n">
        <v>220.3</v>
      </c>
      <c r="E7" s="29" t="n">
        <v>-5.6</v>
      </c>
    </row>
    <row r="8">
      <c r="B8" s="29" t="inlineStr">
        <is>
          <t>Smartphone</t>
        </is>
      </c>
      <c r="C8" s="29" t="n">
        <v>1321.6</v>
      </c>
      <c r="D8" s="29" t="n">
        <v>1228.7</v>
      </c>
      <c r="E8" s="29" t="n">
        <v>-7</v>
      </c>
    </row>
    <row r="9">
      <c r="B9" s="29" t="inlineStr">
        <is>
          <t>Soundbar</t>
        </is>
      </c>
      <c r="C9" s="29" t="n">
        <v>569.3</v>
      </c>
      <c r="D9" s="29" t="n">
        <v>538.3</v>
      </c>
      <c r="E9" s="29" t="n">
        <v>-5.4</v>
      </c>
    </row>
    <row r="10">
      <c r="B10" s="29" t="inlineStr">
        <is>
          <t>TV</t>
        </is>
      </c>
      <c r="C10" s="29" t="n">
        <v>1371.6</v>
      </c>
      <c r="D10" s="29" t="n">
        <v>1296.1</v>
      </c>
      <c r="E10" s="29" t="n">
        <v>-5.5</v>
      </c>
    </row>
    <row r="11">
      <c r="B11" s="29" t="inlineStr">
        <is>
          <t>Tablet</t>
        </is>
      </c>
      <c r="C11" s="29" t="n">
        <v>885.6</v>
      </c>
      <c r="D11" s="29" t="n">
        <v>854.2</v>
      </c>
      <c r="E11" s="29" t="n">
        <v>-3.5</v>
      </c>
    </row>
  </sheetData>
  <autoFilter ref="B5:E11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9AA5B1"/>
    <outlinePr summaryBelow="1" summaryRight="1"/>
    <pageSetUpPr/>
  </sheetPr>
  <dimension ref="A1:F6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13" customWidth="1" min="2" max="2"/>
    <col width="15" customWidth="1" min="3" max="3"/>
    <col width="14" customWidth="1" min="4" max="4"/>
  </cols>
  <sheetData>
    <row r="1">
      <c r="A1" s="1" t="n"/>
      <c r="B1" s="2" t="inlineStr">
        <is>
          <t>SHELLY</t>
        </is>
      </c>
      <c r="C1" s="1" t="n"/>
      <c r="D1" s="1" t="n"/>
      <c r="E1" s="1" t="n"/>
      <c r="F1" s="1" t="n"/>
    </row>
    <row r="2" ht="26" customHeight="1">
      <c r="A2" s="1" t="n"/>
      <c r="B2" s="3" t="inlineStr">
        <is>
          <t>Accessory attach rate</t>
        </is>
      </c>
      <c r="C2" s="1" t="n"/>
      <c r="D2" s="1" t="n"/>
      <c r="E2" s="1" t="n"/>
      <c r="F2" s="1" t="n"/>
    </row>
    <row r="3">
      <c r="A3" s="1" t="n"/>
      <c r="B3" s="4" t="inlineStr"/>
      <c r="C3" s="1" t="n"/>
      <c r="D3" s="1" t="n"/>
      <c r="E3" s="1" t="n"/>
      <c r="F3" s="1" t="n"/>
    </row>
    <row r="5" ht="28" customHeight="1">
      <c r="B5" s="14" t="inlineStr">
        <is>
          <t>devices</t>
        </is>
      </c>
      <c r="C5" s="14" t="inlineStr">
        <is>
          <t>accessories</t>
        </is>
      </c>
      <c r="D5" s="14" t="inlineStr">
        <is>
          <t>attach_pct</t>
        </is>
      </c>
    </row>
    <row r="6">
      <c r="B6" s="29" t="n">
        <v>368</v>
      </c>
      <c r="C6" s="29" t="n">
        <v>39</v>
      </c>
      <c r="D6" s="29" t="n">
        <v>10.6</v>
      </c>
    </row>
  </sheetData>
  <autoFilter ref="B5:D6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9AA5B1"/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2" customWidth="1" min="1" max="1"/>
    <col width="30" customWidth="1" min="2" max="2"/>
    <col width="100" customWidth="1" min="3" max="3"/>
  </cols>
  <sheetData>
    <row r="1">
      <c r="A1" s="1" t="n"/>
      <c r="B1" s="2" t="inlineStr">
        <is>
          <t>SHELLY</t>
        </is>
      </c>
      <c r="C1" s="1" t="n"/>
      <c r="D1" s="1" t="n"/>
      <c r="E1" s="1" t="n"/>
      <c r="F1" s="1" t="n"/>
    </row>
    <row r="2" ht="26" customHeight="1">
      <c r="A2" s="1" t="n"/>
      <c r="B2" s="3" t="inlineStr">
        <is>
          <t>Notes, method and sign-off</t>
        </is>
      </c>
      <c r="C2" s="1" t="n"/>
      <c r="D2" s="1" t="n"/>
      <c r="E2" s="1" t="n"/>
      <c r="F2" s="1" t="n"/>
    </row>
    <row r="3">
      <c r="A3" s="1" t="n"/>
      <c r="B3" s="4" t="inlineStr">
        <is>
          <t>How the numbers were made, what each column means, and who approved it.</t>
        </is>
      </c>
      <c r="C3" s="1" t="n"/>
      <c r="D3" s="1" t="n"/>
      <c r="E3" s="1" t="n"/>
      <c r="F3" s="1" t="n"/>
    </row>
    <row r="5">
      <c r="B5" s="13" t="inlineStr">
        <is>
          <t>About this workbook</t>
        </is>
      </c>
    </row>
    <row r="6">
      <c r="C6" s="31" t="inlineStr">
        <is>
          <t>Industry pack demo. Replace Raw with your own export (same column names) and the Model, KPIs and pivots follow.</t>
        </is>
      </c>
    </row>
    <row r="7">
      <c r="C7" s="31" t="inlineStr">
        <is>
          <t>Analysis sheets hold Shelly's skill results; Actions lists findings for your confirmation.</t>
        </is>
      </c>
    </row>
    <row r="9">
      <c r="B9" s="13" t="inlineStr">
        <is>
          <t>Data dictionary (Raw sheet)</t>
        </is>
      </c>
    </row>
    <row r="10">
      <c r="B10" s="32" t="inlineStr">
        <is>
          <t>Week</t>
        </is>
      </c>
      <c r="C10" s="32" t="inlineStr"/>
    </row>
    <row r="11">
      <c r="B11" s="32" t="inlineStr">
        <is>
          <t>SKU</t>
        </is>
      </c>
      <c r="C11" s="32" t="inlineStr"/>
    </row>
    <row r="12">
      <c r="B12" s="32" t="inlineStr">
        <is>
          <t>Product</t>
        </is>
      </c>
      <c r="C12" s="32" t="inlineStr"/>
    </row>
    <row r="13">
      <c r="B13" s="32" t="inlineStr">
        <is>
          <t>Category</t>
        </is>
      </c>
      <c r="C13" s="32" t="inlineStr"/>
    </row>
    <row r="14">
      <c r="B14" s="32" t="inlineStr">
        <is>
          <t>Units</t>
        </is>
      </c>
      <c r="C14" s="32" t="inlineStr"/>
    </row>
    <row r="15">
      <c r="B15" s="32" t="inlineStr">
        <is>
          <t>Revenue</t>
        </is>
      </c>
      <c r="C15" s="32" t="inlineStr"/>
    </row>
    <row r="16">
      <c r="B16" s="32" t="inlineStr">
        <is>
          <t>Cost</t>
        </is>
      </c>
      <c r="C16" s="32" t="inlineStr"/>
    </row>
    <row r="17">
      <c r="B17" s="32" t="inlineStr">
        <is>
          <t>Gross margin</t>
        </is>
      </c>
      <c r="C17" s="32" t="inlineStr"/>
    </row>
    <row r="19">
      <c r="B19" s="13" t="inlineStr">
        <is>
          <t>Sign-off</t>
        </is>
      </c>
    </row>
    <row r="20">
      <c r="B20" s="27" t="inlineStr">
        <is>
          <t>Findings reviewed</t>
        </is>
      </c>
      <c r="C20" s="7" t="inlineStr">
        <is>
          <t>Name: ____________   Date: ________   ☐ Approved  ☐ Changes needed</t>
        </is>
      </c>
    </row>
    <row r="22">
      <c r="B22" s="7" t="inlineStr">
        <is>
          <t>Generated by Shelly on 11 Oct 2026 21:21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2026-10-11T21:21:08Z</dcterms:created>
  <dcterms:modified xsi:type="dcterms:W3CDTF">2026-10-11T21:21:08Z</dcterms:modified>
</cp:coreProperties>
</file>