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Notes" sheetId="7" state="visible" r:id="rId7"/>
  </sheets>
  <definedNames>
    <definedName name="in_splh">Assumptions!$C$6</definedName>
    <definedName name="in_min_hours">Assumptions!$C$7</definedName>
    <definedName name="in_wage">Assumptions!$C$8</definedName>
    <definedName name="SelCat">Dashboard!$B$6</definedName>
    <definedName name="CatCrit">IF(Dashboard!$B$6="All","*",Dashboard!$B$6)</definedName>
  </definedNames>
  <calcPr calcId="124519" fullCalcOnLoad="1"/>
  <pivotCaches>
    <pivotCache cacheId="1" r:id="rId8"/>
  </pivotCaches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 mmm yyyy"/>
    <numFmt numFmtId="166" formatCode="$#,##0.00;($#,##0.00);&quot;-&quot;"/>
    <numFmt numFmtId="167" formatCode="$#,##0;($#,##0);&quot;-&quot;"/>
    <numFmt numFmtId="168" formatCode="#,##0.0;(#,##0.0);&quot;-&quot;"/>
    <numFmt numFmtId="169" formatCode="0.0%;(0.0%);&quot;-&quot;"/>
    <numFmt numFmtId="170" formatCode="#,##0;(#,##0);&quot;-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i val="1"/>
      <color rgb="006B7686"/>
      <sz val="9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1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bottom style="thin">
        <color rgb="00D9DEE5"/>
      </bottom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9" fillId="0" borderId="0" pivotButton="0" quotePrefix="0" xfId="0"/>
    <xf numFmtId="0" fontId="10" fillId="4" borderId="2" pivotButton="0" quotePrefix="0" xfId="0"/>
    <xf numFmtId="0" fontId="8" fillId="0" borderId="0" pivotButton="0" quotePrefix="0" xfId="0"/>
    <xf numFmtId="0" fontId="9" fillId="6" borderId="0" pivotButton="0" quotePrefix="0" xfId="0"/>
    <xf numFmtId="0" fontId="0" fillId="6" borderId="0" pivotButton="0" quotePrefix="0" xfId="0"/>
    <xf numFmtId="168" fontId="13" fillId="6" borderId="0" applyAlignment="1" pivotButton="0" quotePrefix="0" xfId="0">
      <alignment horizontal="left"/>
    </xf>
    <xf numFmtId="167" fontId="13" fillId="6" borderId="0" applyAlignment="1" pivotButton="0" quotePrefix="0" xfId="0">
      <alignment horizontal="left"/>
    </xf>
    <xf numFmtId="169" fontId="13" fillId="6" borderId="0" applyAlignment="1" pivotButton="0" quotePrefix="0" xfId="0">
      <alignment horizontal="left"/>
    </xf>
    <xf numFmtId="0" fontId="11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165" fontId="2" fillId="0" borderId="1" pivotButton="0" quotePrefix="0" xfId="0"/>
    <xf numFmtId="167" fontId="2" fillId="0" borderId="1" pivotButton="0" quotePrefix="0" xfId="0"/>
    <xf numFmtId="168" fontId="2" fillId="0" borderId="1" pivotButton="0" quotePrefix="0" xfId="0"/>
    <xf numFmtId="169" fontId="2" fillId="0" borderId="1" pivotButton="0" quotePrefix="0" xfId="0"/>
    <xf numFmtId="170" fontId="2" fillId="0" borderId="1" pivotButton="0" quotePrefix="0" xfId="0"/>
    <xf numFmtId="0" fontId="12" fillId="5" borderId="0" pivotButton="0" quotePrefix="0" xfId="0"/>
    <xf numFmtId="167" fontId="12" fillId="5" borderId="0" pivotButton="0" quotePrefix="0" xfId="0"/>
    <xf numFmtId="168" fontId="12" fillId="5" borderId="0" pivotButton="0" quotePrefix="0" xfId="0"/>
    <xf numFmtId="169" fontId="12" fillId="5" borderId="0" pivotButton="0" quotePrefix="0" xfId="0"/>
    <xf numFmtId="170" fontId="12" fillId="5" borderId="0" pivotButton="0" quotePrefix="0" xfId="0"/>
    <xf numFmtId="3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" fillId="0" borderId="1" pivotButton="0" quotePrefix="0" xfId="0"/>
    <xf numFmtId="167" fontId="7" fillId="4" borderId="2" pivotButton="0" quotePrefix="0" xfId="0"/>
    <xf numFmtId="0" fontId="8" fillId="0" borderId="1" pivotButton="0" quotePrefix="0" xfId="0"/>
    <xf numFmtId="168" fontId="7" fillId="4" borderId="2" pivotButton="0" quotePrefix="0" xfId="0"/>
    <xf numFmtId="166" fontId="7" fillId="4" borderId="2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v>Hours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'Model'!$B$8:$B$14</f>
            </numRef>
          </cat>
          <val>
            <numRef>
              <f>'Model'!$D$8:$D$14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by week</a:t>
            </a:r>
          </a:p>
        </rich>
      </tx>
    </title>
    <plotArea>
      <barChart>
        <barDir val="col"/>
        <grouping val="clustered"/>
        <ser>
          <idx val="0"/>
          <order val="0"/>
          <tx>
            <v>Hours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'Model'!$B$21:$B$33</f>
            </numRef>
          </cat>
          <val>
            <numRef>
              <f>'Model'!$D$21:$D$33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20" r:id="rId1">
  <cacheSource type="worksheet">
    <worksheetSource ref="A1:C21" sheet="Raw"/>
  </cacheSource>
  <cacheFields count="3">
    <cacheField name="Date" uniqueList="1" numFmtId="0" sqlType="0" hierarchy="0" level="0" databaseField="1">
      <sharedItems count="19">
        <s v="2026-10-12"/>
        <s v="2026-10-13"/>
        <s v="2026-10-14"/>
        <s v="2026-10-15"/>
        <s v="2026-10-16"/>
        <s v="2026-10-17"/>
        <s v="2026-10-18"/>
        <s v="2026-10-19"/>
        <s v="2026-10-26"/>
        <s v="2026-11-02"/>
        <s v="2026-11-09"/>
        <s v="2026-11-16"/>
        <s v="2026-11-23"/>
        <s v="2026-11-30"/>
        <s v="2026-12-07"/>
        <s v="2026-12-14"/>
        <s v="2026-12-21"/>
        <s v="2026-12-28"/>
        <s v="2027-01-04"/>
      </sharedItems>
    </cacheField>
    <cacheField name="Type" uniqueList="1" numFmtId="0" sqlType="0" hierarchy="0" level="0" databaseField="1">
      <sharedItems count="2">
        <s v="Day"/>
        <s v="Week"/>
      </sharedItems>
    </cacheField>
    <cacheField name="Forecast sales" uniqueList="1" numFmtId="0" sqlType="0" hierarchy="0" level="0" databaseField="1">
      <sharedItems count="0" containsNumber="1" containsSemiMixedTypes="0" containsString="0" minValue="2102.42" maxValue="23790.29"/>
    </cacheField>
  </cacheFields>
</pivotCacheDefinition>
</file>

<file path=xl/pivotCache/pivotCacheRecords1.xml><?xml version="1.0" encoding="utf-8"?>
<pivotCacheRecords xmlns="http://schemas.openxmlformats.org/spreadsheetml/2006/main" count="20">
  <r>
    <x v="0"/>
    <x v="0"/>
    <n v="3050.03"/>
  </r>
  <r>
    <x v="1"/>
    <x v="0"/>
    <n v="3029.57"/>
  </r>
  <r>
    <x v="2"/>
    <x v="0"/>
    <n v="2955.89"/>
  </r>
  <r>
    <x v="3"/>
    <x v="0"/>
    <n v="3203.6"/>
  </r>
  <r>
    <x v="4"/>
    <x v="0"/>
    <n v="3247.61"/>
  </r>
  <r>
    <x v="5"/>
    <x v="0"/>
    <n v="2502.67"/>
  </r>
  <r>
    <x v="6"/>
    <x v="0"/>
    <n v="2102.42"/>
  </r>
  <r>
    <x v="0"/>
    <x v="1"/>
    <n v="20091.79"/>
  </r>
  <r>
    <x v="7"/>
    <x v="1"/>
    <n v="20879.38"/>
  </r>
  <r>
    <x v="8"/>
    <x v="1"/>
    <n v="19819.66"/>
  </r>
  <r>
    <x v="9"/>
    <x v="1"/>
    <n v="21739.04"/>
  </r>
  <r>
    <x v="10"/>
    <x v="1"/>
    <n v="20952.55"/>
  </r>
  <r>
    <x v="11"/>
    <x v="1"/>
    <n v="21464.6"/>
  </r>
  <r>
    <x v="12"/>
    <x v="1"/>
    <n v="20629.81"/>
  </r>
  <r>
    <x v="13"/>
    <x v="1"/>
    <n v="23790.29"/>
  </r>
  <r>
    <x v="14"/>
    <x v="1"/>
    <n v="23214.98"/>
  </r>
  <r>
    <x v="15"/>
    <x v="1"/>
    <n v="23268.04"/>
  </r>
  <r>
    <x v="16"/>
    <x v="1"/>
    <n v="20933.69"/>
  </r>
  <r>
    <x v="17"/>
    <x v="1"/>
    <n v="20028.24"/>
  </r>
  <r>
    <x v="18"/>
    <x v="1"/>
    <n v="18936.58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B9" firstHeaderRow="1" firstDataRow="1" firstDataCol="1"/>
  <pivotFields count="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Forecast sales" fld="2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C21" headerRowCount="1">
  <autoFilter ref="A1:C21"/>
  <tableColumns count="3">
    <tableColumn id="1" name="Date"/>
    <tableColumn id="2" name="Type"/>
    <tableColumn id="3" name="Forecast sal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Roster &amp; labour plan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Neighbourhood Store (Eden Terrace format) · from 12 Oct 2026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Scope (store)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HOURS NEXT 7 DAYS</t>
        </is>
      </c>
      <c r="D9" s="9" t="n"/>
      <c r="E9" s="8" t="inlineStr">
        <is>
          <t>WAGES NEXT 7 DAYS</t>
        </is>
      </c>
      <c r="G9" s="9" t="n"/>
      <c r="H9" s="8" t="inlineStr">
        <is>
          <t>WAGE % OF SALES</t>
        </is>
      </c>
      <c r="J9" s="9" t="n"/>
      <c r="K9" s="8" t="inlineStr">
        <is>
          <t>13-WEEK WAGE BUDGET</t>
        </is>
      </c>
      <c r="M9" s="9" t="n"/>
    </row>
    <row r="10">
      <c r="B10" s="10">
        <f>Model!$D$15</f>
        <v>188.788181818182</v>
      </c>
      <c r="D10" s="9" t="n"/>
      <c r="E10" s="11">
        <f>Model!$E$15</f>
        <v>5097.28090909091</v>
      </c>
      <c r="G10" s="9" t="n"/>
      <c r="H10" s="12">
        <f>Model!$F$15</f>
        <v>0.253699690723968</v>
      </c>
      <c r="J10" s="9" t="n"/>
      <c r="K10" s="11">
        <f>Model!$E$34</f>
        <v>67683.7595454546</v>
      </c>
      <c r="M10" s="9" t="n"/>
    </row>
    <row r="11">
      <c r="B11" s="9" t="n"/>
      <c r="D11" s="9" t="n"/>
      <c r="E11" s="9" t="n"/>
      <c r="G11" s="9" t="n"/>
      <c r="H11" s="9" t="n"/>
      <c r="J11" s="9" t="n"/>
      <c r="K11" s="9" t="n"/>
      <c r="M11" s="9" t="n"/>
    </row>
    <row r="13">
      <c r="B13" s="8" t="inlineStr">
        <is>
          <t>13-WEEK HOURS</t>
        </is>
      </c>
      <c r="D13" s="9" t="n"/>
      <c r="E13" s="8" t="inlineStr">
        <is>
          <t>AVERAGE FTE</t>
        </is>
      </c>
      <c r="G13" s="9" t="n"/>
    </row>
    <row r="14">
      <c r="B14" s="10">
        <f>Model!$D$34</f>
        <v>2506.80590909091</v>
      </c>
      <c r="D14" s="9" t="n"/>
      <c r="E14" s="10">
        <f>Model!$G$34</f>
        <v>4.82078059440559</v>
      </c>
      <c r="G14" s="9" t="n"/>
    </row>
    <row r="15">
      <c r="B15" s="9" t="n"/>
      <c r="D15" s="9" t="n"/>
      <c r="E15" s="9" t="n"/>
      <c r="G15" s="9" t="n"/>
    </row>
  </sheetData>
  <mergeCells count="18">
    <mergeCell ref="B13:C13"/>
    <mergeCell ref="H11:I11"/>
    <mergeCell ref="K11:L11"/>
    <mergeCell ref="B15:C15"/>
    <mergeCell ref="B11:C11"/>
    <mergeCell ref="E10:F10"/>
    <mergeCell ref="E15:F15"/>
    <mergeCell ref="H10:I10"/>
    <mergeCell ref="B10:C10"/>
    <mergeCell ref="E11:F11"/>
    <mergeCell ref="K9:L9"/>
    <mergeCell ref="K10:L10"/>
    <mergeCell ref="B14:C14"/>
    <mergeCell ref="E13:F13"/>
    <mergeCell ref="E14:F14"/>
    <mergeCell ref="B9:C9"/>
    <mergeCell ref="E9:F9"/>
    <mergeCell ref="H9:I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3" t="inlineStr">
        <is>
          <t>Next 7 days</t>
        </is>
      </c>
    </row>
    <row r="7" ht="28" customHeight="1">
      <c r="B7" s="14" t="inlineStr">
        <is>
          <t>Date</t>
        </is>
      </c>
      <c r="C7" s="14" t="inlineStr">
        <is>
          <t>Forecast sales</t>
        </is>
      </c>
      <c r="D7" s="14" t="inlineStr">
        <is>
          <t>Hours</t>
        </is>
      </c>
      <c r="E7" s="14" t="inlineStr">
        <is>
          <t>Wages</t>
        </is>
      </c>
      <c r="F7" s="14" t="inlineStr">
        <is>
          <t>Wage %</t>
        </is>
      </c>
      <c r="G7" s="14" t="inlineStr">
        <is>
          <t>People (8h shifts)</t>
        </is>
      </c>
    </row>
    <row r="8">
      <c r="B8" s="15" t="n">
        <v>46307</v>
      </c>
      <c r="C8" s="16">
        <f>SUMIFS(Raw!$C$2:$C$21,Raw!$B$2:$B$21,"Day",Raw!$A$2:$A$21,$B8)</f>
        <v>3050.03</v>
      </c>
      <c r="D8" s="17">
        <f>MAX(Assumptions!$C$7,C8/Assumptions!$C$6)</f>
        <v>27.7275454545455</v>
      </c>
      <c r="E8" s="16">
        <f>D8*Assumptions!$C$8</f>
        <v>748.643727272727</v>
      </c>
      <c r="F8" s="18">
        <f>IFERROR(E8/C8,0)</f>
        <v>0.245454545454545</v>
      </c>
      <c r="G8" s="19">
        <f>ROUNDUP(D8/8,0)</f>
        <v>4</v>
      </c>
    </row>
    <row r="9">
      <c r="B9" s="15" t="n">
        <v>46308</v>
      </c>
      <c r="C9" s="16">
        <f>SUMIFS(Raw!$C$2:$C$21,Raw!$B$2:$B$21,"Day",Raw!$A$2:$A$21,$B9)</f>
        <v>3029.57</v>
      </c>
      <c r="D9" s="17">
        <f>MAX(Assumptions!$C$7,C9/Assumptions!$C$6)</f>
        <v>27.5415454545455</v>
      </c>
      <c r="E9" s="16">
        <f>D9*Assumptions!$C$8</f>
        <v>743.621727272727</v>
      </c>
      <c r="F9" s="18">
        <f>IFERROR(E9/C9,0)</f>
        <v>0.245454545454545</v>
      </c>
      <c r="G9" s="19">
        <f>ROUNDUP(D9/8,0)</f>
        <v>4</v>
      </c>
    </row>
    <row r="10">
      <c r="B10" s="15" t="n">
        <v>46309</v>
      </c>
      <c r="C10" s="16">
        <f>SUMIFS(Raw!$C$2:$C$21,Raw!$B$2:$B$21,"Day",Raw!$A$2:$A$21,$B10)</f>
        <v>2955.89</v>
      </c>
      <c r="D10" s="17">
        <f>MAX(Assumptions!$C$7,C10/Assumptions!$C$6)</f>
        <v>26.8717272727273</v>
      </c>
      <c r="E10" s="16">
        <f>D10*Assumptions!$C$8</f>
        <v>725.536636363636</v>
      </c>
      <c r="F10" s="18">
        <f>IFERROR(E10/C10,0)</f>
        <v>0.245454545454545</v>
      </c>
      <c r="G10" s="19">
        <f>ROUNDUP(D10/8,0)</f>
        <v>4</v>
      </c>
    </row>
    <row r="11">
      <c r="B11" s="15" t="n">
        <v>46310</v>
      </c>
      <c r="C11" s="16">
        <f>SUMIFS(Raw!$C$2:$C$21,Raw!$B$2:$B$21,"Day",Raw!$A$2:$A$21,$B11)</f>
        <v>3203.6</v>
      </c>
      <c r="D11" s="17">
        <f>MAX(Assumptions!$C$7,C11/Assumptions!$C$6)</f>
        <v>29.1236363636364</v>
      </c>
      <c r="E11" s="16">
        <f>D11*Assumptions!$C$8</f>
        <v>786.338181818182</v>
      </c>
      <c r="F11" s="18">
        <f>IFERROR(E11/C11,0)</f>
        <v>0.245454545454545</v>
      </c>
      <c r="G11" s="19">
        <f>ROUNDUP(D11/8,0)</f>
        <v>4</v>
      </c>
    </row>
    <row r="12">
      <c r="B12" s="15" t="n">
        <v>46311</v>
      </c>
      <c r="C12" s="16">
        <f>SUMIFS(Raw!$C$2:$C$21,Raw!$B$2:$B$21,"Day",Raw!$A$2:$A$21,$B12)</f>
        <v>3247.61</v>
      </c>
      <c r="D12" s="17">
        <f>MAX(Assumptions!$C$7,C12/Assumptions!$C$6)</f>
        <v>29.5237272727273</v>
      </c>
      <c r="E12" s="16">
        <f>D12*Assumptions!$C$8</f>
        <v>797.140636363636</v>
      </c>
      <c r="F12" s="18">
        <f>IFERROR(E12/C12,0)</f>
        <v>0.245454545454545</v>
      </c>
      <c r="G12" s="19">
        <f>ROUNDUP(D12/8,0)</f>
        <v>4</v>
      </c>
    </row>
    <row r="13">
      <c r="B13" s="15" t="n">
        <v>46312</v>
      </c>
      <c r="C13" s="16">
        <f>SUMIFS(Raw!$C$2:$C$21,Raw!$B$2:$B$21,"Day",Raw!$A$2:$A$21,$B13)</f>
        <v>2502.67</v>
      </c>
      <c r="D13" s="17">
        <f>MAX(Assumptions!$C$7,C13/Assumptions!$C$6)</f>
        <v>24</v>
      </c>
      <c r="E13" s="16">
        <f>D13*Assumptions!$C$8</f>
        <v>648</v>
      </c>
      <c r="F13" s="18">
        <f>IFERROR(E13/C13,0)</f>
        <v>0.258923469734324</v>
      </c>
      <c r="G13" s="19">
        <f>ROUNDUP(D13/8,0)</f>
        <v>3</v>
      </c>
    </row>
    <row r="14">
      <c r="B14" s="15" t="n">
        <v>46313</v>
      </c>
      <c r="C14" s="16">
        <f>SUMIFS(Raw!$C$2:$C$21,Raw!$B$2:$B$21,"Day",Raw!$A$2:$A$21,$B14)</f>
        <v>2102.42</v>
      </c>
      <c r="D14" s="17">
        <f>MAX(Assumptions!$C$7,C14/Assumptions!$C$6)</f>
        <v>24</v>
      </c>
      <c r="E14" s="16">
        <f>D14*Assumptions!$C$8</f>
        <v>648</v>
      </c>
      <c r="F14" s="18">
        <f>IFERROR(E14/C14,0)</f>
        <v>0.308216246040277</v>
      </c>
      <c r="G14" s="19">
        <f>ROUNDUP(D14/8,0)</f>
        <v>3</v>
      </c>
    </row>
    <row r="15">
      <c r="B15" s="20" t="inlineStr">
        <is>
          <t>Total</t>
        </is>
      </c>
      <c r="C15" s="21">
        <f>SUM(C8:C14)</f>
        <v>20091.79</v>
      </c>
      <c r="D15" s="22">
        <f>SUM(D8:D14)</f>
        <v>188.788181818182</v>
      </c>
      <c r="E15" s="21">
        <f>SUM(E8:E14)</f>
        <v>5097.28090909091</v>
      </c>
      <c r="F15" s="23">
        <f>IFERROR(E15/C15,0)</f>
        <v>0.253699690723968</v>
      </c>
      <c r="G15" s="24">
        <f>SUM(G8:G14)</f>
        <v>26</v>
      </c>
    </row>
    <row r="18">
      <c r="B18" s="13" t="inlineStr">
        <is>
          <t>Next 13 weeks</t>
        </is>
      </c>
    </row>
    <row r="20" ht="28" customHeight="1">
      <c r="B20" s="14" t="inlineStr">
        <is>
          <t>Week starting</t>
        </is>
      </c>
      <c r="C20" s="14" t="inlineStr">
        <is>
          <t>Forecast sales</t>
        </is>
      </c>
      <c r="D20" s="14" t="inlineStr">
        <is>
          <t>Hours</t>
        </is>
      </c>
      <c r="E20" s="14" t="inlineStr">
        <is>
          <t>Wages</t>
        </is>
      </c>
      <c r="F20" s="14" t="inlineStr">
        <is>
          <t>Wage %</t>
        </is>
      </c>
      <c r="G20" s="14" t="inlineStr">
        <is>
          <t>FTE (40h)</t>
        </is>
      </c>
    </row>
    <row r="21">
      <c r="B21" s="15" t="n">
        <v>46307</v>
      </c>
      <c r="C21" s="16">
        <f>SUMIFS(Raw!$C$2:$C$21,Raw!$B$2:$B$21,"Week",Raw!$A$2:$A$21,$B21)</f>
        <v>20091.79</v>
      </c>
      <c r="D21" s="17">
        <f>MAX(Assumptions!$C$7*7,C21/Assumptions!$C$6)</f>
        <v>182.652636363636</v>
      </c>
      <c r="E21" s="16">
        <f>D21*Assumptions!$C$8</f>
        <v>4931.62118181818</v>
      </c>
      <c r="F21" s="18">
        <f>IFERROR(E21/C21,0)</f>
        <v>0.245454545454545</v>
      </c>
      <c r="G21" s="17">
        <f>D21/40</f>
        <v>4.56631590909091</v>
      </c>
    </row>
    <row r="22">
      <c r="B22" s="15" t="n">
        <v>46314</v>
      </c>
      <c r="C22" s="16">
        <f>SUMIFS(Raw!$C$2:$C$21,Raw!$B$2:$B$21,"Week",Raw!$A$2:$A$21,$B22)</f>
        <v>20879.38</v>
      </c>
      <c r="D22" s="17">
        <f>MAX(Assumptions!$C$7*7,C22/Assumptions!$C$6)</f>
        <v>189.812545454545</v>
      </c>
      <c r="E22" s="16">
        <f>D22*Assumptions!$C$8</f>
        <v>5124.93872727273</v>
      </c>
      <c r="F22" s="18">
        <f>IFERROR(E22/C22,0)</f>
        <v>0.245454545454545</v>
      </c>
      <c r="G22" s="17">
        <f>D22/40</f>
        <v>4.74531363636364</v>
      </c>
    </row>
    <row r="23">
      <c r="B23" s="15" t="n">
        <v>46321</v>
      </c>
      <c r="C23" s="16">
        <f>SUMIFS(Raw!$C$2:$C$21,Raw!$B$2:$B$21,"Week",Raw!$A$2:$A$21,$B23)</f>
        <v>19819.66</v>
      </c>
      <c r="D23" s="17">
        <f>MAX(Assumptions!$C$7*7,C23/Assumptions!$C$6)</f>
        <v>180.178727272727</v>
      </c>
      <c r="E23" s="16">
        <f>D23*Assumptions!$C$8</f>
        <v>4864.82563636364</v>
      </c>
      <c r="F23" s="18">
        <f>IFERROR(E23/C23,0)</f>
        <v>0.245454545454545</v>
      </c>
      <c r="G23" s="17">
        <f>D23/40</f>
        <v>4.50446818181818</v>
      </c>
    </row>
    <row r="24">
      <c r="B24" s="15" t="n">
        <v>46328</v>
      </c>
      <c r="C24" s="16">
        <f>SUMIFS(Raw!$C$2:$C$21,Raw!$B$2:$B$21,"Week",Raw!$A$2:$A$21,$B24)</f>
        <v>21739.04</v>
      </c>
      <c r="D24" s="17">
        <f>MAX(Assumptions!$C$7*7,C24/Assumptions!$C$6)</f>
        <v>197.627636363636</v>
      </c>
      <c r="E24" s="16">
        <f>D24*Assumptions!$C$8</f>
        <v>5335.94618181818</v>
      </c>
      <c r="F24" s="18">
        <f>IFERROR(E24/C24,0)</f>
        <v>0.245454545454545</v>
      </c>
      <c r="G24" s="17">
        <f>D24/40</f>
        <v>4.94069090909091</v>
      </c>
    </row>
    <row r="25">
      <c r="B25" s="15" t="n">
        <v>46335</v>
      </c>
      <c r="C25" s="16">
        <f>SUMIFS(Raw!$C$2:$C$21,Raw!$B$2:$B$21,"Week",Raw!$A$2:$A$21,$B25)</f>
        <v>20952.55</v>
      </c>
      <c r="D25" s="17">
        <f>MAX(Assumptions!$C$7*7,C25/Assumptions!$C$6)</f>
        <v>190.477727272727</v>
      </c>
      <c r="E25" s="16">
        <f>D25*Assumptions!$C$8</f>
        <v>5142.89863636364</v>
      </c>
      <c r="F25" s="18">
        <f>IFERROR(E25/C25,0)</f>
        <v>0.245454545454545</v>
      </c>
      <c r="G25" s="17">
        <f>D25/40</f>
        <v>4.76194318181818</v>
      </c>
    </row>
    <row r="26">
      <c r="B26" s="15" t="n">
        <v>46342</v>
      </c>
      <c r="C26" s="16">
        <f>SUMIFS(Raw!$C$2:$C$21,Raw!$B$2:$B$21,"Week",Raw!$A$2:$A$21,$B26)</f>
        <v>21464.6</v>
      </c>
      <c r="D26" s="17">
        <f>MAX(Assumptions!$C$7*7,C26/Assumptions!$C$6)</f>
        <v>195.132727272727</v>
      </c>
      <c r="E26" s="16">
        <f>D26*Assumptions!$C$8</f>
        <v>5268.58363636364</v>
      </c>
      <c r="F26" s="18">
        <f>IFERROR(E26/C26,0)</f>
        <v>0.245454545454545</v>
      </c>
      <c r="G26" s="17">
        <f>D26/40</f>
        <v>4.87831818181818</v>
      </c>
    </row>
    <row r="27">
      <c r="B27" s="15" t="n">
        <v>46349</v>
      </c>
      <c r="C27" s="16">
        <f>SUMIFS(Raw!$C$2:$C$21,Raw!$B$2:$B$21,"Week",Raw!$A$2:$A$21,$B27)</f>
        <v>20629.81</v>
      </c>
      <c r="D27" s="17">
        <f>MAX(Assumptions!$C$7*7,C27/Assumptions!$C$6)</f>
        <v>187.543727272727</v>
      </c>
      <c r="E27" s="16">
        <f>D27*Assumptions!$C$8</f>
        <v>5063.68063636364</v>
      </c>
      <c r="F27" s="18">
        <f>IFERROR(E27/C27,0)</f>
        <v>0.245454545454545</v>
      </c>
      <c r="G27" s="17">
        <f>D27/40</f>
        <v>4.68859318181818</v>
      </c>
    </row>
    <row r="28">
      <c r="B28" s="15" t="n">
        <v>46356</v>
      </c>
      <c r="C28" s="16">
        <f>SUMIFS(Raw!$C$2:$C$21,Raw!$B$2:$B$21,"Week",Raw!$A$2:$A$21,$B28)</f>
        <v>23790.29</v>
      </c>
      <c r="D28" s="17">
        <f>MAX(Assumptions!$C$7*7,C28/Assumptions!$C$6)</f>
        <v>216.275363636364</v>
      </c>
      <c r="E28" s="16">
        <f>D28*Assumptions!$C$8</f>
        <v>5839.43481818182</v>
      </c>
      <c r="F28" s="18">
        <f>IFERROR(E28/C28,0)</f>
        <v>0.245454545454545</v>
      </c>
      <c r="G28" s="17">
        <f>D28/40</f>
        <v>5.40688409090909</v>
      </c>
    </row>
    <row r="29">
      <c r="B29" s="15" t="n">
        <v>46363</v>
      </c>
      <c r="C29" s="16">
        <f>SUMIFS(Raw!$C$2:$C$21,Raw!$B$2:$B$21,"Week",Raw!$A$2:$A$21,$B29)</f>
        <v>23214.98</v>
      </c>
      <c r="D29" s="17">
        <f>MAX(Assumptions!$C$7*7,C29/Assumptions!$C$6)</f>
        <v>211.045272727273</v>
      </c>
      <c r="E29" s="16">
        <f>D29*Assumptions!$C$8</f>
        <v>5698.22236363636</v>
      </c>
      <c r="F29" s="18">
        <f>IFERROR(E29/C29,0)</f>
        <v>0.245454545454545</v>
      </c>
      <c r="G29" s="17">
        <f>D29/40</f>
        <v>5.27613181818182</v>
      </c>
    </row>
    <row r="30">
      <c r="B30" s="15" t="n">
        <v>46370</v>
      </c>
      <c r="C30" s="16">
        <f>SUMIFS(Raw!$C$2:$C$21,Raw!$B$2:$B$21,"Week",Raw!$A$2:$A$21,$B30)</f>
        <v>23268.04</v>
      </c>
      <c r="D30" s="17">
        <f>MAX(Assumptions!$C$7*7,C30/Assumptions!$C$6)</f>
        <v>211.527636363636</v>
      </c>
      <c r="E30" s="16">
        <f>D30*Assumptions!$C$8</f>
        <v>5711.24618181818</v>
      </c>
      <c r="F30" s="18">
        <f>IFERROR(E30/C30,0)</f>
        <v>0.245454545454545</v>
      </c>
      <c r="G30" s="17">
        <f>D30/40</f>
        <v>5.28819090909091</v>
      </c>
    </row>
    <row r="31">
      <c r="B31" s="15" t="n">
        <v>46377</v>
      </c>
      <c r="C31" s="16">
        <f>SUMIFS(Raw!$C$2:$C$21,Raw!$B$2:$B$21,"Week",Raw!$A$2:$A$21,$B31)</f>
        <v>20933.69</v>
      </c>
      <c r="D31" s="17">
        <f>MAX(Assumptions!$C$7*7,C31/Assumptions!$C$6)</f>
        <v>190.306272727273</v>
      </c>
      <c r="E31" s="16">
        <f>D31*Assumptions!$C$8</f>
        <v>5138.26936363636</v>
      </c>
      <c r="F31" s="18">
        <f>IFERROR(E31/C31,0)</f>
        <v>0.245454545454545</v>
      </c>
      <c r="G31" s="17">
        <f>D31/40</f>
        <v>4.75765681818182</v>
      </c>
    </row>
    <row r="32">
      <c r="B32" s="15" t="n">
        <v>46384</v>
      </c>
      <c r="C32" s="16">
        <f>SUMIFS(Raw!$C$2:$C$21,Raw!$B$2:$B$21,"Week",Raw!$A$2:$A$21,$B32)</f>
        <v>20028.24</v>
      </c>
      <c r="D32" s="17">
        <f>MAX(Assumptions!$C$7*7,C32/Assumptions!$C$6)</f>
        <v>182.074909090909</v>
      </c>
      <c r="E32" s="16">
        <f>D32*Assumptions!$C$8</f>
        <v>4916.02254545455</v>
      </c>
      <c r="F32" s="18">
        <f>IFERROR(E32/C32,0)</f>
        <v>0.245454545454545</v>
      </c>
      <c r="G32" s="17">
        <f>D32/40</f>
        <v>4.55187272727273</v>
      </c>
    </row>
    <row r="33">
      <c r="B33" s="15" t="n">
        <v>46391</v>
      </c>
      <c r="C33" s="16">
        <f>SUMIFS(Raw!$C$2:$C$21,Raw!$B$2:$B$21,"Week",Raw!$A$2:$A$21,$B33)</f>
        <v>18936.58</v>
      </c>
      <c r="D33" s="17">
        <f>MAX(Assumptions!$C$7*7,C33/Assumptions!$C$6)</f>
        <v>172.150727272727</v>
      </c>
      <c r="E33" s="16">
        <f>D33*Assumptions!$C$8</f>
        <v>4648.06963636364</v>
      </c>
      <c r="F33" s="18">
        <f>IFERROR(E33/C33,0)</f>
        <v>0.245454545454545</v>
      </c>
      <c r="G33" s="17">
        <f>D33/40</f>
        <v>4.30376818181818</v>
      </c>
    </row>
    <row r="34">
      <c r="B34" s="20" t="inlineStr">
        <is>
          <t>Total</t>
        </is>
      </c>
      <c r="C34" s="21">
        <f>SUM(C21:C33)</f>
        <v>275748.65</v>
      </c>
      <c r="D34" s="22">
        <f>SUM(D21:D33)</f>
        <v>2506.80590909091</v>
      </c>
      <c r="E34" s="21">
        <f>SUM(E21:E33)</f>
        <v>67683.7595454546</v>
      </c>
      <c r="F34" s="23">
        <f>IFERROR(E34/C34,0)</f>
        <v>0.245454545454545</v>
      </c>
      <c r="G34" s="22">
        <f>IFERROR(AVERAGE(G21:G33),0)</f>
        <v>4.82078059440559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" t="inlineStr">
        <is>
          <t>Forecast sales by type</t>
        </is>
      </c>
    </row>
    <row r="6">
      <c r="A6" t="inlineStr">
        <is>
          <t>Row Labels</t>
        </is>
      </c>
      <c r="B6" t="inlineStr">
        <is>
          <t>Forecast sales</t>
        </is>
      </c>
    </row>
    <row r="7">
      <c r="A7" t="inlineStr">
        <is>
          <t>Day</t>
        </is>
      </c>
      <c r="B7" s="25" t="n">
        <v>20091.79</v>
      </c>
    </row>
    <row r="8">
      <c r="A8" t="inlineStr">
        <is>
          <t>Week</t>
        </is>
      </c>
      <c r="B8" s="25" t="n">
        <v>275748.65</v>
      </c>
    </row>
    <row r="9">
      <c r="A9" t="inlineStr">
        <is>
          <t>Grand Total</t>
        </is>
      </c>
      <c r="B9" s="25" t="n">
        <v>295840.44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>
      <c r="A1" s="26" t="inlineStr">
        <is>
          <t>Date</t>
        </is>
      </c>
      <c r="B1" s="26" t="inlineStr">
        <is>
          <t>Type</t>
        </is>
      </c>
      <c r="C1" s="26" t="inlineStr">
        <is>
          <t>Forecast sales</t>
        </is>
      </c>
    </row>
    <row r="2">
      <c r="A2" s="27" t="n">
        <v>46307</v>
      </c>
      <c r="B2" s="28" t="inlineStr">
        <is>
          <t>Day</t>
        </is>
      </c>
      <c r="C2" s="29" t="n">
        <v>3050.03</v>
      </c>
    </row>
    <row r="3">
      <c r="A3" s="27" t="n">
        <v>46308</v>
      </c>
      <c r="B3" s="28" t="inlineStr">
        <is>
          <t>Day</t>
        </is>
      </c>
      <c r="C3" s="29" t="n">
        <v>3029.57</v>
      </c>
    </row>
    <row r="4">
      <c r="A4" s="27" t="n">
        <v>46309</v>
      </c>
      <c r="B4" s="28" t="inlineStr">
        <is>
          <t>Day</t>
        </is>
      </c>
      <c r="C4" s="29" t="n">
        <v>2955.89</v>
      </c>
    </row>
    <row r="5">
      <c r="A5" s="27" t="n">
        <v>46310</v>
      </c>
      <c r="B5" s="28" t="inlineStr">
        <is>
          <t>Day</t>
        </is>
      </c>
      <c r="C5" s="29" t="n">
        <v>3203.6</v>
      </c>
    </row>
    <row r="6">
      <c r="A6" s="27" t="n">
        <v>46311</v>
      </c>
      <c r="B6" s="28" t="inlineStr">
        <is>
          <t>Day</t>
        </is>
      </c>
      <c r="C6" s="29" t="n">
        <v>3247.61</v>
      </c>
    </row>
    <row r="7">
      <c r="A7" s="27" t="n">
        <v>46312</v>
      </c>
      <c r="B7" s="28" t="inlineStr">
        <is>
          <t>Day</t>
        </is>
      </c>
      <c r="C7" s="29" t="n">
        <v>2502.67</v>
      </c>
    </row>
    <row r="8">
      <c r="A8" s="27" t="n">
        <v>46313</v>
      </c>
      <c r="B8" s="28" t="inlineStr">
        <is>
          <t>Day</t>
        </is>
      </c>
      <c r="C8" s="29" t="n">
        <v>2102.42</v>
      </c>
    </row>
    <row r="9">
      <c r="A9" s="27" t="n">
        <v>46307</v>
      </c>
      <c r="B9" s="28" t="inlineStr">
        <is>
          <t>Week</t>
        </is>
      </c>
      <c r="C9" s="29" t="n">
        <v>20091.79</v>
      </c>
    </row>
    <row r="10">
      <c r="A10" s="27" t="n">
        <v>46314</v>
      </c>
      <c r="B10" s="28" t="inlineStr">
        <is>
          <t>Week</t>
        </is>
      </c>
      <c r="C10" s="29" t="n">
        <v>20879.38</v>
      </c>
    </row>
    <row r="11">
      <c r="A11" s="27" t="n">
        <v>46321</v>
      </c>
      <c r="B11" s="28" t="inlineStr">
        <is>
          <t>Week</t>
        </is>
      </c>
      <c r="C11" s="29" t="n">
        <v>19819.66</v>
      </c>
    </row>
    <row r="12">
      <c r="A12" s="27" t="n">
        <v>46328</v>
      </c>
      <c r="B12" s="28" t="inlineStr">
        <is>
          <t>Week</t>
        </is>
      </c>
      <c r="C12" s="29" t="n">
        <v>21739.04</v>
      </c>
    </row>
    <row r="13">
      <c r="A13" s="27" t="n">
        <v>46335</v>
      </c>
      <c r="B13" s="28" t="inlineStr">
        <is>
          <t>Week</t>
        </is>
      </c>
      <c r="C13" s="29" t="n">
        <v>20952.55</v>
      </c>
    </row>
    <row r="14">
      <c r="A14" s="27" t="n">
        <v>46342</v>
      </c>
      <c r="B14" s="28" t="inlineStr">
        <is>
          <t>Week</t>
        </is>
      </c>
      <c r="C14" s="29" t="n">
        <v>21464.6</v>
      </c>
    </row>
    <row r="15">
      <c r="A15" s="27" t="n">
        <v>46349</v>
      </c>
      <c r="B15" s="28" t="inlineStr">
        <is>
          <t>Week</t>
        </is>
      </c>
      <c r="C15" s="29" t="n">
        <v>20629.81</v>
      </c>
    </row>
    <row r="16">
      <c r="A16" s="27" t="n">
        <v>46356</v>
      </c>
      <c r="B16" s="28" t="inlineStr">
        <is>
          <t>Week</t>
        </is>
      </c>
      <c r="C16" s="29" t="n">
        <v>23790.29</v>
      </c>
    </row>
    <row r="17">
      <c r="A17" s="27" t="n">
        <v>46363</v>
      </c>
      <c r="B17" s="28" t="inlineStr">
        <is>
          <t>Week</t>
        </is>
      </c>
      <c r="C17" s="29" t="n">
        <v>23214.98</v>
      </c>
    </row>
    <row r="18">
      <c r="A18" s="27" t="n">
        <v>46370</v>
      </c>
      <c r="B18" s="28" t="inlineStr">
        <is>
          <t>Week</t>
        </is>
      </c>
      <c r="C18" s="29" t="n">
        <v>23268.04</v>
      </c>
    </row>
    <row r="19">
      <c r="A19" s="27" t="n">
        <v>46377</v>
      </c>
      <c r="B19" s="28" t="inlineStr">
        <is>
          <t>Week</t>
        </is>
      </c>
      <c r="C19" s="29" t="n">
        <v>20933.69</v>
      </c>
    </row>
    <row r="20">
      <c r="A20" s="27" t="n">
        <v>46384</v>
      </c>
      <c r="B20" s="28" t="inlineStr">
        <is>
          <t>Week</t>
        </is>
      </c>
      <c r="C20" s="29" t="n">
        <v>20028.24</v>
      </c>
    </row>
    <row r="21">
      <c r="A21" s="27" t="n">
        <v>46391</v>
      </c>
      <c r="B21" s="28" t="inlineStr">
        <is>
          <t>Week</t>
        </is>
      </c>
      <c r="C21" s="29" t="n">
        <v>18936.58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4" t="inlineStr">
        <is>
          <t>Input</t>
        </is>
      </c>
      <c r="C5" s="14" t="inlineStr">
        <is>
          <t>Value</t>
        </is>
      </c>
      <c r="D5" s="14" t="inlineStr">
        <is>
          <t>Why / source</t>
        </is>
      </c>
    </row>
    <row r="6">
      <c r="B6" s="30" t="inlineStr">
        <is>
          <t>Sales per labour hour target ($)</t>
        </is>
      </c>
      <c r="C6" s="31" t="n">
        <v>110</v>
      </c>
      <c r="D6" s="32" t="inlineStr">
        <is>
          <t>Productivity target</t>
        </is>
      </c>
    </row>
    <row r="7">
      <c r="B7" s="30" t="inlineStr">
        <is>
          <t>Minimum hours per day</t>
        </is>
      </c>
      <c r="C7" s="33" t="n">
        <v>24</v>
      </c>
      <c r="D7" s="32" t="inlineStr">
        <is>
          <t>e.g. two people open to close</t>
        </is>
      </c>
    </row>
    <row r="8">
      <c r="B8" s="30" t="inlineStr">
        <is>
          <t>Average wage rate ($/h)</t>
        </is>
      </c>
      <c r="C8" s="34" t="n">
        <v>27</v>
      </c>
      <c r="D8" s="32" t="inlineStr">
        <is>
          <t>Include on-costs if you want the full 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3" t="inlineStr">
        <is>
          <t>About this workbook</t>
        </is>
      </c>
    </row>
    <row r="6">
      <c r="C6" s="35" t="inlineStr">
        <is>
          <t>Store: Demo Neighbourhood Store (Eden Terrace format).  Data to 11 Oct 2026.  Shelly v1.19.0.</t>
        </is>
      </c>
    </row>
    <row r="7">
      <c r="C7" s="35" t="inlineStr">
        <is>
          <t>Synthetic demo data.</t>
        </is>
      </c>
    </row>
    <row r="8">
      <c r="C8" s="35" t="inlineStr">
        <is>
          <t>Change the blue Category cell on the Dashboard, or any blue input on Assumptions: every formula follows.</t>
        </is>
      </c>
    </row>
    <row r="10">
      <c r="B10" s="13" t="inlineStr">
        <is>
          <t>Method</t>
        </is>
      </c>
    </row>
    <row r="11">
      <c r="C11" s="35" t="inlineStr">
        <is>
          <t>Hours = forecast sales ÷ sales-per-hour target, never below the minimum.</t>
        </is>
      </c>
    </row>
    <row r="12">
      <c r="C12" s="35" t="inlineStr">
        <is>
          <t>Change the three blue inputs on Assumptions to test other productivity or wage levels.</t>
        </is>
      </c>
    </row>
    <row r="14">
      <c r="B14" s="13" t="inlineStr">
        <is>
          <t>Data dictionary (Raw sheet)</t>
        </is>
      </c>
    </row>
    <row r="15">
      <c r="B15" s="30" t="inlineStr">
        <is>
          <t>Date</t>
        </is>
      </c>
      <c r="C15" s="30" t="inlineStr">
        <is>
          <t>Day (Type = Day) or week start (Type = Week)</t>
        </is>
      </c>
    </row>
    <row r="16">
      <c r="B16" s="30" t="inlineStr">
        <is>
          <t>Forecast sales</t>
        </is>
      </c>
      <c r="C16" s="30" t="inlineStr">
        <is>
          <t>Shelly's forecast ($)</t>
        </is>
      </c>
    </row>
    <row r="18">
      <c r="B18" s="13" t="inlineStr">
        <is>
          <t>Sign-off</t>
        </is>
      </c>
    </row>
    <row r="19">
      <c r="B19" s="28" t="inlineStr">
        <is>
          <t>Roster approved</t>
        </is>
      </c>
      <c r="C19" s="7" t="inlineStr">
        <is>
          <t>Name: ____________   Date: ________   ☐ Approved  ☐ Changes needed</t>
        </is>
      </c>
    </row>
    <row r="20">
      <c r="B20" s="28" t="inlineStr">
        <is>
          <t>Labour budget approved</t>
        </is>
      </c>
      <c r="C20" s="7" t="inlineStr">
        <is>
          <t>Name: ____________   Date: ________   ☐ Approved  ☐ Changes needed</t>
        </is>
      </c>
    </row>
    <row r="22">
      <c r="B22" s="7" t="inlineStr">
        <is>
          <t>Generated by Shelly on 11 Oct 2026 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2026-10-11T21:21:04Z</dcterms:created>
  <dcterms:modified xsi:type="dcterms:W3CDTF">2026-10-11T21:21:04Z</dcterms:modified>
</cp:coreProperties>
</file>