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Notes" sheetId="7" state="visible" r:id="rId7"/>
  </sheets>
  <definedNames>
    <definedName name="in_uplift">Assumptions!$C$6</definedName>
    <definedName name="SelCat">Dashboard!$B$6</definedName>
    <definedName name="CatCrit">IF(Dashboard!$B$6="All","*",Dashboard!$B$6)</definedName>
  </definedNames>
  <calcPr calcId="124519" fullCalcOnLoad="1"/>
  <pivotCaches>
    <pivotCache cacheId="1" r:id="rId8"/>
  </pivotCaches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 mmm yyyy"/>
    <numFmt numFmtId="166" formatCode="$#,##0.00;($#,##0.00);&quot;-&quot;"/>
    <numFmt numFmtId="167" formatCode="0.0%;(0.0%);&quot;-&quot;"/>
    <numFmt numFmtId="168" formatCode="$#,##0;($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1B2433"/>
      <sz val="11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10" fillId="0" borderId="0" pivotButton="0" quotePrefix="0" xfId="0"/>
    <xf numFmtId="0" fontId="11" fillId="4" borderId="2" pivotButton="0" quotePrefix="0" xfId="0"/>
    <xf numFmtId="0" fontId="8" fillId="0" borderId="0" pivotButton="0" quotePrefix="0" xfId="0"/>
    <xf numFmtId="0" fontId="10" fillId="6" borderId="0" pivotButton="0" quotePrefix="0" xfId="0"/>
    <xf numFmtId="0" fontId="0" fillId="6" borderId="0" pivotButton="0" quotePrefix="0" xfId="0"/>
    <xf numFmtId="168" fontId="13" fillId="6" borderId="0" applyAlignment="1" pivotButton="0" quotePrefix="0" xfId="0">
      <alignment horizontal="left"/>
    </xf>
    <xf numFmtId="167" fontId="13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165" fontId="2" fillId="0" borderId="1" pivotButton="0" quotePrefix="0" xfId="0"/>
    <xf numFmtId="168" fontId="2" fillId="0" borderId="1" pivotButton="0" quotePrefix="0" xfId="0"/>
    <xf numFmtId="167" fontId="2" fillId="0" borderId="1" pivotButton="0" quotePrefix="0" xfId="0"/>
    <xf numFmtId="0" fontId="12" fillId="5" borderId="0" pivotButton="0" quotePrefix="0" xfId="0"/>
    <xf numFmtId="168" fontId="12" fillId="5" borderId="0" pivotButton="0" quotePrefix="0" xfId="0"/>
    <xf numFmtId="167" fontId="12" fillId="5" borderId="0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0" borderId="1" pivotButton="0" quotePrefix="0" xfId="0"/>
    <xf numFmtId="167" fontId="7" fillId="4" borderId="2" pivotButton="0" quotePrefix="0" xfId="0"/>
    <xf numFmtId="0" fontId="8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Forecast by week</a:t>
            </a:r>
          </a:p>
        </rich>
      </tx>
    </title>
    <plotArea>
      <lineChart>
        <grouping val="standard"/>
        <ser>
          <idx val="0"/>
          <order val="0"/>
          <tx>
            <v>Forecast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'Model'!$B$8:$B$20</f>
            </numRef>
          </cat>
          <val>
            <numRef>
              <f>'Model'!$C$8:$C$20</f>
            </numRef>
          </val>
          <smooth val="0"/>
        </ser>
        <ser>
          <idx val="1"/>
          <order val="1"/>
          <tx>
            <v>Last year</v>
          </tx>
          <spPr>
            <a:ln w="22000">
              <a:solidFill>
                <a:srgbClr val="0B12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'Model'!$B$8:$B$20</f>
            </numRef>
          </cat>
          <val>
            <numRef>
              <f>'Model'!$F$8:$F$20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Last 13 weeks vs year before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'Model'!$B$27:$B$39</f>
            </numRef>
          </cat>
          <val>
            <numRef>
              <f>'Model'!$C$27:$C$39</f>
            </numRef>
          </val>
          <smooth val="0"/>
        </ser>
        <ser>
          <idx val="1"/>
          <order val="1"/>
          <tx>
            <v>Year before</v>
          </tx>
          <spPr>
            <a:ln w="22000">
              <a:solidFill>
                <a:srgbClr val="0B12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'Model'!$B$27:$B$39</f>
            </numRef>
          </cat>
          <val>
            <numRef>
              <f>'Model'!$D$27:$D$39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comments/comment2.xml><?xml version="1.0" encoding="utf-8"?>
<comments xmlns="http://schemas.openxmlformats.org/spreadsheetml/2006/main">
  <authors>
    <author>Shelly</author>
  </authors>
  <commentList>
    <comment ref="F7" authorId="0" shapeId="0">
      <text>
        <t>Same week last year (364 days earlier, so weekdays line up)</t>
      </text>
    </comment>
    <comment ref="H7" authorId="0" shapeId="0">
      <text>
        <t>Extra sales if the promo/event uplift input is used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1287" r:id="rId1">
  <cacheSource type="worksheet">
    <worksheetSource ref="A1:F1288" sheet="Raw"/>
  </cacheSource>
  <cacheFields count="6">
    <cacheField name="Week start" uniqueList="1" numFmtId="0" sqlType="0" hierarchy="0" level="0" databaseField="1">
      <sharedItems count="117"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s v="2025-05-19"/>
        <s v="2025-05-26"/>
        <s v="2025-06-02"/>
        <s v="2025-06-09"/>
        <s v="2025-06-16"/>
        <s v="2025-06-23"/>
        <s v="2025-06-30"/>
        <s v="2025-07-07"/>
        <s v="2025-07-14"/>
        <s v="2025-07-21"/>
        <s v="2025-07-28"/>
        <s v="2025-08-04"/>
        <s v="2025-08-11"/>
        <s v="2025-08-18"/>
        <s v="2025-08-25"/>
        <s v="2025-09-01"/>
        <s v="2025-09-08"/>
        <s v="2025-09-15"/>
        <s v="2025-09-22"/>
        <s v="2025-09-29"/>
        <s v="2025-10-06"/>
        <s v="2025-10-13"/>
        <s v="2025-10-20"/>
        <s v="2025-10-27"/>
        <s v="2025-11-03"/>
        <s v="2025-11-10"/>
        <s v="2025-11-17"/>
        <s v="2025-11-24"/>
        <s v="2025-12-01"/>
        <s v="2025-12-08"/>
        <s v="2025-12-15"/>
        <s v="2025-12-22"/>
        <s v="2025-12-29"/>
        <s v="2026-01-05"/>
        <s v="2026-01-12"/>
        <s v="2026-01-19"/>
        <s v="2026-01-26"/>
        <s v="2026-02-02"/>
        <s v="2026-02-09"/>
        <s v="2026-02-16"/>
        <s v="2026-02-23"/>
        <s v="2026-03-02"/>
        <s v="2026-03-09"/>
        <s v="2026-03-16"/>
        <s v="2026-03-23"/>
        <s v="2026-03-30"/>
        <s v="2026-04-06"/>
        <s v="2026-04-13"/>
        <s v="2026-04-20"/>
        <s v="2026-04-27"/>
        <s v="2026-05-04"/>
        <s v="2026-05-11"/>
        <s v="2026-05-18"/>
        <s v="2026-05-25"/>
        <s v="2026-06-01"/>
        <s v="2026-06-08"/>
        <s v="2026-06-15"/>
        <s v="2026-06-22"/>
        <s v="2026-06-29"/>
        <s v="2026-07-06"/>
        <s v="2026-07-13"/>
        <s v="2026-07-20"/>
        <s v="2026-07-27"/>
        <s v="2026-08-03"/>
        <s v="2026-08-10"/>
        <s v="2026-08-17"/>
        <s v="2026-08-24"/>
        <s v="2026-08-31"/>
        <s v="2026-09-07"/>
        <s v="2026-09-14"/>
        <s v="2026-09-21"/>
        <s v="2026-09-28"/>
        <s v="2026-10-05"/>
        <s v="2026-10-12"/>
        <s v="2026-10-19"/>
        <s v="2026-10-26"/>
        <s v="2026-11-02"/>
        <s v="2026-11-09"/>
        <s v="2026-11-16"/>
        <s v="2026-11-23"/>
        <s v="2026-11-30"/>
        <s v="2026-12-07"/>
        <s v="2026-12-14"/>
        <s v="2026-12-21"/>
        <s v="2026-12-28"/>
        <s v="2027-01-04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Type" uniqueList="1" numFmtId="0" sqlType="0" hierarchy="0" level="0" databaseField="1">
      <sharedItems count="2">
        <s v="Actual"/>
        <s v="Forecast"/>
      </sharedItems>
    </cacheField>
    <cacheField name="Sales" uniqueList="1" numFmtId="0" sqlType="0" hierarchy="0" level="0" databaseField="1">
      <sharedItems count="0" containsNumber="1" containsSemiMixedTypes="0" containsString="0" minValue="170.71" maxValue="4275.73"/>
    </cacheField>
    <cacheField name="Low" uniqueList="1" numFmtId="0" sqlType="0" hierarchy="0" level="0" databaseField="1">
      <sharedItems count="0" containsNumber="1" containsSemiMixedTypes="0" containsString="0" minValue="0" maxValue="3827.3"/>
    </cacheField>
    <cacheField name="High" uniqueList="1" numFmtId="0" sqlType="0" hierarchy="0" level="0" databaseField="1">
      <sharedItems count="0" containsNumber="1" containsSemiMixedTypes="0" containsString="0" minValue="0" maxValue="4724.1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1287" r:id="rId1">
  <cacheSource type="worksheet">
    <worksheetSource ref="A1:F1288" sheet="Raw"/>
  </cacheSource>
  <cacheFields count="6">
    <cacheField name="Week start" uniqueList="1" numFmtId="0" sqlType="0" hierarchy="0" level="0" databaseField="1">
      <sharedItems count="117"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s v="2025-05-19"/>
        <s v="2025-05-26"/>
        <s v="2025-06-02"/>
        <s v="2025-06-09"/>
        <s v="2025-06-16"/>
        <s v="2025-06-23"/>
        <s v="2025-06-30"/>
        <s v="2025-07-07"/>
        <s v="2025-07-14"/>
        <s v="2025-07-21"/>
        <s v="2025-07-28"/>
        <s v="2025-08-04"/>
        <s v="2025-08-11"/>
        <s v="2025-08-18"/>
        <s v="2025-08-25"/>
        <s v="2025-09-01"/>
        <s v="2025-09-08"/>
        <s v="2025-09-15"/>
        <s v="2025-09-22"/>
        <s v="2025-09-29"/>
        <s v="2025-10-06"/>
        <s v="2025-10-13"/>
        <s v="2025-10-20"/>
        <s v="2025-10-27"/>
        <s v="2025-11-03"/>
        <s v="2025-11-10"/>
        <s v="2025-11-17"/>
        <s v="2025-11-24"/>
        <s v="2025-12-01"/>
        <s v="2025-12-08"/>
        <s v="2025-12-15"/>
        <s v="2025-12-22"/>
        <s v="2025-12-29"/>
        <s v="2026-01-05"/>
        <s v="2026-01-12"/>
        <s v="2026-01-19"/>
        <s v="2026-01-26"/>
        <s v="2026-02-02"/>
        <s v="2026-02-09"/>
        <s v="2026-02-16"/>
        <s v="2026-02-23"/>
        <s v="2026-03-02"/>
        <s v="2026-03-09"/>
        <s v="2026-03-16"/>
        <s v="2026-03-23"/>
        <s v="2026-03-30"/>
        <s v="2026-04-06"/>
        <s v="2026-04-13"/>
        <s v="2026-04-20"/>
        <s v="2026-04-27"/>
        <s v="2026-05-04"/>
        <s v="2026-05-11"/>
        <s v="2026-05-18"/>
        <s v="2026-05-25"/>
        <s v="2026-06-01"/>
        <s v="2026-06-08"/>
        <s v="2026-06-15"/>
        <s v="2026-06-22"/>
        <s v="2026-06-29"/>
        <s v="2026-07-06"/>
        <s v="2026-07-13"/>
        <s v="2026-07-20"/>
        <s v="2026-07-27"/>
        <s v="2026-08-03"/>
        <s v="2026-08-10"/>
        <s v="2026-08-17"/>
        <s v="2026-08-24"/>
        <s v="2026-08-31"/>
        <s v="2026-09-07"/>
        <s v="2026-09-14"/>
        <s v="2026-09-21"/>
        <s v="2026-09-28"/>
        <s v="2026-10-05"/>
        <s v="2026-10-12"/>
        <s v="2026-10-19"/>
        <s v="2026-10-26"/>
        <s v="2026-11-02"/>
        <s v="2026-11-09"/>
        <s v="2026-11-16"/>
        <s v="2026-11-23"/>
        <s v="2026-11-30"/>
        <s v="2026-12-07"/>
        <s v="2026-12-14"/>
        <s v="2026-12-21"/>
        <s v="2026-12-28"/>
        <s v="2027-01-04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Type" uniqueList="1" numFmtId="0" sqlType="0" hierarchy="0" level="0" databaseField="1">
      <sharedItems count="2">
        <s v="Actual"/>
        <s v="Forecast"/>
      </sharedItems>
    </cacheField>
    <cacheField name="Sales" uniqueList="1" numFmtId="0" sqlType="0" hierarchy="0" level="0" databaseField="1">
      <sharedItems count="0" containsNumber="1" containsSemiMixedTypes="0" containsString="0" minValue="170.71" maxValue="4275.73"/>
    </cacheField>
    <cacheField name="Low" uniqueList="1" numFmtId="0" sqlType="0" hierarchy="0" level="0" databaseField="1">
      <sharedItems count="0" containsNumber="1" containsSemiMixedTypes="0" containsString="0" minValue="0" maxValue="3827.3"/>
    </cacheField>
    <cacheField name="High" uniqueList="1" numFmtId="0" sqlType="0" hierarchy="0" level="0" databaseField="1">
      <sharedItems count="0" containsNumber="1" containsSemiMixedTypes="0" containsString="0" minValue="0" maxValue="4724.16"/>
    </cacheField>
  </cacheFields>
</pivotCacheDefinition>
</file>

<file path=xl/pivotCache/pivotCacheRecords1.xml><?xml version="1.0" encoding="utf-8"?>
<pivotCacheRecords xmlns="http://schemas.openxmlformats.org/spreadsheetml/2006/main" count="1287">
  <r>
    <x v="0"/>
    <x v="0"/>
    <x v="0"/>
    <n v="1017.77"/>
    <n v="0"/>
    <n v="0"/>
  </r>
  <r>
    <x v="0"/>
    <x v="1"/>
    <x v="0"/>
    <n v="2209.85"/>
    <n v="0"/>
    <n v="0"/>
  </r>
  <r>
    <x v="0"/>
    <x v="2"/>
    <x v="0"/>
    <n v="2765.74"/>
    <n v="0"/>
    <n v="0"/>
  </r>
  <r>
    <x v="0"/>
    <x v="3"/>
    <x v="0"/>
    <n v="3073.88"/>
    <n v="0"/>
    <n v="0"/>
  </r>
  <r>
    <x v="0"/>
    <x v="4"/>
    <x v="0"/>
    <n v="3263.28"/>
    <n v="0"/>
    <n v="0"/>
  </r>
  <r>
    <x v="0"/>
    <x v="5"/>
    <x v="0"/>
    <n v="1146.41"/>
    <n v="0"/>
    <n v="0"/>
  </r>
  <r>
    <x v="0"/>
    <x v="6"/>
    <x v="0"/>
    <n v="1748.45"/>
    <n v="0"/>
    <n v="0"/>
  </r>
  <r>
    <x v="0"/>
    <x v="7"/>
    <x v="0"/>
    <n v="222.69"/>
    <n v="0"/>
    <n v="0"/>
  </r>
  <r>
    <x v="0"/>
    <x v="8"/>
    <x v="0"/>
    <n v="499.36"/>
    <n v="0"/>
    <n v="0"/>
  </r>
  <r>
    <x v="0"/>
    <x v="9"/>
    <x v="0"/>
    <n v="410.24"/>
    <n v="0"/>
    <n v="0"/>
  </r>
  <r>
    <x v="0"/>
    <x v="10"/>
    <x v="0"/>
    <n v="1714.85"/>
    <n v="0"/>
    <n v="0"/>
  </r>
  <r>
    <x v="1"/>
    <x v="0"/>
    <x v="0"/>
    <n v="1066.01"/>
    <n v="0"/>
    <n v="0"/>
  </r>
  <r>
    <x v="1"/>
    <x v="1"/>
    <x v="0"/>
    <n v="2436.73"/>
    <n v="0"/>
    <n v="0"/>
  </r>
  <r>
    <x v="1"/>
    <x v="2"/>
    <x v="0"/>
    <n v="3015.46"/>
    <n v="0"/>
    <n v="0"/>
  </r>
  <r>
    <x v="1"/>
    <x v="3"/>
    <x v="0"/>
    <n v="3367.84"/>
    <n v="0"/>
    <n v="0"/>
  </r>
  <r>
    <x v="1"/>
    <x v="4"/>
    <x v="0"/>
    <n v="3322.29"/>
    <n v="0"/>
    <n v="0"/>
  </r>
  <r>
    <x v="1"/>
    <x v="5"/>
    <x v="0"/>
    <n v="1268.01"/>
    <n v="0"/>
    <n v="0"/>
  </r>
  <r>
    <x v="1"/>
    <x v="6"/>
    <x v="0"/>
    <n v="1818.63"/>
    <n v="0"/>
    <n v="0"/>
  </r>
  <r>
    <x v="1"/>
    <x v="7"/>
    <x v="0"/>
    <n v="283.62"/>
    <n v="0"/>
    <n v="0"/>
  </r>
  <r>
    <x v="1"/>
    <x v="8"/>
    <x v="0"/>
    <n v="499.34"/>
    <n v="0"/>
    <n v="0"/>
  </r>
  <r>
    <x v="1"/>
    <x v="9"/>
    <x v="0"/>
    <n v="387.89"/>
    <n v="0"/>
    <n v="0"/>
  </r>
  <r>
    <x v="1"/>
    <x v="10"/>
    <x v="0"/>
    <n v="1688.13"/>
    <n v="0"/>
    <n v="0"/>
  </r>
  <r>
    <x v="2"/>
    <x v="0"/>
    <x v="0"/>
    <n v="932.3099999999999"/>
    <n v="0"/>
    <n v="0"/>
  </r>
  <r>
    <x v="2"/>
    <x v="1"/>
    <x v="0"/>
    <n v="2131.84"/>
    <n v="0"/>
    <n v="0"/>
  </r>
  <r>
    <x v="2"/>
    <x v="2"/>
    <x v="0"/>
    <n v="2906.65"/>
    <n v="0"/>
    <n v="0"/>
  </r>
  <r>
    <x v="2"/>
    <x v="3"/>
    <x v="0"/>
    <n v="2730.71"/>
    <n v="0"/>
    <n v="0"/>
  </r>
  <r>
    <x v="2"/>
    <x v="4"/>
    <x v="0"/>
    <n v="3234.85"/>
    <n v="0"/>
    <n v="0"/>
  </r>
  <r>
    <x v="2"/>
    <x v="5"/>
    <x v="0"/>
    <n v="974.4299999999999"/>
    <n v="0"/>
    <n v="0"/>
  </r>
  <r>
    <x v="2"/>
    <x v="6"/>
    <x v="0"/>
    <n v="1688.75"/>
    <n v="0"/>
    <n v="0"/>
  </r>
  <r>
    <x v="2"/>
    <x v="7"/>
    <x v="0"/>
    <n v="288.69"/>
    <n v="0"/>
    <n v="0"/>
  </r>
  <r>
    <x v="2"/>
    <x v="8"/>
    <x v="0"/>
    <n v="464.41"/>
    <n v="0"/>
    <n v="0"/>
  </r>
  <r>
    <x v="2"/>
    <x v="9"/>
    <x v="0"/>
    <n v="427.54"/>
    <n v="0"/>
    <n v="0"/>
  </r>
  <r>
    <x v="2"/>
    <x v="10"/>
    <x v="0"/>
    <n v="1675.55"/>
    <n v="0"/>
    <n v="0"/>
  </r>
  <r>
    <x v="3"/>
    <x v="0"/>
    <x v="0"/>
    <n v="952.47"/>
    <n v="0"/>
    <n v="0"/>
  </r>
  <r>
    <x v="3"/>
    <x v="1"/>
    <x v="0"/>
    <n v="2464.73"/>
    <n v="0"/>
    <n v="0"/>
  </r>
  <r>
    <x v="3"/>
    <x v="2"/>
    <x v="0"/>
    <n v="3104.98"/>
    <n v="0"/>
    <n v="0"/>
  </r>
  <r>
    <x v="3"/>
    <x v="3"/>
    <x v="0"/>
    <n v="3238.65"/>
    <n v="0"/>
    <n v="0"/>
  </r>
  <r>
    <x v="3"/>
    <x v="4"/>
    <x v="0"/>
    <n v="3230.12"/>
    <n v="0"/>
    <n v="0"/>
  </r>
  <r>
    <x v="3"/>
    <x v="5"/>
    <x v="0"/>
    <n v="1281.8"/>
    <n v="0"/>
    <n v="0"/>
  </r>
  <r>
    <x v="3"/>
    <x v="6"/>
    <x v="0"/>
    <n v="1976.97"/>
    <n v="0"/>
    <n v="0"/>
  </r>
  <r>
    <x v="3"/>
    <x v="7"/>
    <x v="0"/>
    <n v="288.67"/>
    <n v="0"/>
    <n v="0"/>
  </r>
  <r>
    <x v="3"/>
    <x v="8"/>
    <x v="0"/>
    <n v="582.33"/>
    <n v="0"/>
    <n v="0"/>
  </r>
  <r>
    <x v="3"/>
    <x v="9"/>
    <x v="0"/>
    <n v="449.53"/>
    <n v="0"/>
    <n v="0"/>
  </r>
  <r>
    <x v="3"/>
    <x v="10"/>
    <x v="0"/>
    <n v="1942.52"/>
    <n v="0"/>
    <n v="0"/>
  </r>
  <r>
    <x v="4"/>
    <x v="0"/>
    <x v="0"/>
    <n v="963.3200000000001"/>
    <n v="0"/>
    <n v="0"/>
  </r>
  <r>
    <x v="4"/>
    <x v="1"/>
    <x v="0"/>
    <n v="2211.85"/>
    <n v="0"/>
    <n v="0"/>
  </r>
  <r>
    <x v="4"/>
    <x v="2"/>
    <x v="0"/>
    <n v="3342.44"/>
    <n v="0"/>
    <n v="0"/>
  </r>
  <r>
    <x v="4"/>
    <x v="3"/>
    <x v="0"/>
    <n v="2947.88"/>
    <n v="0"/>
    <n v="0"/>
  </r>
  <r>
    <x v="4"/>
    <x v="4"/>
    <x v="0"/>
    <n v="3604.49"/>
    <n v="0"/>
    <n v="0"/>
  </r>
  <r>
    <x v="4"/>
    <x v="5"/>
    <x v="0"/>
    <n v="1241.01"/>
    <n v="0"/>
    <n v="0"/>
  </r>
  <r>
    <x v="4"/>
    <x v="6"/>
    <x v="0"/>
    <n v="2209.39"/>
    <n v="0"/>
    <n v="0"/>
  </r>
  <r>
    <x v="4"/>
    <x v="7"/>
    <x v="0"/>
    <n v="258.6"/>
    <n v="0"/>
    <n v="0"/>
  </r>
  <r>
    <x v="4"/>
    <x v="8"/>
    <x v="0"/>
    <n v="392.55"/>
    <n v="0"/>
    <n v="0"/>
  </r>
  <r>
    <x v="4"/>
    <x v="9"/>
    <x v="0"/>
    <n v="491.07"/>
    <n v="0"/>
    <n v="0"/>
  </r>
  <r>
    <x v="4"/>
    <x v="10"/>
    <x v="0"/>
    <n v="1820.06"/>
    <n v="0"/>
    <n v="0"/>
  </r>
  <r>
    <x v="5"/>
    <x v="0"/>
    <x v="0"/>
    <n v="957.5"/>
    <n v="0"/>
    <n v="0"/>
  </r>
  <r>
    <x v="5"/>
    <x v="1"/>
    <x v="0"/>
    <n v="2682.61"/>
    <n v="0"/>
    <n v="0"/>
  </r>
  <r>
    <x v="5"/>
    <x v="2"/>
    <x v="0"/>
    <n v="3264.83"/>
    <n v="0"/>
    <n v="0"/>
  </r>
  <r>
    <x v="5"/>
    <x v="3"/>
    <x v="0"/>
    <n v="3031.24"/>
    <n v="0"/>
    <n v="0"/>
  </r>
  <r>
    <x v="5"/>
    <x v="4"/>
    <x v="0"/>
    <n v="3201.34"/>
    <n v="0"/>
    <n v="0"/>
  </r>
  <r>
    <x v="5"/>
    <x v="5"/>
    <x v="0"/>
    <n v="1198.15"/>
    <n v="0"/>
    <n v="0"/>
  </r>
  <r>
    <x v="5"/>
    <x v="6"/>
    <x v="0"/>
    <n v="1689.65"/>
    <n v="0"/>
    <n v="0"/>
  </r>
  <r>
    <x v="5"/>
    <x v="7"/>
    <x v="0"/>
    <n v="360.62"/>
    <n v="0"/>
    <n v="0"/>
  </r>
  <r>
    <x v="5"/>
    <x v="8"/>
    <x v="0"/>
    <n v="455.44"/>
    <n v="0"/>
    <n v="0"/>
  </r>
  <r>
    <x v="5"/>
    <x v="9"/>
    <x v="0"/>
    <n v="494.99"/>
    <n v="0"/>
    <n v="0"/>
  </r>
  <r>
    <x v="5"/>
    <x v="10"/>
    <x v="0"/>
    <n v="2024.64"/>
    <n v="0"/>
    <n v="0"/>
  </r>
  <r>
    <x v="6"/>
    <x v="0"/>
    <x v="0"/>
    <n v="1138.8"/>
    <n v="0"/>
    <n v="0"/>
  </r>
  <r>
    <x v="6"/>
    <x v="1"/>
    <x v="0"/>
    <n v="2476.5"/>
    <n v="0"/>
    <n v="0"/>
  </r>
  <r>
    <x v="6"/>
    <x v="2"/>
    <x v="0"/>
    <n v="3376.88"/>
    <n v="0"/>
    <n v="0"/>
  </r>
  <r>
    <x v="6"/>
    <x v="3"/>
    <x v="0"/>
    <n v="3074.05"/>
    <n v="0"/>
    <n v="0"/>
  </r>
  <r>
    <x v="6"/>
    <x v="4"/>
    <x v="0"/>
    <n v="3608.91"/>
    <n v="0"/>
    <n v="0"/>
  </r>
  <r>
    <x v="6"/>
    <x v="5"/>
    <x v="0"/>
    <n v="1294.02"/>
    <n v="0"/>
    <n v="0"/>
  </r>
  <r>
    <x v="6"/>
    <x v="6"/>
    <x v="0"/>
    <n v="1533.59"/>
    <n v="0"/>
    <n v="0"/>
  </r>
  <r>
    <x v="6"/>
    <x v="7"/>
    <x v="0"/>
    <n v="398.58"/>
    <n v="0"/>
    <n v="0"/>
  </r>
  <r>
    <x v="6"/>
    <x v="8"/>
    <x v="0"/>
    <n v="523.36"/>
    <n v="0"/>
    <n v="0"/>
  </r>
  <r>
    <x v="6"/>
    <x v="9"/>
    <x v="0"/>
    <n v="563.77"/>
    <n v="0"/>
    <n v="0"/>
  </r>
  <r>
    <x v="6"/>
    <x v="10"/>
    <x v="0"/>
    <n v="2068.59"/>
    <n v="0"/>
    <n v="0"/>
  </r>
  <r>
    <x v="7"/>
    <x v="0"/>
    <x v="0"/>
    <n v="1158.78"/>
    <n v="0"/>
    <n v="0"/>
  </r>
  <r>
    <x v="7"/>
    <x v="1"/>
    <x v="0"/>
    <n v="2821.56"/>
    <n v="0"/>
    <n v="0"/>
  </r>
  <r>
    <x v="7"/>
    <x v="2"/>
    <x v="0"/>
    <n v="3763.36"/>
    <n v="0"/>
    <n v="0"/>
  </r>
  <r>
    <x v="7"/>
    <x v="3"/>
    <x v="0"/>
    <n v="3555.06"/>
    <n v="0"/>
    <n v="0"/>
  </r>
  <r>
    <x v="7"/>
    <x v="4"/>
    <x v="0"/>
    <n v="4192.22"/>
    <n v="0"/>
    <n v="0"/>
  </r>
  <r>
    <x v="7"/>
    <x v="5"/>
    <x v="0"/>
    <n v="1541.63"/>
    <n v="0"/>
    <n v="0"/>
  </r>
  <r>
    <x v="7"/>
    <x v="6"/>
    <x v="0"/>
    <n v="1868.56"/>
    <n v="0"/>
    <n v="0"/>
  </r>
  <r>
    <x v="7"/>
    <x v="7"/>
    <x v="0"/>
    <n v="371.62"/>
    <n v="0"/>
    <n v="0"/>
  </r>
  <r>
    <x v="7"/>
    <x v="8"/>
    <x v="0"/>
    <n v="623.26"/>
    <n v="0"/>
    <n v="0"/>
  </r>
  <r>
    <x v="7"/>
    <x v="9"/>
    <x v="0"/>
    <n v="529.54"/>
    <n v="0"/>
    <n v="0"/>
  </r>
  <r>
    <x v="7"/>
    <x v="10"/>
    <x v="0"/>
    <n v="2077"/>
    <n v="0"/>
    <n v="0"/>
  </r>
  <r>
    <x v="8"/>
    <x v="0"/>
    <x v="0"/>
    <n v="1051.12"/>
    <n v="0"/>
    <n v="0"/>
  </r>
  <r>
    <x v="8"/>
    <x v="1"/>
    <x v="0"/>
    <n v="2959.45"/>
    <n v="0"/>
    <n v="0"/>
  </r>
  <r>
    <x v="8"/>
    <x v="2"/>
    <x v="0"/>
    <n v="3564.63"/>
    <n v="0"/>
    <n v="0"/>
  </r>
  <r>
    <x v="8"/>
    <x v="3"/>
    <x v="0"/>
    <n v="3244.26"/>
    <n v="0"/>
    <n v="0"/>
  </r>
  <r>
    <x v="8"/>
    <x v="4"/>
    <x v="0"/>
    <n v="3820.72"/>
    <n v="0"/>
    <n v="0"/>
  </r>
  <r>
    <x v="8"/>
    <x v="5"/>
    <x v="0"/>
    <n v="1711.39"/>
    <n v="0"/>
    <n v="0"/>
  </r>
  <r>
    <x v="8"/>
    <x v="6"/>
    <x v="0"/>
    <n v="1701.42"/>
    <n v="0"/>
    <n v="0"/>
  </r>
  <r>
    <x v="8"/>
    <x v="7"/>
    <x v="0"/>
    <n v="382.51"/>
    <n v="0"/>
    <n v="0"/>
  </r>
  <r>
    <x v="8"/>
    <x v="8"/>
    <x v="0"/>
    <n v="670.17"/>
    <n v="0"/>
    <n v="0"/>
  </r>
  <r>
    <x v="8"/>
    <x v="9"/>
    <x v="0"/>
    <n v="509.65"/>
    <n v="0"/>
    <n v="0"/>
  </r>
  <r>
    <x v="8"/>
    <x v="10"/>
    <x v="0"/>
    <n v="2138.36"/>
    <n v="0"/>
    <n v="0"/>
  </r>
  <r>
    <x v="9"/>
    <x v="0"/>
    <x v="0"/>
    <n v="1084.36"/>
    <n v="0"/>
    <n v="0"/>
  </r>
  <r>
    <x v="9"/>
    <x v="1"/>
    <x v="0"/>
    <n v="2658.62"/>
    <n v="0"/>
    <n v="0"/>
  </r>
  <r>
    <x v="9"/>
    <x v="2"/>
    <x v="0"/>
    <n v="3576.19"/>
    <n v="0"/>
    <n v="0"/>
  </r>
  <r>
    <x v="9"/>
    <x v="3"/>
    <x v="0"/>
    <n v="3029.79"/>
    <n v="0"/>
    <n v="0"/>
  </r>
  <r>
    <x v="9"/>
    <x v="4"/>
    <x v="0"/>
    <n v="3759.78"/>
    <n v="0"/>
    <n v="0"/>
  </r>
  <r>
    <x v="9"/>
    <x v="5"/>
    <x v="0"/>
    <n v="1500.61"/>
    <n v="0"/>
    <n v="0"/>
  </r>
  <r>
    <x v="9"/>
    <x v="6"/>
    <x v="0"/>
    <n v="2031.87"/>
    <n v="0"/>
    <n v="0"/>
  </r>
  <r>
    <x v="9"/>
    <x v="7"/>
    <x v="0"/>
    <n v="475.45"/>
    <n v="0"/>
    <n v="0"/>
  </r>
  <r>
    <x v="9"/>
    <x v="8"/>
    <x v="0"/>
    <n v="626.25"/>
    <n v="0"/>
    <n v="0"/>
  </r>
  <r>
    <x v="9"/>
    <x v="9"/>
    <x v="0"/>
    <n v="558.39"/>
    <n v="0"/>
    <n v="0"/>
  </r>
  <r>
    <x v="9"/>
    <x v="10"/>
    <x v="0"/>
    <n v="2028"/>
    <n v="0"/>
    <n v="0"/>
  </r>
  <r>
    <x v="10"/>
    <x v="0"/>
    <x v="0"/>
    <n v="1106.53"/>
    <n v="0"/>
    <n v="0"/>
  </r>
  <r>
    <x v="10"/>
    <x v="1"/>
    <x v="0"/>
    <n v="2843.51"/>
    <n v="0"/>
    <n v="0"/>
  </r>
  <r>
    <x v="10"/>
    <x v="2"/>
    <x v="0"/>
    <n v="3447.39"/>
    <n v="0"/>
    <n v="0"/>
  </r>
  <r>
    <x v="10"/>
    <x v="3"/>
    <x v="0"/>
    <n v="3012.76"/>
    <n v="0"/>
    <n v="0"/>
  </r>
  <r>
    <x v="10"/>
    <x v="4"/>
    <x v="0"/>
    <n v="3612.11"/>
    <n v="0"/>
    <n v="0"/>
  </r>
  <r>
    <x v="10"/>
    <x v="5"/>
    <x v="0"/>
    <n v="1311.05"/>
    <n v="0"/>
    <n v="0"/>
  </r>
  <r>
    <x v="10"/>
    <x v="6"/>
    <x v="0"/>
    <n v="1649.8"/>
    <n v="0"/>
    <n v="0"/>
  </r>
  <r>
    <x v="10"/>
    <x v="7"/>
    <x v="0"/>
    <n v="271.76"/>
    <n v="0"/>
    <n v="0"/>
  </r>
  <r>
    <x v="10"/>
    <x v="8"/>
    <x v="0"/>
    <n v="368.55"/>
    <n v="0"/>
    <n v="0"/>
  </r>
  <r>
    <x v="10"/>
    <x v="9"/>
    <x v="0"/>
    <n v="530.91"/>
    <n v="0"/>
    <n v="0"/>
  </r>
  <r>
    <x v="10"/>
    <x v="10"/>
    <x v="0"/>
    <n v="1959.85"/>
    <n v="0"/>
    <n v="0"/>
  </r>
  <r>
    <x v="11"/>
    <x v="0"/>
    <x v="0"/>
    <n v="947.9299999999999"/>
    <n v="0"/>
    <n v="0"/>
  </r>
  <r>
    <x v="11"/>
    <x v="1"/>
    <x v="0"/>
    <n v="2243.22"/>
    <n v="0"/>
    <n v="0"/>
  </r>
  <r>
    <x v="11"/>
    <x v="2"/>
    <x v="0"/>
    <n v="3169.86"/>
    <n v="0"/>
    <n v="0"/>
  </r>
  <r>
    <x v="11"/>
    <x v="3"/>
    <x v="0"/>
    <n v="2953.58"/>
    <n v="0"/>
    <n v="0"/>
  </r>
  <r>
    <x v="11"/>
    <x v="4"/>
    <x v="0"/>
    <n v="3028.16"/>
    <n v="0"/>
    <n v="0"/>
  </r>
  <r>
    <x v="11"/>
    <x v="5"/>
    <x v="0"/>
    <n v="930.4299999999999"/>
    <n v="0"/>
    <n v="0"/>
  </r>
  <r>
    <x v="11"/>
    <x v="6"/>
    <x v="0"/>
    <n v="1597.97"/>
    <n v="0"/>
    <n v="0"/>
  </r>
  <r>
    <x v="11"/>
    <x v="7"/>
    <x v="0"/>
    <n v="246.74"/>
    <n v="0"/>
    <n v="0"/>
  </r>
  <r>
    <x v="11"/>
    <x v="8"/>
    <x v="0"/>
    <n v="428.51"/>
    <n v="0"/>
    <n v="0"/>
  </r>
  <r>
    <x v="11"/>
    <x v="9"/>
    <x v="0"/>
    <n v="418.58"/>
    <n v="0"/>
    <n v="0"/>
  </r>
  <r>
    <x v="11"/>
    <x v="10"/>
    <x v="0"/>
    <n v="1622.14"/>
    <n v="0"/>
    <n v="0"/>
  </r>
  <r>
    <x v="12"/>
    <x v="0"/>
    <x v="0"/>
    <n v="847.27"/>
    <n v="0"/>
    <n v="0"/>
  </r>
  <r>
    <x v="12"/>
    <x v="1"/>
    <x v="0"/>
    <n v="2314.83"/>
    <n v="0"/>
    <n v="0"/>
  </r>
  <r>
    <x v="12"/>
    <x v="2"/>
    <x v="0"/>
    <n v="2938.25"/>
    <n v="0"/>
    <n v="0"/>
  </r>
  <r>
    <x v="12"/>
    <x v="3"/>
    <x v="0"/>
    <n v="2589.75"/>
    <n v="0"/>
    <n v="0"/>
  </r>
  <r>
    <x v="12"/>
    <x v="4"/>
    <x v="0"/>
    <n v="3416.32"/>
    <n v="0"/>
    <n v="0"/>
  </r>
  <r>
    <x v="12"/>
    <x v="5"/>
    <x v="0"/>
    <n v="1079.74"/>
    <n v="0"/>
    <n v="0"/>
  </r>
  <r>
    <x v="12"/>
    <x v="6"/>
    <x v="0"/>
    <n v="1256.03"/>
    <n v="0"/>
    <n v="0"/>
  </r>
  <r>
    <x v="12"/>
    <x v="7"/>
    <x v="0"/>
    <n v="290.63"/>
    <n v="0"/>
    <n v="0"/>
  </r>
  <r>
    <x v="12"/>
    <x v="8"/>
    <x v="0"/>
    <n v="500.41"/>
    <n v="0"/>
    <n v="0"/>
  </r>
  <r>
    <x v="12"/>
    <x v="9"/>
    <x v="0"/>
    <n v="448.25"/>
    <n v="0"/>
    <n v="0"/>
  </r>
  <r>
    <x v="12"/>
    <x v="10"/>
    <x v="0"/>
    <n v="1467.19"/>
    <n v="0"/>
    <n v="0"/>
  </r>
  <r>
    <x v="13"/>
    <x v="0"/>
    <x v="0"/>
    <n v="915.46"/>
    <n v="0"/>
    <n v="0"/>
  </r>
  <r>
    <x v="13"/>
    <x v="1"/>
    <x v="0"/>
    <n v="2586.69"/>
    <n v="0"/>
    <n v="0"/>
  </r>
  <r>
    <x v="13"/>
    <x v="2"/>
    <x v="0"/>
    <n v="3184.82"/>
    <n v="0"/>
    <n v="0"/>
  </r>
  <r>
    <x v="13"/>
    <x v="3"/>
    <x v="0"/>
    <n v="2409.62"/>
    <n v="0"/>
    <n v="0"/>
  </r>
  <r>
    <x v="13"/>
    <x v="4"/>
    <x v="0"/>
    <n v="2992.9"/>
    <n v="0"/>
    <n v="0"/>
  </r>
  <r>
    <x v="13"/>
    <x v="5"/>
    <x v="0"/>
    <n v="1117.28"/>
    <n v="0"/>
    <n v="0"/>
  </r>
  <r>
    <x v="13"/>
    <x v="6"/>
    <x v="0"/>
    <n v="1391.41"/>
    <n v="0"/>
    <n v="0"/>
  </r>
  <r>
    <x v="13"/>
    <x v="7"/>
    <x v="0"/>
    <n v="203.71"/>
    <n v="0"/>
    <n v="0"/>
  </r>
  <r>
    <x v="13"/>
    <x v="8"/>
    <x v="0"/>
    <n v="383.5"/>
    <n v="0"/>
    <n v="0"/>
  </r>
  <r>
    <x v="13"/>
    <x v="9"/>
    <x v="0"/>
    <n v="468.45"/>
    <n v="0"/>
    <n v="0"/>
  </r>
  <r>
    <x v="13"/>
    <x v="10"/>
    <x v="0"/>
    <n v="1694.74"/>
    <n v="0"/>
    <n v="0"/>
  </r>
  <r>
    <x v="14"/>
    <x v="0"/>
    <x v="0"/>
    <n v="1122.32"/>
    <n v="0"/>
    <n v="0"/>
  </r>
  <r>
    <x v="14"/>
    <x v="1"/>
    <x v="0"/>
    <n v="2796.58"/>
    <n v="0"/>
    <n v="0"/>
  </r>
  <r>
    <x v="14"/>
    <x v="2"/>
    <x v="0"/>
    <n v="3439.97"/>
    <n v="0"/>
    <n v="0"/>
  </r>
  <r>
    <x v="14"/>
    <x v="3"/>
    <x v="0"/>
    <n v="3427"/>
    <n v="0"/>
    <n v="0"/>
  </r>
  <r>
    <x v="14"/>
    <x v="4"/>
    <x v="0"/>
    <n v="3532.47"/>
    <n v="0"/>
    <n v="0"/>
  </r>
  <r>
    <x v="14"/>
    <x v="5"/>
    <x v="0"/>
    <n v="1303.97"/>
    <n v="0"/>
    <n v="0"/>
  </r>
  <r>
    <x v="14"/>
    <x v="6"/>
    <x v="0"/>
    <n v="1787.8"/>
    <n v="0"/>
    <n v="0"/>
  </r>
  <r>
    <x v="14"/>
    <x v="7"/>
    <x v="0"/>
    <n v="312.63"/>
    <n v="0"/>
    <n v="0"/>
  </r>
  <r>
    <x v="14"/>
    <x v="8"/>
    <x v="0"/>
    <n v="490.41"/>
    <n v="0"/>
    <n v="0"/>
  </r>
  <r>
    <x v="14"/>
    <x v="9"/>
    <x v="0"/>
    <n v="524.23"/>
    <n v="0"/>
    <n v="0"/>
  </r>
  <r>
    <x v="14"/>
    <x v="10"/>
    <x v="0"/>
    <n v="1769.5"/>
    <n v="0"/>
    <n v="0"/>
  </r>
  <r>
    <x v="15"/>
    <x v="0"/>
    <x v="0"/>
    <n v="994.4299999999999"/>
    <n v="0"/>
    <n v="0"/>
  </r>
  <r>
    <x v="15"/>
    <x v="1"/>
    <x v="0"/>
    <n v="2659.65"/>
    <n v="0"/>
    <n v="0"/>
  </r>
  <r>
    <x v="15"/>
    <x v="2"/>
    <x v="0"/>
    <n v="3272.58"/>
    <n v="0"/>
    <n v="0"/>
  </r>
  <r>
    <x v="15"/>
    <x v="3"/>
    <x v="0"/>
    <n v="3081.01"/>
    <n v="0"/>
    <n v="0"/>
  </r>
  <r>
    <x v="15"/>
    <x v="4"/>
    <x v="0"/>
    <n v="3540.94"/>
    <n v="0"/>
    <n v="0"/>
  </r>
  <r>
    <x v="15"/>
    <x v="5"/>
    <x v="0"/>
    <n v="1133.19"/>
    <n v="0"/>
    <n v="0"/>
  </r>
  <r>
    <x v="15"/>
    <x v="6"/>
    <x v="0"/>
    <n v="1668.02"/>
    <n v="0"/>
    <n v="0"/>
  </r>
  <r>
    <x v="15"/>
    <x v="7"/>
    <x v="0"/>
    <n v="280.71"/>
    <n v="0"/>
    <n v="0"/>
  </r>
  <r>
    <x v="15"/>
    <x v="8"/>
    <x v="0"/>
    <n v="543.12"/>
    <n v="0"/>
    <n v="0"/>
  </r>
  <r>
    <x v="15"/>
    <x v="9"/>
    <x v="0"/>
    <n v="450.11"/>
    <n v="0"/>
    <n v="0"/>
  </r>
  <r>
    <x v="15"/>
    <x v="10"/>
    <x v="0"/>
    <n v="1678.29"/>
    <n v="0"/>
    <n v="0"/>
  </r>
  <r>
    <x v="16"/>
    <x v="0"/>
    <x v="0"/>
    <n v="1072.69"/>
    <n v="0"/>
    <n v="0"/>
  </r>
  <r>
    <x v="16"/>
    <x v="1"/>
    <x v="0"/>
    <n v="2412.75"/>
    <n v="0"/>
    <n v="0"/>
  </r>
  <r>
    <x v="16"/>
    <x v="2"/>
    <x v="0"/>
    <n v="3354.85"/>
    <n v="0"/>
    <n v="0"/>
  </r>
  <r>
    <x v="16"/>
    <x v="3"/>
    <x v="0"/>
    <n v="3254.01"/>
    <n v="0"/>
    <n v="0"/>
  </r>
  <r>
    <x v="16"/>
    <x v="4"/>
    <x v="0"/>
    <n v="3659.52"/>
    <n v="0"/>
    <n v="0"/>
  </r>
  <r>
    <x v="16"/>
    <x v="5"/>
    <x v="0"/>
    <n v="1271.05"/>
    <n v="0"/>
    <n v="0"/>
  </r>
  <r>
    <x v="16"/>
    <x v="6"/>
    <x v="0"/>
    <n v="1603.76"/>
    <n v="0"/>
    <n v="0"/>
  </r>
  <r>
    <x v="16"/>
    <x v="7"/>
    <x v="0"/>
    <n v="266.69"/>
    <n v="0"/>
    <n v="0"/>
  </r>
  <r>
    <x v="16"/>
    <x v="8"/>
    <x v="0"/>
    <n v="630.24"/>
    <n v="0"/>
    <n v="0"/>
  </r>
  <r>
    <x v="16"/>
    <x v="9"/>
    <x v="0"/>
    <n v="530.95"/>
    <n v="0"/>
    <n v="0"/>
  </r>
  <r>
    <x v="16"/>
    <x v="10"/>
    <x v="0"/>
    <n v="1896.86"/>
    <n v="0"/>
    <n v="0"/>
  </r>
  <r>
    <x v="17"/>
    <x v="0"/>
    <x v="0"/>
    <n v="972.92"/>
    <n v="0"/>
    <n v="0"/>
  </r>
  <r>
    <x v="17"/>
    <x v="1"/>
    <x v="0"/>
    <n v="3044.43"/>
    <n v="0"/>
    <n v="0"/>
  </r>
  <r>
    <x v="17"/>
    <x v="2"/>
    <x v="0"/>
    <n v="3554.28"/>
    <n v="0"/>
    <n v="0"/>
  </r>
  <r>
    <x v="17"/>
    <x v="3"/>
    <x v="0"/>
    <n v="3187.47"/>
    <n v="0"/>
    <n v="0"/>
  </r>
  <r>
    <x v="17"/>
    <x v="4"/>
    <x v="0"/>
    <n v="3735.33"/>
    <n v="0"/>
    <n v="0"/>
  </r>
  <r>
    <x v="17"/>
    <x v="5"/>
    <x v="0"/>
    <n v="1385.52"/>
    <n v="0"/>
    <n v="0"/>
  </r>
  <r>
    <x v="17"/>
    <x v="6"/>
    <x v="0"/>
    <n v="1887.73"/>
    <n v="0"/>
    <n v="0"/>
  </r>
  <r>
    <x v="17"/>
    <x v="7"/>
    <x v="0"/>
    <n v="412.6"/>
    <n v="0"/>
    <n v="0"/>
  </r>
  <r>
    <x v="17"/>
    <x v="8"/>
    <x v="0"/>
    <n v="517.34"/>
    <n v="0"/>
    <n v="0"/>
  </r>
  <r>
    <x v="17"/>
    <x v="9"/>
    <x v="0"/>
    <n v="483.9"/>
    <n v="0"/>
    <n v="0"/>
  </r>
  <r>
    <x v="17"/>
    <x v="10"/>
    <x v="0"/>
    <n v="1820.26"/>
    <n v="0"/>
    <n v="0"/>
  </r>
  <r>
    <x v="18"/>
    <x v="0"/>
    <x v="0"/>
    <n v="1086.69"/>
    <n v="0"/>
    <n v="0"/>
  </r>
  <r>
    <x v="18"/>
    <x v="1"/>
    <x v="0"/>
    <n v="2729.57"/>
    <n v="0"/>
    <n v="0"/>
  </r>
  <r>
    <x v="18"/>
    <x v="2"/>
    <x v="0"/>
    <n v="3599.5"/>
    <n v="0"/>
    <n v="0"/>
  </r>
  <r>
    <x v="18"/>
    <x v="3"/>
    <x v="0"/>
    <n v="3098.36"/>
    <n v="0"/>
    <n v="0"/>
  </r>
  <r>
    <x v="18"/>
    <x v="4"/>
    <x v="0"/>
    <n v="3352.78"/>
    <n v="0"/>
    <n v="0"/>
  </r>
  <r>
    <x v="18"/>
    <x v="5"/>
    <x v="0"/>
    <n v="1275"/>
    <n v="0"/>
    <n v="0"/>
  </r>
  <r>
    <x v="18"/>
    <x v="6"/>
    <x v="0"/>
    <n v="1777.59"/>
    <n v="0"/>
    <n v="0"/>
  </r>
  <r>
    <x v="18"/>
    <x v="7"/>
    <x v="0"/>
    <n v="374.64"/>
    <n v="0"/>
    <n v="0"/>
  </r>
  <r>
    <x v="18"/>
    <x v="8"/>
    <x v="0"/>
    <n v="572.25"/>
    <n v="0"/>
    <n v="0"/>
  </r>
  <r>
    <x v="18"/>
    <x v="9"/>
    <x v="0"/>
    <n v="570.02"/>
    <n v="0"/>
    <n v="0"/>
  </r>
  <r>
    <x v="18"/>
    <x v="10"/>
    <x v="0"/>
    <n v="1863.48"/>
    <n v="0"/>
    <n v="0"/>
  </r>
  <r>
    <x v="19"/>
    <x v="0"/>
    <x v="0"/>
    <n v="1046.49"/>
    <n v="0"/>
    <n v="0"/>
  </r>
  <r>
    <x v="19"/>
    <x v="1"/>
    <x v="0"/>
    <n v="2505.71"/>
    <n v="0"/>
    <n v="0"/>
  </r>
  <r>
    <x v="19"/>
    <x v="2"/>
    <x v="0"/>
    <n v="3223.1"/>
    <n v="0"/>
    <n v="0"/>
  </r>
  <r>
    <x v="19"/>
    <x v="3"/>
    <x v="0"/>
    <n v="3202.11"/>
    <n v="0"/>
    <n v="0"/>
  </r>
  <r>
    <x v="19"/>
    <x v="4"/>
    <x v="0"/>
    <n v="3717.85"/>
    <n v="0"/>
    <n v="0"/>
  </r>
  <r>
    <x v="19"/>
    <x v="5"/>
    <x v="0"/>
    <n v="1343.77"/>
    <n v="0"/>
    <n v="0"/>
  </r>
  <r>
    <x v="19"/>
    <x v="6"/>
    <x v="0"/>
    <n v="1694.8"/>
    <n v="0"/>
    <n v="0"/>
  </r>
  <r>
    <x v="19"/>
    <x v="7"/>
    <x v="0"/>
    <n v="471.27"/>
    <n v="0"/>
    <n v="0"/>
  </r>
  <r>
    <x v="19"/>
    <x v="8"/>
    <x v="0"/>
    <n v="507.38"/>
    <n v="0"/>
    <n v="0"/>
  </r>
  <r>
    <x v="19"/>
    <x v="9"/>
    <x v="0"/>
    <n v="482.28"/>
    <n v="0"/>
    <n v="0"/>
  </r>
  <r>
    <x v="19"/>
    <x v="10"/>
    <x v="0"/>
    <n v="1871.96"/>
    <n v="0"/>
    <n v="0"/>
  </r>
  <r>
    <x v="20"/>
    <x v="0"/>
    <x v="0"/>
    <n v="1112.99"/>
    <n v="0"/>
    <n v="0"/>
  </r>
  <r>
    <x v="20"/>
    <x v="1"/>
    <x v="0"/>
    <n v="1761.08"/>
    <n v="0"/>
    <n v="0"/>
  </r>
  <r>
    <x v="20"/>
    <x v="2"/>
    <x v="0"/>
    <n v="3553.94"/>
    <n v="0"/>
    <n v="0"/>
  </r>
  <r>
    <x v="20"/>
    <x v="3"/>
    <x v="0"/>
    <n v="3221.04"/>
    <n v="0"/>
    <n v="0"/>
  </r>
  <r>
    <x v="20"/>
    <x v="4"/>
    <x v="0"/>
    <n v="3563.48"/>
    <n v="0"/>
    <n v="0"/>
  </r>
  <r>
    <x v="20"/>
    <x v="5"/>
    <x v="0"/>
    <n v="1068.28"/>
    <n v="0"/>
    <n v="0"/>
  </r>
  <r>
    <x v="20"/>
    <x v="6"/>
    <x v="0"/>
    <n v="1767.17"/>
    <n v="0"/>
    <n v="0"/>
  </r>
  <r>
    <x v="20"/>
    <x v="7"/>
    <x v="0"/>
    <n v="310.58"/>
    <n v="0"/>
    <n v="0"/>
  </r>
  <r>
    <x v="20"/>
    <x v="8"/>
    <x v="0"/>
    <n v="586.27"/>
    <n v="0"/>
    <n v="0"/>
  </r>
  <r>
    <x v="20"/>
    <x v="9"/>
    <x v="0"/>
    <n v="504.29"/>
    <n v="0"/>
    <n v="0"/>
  </r>
  <r>
    <x v="20"/>
    <x v="10"/>
    <x v="0"/>
    <n v="1847.39"/>
    <n v="0"/>
    <n v="0"/>
  </r>
  <r>
    <x v="21"/>
    <x v="0"/>
    <x v="0"/>
    <n v="1080.08"/>
    <n v="0"/>
    <n v="0"/>
  </r>
  <r>
    <x v="21"/>
    <x v="1"/>
    <x v="0"/>
    <n v="2181.85"/>
    <n v="0"/>
    <n v="0"/>
  </r>
  <r>
    <x v="21"/>
    <x v="2"/>
    <x v="0"/>
    <n v="3158.74"/>
    <n v="0"/>
    <n v="0"/>
  </r>
  <r>
    <x v="21"/>
    <x v="3"/>
    <x v="0"/>
    <n v="3062.32"/>
    <n v="0"/>
    <n v="0"/>
  </r>
  <r>
    <x v="21"/>
    <x v="4"/>
    <x v="0"/>
    <n v="3947.58"/>
    <n v="0"/>
    <n v="0"/>
  </r>
  <r>
    <x v="21"/>
    <x v="5"/>
    <x v="0"/>
    <n v="1366.97"/>
    <n v="0"/>
    <n v="0"/>
  </r>
  <r>
    <x v="21"/>
    <x v="6"/>
    <x v="0"/>
    <n v="1647.44"/>
    <n v="0"/>
    <n v="0"/>
  </r>
  <r>
    <x v="21"/>
    <x v="7"/>
    <x v="0"/>
    <n v="460.48"/>
    <n v="0"/>
    <n v="0"/>
  </r>
  <r>
    <x v="21"/>
    <x v="8"/>
    <x v="0"/>
    <n v="508.39"/>
    <n v="0"/>
    <n v="0"/>
  </r>
  <r>
    <x v="21"/>
    <x v="9"/>
    <x v="0"/>
    <n v="500.82"/>
    <n v="0"/>
    <n v="0"/>
  </r>
  <r>
    <x v="21"/>
    <x v="10"/>
    <x v="0"/>
    <n v="1996.92"/>
    <n v="0"/>
    <n v="0"/>
  </r>
  <r>
    <x v="22"/>
    <x v="0"/>
    <x v="0"/>
    <n v="1123.6"/>
    <n v="0"/>
    <n v="0"/>
  </r>
  <r>
    <x v="22"/>
    <x v="1"/>
    <x v="0"/>
    <n v="2371.79"/>
    <n v="0"/>
    <n v="0"/>
  </r>
  <r>
    <x v="22"/>
    <x v="2"/>
    <x v="0"/>
    <n v="3268.14"/>
    <n v="0"/>
    <n v="0"/>
  </r>
  <r>
    <x v="22"/>
    <x v="3"/>
    <x v="0"/>
    <n v="3168.94"/>
    <n v="0"/>
    <n v="0"/>
  </r>
  <r>
    <x v="22"/>
    <x v="4"/>
    <x v="0"/>
    <n v="3649.88"/>
    <n v="0"/>
    <n v="0"/>
  </r>
  <r>
    <x v="22"/>
    <x v="5"/>
    <x v="0"/>
    <n v="1270.03"/>
    <n v="0"/>
    <n v="0"/>
  </r>
  <r>
    <x v="22"/>
    <x v="6"/>
    <x v="0"/>
    <n v="1996.51"/>
    <n v="0"/>
    <n v="0"/>
  </r>
  <r>
    <x v="22"/>
    <x v="7"/>
    <x v="0"/>
    <n v="314.37"/>
    <n v="0"/>
    <n v="0"/>
  </r>
  <r>
    <x v="22"/>
    <x v="8"/>
    <x v="0"/>
    <n v="496.37"/>
    <n v="0"/>
    <n v="0"/>
  </r>
  <r>
    <x v="22"/>
    <x v="9"/>
    <x v="0"/>
    <n v="526.13"/>
    <n v="0"/>
    <n v="0"/>
  </r>
  <r>
    <x v="22"/>
    <x v="10"/>
    <x v="0"/>
    <n v="1971.54"/>
    <n v="0"/>
    <n v="0"/>
  </r>
  <r>
    <x v="23"/>
    <x v="0"/>
    <x v="0"/>
    <n v="811.96"/>
    <n v="0"/>
    <n v="0"/>
  </r>
  <r>
    <x v="23"/>
    <x v="1"/>
    <x v="0"/>
    <n v="2094.89"/>
    <n v="0"/>
    <n v="0"/>
  </r>
  <r>
    <x v="23"/>
    <x v="2"/>
    <x v="0"/>
    <n v="3255.58"/>
    <n v="0"/>
    <n v="0"/>
  </r>
  <r>
    <x v="23"/>
    <x v="3"/>
    <x v="0"/>
    <n v="2962.16"/>
    <n v="0"/>
    <n v="0"/>
  </r>
  <r>
    <x v="23"/>
    <x v="4"/>
    <x v="0"/>
    <n v="3350.1"/>
    <n v="0"/>
    <n v="0"/>
  </r>
  <r>
    <x v="23"/>
    <x v="5"/>
    <x v="0"/>
    <n v="1273.11"/>
    <n v="0"/>
    <n v="0"/>
  </r>
  <r>
    <x v="23"/>
    <x v="6"/>
    <x v="0"/>
    <n v="1957.97"/>
    <n v="0"/>
    <n v="0"/>
  </r>
  <r>
    <x v="23"/>
    <x v="7"/>
    <x v="0"/>
    <n v="448.4"/>
    <n v="0"/>
    <n v="0"/>
  </r>
  <r>
    <x v="23"/>
    <x v="8"/>
    <x v="0"/>
    <n v="463.46"/>
    <n v="0"/>
    <n v="0"/>
  </r>
  <r>
    <x v="23"/>
    <x v="9"/>
    <x v="0"/>
    <n v="444.99"/>
    <n v="0"/>
    <n v="0"/>
  </r>
  <r>
    <x v="23"/>
    <x v="10"/>
    <x v="0"/>
    <n v="1901.52"/>
    <n v="0"/>
    <n v="0"/>
  </r>
  <r>
    <x v="24"/>
    <x v="0"/>
    <x v="0"/>
    <n v="1114.64"/>
    <n v="0"/>
    <n v="0"/>
  </r>
  <r>
    <x v="24"/>
    <x v="1"/>
    <x v="0"/>
    <n v="2544.7"/>
    <n v="0"/>
    <n v="0"/>
  </r>
  <r>
    <x v="24"/>
    <x v="2"/>
    <x v="0"/>
    <n v="2849.21"/>
    <n v="0"/>
    <n v="0"/>
  </r>
  <r>
    <x v="24"/>
    <x v="3"/>
    <x v="0"/>
    <n v="3070.13"/>
    <n v="0"/>
    <n v="0"/>
  </r>
  <r>
    <x v="24"/>
    <x v="4"/>
    <x v="0"/>
    <n v="3311.62"/>
    <n v="0"/>
    <n v="0"/>
  </r>
  <r>
    <x v="24"/>
    <x v="5"/>
    <x v="0"/>
    <n v="1482.92"/>
    <n v="0"/>
    <n v="0"/>
  </r>
  <r>
    <x v="24"/>
    <x v="6"/>
    <x v="0"/>
    <n v="1808.72"/>
    <n v="0"/>
    <n v="0"/>
  </r>
  <r>
    <x v="24"/>
    <x v="7"/>
    <x v="0"/>
    <n v="339.59"/>
    <n v="0"/>
    <n v="0"/>
  </r>
  <r>
    <x v="24"/>
    <x v="8"/>
    <x v="0"/>
    <n v="480.41"/>
    <n v="0"/>
    <n v="0"/>
  </r>
  <r>
    <x v="24"/>
    <x v="9"/>
    <x v="0"/>
    <n v="424.03"/>
    <n v="0"/>
    <n v="0"/>
  </r>
  <r>
    <x v="24"/>
    <x v="10"/>
    <x v="0"/>
    <n v="1965.98"/>
    <n v="0"/>
    <n v="0"/>
  </r>
  <r>
    <x v="25"/>
    <x v="0"/>
    <x v="0"/>
    <n v="1116.5"/>
    <n v="0"/>
    <n v="0"/>
  </r>
  <r>
    <x v="25"/>
    <x v="1"/>
    <x v="0"/>
    <n v="2327.79"/>
    <n v="0"/>
    <n v="0"/>
  </r>
  <r>
    <x v="25"/>
    <x v="2"/>
    <x v="0"/>
    <n v="2832.74"/>
    <n v="0"/>
    <n v="0"/>
  </r>
  <r>
    <x v="25"/>
    <x v="3"/>
    <x v="0"/>
    <n v="3143.71"/>
    <n v="0"/>
    <n v="0"/>
  </r>
  <r>
    <x v="25"/>
    <x v="4"/>
    <x v="0"/>
    <n v="3315.49"/>
    <n v="0"/>
    <n v="0"/>
  </r>
  <r>
    <x v="25"/>
    <x v="5"/>
    <x v="0"/>
    <n v="1286.17"/>
    <n v="0"/>
    <n v="0"/>
  </r>
  <r>
    <x v="25"/>
    <x v="6"/>
    <x v="0"/>
    <n v="1769.49"/>
    <n v="0"/>
    <n v="0"/>
  </r>
  <r>
    <x v="25"/>
    <x v="7"/>
    <x v="0"/>
    <n v="384.56"/>
    <n v="0"/>
    <n v="0"/>
  </r>
  <r>
    <x v="25"/>
    <x v="8"/>
    <x v="0"/>
    <n v="553.3200000000001"/>
    <n v="0"/>
    <n v="0"/>
  </r>
  <r>
    <x v="25"/>
    <x v="9"/>
    <x v="0"/>
    <n v="483.09"/>
    <n v="0"/>
    <n v="0"/>
  </r>
  <r>
    <x v="25"/>
    <x v="10"/>
    <x v="0"/>
    <n v="1998.24"/>
    <n v="0"/>
    <n v="0"/>
  </r>
  <r>
    <x v="26"/>
    <x v="0"/>
    <x v="0"/>
    <n v="988.3200000000001"/>
    <n v="0"/>
    <n v="0"/>
  </r>
  <r>
    <x v="26"/>
    <x v="1"/>
    <x v="0"/>
    <n v="1810.21"/>
    <n v="0"/>
    <n v="0"/>
  </r>
  <r>
    <x v="26"/>
    <x v="2"/>
    <x v="0"/>
    <n v="2568.12"/>
    <n v="0"/>
    <n v="0"/>
  </r>
  <r>
    <x v="26"/>
    <x v="3"/>
    <x v="0"/>
    <n v="2933.55"/>
    <n v="0"/>
    <n v="0"/>
  </r>
  <r>
    <x v="26"/>
    <x v="4"/>
    <x v="0"/>
    <n v="3400.61"/>
    <n v="0"/>
    <n v="0"/>
  </r>
  <r>
    <x v="26"/>
    <x v="5"/>
    <x v="0"/>
    <n v="1316.22"/>
    <n v="0"/>
    <n v="0"/>
  </r>
  <r>
    <x v="26"/>
    <x v="6"/>
    <x v="0"/>
    <n v="1540.78"/>
    <n v="0"/>
    <n v="0"/>
  </r>
  <r>
    <x v="26"/>
    <x v="7"/>
    <x v="0"/>
    <n v="427.48"/>
    <n v="0"/>
    <n v="0"/>
  </r>
  <r>
    <x v="26"/>
    <x v="8"/>
    <x v="0"/>
    <n v="480.39"/>
    <n v="0"/>
    <n v="0"/>
  </r>
  <r>
    <x v="26"/>
    <x v="9"/>
    <x v="0"/>
    <n v="405.24"/>
    <n v="0"/>
    <n v="0"/>
  </r>
  <r>
    <x v="26"/>
    <x v="10"/>
    <x v="0"/>
    <n v="1560.26"/>
    <n v="0"/>
    <n v="0"/>
  </r>
  <r>
    <x v="27"/>
    <x v="0"/>
    <x v="0"/>
    <n v="995.8200000000001"/>
    <n v="0"/>
    <n v="0"/>
  </r>
  <r>
    <x v="27"/>
    <x v="1"/>
    <x v="0"/>
    <n v="2078.9"/>
    <n v="0"/>
    <n v="0"/>
  </r>
  <r>
    <x v="27"/>
    <x v="2"/>
    <x v="0"/>
    <n v="2299.37"/>
    <n v="0"/>
    <n v="0"/>
  </r>
  <r>
    <x v="27"/>
    <x v="3"/>
    <x v="0"/>
    <n v="2908.48"/>
    <n v="0"/>
    <n v="0"/>
  </r>
  <r>
    <x v="27"/>
    <x v="4"/>
    <x v="0"/>
    <n v="3447.49"/>
    <n v="0"/>
    <n v="0"/>
  </r>
  <r>
    <x v="27"/>
    <x v="5"/>
    <x v="0"/>
    <n v="1127.33"/>
    <n v="0"/>
    <n v="0"/>
  </r>
  <r>
    <x v="27"/>
    <x v="6"/>
    <x v="0"/>
    <n v="1665.01"/>
    <n v="0"/>
    <n v="0"/>
  </r>
  <r>
    <x v="27"/>
    <x v="7"/>
    <x v="0"/>
    <n v="338.62"/>
    <n v="0"/>
    <n v="0"/>
  </r>
  <r>
    <x v="27"/>
    <x v="8"/>
    <x v="0"/>
    <n v="430.47"/>
    <n v="0"/>
    <n v="0"/>
  </r>
  <r>
    <x v="27"/>
    <x v="9"/>
    <x v="0"/>
    <n v="382.98"/>
    <n v="0"/>
    <n v="0"/>
  </r>
  <r>
    <x v="27"/>
    <x v="10"/>
    <x v="0"/>
    <n v="1726.97"/>
    <n v="0"/>
    <n v="0"/>
  </r>
  <r>
    <x v="28"/>
    <x v="0"/>
    <x v="0"/>
    <n v="1035.13"/>
    <n v="0"/>
    <n v="0"/>
  </r>
  <r>
    <x v="28"/>
    <x v="1"/>
    <x v="0"/>
    <n v="2067.94"/>
    <n v="0"/>
    <n v="0"/>
  </r>
  <r>
    <x v="28"/>
    <x v="2"/>
    <x v="0"/>
    <n v="2914.6"/>
    <n v="0"/>
    <n v="0"/>
  </r>
  <r>
    <x v="28"/>
    <x v="3"/>
    <x v="0"/>
    <n v="3285.54"/>
    <n v="0"/>
    <n v="0"/>
  </r>
  <r>
    <x v="28"/>
    <x v="4"/>
    <x v="0"/>
    <n v="3461.93"/>
    <n v="0"/>
    <n v="0"/>
  </r>
  <r>
    <x v="28"/>
    <x v="5"/>
    <x v="0"/>
    <n v="1435.01"/>
    <n v="0"/>
    <n v="0"/>
  </r>
  <r>
    <x v="28"/>
    <x v="6"/>
    <x v="0"/>
    <n v="1972.57"/>
    <n v="0"/>
    <n v="0"/>
  </r>
  <r>
    <x v="28"/>
    <x v="7"/>
    <x v="0"/>
    <n v="286.53"/>
    <n v="0"/>
    <n v="0"/>
  </r>
  <r>
    <x v="28"/>
    <x v="8"/>
    <x v="0"/>
    <n v="609.3"/>
    <n v="0"/>
    <n v="0"/>
  </r>
  <r>
    <x v="28"/>
    <x v="9"/>
    <x v="0"/>
    <n v="371.12"/>
    <n v="0"/>
    <n v="0"/>
  </r>
  <r>
    <x v="28"/>
    <x v="10"/>
    <x v="0"/>
    <n v="1971.56"/>
    <n v="0"/>
    <n v="0"/>
  </r>
  <r>
    <x v="29"/>
    <x v="0"/>
    <x v="0"/>
    <n v="985.36"/>
    <n v="0"/>
    <n v="0"/>
  </r>
  <r>
    <x v="29"/>
    <x v="1"/>
    <x v="0"/>
    <n v="2293.8"/>
    <n v="0"/>
    <n v="0"/>
  </r>
  <r>
    <x v="29"/>
    <x v="2"/>
    <x v="0"/>
    <n v="2586.92"/>
    <n v="0"/>
    <n v="0"/>
  </r>
  <r>
    <x v="29"/>
    <x v="3"/>
    <x v="0"/>
    <n v="3185.67"/>
    <n v="0"/>
    <n v="0"/>
  </r>
  <r>
    <x v="29"/>
    <x v="4"/>
    <x v="0"/>
    <n v="3529.4"/>
    <n v="0"/>
    <n v="0"/>
  </r>
  <r>
    <x v="29"/>
    <x v="5"/>
    <x v="0"/>
    <n v="1308.74"/>
    <n v="0"/>
    <n v="0"/>
  </r>
  <r>
    <x v="29"/>
    <x v="6"/>
    <x v="0"/>
    <n v="2017.53"/>
    <n v="0"/>
    <n v="0"/>
  </r>
  <r>
    <x v="29"/>
    <x v="7"/>
    <x v="0"/>
    <n v="313.6"/>
    <n v="0"/>
    <n v="0"/>
  </r>
  <r>
    <x v="29"/>
    <x v="8"/>
    <x v="0"/>
    <n v="504.41"/>
    <n v="0"/>
    <n v="0"/>
  </r>
  <r>
    <x v="29"/>
    <x v="9"/>
    <x v="0"/>
    <n v="425.62"/>
    <n v="0"/>
    <n v="0"/>
  </r>
  <r>
    <x v="29"/>
    <x v="10"/>
    <x v="0"/>
    <n v="1817.86"/>
    <n v="0"/>
    <n v="0"/>
  </r>
  <r>
    <x v="30"/>
    <x v="0"/>
    <x v="0"/>
    <n v="1208.29"/>
    <n v="0"/>
    <n v="0"/>
  </r>
  <r>
    <x v="30"/>
    <x v="1"/>
    <x v="0"/>
    <n v="1993.69"/>
    <n v="0"/>
    <n v="0"/>
  </r>
  <r>
    <x v="30"/>
    <x v="2"/>
    <x v="0"/>
    <n v="2485.78"/>
    <n v="0"/>
    <n v="0"/>
  </r>
  <r>
    <x v="30"/>
    <x v="3"/>
    <x v="0"/>
    <n v="3032.95"/>
    <n v="0"/>
    <n v="0"/>
  </r>
  <r>
    <x v="30"/>
    <x v="4"/>
    <x v="0"/>
    <n v="3302.58"/>
    <n v="0"/>
    <n v="0"/>
  </r>
  <r>
    <x v="30"/>
    <x v="5"/>
    <x v="0"/>
    <n v="1465.09"/>
    <n v="0"/>
    <n v="0"/>
  </r>
  <r>
    <x v="30"/>
    <x v="6"/>
    <x v="0"/>
    <n v="1737.05"/>
    <n v="0"/>
    <n v="0"/>
  </r>
  <r>
    <x v="30"/>
    <x v="7"/>
    <x v="0"/>
    <n v="351.56"/>
    <n v="0"/>
    <n v="0"/>
  </r>
  <r>
    <x v="30"/>
    <x v="8"/>
    <x v="0"/>
    <n v="501.46"/>
    <n v="0"/>
    <n v="0"/>
  </r>
  <r>
    <x v="30"/>
    <x v="9"/>
    <x v="0"/>
    <n v="372.06"/>
    <n v="0"/>
    <n v="0"/>
  </r>
  <r>
    <x v="30"/>
    <x v="10"/>
    <x v="0"/>
    <n v="1883.2"/>
    <n v="0"/>
    <n v="0"/>
  </r>
  <r>
    <x v="31"/>
    <x v="0"/>
    <x v="0"/>
    <n v="988.9"/>
    <n v="0"/>
    <n v="0"/>
  </r>
  <r>
    <x v="31"/>
    <x v="1"/>
    <x v="0"/>
    <n v="1984.98"/>
    <n v="0"/>
    <n v="0"/>
  </r>
  <r>
    <x v="31"/>
    <x v="2"/>
    <x v="0"/>
    <n v="2330.47"/>
    <n v="0"/>
    <n v="0"/>
  </r>
  <r>
    <x v="31"/>
    <x v="3"/>
    <x v="0"/>
    <n v="3212.43"/>
    <n v="0"/>
    <n v="0"/>
  </r>
  <r>
    <x v="31"/>
    <x v="4"/>
    <x v="0"/>
    <n v="3509.55"/>
    <n v="0"/>
    <n v="0"/>
  </r>
  <r>
    <x v="31"/>
    <x v="5"/>
    <x v="0"/>
    <n v="1450.85"/>
    <n v="0"/>
    <n v="0"/>
  </r>
  <r>
    <x v="31"/>
    <x v="6"/>
    <x v="0"/>
    <n v="1940.48"/>
    <n v="0"/>
    <n v="0"/>
  </r>
  <r>
    <x v="31"/>
    <x v="7"/>
    <x v="0"/>
    <n v="203.71"/>
    <n v="0"/>
    <n v="0"/>
  </r>
  <r>
    <x v="31"/>
    <x v="8"/>
    <x v="0"/>
    <n v="410.45"/>
    <n v="0"/>
    <n v="0"/>
  </r>
  <r>
    <x v="31"/>
    <x v="9"/>
    <x v="0"/>
    <n v="417.26"/>
    <n v="0"/>
    <n v="0"/>
  </r>
  <r>
    <x v="31"/>
    <x v="10"/>
    <x v="0"/>
    <n v="1869.91"/>
    <n v="0"/>
    <n v="0"/>
  </r>
  <r>
    <x v="32"/>
    <x v="0"/>
    <x v="0"/>
    <n v="1038.45"/>
    <n v="0"/>
    <n v="0"/>
  </r>
  <r>
    <x v="32"/>
    <x v="1"/>
    <x v="0"/>
    <n v="2219.89"/>
    <n v="0"/>
    <n v="0"/>
  </r>
  <r>
    <x v="32"/>
    <x v="2"/>
    <x v="0"/>
    <n v="2358.43"/>
    <n v="0"/>
    <n v="0"/>
  </r>
  <r>
    <x v="32"/>
    <x v="3"/>
    <x v="0"/>
    <n v="2843.06"/>
    <n v="0"/>
    <n v="0"/>
  </r>
  <r>
    <x v="32"/>
    <x v="4"/>
    <x v="0"/>
    <n v="3314.52"/>
    <n v="0"/>
    <n v="0"/>
  </r>
  <r>
    <x v="32"/>
    <x v="5"/>
    <x v="0"/>
    <n v="1461.9"/>
    <n v="0"/>
    <n v="0"/>
  </r>
  <r>
    <x v="32"/>
    <x v="6"/>
    <x v="0"/>
    <n v="1958.18"/>
    <n v="0"/>
    <n v="0"/>
  </r>
  <r>
    <x v="32"/>
    <x v="7"/>
    <x v="0"/>
    <n v="306.59"/>
    <n v="0"/>
    <n v="0"/>
  </r>
  <r>
    <x v="32"/>
    <x v="8"/>
    <x v="0"/>
    <n v="509.4"/>
    <n v="0"/>
    <n v="0"/>
  </r>
  <r>
    <x v="32"/>
    <x v="9"/>
    <x v="0"/>
    <n v="364.46"/>
    <n v="0"/>
    <n v="0"/>
  </r>
  <r>
    <x v="32"/>
    <x v="10"/>
    <x v="0"/>
    <n v="1956.22"/>
    <n v="0"/>
    <n v="0"/>
  </r>
  <r>
    <x v="33"/>
    <x v="0"/>
    <x v="0"/>
    <n v="1011.46"/>
    <n v="0"/>
    <n v="0"/>
  </r>
  <r>
    <x v="33"/>
    <x v="1"/>
    <x v="0"/>
    <n v="2349.16"/>
    <n v="0"/>
    <n v="0"/>
  </r>
  <r>
    <x v="33"/>
    <x v="2"/>
    <x v="0"/>
    <n v="2072.96"/>
    <n v="0"/>
    <n v="0"/>
  </r>
  <r>
    <x v="33"/>
    <x v="3"/>
    <x v="0"/>
    <n v="2587.44"/>
    <n v="0"/>
    <n v="0"/>
  </r>
  <r>
    <x v="33"/>
    <x v="4"/>
    <x v="0"/>
    <n v="3165.66"/>
    <n v="0"/>
    <n v="0"/>
  </r>
  <r>
    <x v="33"/>
    <x v="5"/>
    <x v="0"/>
    <n v="1473.05"/>
    <n v="0"/>
    <n v="0"/>
  </r>
  <r>
    <x v="33"/>
    <x v="6"/>
    <x v="0"/>
    <n v="1794.54"/>
    <n v="0"/>
    <n v="0"/>
  </r>
  <r>
    <x v="33"/>
    <x v="7"/>
    <x v="0"/>
    <n v="332.58"/>
    <n v="0"/>
    <n v="0"/>
  </r>
  <r>
    <x v="33"/>
    <x v="8"/>
    <x v="0"/>
    <n v="449.46"/>
    <n v="0"/>
    <n v="0"/>
  </r>
  <r>
    <x v="33"/>
    <x v="9"/>
    <x v="0"/>
    <n v="316.79"/>
    <n v="0"/>
    <n v="0"/>
  </r>
  <r>
    <x v="33"/>
    <x v="10"/>
    <x v="0"/>
    <n v="1776.73"/>
    <n v="0"/>
    <n v="0"/>
  </r>
  <r>
    <x v="34"/>
    <x v="0"/>
    <x v="0"/>
    <n v="1159.32"/>
    <n v="0"/>
    <n v="0"/>
  </r>
  <r>
    <x v="34"/>
    <x v="1"/>
    <x v="0"/>
    <n v="2128.88"/>
    <n v="0"/>
    <n v="0"/>
  </r>
  <r>
    <x v="34"/>
    <x v="2"/>
    <x v="0"/>
    <n v="2394.61"/>
    <n v="0"/>
    <n v="0"/>
  </r>
  <r>
    <x v="34"/>
    <x v="3"/>
    <x v="0"/>
    <n v="3215.42"/>
    <n v="0"/>
    <n v="0"/>
  </r>
  <r>
    <x v="34"/>
    <x v="4"/>
    <x v="0"/>
    <n v="3071.83"/>
    <n v="0"/>
    <n v="0"/>
  </r>
  <r>
    <x v="34"/>
    <x v="5"/>
    <x v="0"/>
    <n v="1175.4"/>
    <n v="0"/>
    <n v="0"/>
  </r>
  <r>
    <x v="34"/>
    <x v="6"/>
    <x v="0"/>
    <n v="2089.15"/>
    <n v="0"/>
    <n v="0"/>
  </r>
  <r>
    <x v="34"/>
    <x v="7"/>
    <x v="0"/>
    <n v="272.62"/>
    <n v="0"/>
    <n v="0"/>
  </r>
  <r>
    <x v="34"/>
    <x v="8"/>
    <x v="0"/>
    <n v="696.15"/>
    <n v="0"/>
    <n v="0"/>
  </r>
  <r>
    <x v="34"/>
    <x v="9"/>
    <x v="0"/>
    <n v="307.62"/>
    <n v="0"/>
    <n v="0"/>
  </r>
  <r>
    <x v="34"/>
    <x v="10"/>
    <x v="0"/>
    <n v="1771.78"/>
    <n v="0"/>
    <n v="0"/>
  </r>
  <r>
    <x v="35"/>
    <x v="0"/>
    <x v="0"/>
    <n v="1045.64"/>
    <n v="0"/>
    <n v="0"/>
  </r>
  <r>
    <x v="35"/>
    <x v="1"/>
    <x v="0"/>
    <n v="1925.01"/>
    <n v="0"/>
    <n v="0"/>
  </r>
  <r>
    <x v="35"/>
    <x v="2"/>
    <x v="0"/>
    <n v="1945.81"/>
    <n v="0"/>
    <n v="0"/>
  </r>
  <r>
    <x v="35"/>
    <x v="3"/>
    <x v="0"/>
    <n v="3126.55"/>
    <n v="0"/>
    <n v="0"/>
  </r>
  <r>
    <x v="35"/>
    <x v="4"/>
    <x v="0"/>
    <n v="3039.24"/>
    <n v="0"/>
    <n v="0"/>
  </r>
  <r>
    <x v="35"/>
    <x v="5"/>
    <x v="0"/>
    <n v="1276.68"/>
    <n v="0"/>
    <n v="0"/>
  </r>
  <r>
    <x v="35"/>
    <x v="6"/>
    <x v="0"/>
    <n v="1936.94"/>
    <n v="0"/>
    <n v="0"/>
  </r>
  <r>
    <x v="35"/>
    <x v="7"/>
    <x v="0"/>
    <n v="190.66"/>
    <n v="0"/>
    <n v="0"/>
  </r>
  <r>
    <x v="35"/>
    <x v="8"/>
    <x v="0"/>
    <n v="555.45"/>
    <n v="0"/>
    <n v="0"/>
  </r>
  <r>
    <x v="35"/>
    <x v="9"/>
    <x v="0"/>
    <n v="284.2"/>
    <n v="0"/>
    <n v="0"/>
  </r>
  <r>
    <x v="35"/>
    <x v="10"/>
    <x v="0"/>
    <n v="1773.5"/>
    <n v="0"/>
    <n v="0"/>
  </r>
  <r>
    <x v="36"/>
    <x v="0"/>
    <x v="0"/>
    <n v="1197.6"/>
    <n v="0"/>
    <n v="0"/>
  </r>
  <r>
    <x v="36"/>
    <x v="1"/>
    <x v="0"/>
    <n v="1951.35"/>
    <n v="0"/>
    <n v="0"/>
  </r>
  <r>
    <x v="36"/>
    <x v="2"/>
    <x v="0"/>
    <n v="2127.15"/>
    <n v="0"/>
    <n v="0"/>
  </r>
  <r>
    <x v="36"/>
    <x v="3"/>
    <x v="0"/>
    <n v="2913.81"/>
    <n v="0"/>
    <n v="0"/>
  </r>
  <r>
    <x v="36"/>
    <x v="4"/>
    <x v="0"/>
    <n v="3484.34"/>
    <n v="0"/>
    <n v="0"/>
  </r>
  <r>
    <x v="36"/>
    <x v="5"/>
    <x v="0"/>
    <n v="1412.11"/>
    <n v="0"/>
    <n v="0"/>
  </r>
  <r>
    <x v="36"/>
    <x v="6"/>
    <x v="0"/>
    <n v="2211.16"/>
    <n v="0"/>
    <n v="0"/>
  </r>
  <r>
    <x v="36"/>
    <x v="7"/>
    <x v="0"/>
    <n v="398.29"/>
    <n v="0"/>
    <n v="0"/>
  </r>
  <r>
    <x v="36"/>
    <x v="8"/>
    <x v="0"/>
    <n v="463.42"/>
    <n v="0"/>
    <n v="0"/>
  </r>
  <r>
    <x v="36"/>
    <x v="9"/>
    <x v="0"/>
    <n v="337.32"/>
    <n v="0"/>
    <n v="0"/>
  </r>
  <r>
    <x v="36"/>
    <x v="10"/>
    <x v="0"/>
    <n v="1969.3"/>
    <n v="0"/>
    <n v="0"/>
  </r>
  <r>
    <x v="37"/>
    <x v="0"/>
    <x v="0"/>
    <n v="1040.48"/>
    <n v="0"/>
    <n v="0"/>
  </r>
  <r>
    <x v="37"/>
    <x v="1"/>
    <x v="0"/>
    <n v="1736.11"/>
    <n v="0"/>
    <n v="0"/>
  </r>
  <r>
    <x v="37"/>
    <x v="2"/>
    <x v="0"/>
    <n v="2262.37"/>
    <n v="0"/>
    <n v="0"/>
  </r>
  <r>
    <x v="37"/>
    <x v="3"/>
    <x v="0"/>
    <n v="2955.94"/>
    <n v="0"/>
    <n v="0"/>
  </r>
  <r>
    <x v="37"/>
    <x v="4"/>
    <x v="0"/>
    <n v="3131.69"/>
    <n v="0"/>
    <n v="0"/>
  </r>
  <r>
    <x v="37"/>
    <x v="5"/>
    <x v="0"/>
    <n v="1410.07"/>
    <n v="0"/>
    <n v="0"/>
  </r>
  <r>
    <x v="37"/>
    <x v="6"/>
    <x v="0"/>
    <n v="2033.17"/>
    <n v="0"/>
    <n v="0"/>
  </r>
  <r>
    <x v="37"/>
    <x v="7"/>
    <x v="0"/>
    <n v="293.54"/>
    <n v="0"/>
    <n v="0"/>
  </r>
  <r>
    <x v="37"/>
    <x v="8"/>
    <x v="0"/>
    <n v="516.54"/>
    <n v="0"/>
    <n v="0"/>
  </r>
  <r>
    <x v="37"/>
    <x v="9"/>
    <x v="0"/>
    <n v="358.23"/>
    <n v="0"/>
    <n v="0"/>
  </r>
  <r>
    <x v="37"/>
    <x v="10"/>
    <x v="0"/>
    <n v="1763.25"/>
    <n v="0"/>
    <n v="0"/>
  </r>
  <r>
    <x v="38"/>
    <x v="0"/>
    <x v="0"/>
    <n v="953.5700000000001"/>
    <n v="0"/>
    <n v="0"/>
  </r>
  <r>
    <x v="38"/>
    <x v="1"/>
    <x v="0"/>
    <n v="1937.03"/>
    <n v="0"/>
    <n v="0"/>
  </r>
  <r>
    <x v="38"/>
    <x v="2"/>
    <x v="0"/>
    <n v="2026.14"/>
    <n v="0"/>
    <n v="0"/>
  </r>
  <r>
    <x v="38"/>
    <x v="3"/>
    <x v="0"/>
    <n v="3016.64"/>
    <n v="0"/>
    <n v="0"/>
  </r>
  <r>
    <x v="38"/>
    <x v="4"/>
    <x v="0"/>
    <n v="3159.62"/>
    <n v="0"/>
    <n v="0"/>
  </r>
  <r>
    <x v="38"/>
    <x v="5"/>
    <x v="0"/>
    <n v="1153.51"/>
    <n v="0"/>
    <n v="0"/>
  </r>
  <r>
    <x v="38"/>
    <x v="6"/>
    <x v="0"/>
    <n v="1987.34"/>
    <n v="0"/>
    <n v="0"/>
  </r>
  <r>
    <x v="38"/>
    <x v="7"/>
    <x v="0"/>
    <n v="345.52"/>
    <n v="0"/>
    <n v="0"/>
  </r>
  <r>
    <x v="38"/>
    <x v="8"/>
    <x v="0"/>
    <n v="494.43"/>
    <n v="0"/>
    <n v="0"/>
  </r>
  <r>
    <x v="38"/>
    <x v="9"/>
    <x v="0"/>
    <n v="388.19"/>
    <n v="0"/>
    <n v="0"/>
  </r>
  <r>
    <x v="38"/>
    <x v="10"/>
    <x v="0"/>
    <n v="1953.71"/>
    <n v="0"/>
    <n v="0"/>
  </r>
  <r>
    <x v="39"/>
    <x v="0"/>
    <x v="0"/>
    <n v="1066.58"/>
    <n v="0"/>
    <n v="0"/>
  </r>
  <r>
    <x v="39"/>
    <x v="1"/>
    <x v="0"/>
    <n v="1807.06"/>
    <n v="0"/>
    <n v="0"/>
  </r>
  <r>
    <x v="39"/>
    <x v="2"/>
    <x v="0"/>
    <n v="2133.84"/>
    <n v="0"/>
    <n v="0"/>
  </r>
  <r>
    <x v="39"/>
    <x v="3"/>
    <x v="0"/>
    <n v="3106.63"/>
    <n v="0"/>
    <n v="0"/>
  </r>
  <r>
    <x v="39"/>
    <x v="4"/>
    <x v="0"/>
    <n v="3117.19"/>
    <n v="0"/>
    <n v="0"/>
  </r>
  <r>
    <x v="39"/>
    <x v="5"/>
    <x v="0"/>
    <n v="1221.52"/>
    <n v="0"/>
    <n v="0"/>
  </r>
  <r>
    <x v="39"/>
    <x v="6"/>
    <x v="0"/>
    <n v="2030.23"/>
    <n v="0"/>
    <n v="0"/>
  </r>
  <r>
    <x v="39"/>
    <x v="7"/>
    <x v="0"/>
    <n v="370.43"/>
    <n v="0"/>
    <n v="0"/>
  </r>
  <r>
    <x v="39"/>
    <x v="8"/>
    <x v="0"/>
    <n v="494.41"/>
    <n v="0"/>
    <n v="0"/>
  </r>
  <r>
    <x v="39"/>
    <x v="9"/>
    <x v="0"/>
    <n v="390.12"/>
    <n v="0"/>
    <n v="0"/>
  </r>
  <r>
    <x v="39"/>
    <x v="10"/>
    <x v="0"/>
    <n v="1745.51"/>
    <n v="0"/>
    <n v="0"/>
  </r>
  <r>
    <x v="40"/>
    <x v="0"/>
    <x v="0"/>
    <n v="1191.01"/>
    <n v="0"/>
    <n v="0"/>
  </r>
  <r>
    <x v="40"/>
    <x v="1"/>
    <x v="0"/>
    <n v="1967.97"/>
    <n v="0"/>
    <n v="0"/>
  </r>
  <r>
    <x v="40"/>
    <x v="2"/>
    <x v="0"/>
    <n v="2165.07"/>
    <n v="0"/>
    <n v="0"/>
  </r>
  <r>
    <x v="40"/>
    <x v="3"/>
    <x v="0"/>
    <n v="2961.32"/>
    <n v="0"/>
    <n v="0"/>
  </r>
  <r>
    <x v="40"/>
    <x v="4"/>
    <x v="0"/>
    <n v="3220.05"/>
    <n v="0"/>
    <n v="0"/>
  </r>
  <r>
    <x v="40"/>
    <x v="5"/>
    <x v="0"/>
    <n v="1421.23"/>
    <n v="0"/>
    <n v="0"/>
  </r>
  <r>
    <x v="40"/>
    <x v="6"/>
    <x v="0"/>
    <n v="2071.08"/>
    <n v="0"/>
    <n v="0"/>
  </r>
  <r>
    <x v="40"/>
    <x v="7"/>
    <x v="0"/>
    <n v="300.55"/>
    <n v="0"/>
    <n v="0"/>
  </r>
  <r>
    <x v="40"/>
    <x v="8"/>
    <x v="0"/>
    <n v="454.47"/>
    <n v="0"/>
    <n v="0"/>
  </r>
  <r>
    <x v="40"/>
    <x v="9"/>
    <x v="0"/>
    <n v="355.24"/>
    <n v="0"/>
    <n v="0"/>
  </r>
  <r>
    <x v="40"/>
    <x v="10"/>
    <x v="0"/>
    <n v="1910.41"/>
    <n v="0"/>
    <n v="0"/>
  </r>
  <r>
    <x v="41"/>
    <x v="0"/>
    <x v="0"/>
    <n v="972.16"/>
    <n v="0"/>
    <n v="0"/>
  </r>
  <r>
    <x v="41"/>
    <x v="1"/>
    <x v="0"/>
    <n v="2294.82"/>
    <n v="0"/>
    <n v="0"/>
  </r>
  <r>
    <x v="41"/>
    <x v="2"/>
    <x v="0"/>
    <n v="2220.31"/>
    <n v="0"/>
    <n v="0"/>
  </r>
  <r>
    <x v="41"/>
    <x v="3"/>
    <x v="0"/>
    <n v="3014.37"/>
    <n v="0"/>
    <n v="0"/>
  </r>
  <r>
    <x v="41"/>
    <x v="4"/>
    <x v="0"/>
    <n v="3108.3"/>
    <n v="0"/>
    <n v="0"/>
  </r>
  <r>
    <x v="41"/>
    <x v="5"/>
    <x v="0"/>
    <n v="1258.85"/>
    <n v="0"/>
    <n v="0"/>
  </r>
  <r>
    <x v="41"/>
    <x v="6"/>
    <x v="0"/>
    <n v="1824.58"/>
    <n v="0"/>
    <n v="0"/>
  </r>
  <r>
    <x v="41"/>
    <x v="7"/>
    <x v="0"/>
    <n v="391.46"/>
    <n v="0"/>
    <n v="0"/>
  </r>
  <r>
    <x v="41"/>
    <x v="8"/>
    <x v="0"/>
    <n v="546.41"/>
    <n v="0"/>
    <n v="0"/>
  </r>
  <r>
    <x v="41"/>
    <x v="9"/>
    <x v="0"/>
    <n v="365.84"/>
    <n v="0"/>
    <n v="0"/>
  </r>
  <r>
    <x v="41"/>
    <x v="10"/>
    <x v="0"/>
    <n v="1961.81"/>
    <n v="0"/>
    <n v="0"/>
  </r>
  <r>
    <x v="42"/>
    <x v="0"/>
    <x v="0"/>
    <n v="1001.23"/>
    <n v="0"/>
    <n v="0"/>
  </r>
  <r>
    <x v="42"/>
    <x v="1"/>
    <x v="0"/>
    <n v="1847.04"/>
    <n v="0"/>
    <n v="0"/>
  </r>
  <r>
    <x v="42"/>
    <x v="2"/>
    <x v="0"/>
    <n v="2018.28"/>
    <n v="0"/>
    <n v="0"/>
  </r>
  <r>
    <x v="42"/>
    <x v="3"/>
    <x v="0"/>
    <n v="3013.09"/>
    <n v="0"/>
    <n v="0"/>
  </r>
  <r>
    <x v="42"/>
    <x v="4"/>
    <x v="0"/>
    <n v="3465.38"/>
    <n v="0"/>
    <n v="0"/>
  </r>
  <r>
    <x v="42"/>
    <x v="5"/>
    <x v="0"/>
    <n v="1439.25"/>
    <n v="0"/>
    <n v="0"/>
  </r>
  <r>
    <x v="42"/>
    <x v="6"/>
    <x v="0"/>
    <n v="2137.42"/>
    <n v="0"/>
    <n v="0"/>
  </r>
  <r>
    <x v="42"/>
    <x v="7"/>
    <x v="0"/>
    <n v="219.56"/>
    <n v="0"/>
    <n v="0"/>
  </r>
  <r>
    <x v="42"/>
    <x v="8"/>
    <x v="0"/>
    <n v="592.84"/>
    <n v="0"/>
    <n v="0"/>
  </r>
  <r>
    <x v="42"/>
    <x v="9"/>
    <x v="0"/>
    <n v="334.92"/>
    <n v="0"/>
    <n v="0"/>
  </r>
  <r>
    <x v="42"/>
    <x v="10"/>
    <x v="0"/>
    <n v="1973.42"/>
    <n v="0"/>
    <n v="0"/>
  </r>
  <r>
    <x v="43"/>
    <x v="0"/>
    <x v="0"/>
    <n v="1083.14"/>
    <n v="0"/>
    <n v="0"/>
  </r>
  <r>
    <x v="43"/>
    <x v="1"/>
    <x v="0"/>
    <n v="1799.06"/>
    <n v="0"/>
    <n v="0"/>
  </r>
  <r>
    <x v="43"/>
    <x v="2"/>
    <x v="0"/>
    <n v="2152.23"/>
    <n v="0"/>
    <n v="0"/>
  </r>
  <r>
    <x v="43"/>
    <x v="3"/>
    <x v="0"/>
    <n v="3119.99"/>
    <n v="0"/>
    <n v="0"/>
  </r>
  <r>
    <x v="43"/>
    <x v="4"/>
    <x v="0"/>
    <n v="3660.54"/>
    <n v="0"/>
    <n v="0"/>
  </r>
  <r>
    <x v="43"/>
    <x v="5"/>
    <x v="0"/>
    <n v="1318.63"/>
    <n v="0"/>
    <n v="0"/>
  </r>
  <r>
    <x v="43"/>
    <x v="6"/>
    <x v="0"/>
    <n v="2087.02"/>
    <n v="0"/>
    <n v="0"/>
  </r>
  <r>
    <x v="43"/>
    <x v="7"/>
    <x v="0"/>
    <n v="327.51"/>
    <n v="0"/>
    <n v="0"/>
  </r>
  <r>
    <x v="43"/>
    <x v="8"/>
    <x v="0"/>
    <n v="584.27"/>
    <n v="0"/>
    <n v="0"/>
  </r>
  <r>
    <x v="43"/>
    <x v="9"/>
    <x v="0"/>
    <n v="407.65"/>
    <n v="0"/>
    <n v="0"/>
  </r>
  <r>
    <x v="43"/>
    <x v="10"/>
    <x v="0"/>
    <n v="1910.51"/>
    <n v="0"/>
    <n v="0"/>
  </r>
  <r>
    <x v="44"/>
    <x v="0"/>
    <x v="0"/>
    <n v="1021.42"/>
    <n v="0"/>
    <n v="0"/>
  </r>
  <r>
    <x v="44"/>
    <x v="1"/>
    <x v="0"/>
    <n v="1827.08"/>
    <n v="0"/>
    <n v="0"/>
  </r>
  <r>
    <x v="44"/>
    <x v="2"/>
    <x v="0"/>
    <n v="2205.06"/>
    <n v="0"/>
    <n v="0"/>
  </r>
  <r>
    <x v="44"/>
    <x v="3"/>
    <x v="0"/>
    <n v="2926.43"/>
    <n v="0"/>
    <n v="0"/>
  </r>
  <r>
    <x v="44"/>
    <x v="4"/>
    <x v="0"/>
    <n v="3381.49"/>
    <n v="0"/>
    <n v="0"/>
  </r>
  <r>
    <x v="44"/>
    <x v="5"/>
    <x v="0"/>
    <n v="1198.41"/>
    <n v="0"/>
    <n v="0"/>
  </r>
  <r>
    <x v="44"/>
    <x v="6"/>
    <x v="0"/>
    <n v="2205.57"/>
    <n v="0"/>
    <n v="0"/>
  </r>
  <r>
    <x v="44"/>
    <x v="7"/>
    <x v="0"/>
    <n v="386.33"/>
    <n v="0"/>
    <n v="0"/>
  </r>
  <r>
    <x v="44"/>
    <x v="8"/>
    <x v="0"/>
    <n v="496.39"/>
    <n v="0"/>
    <n v="0"/>
  </r>
  <r>
    <x v="44"/>
    <x v="9"/>
    <x v="0"/>
    <n v="345.77"/>
    <n v="0"/>
    <n v="0"/>
  </r>
  <r>
    <x v="44"/>
    <x v="10"/>
    <x v="0"/>
    <n v="2014.17"/>
    <n v="0"/>
    <n v="0"/>
  </r>
  <r>
    <x v="45"/>
    <x v="0"/>
    <x v="0"/>
    <n v="1355.26"/>
    <n v="0"/>
    <n v="0"/>
  </r>
  <r>
    <x v="45"/>
    <x v="1"/>
    <x v="0"/>
    <n v="2268.84"/>
    <n v="0"/>
    <n v="0"/>
  </r>
  <r>
    <x v="45"/>
    <x v="2"/>
    <x v="0"/>
    <n v="2338.74"/>
    <n v="0"/>
    <n v="0"/>
  </r>
  <r>
    <x v="45"/>
    <x v="3"/>
    <x v="0"/>
    <n v="2899.84"/>
    <n v="0"/>
    <n v="0"/>
  </r>
  <r>
    <x v="45"/>
    <x v="4"/>
    <x v="0"/>
    <n v="3403.9"/>
    <n v="0"/>
    <n v="0"/>
  </r>
  <r>
    <x v="45"/>
    <x v="5"/>
    <x v="0"/>
    <n v="1066.51"/>
    <n v="0"/>
    <n v="0"/>
  </r>
  <r>
    <x v="45"/>
    <x v="6"/>
    <x v="0"/>
    <n v="1923.77"/>
    <n v="0"/>
    <n v="0"/>
  </r>
  <r>
    <x v="45"/>
    <x v="7"/>
    <x v="0"/>
    <n v="206.62"/>
    <n v="0"/>
    <n v="0"/>
  </r>
  <r>
    <x v="45"/>
    <x v="8"/>
    <x v="0"/>
    <n v="515.54"/>
    <n v="0"/>
    <n v="0"/>
  </r>
  <r>
    <x v="45"/>
    <x v="9"/>
    <x v="0"/>
    <n v="327.79"/>
    <n v="0"/>
    <n v="0"/>
  </r>
  <r>
    <x v="45"/>
    <x v="10"/>
    <x v="0"/>
    <n v="1900.43"/>
    <n v="0"/>
    <n v="0"/>
  </r>
  <r>
    <x v="46"/>
    <x v="0"/>
    <x v="0"/>
    <n v="1055.9"/>
    <n v="0"/>
    <n v="0"/>
  </r>
  <r>
    <x v="46"/>
    <x v="1"/>
    <x v="0"/>
    <n v="1775.06"/>
    <n v="0"/>
    <n v="0"/>
  </r>
  <r>
    <x v="46"/>
    <x v="2"/>
    <x v="0"/>
    <n v="2434.05"/>
    <n v="0"/>
    <n v="0"/>
  </r>
  <r>
    <x v="46"/>
    <x v="3"/>
    <x v="0"/>
    <n v="2997.1"/>
    <n v="0"/>
    <n v="0"/>
  </r>
  <r>
    <x v="46"/>
    <x v="4"/>
    <x v="0"/>
    <n v="3355.6"/>
    <n v="0"/>
    <n v="0"/>
  </r>
  <r>
    <x v="46"/>
    <x v="5"/>
    <x v="0"/>
    <n v="1401.48"/>
    <n v="0"/>
    <n v="0"/>
  </r>
  <r>
    <x v="46"/>
    <x v="6"/>
    <x v="0"/>
    <n v="2026.35"/>
    <n v="0"/>
    <n v="0"/>
  </r>
  <r>
    <x v="46"/>
    <x v="7"/>
    <x v="0"/>
    <n v="205.65"/>
    <n v="0"/>
    <n v="0"/>
  </r>
  <r>
    <x v="46"/>
    <x v="8"/>
    <x v="0"/>
    <n v="464.83"/>
    <n v="0"/>
    <n v="0"/>
  </r>
  <r>
    <x v="46"/>
    <x v="9"/>
    <x v="0"/>
    <n v="358.08"/>
    <n v="0"/>
    <n v="0"/>
  </r>
  <r>
    <x v="46"/>
    <x v="10"/>
    <x v="0"/>
    <n v="2075.97"/>
    <n v="0"/>
    <n v="0"/>
  </r>
  <r>
    <x v="47"/>
    <x v="0"/>
    <x v="0"/>
    <n v="1075.4"/>
    <n v="0"/>
    <n v="0"/>
  </r>
  <r>
    <x v="47"/>
    <x v="1"/>
    <x v="0"/>
    <n v="2158.89"/>
    <n v="0"/>
    <n v="0"/>
  </r>
  <r>
    <x v="47"/>
    <x v="2"/>
    <x v="0"/>
    <n v="2491.43"/>
    <n v="0"/>
    <n v="0"/>
  </r>
  <r>
    <x v="47"/>
    <x v="3"/>
    <x v="0"/>
    <n v="3413.22"/>
    <n v="0"/>
    <n v="0"/>
  </r>
  <r>
    <x v="47"/>
    <x v="4"/>
    <x v="0"/>
    <n v="3283.03"/>
    <n v="0"/>
    <n v="0"/>
  </r>
  <r>
    <x v="47"/>
    <x v="5"/>
    <x v="0"/>
    <n v="1073.9"/>
    <n v="0"/>
    <n v="0"/>
  </r>
  <r>
    <x v="47"/>
    <x v="6"/>
    <x v="0"/>
    <n v="2058.71"/>
    <n v="0"/>
    <n v="0"/>
  </r>
  <r>
    <x v="47"/>
    <x v="7"/>
    <x v="0"/>
    <n v="386.39"/>
    <n v="0"/>
    <n v="0"/>
  </r>
  <r>
    <x v="47"/>
    <x v="8"/>
    <x v="0"/>
    <n v="490.41"/>
    <n v="0"/>
    <n v="0"/>
  </r>
  <r>
    <x v="47"/>
    <x v="9"/>
    <x v="0"/>
    <n v="310.58"/>
    <n v="0"/>
    <n v="0"/>
  </r>
  <r>
    <x v="47"/>
    <x v="10"/>
    <x v="0"/>
    <n v="1818.61"/>
    <n v="0"/>
    <n v="0"/>
  </r>
  <r>
    <x v="48"/>
    <x v="0"/>
    <x v="0"/>
    <n v="1046.13"/>
    <n v="0"/>
    <n v="0"/>
  </r>
  <r>
    <x v="48"/>
    <x v="1"/>
    <x v="0"/>
    <n v="2342.97"/>
    <n v="0"/>
    <n v="0"/>
  </r>
  <r>
    <x v="48"/>
    <x v="2"/>
    <x v="0"/>
    <n v="2543.91"/>
    <n v="0"/>
    <n v="0"/>
  </r>
  <r>
    <x v="48"/>
    <x v="3"/>
    <x v="0"/>
    <n v="3096.21"/>
    <n v="0"/>
    <n v="0"/>
  </r>
  <r>
    <x v="48"/>
    <x v="4"/>
    <x v="0"/>
    <n v="3178.8"/>
    <n v="0"/>
    <n v="0"/>
  </r>
  <r>
    <x v="48"/>
    <x v="5"/>
    <x v="0"/>
    <n v="1375.18"/>
    <n v="0"/>
    <n v="0"/>
  </r>
  <r>
    <x v="48"/>
    <x v="6"/>
    <x v="0"/>
    <n v="1926.73"/>
    <n v="0"/>
    <n v="0"/>
  </r>
  <r>
    <x v="48"/>
    <x v="7"/>
    <x v="0"/>
    <n v="318.56"/>
    <n v="0"/>
    <n v="0"/>
  </r>
  <r>
    <x v="48"/>
    <x v="8"/>
    <x v="0"/>
    <n v="401.48"/>
    <n v="0"/>
    <n v="0"/>
  </r>
  <r>
    <x v="48"/>
    <x v="9"/>
    <x v="0"/>
    <n v="396.92"/>
    <n v="0"/>
    <n v="0"/>
  </r>
  <r>
    <x v="48"/>
    <x v="10"/>
    <x v="0"/>
    <n v="1739.8"/>
    <n v="0"/>
    <n v="0"/>
  </r>
  <r>
    <x v="49"/>
    <x v="0"/>
    <x v="0"/>
    <n v="1188.54"/>
    <n v="0"/>
    <n v="0"/>
  </r>
  <r>
    <x v="49"/>
    <x v="1"/>
    <x v="0"/>
    <n v="2115.88"/>
    <n v="0"/>
    <n v="0"/>
  </r>
  <r>
    <x v="49"/>
    <x v="2"/>
    <x v="0"/>
    <n v="2524"/>
    <n v="0"/>
    <n v="0"/>
  </r>
  <r>
    <x v="49"/>
    <x v="3"/>
    <x v="0"/>
    <n v="3021.72"/>
    <n v="0"/>
    <n v="0"/>
  </r>
  <r>
    <x v="49"/>
    <x v="4"/>
    <x v="0"/>
    <n v="3243.24"/>
    <n v="0"/>
    <n v="0"/>
  </r>
  <r>
    <x v="49"/>
    <x v="5"/>
    <x v="0"/>
    <n v="1223.22"/>
    <n v="0"/>
    <n v="0"/>
  </r>
  <r>
    <x v="49"/>
    <x v="6"/>
    <x v="0"/>
    <n v="1805.01"/>
    <n v="0"/>
    <n v="0"/>
  </r>
  <r>
    <x v="49"/>
    <x v="7"/>
    <x v="0"/>
    <n v="357.49"/>
    <n v="0"/>
    <n v="0"/>
  </r>
  <r>
    <x v="49"/>
    <x v="8"/>
    <x v="0"/>
    <n v="504.39"/>
    <n v="0"/>
    <n v="0"/>
  </r>
  <r>
    <x v="49"/>
    <x v="9"/>
    <x v="0"/>
    <n v="403.64"/>
    <n v="0"/>
    <n v="0"/>
  </r>
  <r>
    <x v="49"/>
    <x v="10"/>
    <x v="0"/>
    <n v="1988.65"/>
    <n v="0"/>
    <n v="0"/>
  </r>
  <r>
    <x v="50"/>
    <x v="0"/>
    <x v="0"/>
    <n v="1020.26"/>
    <n v="0"/>
    <n v="0"/>
  </r>
  <r>
    <x v="50"/>
    <x v="1"/>
    <x v="0"/>
    <n v="2331.78"/>
    <n v="0"/>
    <n v="0"/>
  </r>
  <r>
    <x v="50"/>
    <x v="2"/>
    <x v="0"/>
    <n v="2776.15"/>
    <n v="0"/>
    <n v="0"/>
  </r>
  <r>
    <x v="50"/>
    <x v="3"/>
    <x v="0"/>
    <n v="3012.9"/>
    <n v="0"/>
    <n v="0"/>
  </r>
  <r>
    <x v="50"/>
    <x v="4"/>
    <x v="0"/>
    <n v="3381.02"/>
    <n v="0"/>
    <n v="0"/>
  </r>
  <r>
    <x v="50"/>
    <x v="5"/>
    <x v="0"/>
    <n v="1242.09"/>
    <n v="0"/>
    <n v="0"/>
  </r>
  <r>
    <x v="50"/>
    <x v="6"/>
    <x v="0"/>
    <n v="1902.88"/>
    <n v="0"/>
    <n v="0"/>
  </r>
  <r>
    <x v="50"/>
    <x v="7"/>
    <x v="0"/>
    <n v="256.66"/>
    <n v="0"/>
    <n v="0"/>
  </r>
  <r>
    <x v="50"/>
    <x v="8"/>
    <x v="0"/>
    <n v="558.27"/>
    <n v="0"/>
    <n v="0"/>
  </r>
  <r>
    <x v="50"/>
    <x v="9"/>
    <x v="0"/>
    <n v="379.88"/>
    <n v="0"/>
    <n v="0"/>
  </r>
  <r>
    <x v="50"/>
    <x v="10"/>
    <x v="0"/>
    <n v="2001.55"/>
    <n v="0"/>
    <n v="0"/>
  </r>
  <r>
    <x v="51"/>
    <x v="0"/>
    <x v="0"/>
    <n v="1049.42"/>
    <n v="0"/>
    <n v="0"/>
  </r>
  <r>
    <x v="51"/>
    <x v="1"/>
    <x v="0"/>
    <n v="2375.76"/>
    <n v="0"/>
    <n v="0"/>
  </r>
  <r>
    <x v="51"/>
    <x v="2"/>
    <x v="0"/>
    <n v="2775.9"/>
    <n v="0"/>
    <n v="0"/>
  </r>
  <r>
    <x v="51"/>
    <x v="3"/>
    <x v="0"/>
    <n v="3198.43"/>
    <n v="0"/>
    <n v="0"/>
  </r>
  <r>
    <x v="51"/>
    <x v="4"/>
    <x v="0"/>
    <n v="3603.72"/>
    <n v="0"/>
    <n v="0"/>
  </r>
  <r>
    <x v="51"/>
    <x v="5"/>
    <x v="0"/>
    <n v="1342.1"/>
    <n v="0"/>
    <n v="0"/>
  </r>
  <r>
    <x v="51"/>
    <x v="6"/>
    <x v="0"/>
    <n v="2092.79"/>
    <n v="0"/>
    <n v="0"/>
  </r>
  <r>
    <x v="51"/>
    <x v="7"/>
    <x v="0"/>
    <n v="204.68"/>
    <n v="0"/>
    <n v="0"/>
  </r>
  <r>
    <x v="51"/>
    <x v="8"/>
    <x v="0"/>
    <n v="570.33"/>
    <n v="0"/>
    <n v="0"/>
  </r>
  <r>
    <x v="51"/>
    <x v="9"/>
    <x v="0"/>
    <n v="440.81"/>
    <n v="0"/>
    <n v="0"/>
  </r>
  <r>
    <x v="51"/>
    <x v="10"/>
    <x v="0"/>
    <n v="1884.68"/>
    <n v="0"/>
    <n v="0"/>
  </r>
  <r>
    <x v="52"/>
    <x v="0"/>
    <x v="0"/>
    <n v="1175.82"/>
    <n v="0"/>
    <n v="0"/>
  </r>
  <r>
    <x v="52"/>
    <x v="1"/>
    <x v="0"/>
    <n v="2396.75"/>
    <n v="0"/>
    <n v="0"/>
  </r>
  <r>
    <x v="52"/>
    <x v="2"/>
    <x v="0"/>
    <n v="2973.61"/>
    <n v="0"/>
    <n v="0"/>
  </r>
  <r>
    <x v="52"/>
    <x v="3"/>
    <x v="0"/>
    <n v="3024.87"/>
    <n v="0"/>
    <n v="0"/>
  </r>
  <r>
    <x v="52"/>
    <x v="4"/>
    <x v="0"/>
    <n v="3575.88"/>
    <n v="0"/>
    <n v="0"/>
  </r>
  <r>
    <x v="52"/>
    <x v="5"/>
    <x v="0"/>
    <n v="1489.69"/>
    <n v="0"/>
    <n v="0"/>
  </r>
  <r>
    <x v="52"/>
    <x v="6"/>
    <x v="0"/>
    <n v="1705.09"/>
    <n v="0"/>
    <n v="0"/>
  </r>
  <r>
    <x v="52"/>
    <x v="7"/>
    <x v="0"/>
    <n v="364.5"/>
    <n v="0"/>
    <n v="0"/>
  </r>
  <r>
    <x v="52"/>
    <x v="8"/>
    <x v="0"/>
    <n v="571.36"/>
    <n v="0"/>
    <n v="0"/>
  </r>
  <r>
    <x v="52"/>
    <x v="9"/>
    <x v="0"/>
    <n v="467.06"/>
    <n v="0"/>
    <n v="0"/>
  </r>
  <r>
    <x v="52"/>
    <x v="10"/>
    <x v="0"/>
    <n v="1986.27"/>
    <n v="0"/>
    <n v="0"/>
  </r>
  <r>
    <x v="53"/>
    <x v="0"/>
    <x v="0"/>
    <n v="1175.07"/>
    <n v="0"/>
    <n v="0"/>
  </r>
  <r>
    <x v="53"/>
    <x v="1"/>
    <x v="0"/>
    <n v="2582.57"/>
    <n v="0"/>
    <n v="0"/>
  </r>
  <r>
    <x v="53"/>
    <x v="2"/>
    <x v="0"/>
    <n v="2840.28"/>
    <n v="0"/>
    <n v="0"/>
  </r>
  <r>
    <x v="53"/>
    <x v="3"/>
    <x v="0"/>
    <n v="3222.7"/>
    <n v="0"/>
    <n v="0"/>
  </r>
  <r>
    <x v="53"/>
    <x v="4"/>
    <x v="0"/>
    <n v="3760.73"/>
    <n v="0"/>
    <n v="0"/>
  </r>
  <r>
    <x v="53"/>
    <x v="5"/>
    <x v="0"/>
    <n v="1584.78"/>
    <n v="0"/>
    <n v="0"/>
  </r>
  <r>
    <x v="53"/>
    <x v="6"/>
    <x v="0"/>
    <n v="1804"/>
    <n v="0"/>
    <n v="0"/>
  </r>
  <r>
    <x v="53"/>
    <x v="7"/>
    <x v="0"/>
    <n v="311.55"/>
    <n v="0"/>
    <n v="0"/>
  </r>
  <r>
    <x v="53"/>
    <x v="8"/>
    <x v="0"/>
    <n v="633.3"/>
    <n v="0"/>
    <n v="0"/>
  </r>
  <r>
    <x v="53"/>
    <x v="9"/>
    <x v="0"/>
    <n v="439.96"/>
    <n v="0"/>
    <n v="0"/>
  </r>
  <r>
    <x v="53"/>
    <x v="10"/>
    <x v="0"/>
    <n v="1932.9"/>
    <n v="0"/>
    <n v="0"/>
  </r>
  <r>
    <x v="54"/>
    <x v="0"/>
    <x v="0"/>
    <n v="1023.43"/>
    <n v="0"/>
    <n v="0"/>
  </r>
  <r>
    <x v="54"/>
    <x v="1"/>
    <x v="0"/>
    <n v="2579.6"/>
    <n v="0"/>
    <n v="0"/>
  </r>
  <r>
    <x v="54"/>
    <x v="2"/>
    <x v="0"/>
    <n v="2829.88"/>
    <n v="0"/>
    <n v="0"/>
  </r>
  <r>
    <x v="54"/>
    <x v="3"/>
    <x v="0"/>
    <n v="3314.79"/>
    <n v="0"/>
    <n v="0"/>
  </r>
  <r>
    <x v="54"/>
    <x v="4"/>
    <x v="0"/>
    <n v="3409.13"/>
    <n v="0"/>
    <n v="0"/>
  </r>
  <r>
    <x v="54"/>
    <x v="5"/>
    <x v="0"/>
    <n v="1166.24"/>
    <n v="0"/>
    <n v="0"/>
  </r>
  <r>
    <x v="54"/>
    <x v="6"/>
    <x v="0"/>
    <n v="1792.58"/>
    <n v="0"/>
    <n v="0"/>
  </r>
  <r>
    <x v="54"/>
    <x v="7"/>
    <x v="0"/>
    <n v="170.71"/>
    <n v="0"/>
    <n v="0"/>
  </r>
  <r>
    <x v="54"/>
    <x v="8"/>
    <x v="0"/>
    <n v="509.46"/>
    <n v="0"/>
    <n v="0"/>
  </r>
  <r>
    <x v="54"/>
    <x v="9"/>
    <x v="0"/>
    <n v="437.7"/>
    <n v="0"/>
    <n v="0"/>
  </r>
  <r>
    <x v="54"/>
    <x v="10"/>
    <x v="0"/>
    <n v="1897.72"/>
    <n v="0"/>
    <n v="0"/>
  </r>
  <r>
    <x v="55"/>
    <x v="0"/>
    <x v="0"/>
    <n v="1062.65"/>
    <n v="0"/>
    <n v="0"/>
  </r>
  <r>
    <x v="55"/>
    <x v="1"/>
    <x v="0"/>
    <n v="2620.64"/>
    <n v="0"/>
    <n v="0"/>
  </r>
  <r>
    <x v="55"/>
    <x v="2"/>
    <x v="0"/>
    <n v="3317"/>
    <n v="0"/>
    <n v="0"/>
  </r>
  <r>
    <x v="55"/>
    <x v="3"/>
    <x v="0"/>
    <n v="3552.58"/>
    <n v="0"/>
    <n v="0"/>
  </r>
  <r>
    <x v="55"/>
    <x v="4"/>
    <x v="0"/>
    <n v="3801.11"/>
    <n v="0"/>
    <n v="0"/>
  </r>
  <r>
    <x v="55"/>
    <x v="5"/>
    <x v="0"/>
    <n v="1432.93"/>
    <n v="0"/>
    <n v="0"/>
  </r>
  <r>
    <x v="55"/>
    <x v="6"/>
    <x v="0"/>
    <n v="2004.68"/>
    <n v="0"/>
    <n v="0"/>
  </r>
  <r>
    <x v="55"/>
    <x v="7"/>
    <x v="0"/>
    <n v="259.68"/>
    <n v="0"/>
    <n v="0"/>
  </r>
  <r>
    <x v="55"/>
    <x v="8"/>
    <x v="0"/>
    <n v="494.41"/>
    <n v="0"/>
    <n v="0"/>
  </r>
  <r>
    <x v="55"/>
    <x v="9"/>
    <x v="0"/>
    <n v="406.3"/>
    <n v="0"/>
    <n v="0"/>
  </r>
  <r>
    <x v="55"/>
    <x v="10"/>
    <x v="0"/>
    <n v="1919.66"/>
    <n v="0"/>
    <n v="0"/>
  </r>
  <r>
    <x v="56"/>
    <x v="0"/>
    <x v="0"/>
    <n v="1147.88"/>
    <n v="0"/>
    <n v="0"/>
  </r>
  <r>
    <x v="56"/>
    <x v="1"/>
    <x v="0"/>
    <n v="2609.64"/>
    <n v="0"/>
    <n v="0"/>
  </r>
  <r>
    <x v="56"/>
    <x v="2"/>
    <x v="0"/>
    <n v="3262.23"/>
    <n v="0"/>
    <n v="0"/>
  </r>
  <r>
    <x v="56"/>
    <x v="3"/>
    <x v="0"/>
    <n v="3275.09"/>
    <n v="0"/>
    <n v="0"/>
  </r>
  <r>
    <x v="56"/>
    <x v="4"/>
    <x v="0"/>
    <n v="3446.6"/>
    <n v="0"/>
    <n v="0"/>
  </r>
  <r>
    <x v="56"/>
    <x v="5"/>
    <x v="0"/>
    <n v="1308.06"/>
    <n v="0"/>
    <n v="0"/>
  </r>
  <r>
    <x v="56"/>
    <x v="6"/>
    <x v="0"/>
    <n v="1741.2"/>
    <n v="0"/>
    <n v="0"/>
  </r>
  <r>
    <x v="56"/>
    <x v="7"/>
    <x v="0"/>
    <n v="395.56"/>
    <n v="0"/>
    <n v="0"/>
  </r>
  <r>
    <x v="56"/>
    <x v="8"/>
    <x v="0"/>
    <n v="475.38"/>
    <n v="0"/>
    <n v="0"/>
  </r>
  <r>
    <x v="56"/>
    <x v="9"/>
    <x v="0"/>
    <n v="491.9"/>
    <n v="0"/>
    <n v="0"/>
  </r>
  <r>
    <x v="56"/>
    <x v="10"/>
    <x v="0"/>
    <n v="1950.91"/>
    <n v="0"/>
    <n v="0"/>
  </r>
  <r>
    <x v="57"/>
    <x v="0"/>
    <x v="0"/>
    <n v="1090.31"/>
    <n v="0"/>
    <n v="0"/>
  </r>
  <r>
    <x v="57"/>
    <x v="1"/>
    <x v="0"/>
    <n v="2654.64"/>
    <n v="0"/>
    <n v="0"/>
  </r>
  <r>
    <x v="57"/>
    <x v="2"/>
    <x v="0"/>
    <n v="3255.78"/>
    <n v="0"/>
    <n v="0"/>
  </r>
  <r>
    <x v="57"/>
    <x v="3"/>
    <x v="0"/>
    <n v="3437.13"/>
    <n v="0"/>
    <n v="0"/>
  </r>
  <r>
    <x v="57"/>
    <x v="4"/>
    <x v="0"/>
    <n v="3916.11"/>
    <n v="0"/>
    <n v="0"/>
  </r>
  <r>
    <x v="57"/>
    <x v="5"/>
    <x v="0"/>
    <n v="1165"/>
    <n v="0"/>
    <n v="0"/>
  </r>
  <r>
    <x v="57"/>
    <x v="6"/>
    <x v="0"/>
    <n v="1778.71"/>
    <n v="0"/>
    <n v="0"/>
  </r>
  <r>
    <x v="57"/>
    <x v="7"/>
    <x v="0"/>
    <n v="254.72"/>
    <n v="0"/>
    <n v="0"/>
  </r>
  <r>
    <x v="57"/>
    <x v="8"/>
    <x v="0"/>
    <n v="635.26"/>
    <n v="0"/>
    <n v="0"/>
  </r>
  <r>
    <x v="57"/>
    <x v="9"/>
    <x v="0"/>
    <n v="484.12"/>
    <n v="0"/>
    <n v="0"/>
  </r>
  <r>
    <x v="57"/>
    <x v="10"/>
    <x v="0"/>
    <n v="1950.19"/>
    <n v="0"/>
    <n v="0"/>
  </r>
  <r>
    <x v="58"/>
    <x v="0"/>
    <x v="0"/>
    <n v="1025.19"/>
    <n v="0"/>
    <n v="0"/>
  </r>
  <r>
    <x v="58"/>
    <x v="1"/>
    <x v="0"/>
    <n v="2179.85"/>
    <n v="0"/>
    <n v="0"/>
  </r>
  <r>
    <x v="58"/>
    <x v="2"/>
    <x v="0"/>
    <n v="3444.68"/>
    <n v="0"/>
    <n v="0"/>
  </r>
  <r>
    <x v="58"/>
    <x v="3"/>
    <x v="0"/>
    <n v="3299.24"/>
    <n v="0"/>
    <n v="0"/>
  </r>
  <r>
    <x v="58"/>
    <x v="4"/>
    <x v="0"/>
    <n v="3375.31"/>
    <n v="0"/>
    <n v="0"/>
  </r>
  <r>
    <x v="58"/>
    <x v="5"/>
    <x v="0"/>
    <n v="1231.08"/>
    <n v="0"/>
    <n v="0"/>
  </r>
  <r>
    <x v="58"/>
    <x v="6"/>
    <x v="0"/>
    <n v="1871.12"/>
    <n v="0"/>
    <n v="0"/>
  </r>
  <r>
    <x v="58"/>
    <x v="7"/>
    <x v="0"/>
    <n v="429.42"/>
    <n v="0"/>
    <n v="0"/>
  </r>
  <r>
    <x v="58"/>
    <x v="8"/>
    <x v="0"/>
    <n v="531.38"/>
    <n v="0"/>
    <n v="0"/>
  </r>
  <r>
    <x v="58"/>
    <x v="9"/>
    <x v="0"/>
    <n v="532.4299999999999"/>
    <n v="0"/>
    <n v="0"/>
  </r>
  <r>
    <x v="58"/>
    <x v="10"/>
    <x v="0"/>
    <n v="1854.3"/>
    <n v="0"/>
    <n v="0"/>
  </r>
  <r>
    <x v="59"/>
    <x v="0"/>
    <x v="0"/>
    <n v="1286.53"/>
    <n v="0"/>
    <n v="0"/>
  </r>
  <r>
    <x v="59"/>
    <x v="1"/>
    <x v="0"/>
    <n v="3219.32"/>
    <n v="0"/>
    <n v="0"/>
  </r>
  <r>
    <x v="59"/>
    <x v="2"/>
    <x v="0"/>
    <n v="3863.76"/>
    <n v="0"/>
    <n v="0"/>
  </r>
  <r>
    <x v="59"/>
    <x v="3"/>
    <x v="0"/>
    <n v="3320.47"/>
    <n v="0"/>
    <n v="0"/>
  </r>
  <r>
    <x v="59"/>
    <x v="4"/>
    <x v="0"/>
    <n v="3866.67"/>
    <n v="0"/>
    <n v="0"/>
  </r>
  <r>
    <x v="59"/>
    <x v="5"/>
    <x v="0"/>
    <n v="1454.71"/>
    <n v="0"/>
    <n v="0"/>
  </r>
  <r>
    <x v="59"/>
    <x v="6"/>
    <x v="0"/>
    <n v="2048.91"/>
    <n v="0"/>
    <n v="0"/>
  </r>
  <r>
    <x v="59"/>
    <x v="7"/>
    <x v="0"/>
    <n v="365.58"/>
    <n v="0"/>
    <n v="0"/>
  </r>
  <r>
    <x v="59"/>
    <x v="8"/>
    <x v="0"/>
    <n v="705.16"/>
    <n v="0"/>
    <n v="0"/>
  </r>
  <r>
    <x v="59"/>
    <x v="9"/>
    <x v="0"/>
    <n v="532.87"/>
    <n v="0"/>
    <n v="0"/>
  </r>
  <r>
    <x v="59"/>
    <x v="10"/>
    <x v="0"/>
    <n v="2176.81"/>
    <n v="0"/>
    <n v="0"/>
  </r>
  <r>
    <x v="60"/>
    <x v="0"/>
    <x v="0"/>
    <n v="1190.18"/>
    <n v="0"/>
    <n v="0"/>
  </r>
  <r>
    <x v="60"/>
    <x v="1"/>
    <x v="0"/>
    <n v="2815.89"/>
    <n v="0"/>
    <n v="0"/>
  </r>
  <r>
    <x v="60"/>
    <x v="2"/>
    <x v="0"/>
    <n v="3966.08"/>
    <n v="0"/>
    <n v="0"/>
  </r>
  <r>
    <x v="60"/>
    <x v="3"/>
    <x v="0"/>
    <n v="3672.61"/>
    <n v="0"/>
    <n v="0"/>
  </r>
  <r>
    <x v="60"/>
    <x v="4"/>
    <x v="0"/>
    <n v="4185.73"/>
    <n v="0"/>
    <n v="0"/>
  </r>
  <r>
    <x v="60"/>
    <x v="5"/>
    <x v="0"/>
    <n v="1092.29"/>
    <n v="0"/>
    <n v="0"/>
  </r>
  <r>
    <x v="60"/>
    <x v="6"/>
    <x v="0"/>
    <n v="2042.49"/>
    <n v="0"/>
    <n v="0"/>
  </r>
  <r>
    <x v="60"/>
    <x v="7"/>
    <x v="0"/>
    <n v="240.7"/>
    <n v="0"/>
    <n v="0"/>
  </r>
  <r>
    <x v="60"/>
    <x v="8"/>
    <x v="0"/>
    <n v="492.37"/>
    <n v="0"/>
    <n v="0"/>
  </r>
  <r>
    <x v="60"/>
    <x v="9"/>
    <x v="0"/>
    <n v="511.38"/>
    <n v="0"/>
    <n v="0"/>
  </r>
  <r>
    <x v="60"/>
    <x v="10"/>
    <x v="0"/>
    <n v="2089.3"/>
    <n v="0"/>
    <n v="0"/>
  </r>
  <r>
    <x v="61"/>
    <x v="0"/>
    <x v="0"/>
    <n v="1306.47"/>
    <n v="0"/>
    <n v="0"/>
  </r>
  <r>
    <x v="61"/>
    <x v="1"/>
    <x v="0"/>
    <n v="3139.4"/>
    <n v="0"/>
    <n v="0"/>
  </r>
  <r>
    <x v="61"/>
    <x v="2"/>
    <x v="0"/>
    <n v="3848.99"/>
    <n v="0"/>
    <n v="0"/>
  </r>
  <r>
    <x v="61"/>
    <x v="3"/>
    <x v="0"/>
    <n v="3548.38"/>
    <n v="0"/>
    <n v="0"/>
  </r>
  <r>
    <x v="61"/>
    <x v="4"/>
    <x v="0"/>
    <n v="4139.33"/>
    <n v="0"/>
    <n v="0"/>
  </r>
  <r>
    <x v="61"/>
    <x v="5"/>
    <x v="0"/>
    <n v="1427.71"/>
    <n v="0"/>
    <n v="0"/>
  </r>
  <r>
    <x v="61"/>
    <x v="6"/>
    <x v="0"/>
    <n v="1766.76"/>
    <n v="0"/>
    <n v="0"/>
  </r>
  <r>
    <x v="61"/>
    <x v="7"/>
    <x v="0"/>
    <n v="319.64"/>
    <n v="0"/>
    <n v="0"/>
  </r>
  <r>
    <x v="61"/>
    <x v="8"/>
    <x v="0"/>
    <n v="484.41"/>
    <n v="0"/>
    <n v="0"/>
  </r>
  <r>
    <x v="61"/>
    <x v="9"/>
    <x v="0"/>
    <n v="557.8099999999999"/>
    <n v="0"/>
    <n v="0"/>
  </r>
  <r>
    <x v="61"/>
    <x v="10"/>
    <x v="0"/>
    <n v="1810.23"/>
    <n v="0"/>
    <n v="0"/>
  </r>
  <r>
    <x v="62"/>
    <x v="0"/>
    <x v="0"/>
    <n v="1144.45"/>
    <n v="0"/>
    <n v="0"/>
  </r>
  <r>
    <x v="62"/>
    <x v="1"/>
    <x v="0"/>
    <n v="2586.71"/>
    <n v="0"/>
    <n v="0"/>
  </r>
  <r>
    <x v="62"/>
    <x v="2"/>
    <x v="0"/>
    <n v="3714.99"/>
    <n v="0"/>
    <n v="0"/>
  </r>
  <r>
    <x v="62"/>
    <x v="3"/>
    <x v="0"/>
    <n v="2967.27"/>
    <n v="0"/>
    <n v="0"/>
  </r>
  <r>
    <x v="62"/>
    <x v="4"/>
    <x v="0"/>
    <n v="3627.48"/>
    <n v="0"/>
    <n v="0"/>
  </r>
  <r>
    <x v="62"/>
    <x v="5"/>
    <x v="0"/>
    <n v="1303.92"/>
    <n v="0"/>
    <n v="0"/>
  </r>
  <r>
    <x v="62"/>
    <x v="6"/>
    <x v="0"/>
    <n v="1718.3"/>
    <n v="0"/>
    <n v="0"/>
  </r>
  <r>
    <x v="62"/>
    <x v="7"/>
    <x v="0"/>
    <n v="274.65"/>
    <n v="0"/>
    <n v="0"/>
  </r>
  <r>
    <x v="62"/>
    <x v="8"/>
    <x v="0"/>
    <n v="519.42"/>
    <n v="0"/>
    <n v="0"/>
  </r>
  <r>
    <x v="62"/>
    <x v="9"/>
    <x v="0"/>
    <n v="489.33"/>
    <n v="0"/>
    <n v="0"/>
  </r>
  <r>
    <x v="62"/>
    <x v="10"/>
    <x v="0"/>
    <n v="1743.54"/>
    <n v="0"/>
    <n v="0"/>
  </r>
  <r>
    <x v="63"/>
    <x v="0"/>
    <x v="0"/>
    <n v="973.0700000000001"/>
    <n v="0"/>
    <n v="0"/>
  </r>
  <r>
    <x v="63"/>
    <x v="1"/>
    <x v="0"/>
    <n v="2631.41"/>
    <n v="0"/>
    <n v="0"/>
  </r>
  <r>
    <x v="63"/>
    <x v="2"/>
    <x v="0"/>
    <n v="3445.34"/>
    <n v="0"/>
    <n v="0"/>
  </r>
  <r>
    <x v="63"/>
    <x v="3"/>
    <x v="0"/>
    <n v="2828.91"/>
    <n v="0"/>
    <n v="0"/>
  </r>
  <r>
    <x v="63"/>
    <x v="4"/>
    <x v="0"/>
    <n v="3465.16"/>
    <n v="0"/>
    <n v="0"/>
  </r>
  <r>
    <x v="63"/>
    <x v="5"/>
    <x v="0"/>
    <n v="1199.97"/>
    <n v="0"/>
    <n v="0"/>
  </r>
  <r>
    <x v="63"/>
    <x v="6"/>
    <x v="0"/>
    <n v="1563.43"/>
    <n v="0"/>
    <n v="0"/>
  </r>
  <r>
    <x v="63"/>
    <x v="7"/>
    <x v="0"/>
    <n v="247.71"/>
    <n v="0"/>
    <n v="0"/>
  </r>
  <r>
    <x v="63"/>
    <x v="8"/>
    <x v="0"/>
    <n v="529.36"/>
    <n v="0"/>
    <n v="0"/>
  </r>
  <r>
    <x v="63"/>
    <x v="9"/>
    <x v="0"/>
    <n v="506.66"/>
    <n v="0"/>
    <n v="0"/>
  </r>
  <r>
    <x v="63"/>
    <x v="10"/>
    <x v="0"/>
    <n v="1833.82"/>
    <n v="0"/>
    <n v="0"/>
  </r>
  <r>
    <x v="64"/>
    <x v="0"/>
    <x v="0"/>
    <n v="1025.22"/>
    <n v="0"/>
    <n v="0"/>
  </r>
  <r>
    <x v="64"/>
    <x v="1"/>
    <x v="0"/>
    <n v="2802.54"/>
    <n v="0"/>
    <n v="0"/>
  </r>
  <r>
    <x v="64"/>
    <x v="2"/>
    <x v="0"/>
    <n v="3158.73"/>
    <n v="0"/>
    <n v="0"/>
  </r>
  <r>
    <x v="64"/>
    <x v="3"/>
    <x v="0"/>
    <n v="2480.45"/>
    <n v="0"/>
    <n v="0"/>
  </r>
  <r>
    <x v="64"/>
    <x v="4"/>
    <x v="0"/>
    <n v="3325.03"/>
    <n v="0"/>
    <n v="0"/>
  </r>
  <r>
    <x v="64"/>
    <x v="5"/>
    <x v="0"/>
    <n v="1193.06"/>
    <n v="0"/>
    <n v="0"/>
  </r>
  <r>
    <x v="64"/>
    <x v="6"/>
    <x v="0"/>
    <n v="1344.09"/>
    <n v="0"/>
    <n v="0"/>
  </r>
  <r>
    <x v="64"/>
    <x v="7"/>
    <x v="0"/>
    <n v="388.66"/>
    <n v="0"/>
    <n v="0"/>
  </r>
  <r>
    <x v="64"/>
    <x v="8"/>
    <x v="0"/>
    <n v="426.47"/>
    <n v="0"/>
    <n v="0"/>
  </r>
  <r>
    <x v="64"/>
    <x v="9"/>
    <x v="0"/>
    <n v="437.02"/>
    <n v="0"/>
    <n v="0"/>
  </r>
  <r>
    <x v="64"/>
    <x v="10"/>
    <x v="0"/>
    <n v="1605.45"/>
    <n v="0"/>
    <n v="0"/>
  </r>
  <r>
    <x v="65"/>
    <x v="0"/>
    <x v="0"/>
    <n v="815.72"/>
    <n v="0"/>
    <n v="0"/>
  </r>
  <r>
    <x v="65"/>
    <x v="1"/>
    <x v="0"/>
    <n v="2365.75"/>
    <n v="0"/>
    <n v="0"/>
  </r>
  <r>
    <x v="65"/>
    <x v="2"/>
    <x v="0"/>
    <n v="2921.52"/>
    <n v="0"/>
    <n v="0"/>
  </r>
  <r>
    <x v="65"/>
    <x v="3"/>
    <x v="0"/>
    <n v="2799.78"/>
    <n v="0"/>
    <n v="0"/>
  </r>
  <r>
    <x v="65"/>
    <x v="4"/>
    <x v="0"/>
    <n v="3277.88"/>
    <n v="0"/>
    <n v="0"/>
  </r>
  <r>
    <x v="65"/>
    <x v="5"/>
    <x v="0"/>
    <n v="1022.41"/>
    <n v="0"/>
    <n v="0"/>
  </r>
  <r>
    <x v="65"/>
    <x v="6"/>
    <x v="0"/>
    <n v="1437.2"/>
    <n v="0"/>
    <n v="0"/>
  </r>
  <r>
    <x v="65"/>
    <x v="7"/>
    <x v="0"/>
    <n v="413.57"/>
    <n v="0"/>
    <n v="0"/>
  </r>
  <r>
    <x v="65"/>
    <x v="8"/>
    <x v="0"/>
    <n v="544.29"/>
    <n v="0"/>
    <n v="0"/>
  </r>
  <r>
    <x v="65"/>
    <x v="9"/>
    <x v="0"/>
    <n v="503.65"/>
    <n v="0"/>
    <n v="0"/>
  </r>
  <r>
    <x v="65"/>
    <x v="10"/>
    <x v="0"/>
    <n v="1704.31"/>
    <n v="0"/>
    <n v="0"/>
  </r>
  <r>
    <x v="66"/>
    <x v="0"/>
    <x v="0"/>
    <n v="1126.87"/>
    <n v="0"/>
    <n v="0"/>
  </r>
  <r>
    <x v="66"/>
    <x v="1"/>
    <x v="0"/>
    <n v="2925.46"/>
    <n v="0"/>
    <n v="0"/>
  </r>
  <r>
    <x v="66"/>
    <x v="2"/>
    <x v="0"/>
    <n v="3532.96"/>
    <n v="0"/>
    <n v="0"/>
  </r>
  <r>
    <x v="66"/>
    <x v="3"/>
    <x v="0"/>
    <n v="3382.95"/>
    <n v="0"/>
    <n v="0"/>
  </r>
  <r>
    <x v="66"/>
    <x v="4"/>
    <x v="0"/>
    <n v="3779.27"/>
    <n v="0"/>
    <n v="0"/>
  </r>
  <r>
    <x v="66"/>
    <x v="5"/>
    <x v="0"/>
    <n v="1346.9"/>
    <n v="0"/>
    <n v="0"/>
  </r>
  <r>
    <x v="66"/>
    <x v="6"/>
    <x v="0"/>
    <n v="1706.42"/>
    <n v="0"/>
    <n v="0"/>
  </r>
  <r>
    <x v="66"/>
    <x v="7"/>
    <x v="0"/>
    <n v="354.58"/>
    <n v="0"/>
    <n v="0"/>
  </r>
  <r>
    <x v="66"/>
    <x v="8"/>
    <x v="0"/>
    <n v="558.28"/>
    <n v="0"/>
    <n v="0"/>
  </r>
  <r>
    <x v="66"/>
    <x v="9"/>
    <x v="0"/>
    <n v="572.6799999999999"/>
    <n v="0"/>
    <n v="0"/>
  </r>
  <r>
    <x v="66"/>
    <x v="10"/>
    <x v="0"/>
    <n v="1911.2"/>
    <n v="0"/>
    <n v="0"/>
  </r>
  <r>
    <x v="67"/>
    <x v="0"/>
    <x v="0"/>
    <n v="1017.92"/>
    <n v="0"/>
    <n v="0"/>
  </r>
  <r>
    <x v="67"/>
    <x v="1"/>
    <x v="0"/>
    <n v="3071.42"/>
    <n v="0"/>
    <n v="0"/>
  </r>
  <r>
    <x v="67"/>
    <x v="2"/>
    <x v="0"/>
    <n v="3438.14"/>
    <n v="0"/>
    <n v="0"/>
  </r>
  <r>
    <x v="67"/>
    <x v="3"/>
    <x v="0"/>
    <n v="2865.1"/>
    <n v="0"/>
    <n v="0"/>
  </r>
  <r>
    <x v="67"/>
    <x v="4"/>
    <x v="0"/>
    <n v="3814.4"/>
    <n v="0"/>
    <n v="0"/>
  </r>
  <r>
    <x v="67"/>
    <x v="5"/>
    <x v="0"/>
    <n v="1394.86"/>
    <n v="0"/>
    <n v="0"/>
  </r>
  <r>
    <x v="67"/>
    <x v="6"/>
    <x v="0"/>
    <n v="1578.6"/>
    <n v="0"/>
    <n v="0"/>
  </r>
  <r>
    <x v="67"/>
    <x v="7"/>
    <x v="0"/>
    <n v="469.54"/>
    <n v="0"/>
    <n v="0"/>
  </r>
  <r>
    <x v="67"/>
    <x v="8"/>
    <x v="0"/>
    <n v="637.24"/>
    <n v="0"/>
    <n v="0"/>
  </r>
  <r>
    <x v="67"/>
    <x v="9"/>
    <x v="0"/>
    <n v="547.16"/>
    <n v="0"/>
    <n v="0"/>
  </r>
  <r>
    <x v="67"/>
    <x v="10"/>
    <x v="0"/>
    <n v="2083.37"/>
    <n v="0"/>
    <n v="0"/>
  </r>
  <r>
    <x v="68"/>
    <x v="0"/>
    <x v="0"/>
    <n v="1006.01"/>
    <n v="0"/>
    <n v="0"/>
  </r>
  <r>
    <x v="68"/>
    <x v="1"/>
    <x v="0"/>
    <n v="2926.83"/>
    <n v="0"/>
    <n v="0"/>
  </r>
  <r>
    <x v="68"/>
    <x v="2"/>
    <x v="0"/>
    <n v="3273.66"/>
    <n v="0"/>
    <n v="0"/>
  </r>
  <r>
    <x v="68"/>
    <x v="3"/>
    <x v="0"/>
    <n v="3298.9"/>
    <n v="0"/>
    <n v="0"/>
  </r>
  <r>
    <x v="68"/>
    <x v="4"/>
    <x v="0"/>
    <n v="3667.21"/>
    <n v="0"/>
    <n v="0"/>
  </r>
  <r>
    <x v="68"/>
    <x v="5"/>
    <x v="0"/>
    <n v="1308.01"/>
    <n v="0"/>
    <n v="0"/>
  </r>
  <r>
    <x v="68"/>
    <x v="6"/>
    <x v="0"/>
    <n v="1566.45"/>
    <n v="0"/>
    <n v="0"/>
  </r>
  <r>
    <x v="68"/>
    <x v="7"/>
    <x v="0"/>
    <n v="260.65"/>
    <n v="0"/>
    <n v="0"/>
  </r>
  <r>
    <x v="68"/>
    <x v="8"/>
    <x v="0"/>
    <n v="414.49"/>
    <n v="0"/>
    <n v="0"/>
  </r>
  <r>
    <x v="68"/>
    <x v="9"/>
    <x v="0"/>
    <n v="483.66"/>
    <n v="0"/>
    <n v="0"/>
  </r>
  <r>
    <x v="68"/>
    <x v="10"/>
    <x v="0"/>
    <n v="1930.43"/>
    <n v="0"/>
    <n v="0"/>
  </r>
  <r>
    <x v="69"/>
    <x v="0"/>
    <x v="0"/>
    <n v="1182.62"/>
    <n v="0"/>
    <n v="0"/>
  </r>
  <r>
    <x v="69"/>
    <x v="1"/>
    <x v="0"/>
    <n v="3103.31"/>
    <n v="0"/>
    <n v="0"/>
  </r>
  <r>
    <x v="69"/>
    <x v="2"/>
    <x v="0"/>
    <n v="3877.67"/>
    <n v="0"/>
    <n v="0"/>
  </r>
  <r>
    <x v="69"/>
    <x v="3"/>
    <x v="0"/>
    <n v="3309.21"/>
    <n v="0"/>
    <n v="0"/>
  </r>
  <r>
    <x v="69"/>
    <x v="4"/>
    <x v="0"/>
    <n v="3654.45"/>
    <n v="0"/>
    <n v="0"/>
  </r>
  <r>
    <x v="69"/>
    <x v="5"/>
    <x v="0"/>
    <n v="1506.8"/>
    <n v="0"/>
    <n v="0"/>
  </r>
  <r>
    <x v="69"/>
    <x v="6"/>
    <x v="0"/>
    <n v="1751.13"/>
    <n v="0"/>
    <n v="0"/>
  </r>
  <r>
    <x v="69"/>
    <x v="7"/>
    <x v="0"/>
    <n v="405.59"/>
    <n v="0"/>
    <n v="0"/>
  </r>
  <r>
    <x v="69"/>
    <x v="8"/>
    <x v="0"/>
    <n v="519.36"/>
    <n v="0"/>
    <n v="0"/>
  </r>
  <r>
    <x v="69"/>
    <x v="9"/>
    <x v="0"/>
    <n v="495.15"/>
    <n v="0"/>
    <n v="0"/>
  </r>
  <r>
    <x v="69"/>
    <x v="10"/>
    <x v="0"/>
    <n v="1869.68"/>
    <n v="0"/>
    <n v="0"/>
  </r>
  <r>
    <x v="70"/>
    <x v="0"/>
    <x v="0"/>
    <n v="1147.07"/>
    <n v="0"/>
    <n v="0"/>
  </r>
  <r>
    <x v="70"/>
    <x v="1"/>
    <x v="0"/>
    <n v="2919.5"/>
    <n v="0"/>
    <n v="0"/>
  </r>
  <r>
    <x v="70"/>
    <x v="2"/>
    <x v="0"/>
    <n v="3550.49"/>
    <n v="0"/>
    <n v="0"/>
  </r>
  <r>
    <x v="70"/>
    <x v="3"/>
    <x v="0"/>
    <n v="3286.08"/>
    <n v="0"/>
    <n v="0"/>
  </r>
  <r>
    <x v="70"/>
    <x v="4"/>
    <x v="0"/>
    <n v="3560.11"/>
    <n v="0"/>
    <n v="0"/>
  </r>
  <r>
    <x v="70"/>
    <x v="5"/>
    <x v="0"/>
    <n v="1426.86"/>
    <n v="0"/>
    <n v="0"/>
  </r>
  <r>
    <x v="70"/>
    <x v="6"/>
    <x v="0"/>
    <n v="1729.14"/>
    <n v="0"/>
    <n v="0"/>
  </r>
  <r>
    <x v="70"/>
    <x v="7"/>
    <x v="0"/>
    <n v="385.57"/>
    <n v="0"/>
    <n v="0"/>
  </r>
  <r>
    <x v="70"/>
    <x v="8"/>
    <x v="0"/>
    <n v="499.37"/>
    <n v="0"/>
    <n v="0"/>
  </r>
  <r>
    <x v="70"/>
    <x v="9"/>
    <x v="0"/>
    <n v="496.95"/>
    <n v="0"/>
    <n v="0"/>
  </r>
  <r>
    <x v="70"/>
    <x v="10"/>
    <x v="0"/>
    <n v="1822.52"/>
    <n v="0"/>
    <n v="0"/>
  </r>
  <r>
    <x v="71"/>
    <x v="0"/>
    <x v="0"/>
    <n v="1009.23"/>
    <n v="0"/>
    <n v="0"/>
  </r>
  <r>
    <x v="71"/>
    <x v="1"/>
    <x v="0"/>
    <n v="2834.1"/>
    <n v="0"/>
    <n v="0"/>
  </r>
  <r>
    <x v="71"/>
    <x v="2"/>
    <x v="0"/>
    <n v="3860.87"/>
    <n v="0"/>
    <n v="0"/>
  </r>
  <r>
    <x v="71"/>
    <x v="3"/>
    <x v="0"/>
    <n v="3183.95"/>
    <n v="0"/>
    <n v="0"/>
  </r>
  <r>
    <x v="71"/>
    <x v="4"/>
    <x v="0"/>
    <n v="4035.37"/>
    <n v="0"/>
    <n v="0"/>
  </r>
  <r>
    <x v="71"/>
    <x v="5"/>
    <x v="0"/>
    <n v="1399.83"/>
    <n v="0"/>
    <n v="0"/>
  </r>
  <r>
    <x v="71"/>
    <x v="6"/>
    <x v="0"/>
    <n v="1707.83"/>
    <n v="0"/>
    <n v="0"/>
  </r>
  <r>
    <x v="71"/>
    <x v="7"/>
    <x v="0"/>
    <n v="355.66"/>
    <n v="0"/>
    <n v="0"/>
  </r>
  <r>
    <x v="71"/>
    <x v="8"/>
    <x v="0"/>
    <n v="593.3200000000001"/>
    <n v="0"/>
    <n v="0"/>
  </r>
  <r>
    <x v="71"/>
    <x v="9"/>
    <x v="0"/>
    <n v="527.38"/>
    <n v="0"/>
    <n v="0"/>
  </r>
  <r>
    <x v="71"/>
    <x v="10"/>
    <x v="0"/>
    <n v="2110.78"/>
    <n v="0"/>
    <n v="0"/>
  </r>
  <r>
    <x v="72"/>
    <x v="0"/>
    <x v="0"/>
    <n v="1070.49"/>
    <n v="0"/>
    <n v="0"/>
  </r>
  <r>
    <x v="72"/>
    <x v="1"/>
    <x v="0"/>
    <n v="2627.65"/>
    <n v="0"/>
    <n v="0"/>
  </r>
  <r>
    <x v="72"/>
    <x v="2"/>
    <x v="0"/>
    <n v="3506.03"/>
    <n v="0"/>
    <n v="0"/>
  </r>
  <r>
    <x v="72"/>
    <x v="3"/>
    <x v="0"/>
    <n v="3267.62"/>
    <n v="0"/>
    <n v="0"/>
  </r>
  <r>
    <x v="72"/>
    <x v="4"/>
    <x v="0"/>
    <n v="3673.85"/>
    <n v="0"/>
    <n v="0"/>
  </r>
  <r>
    <x v="72"/>
    <x v="5"/>
    <x v="0"/>
    <n v="1077.21"/>
    <n v="0"/>
    <n v="0"/>
  </r>
  <r>
    <x v="72"/>
    <x v="6"/>
    <x v="0"/>
    <n v="1764.31"/>
    <n v="0"/>
    <n v="0"/>
  </r>
  <r>
    <x v="72"/>
    <x v="7"/>
    <x v="0"/>
    <n v="374.53"/>
    <n v="0"/>
    <n v="0"/>
  </r>
  <r>
    <x v="72"/>
    <x v="8"/>
    <x v="0"/>
    <n v="503.38"/>
    <n v="0"/>
    <n v="0"/>
  </r>
  <r>
    <x v="72"/>
    <x v="9"/>
    <x v="0"/>
    <n v="539.95"/>
    <n v="0"/>
    <n v="0"/>
  </r>
  <r>
    <x v="72"/>
    <x v="10"/>
    <x v="0"/>
    <n v="1874.19"/>
    <n v="0"/>
    <n v="0"/>
  </r>
  <r>
    <x v="73"/>
    <x v="0"/>
    <x v="0"/>
    <n v="1212.21"/>
    <n v="0"/>
    <n v="0"/>
  </r>
  <r>
    <x v="73"/>
    <x v="1"/>
    <x v="0"/>
    <n v="2758.56"/>
    <n v="0"/>
    <n v="0"/>
  </r>
  <r>
    <x v="73"/>
    <x v="2"/>
    <x v="0"/>
    <n v="3608.54"/>
    <n v="0"/>
    <n v="0"/>
  </r>
  <r>
    <x v="73"/>
    <x v="3"/>
    <x v="0"/>
    <n v="3299.92"/>
    <n v="0"/>
    <n v="0"/>
  </r>
  <r>
    <x v="73"/>
    <x v="4"/>
    <x v="0"/>
    <n v="3582.91"/>
    <n v="0"/>
    <n v="0"/>
  </r>
  <r>
    <x v="73"/>
    <x v="5"/>
    <x v="0"/>
    <n v="1405.8"/>
    <n v="0"/>
    <n v="0"/>
  </r>
  <r>
    <x v="73"/>
    <x v="6"/>
    <x v="0"/>
    <n v="1599.03"/>
    <n v="0"/>
    <n v="0"/>
  </r>
  <r>
    <x v="73"/>
    <x v="7"/>
    <x v="0"/>
    <n v="301.63"/>
    <n v="0"/>
    <n v="0"/>
  </r>
  <r>
    <x v="73"/>
    <x v="8"/>
    <x v="0"/>
    <n v="552.3099999999999"/>
    <n v="0"/>
    <n v="0"/>
  </r>
  <r>
    <x v="73"/>
    <x v="9"/>
    <x v="0"/>
    <n v="455.01"/>
    <n v="0"/>
    <n v="0"/>
  </r>
  <r>
    <x v="73"/>
    <x v="10"/>
    <x v="0"/>
    <n v="1842.02"/>
    <n v="0"/>
    <n v="0"/>
  </r>
  <r>
    <x v="74"/>
    <x v="0"/>
    <x v="0"/>
    <n v="971.04"/>
    <n v="0"/>
    <n v="0"/>
  </r>
  <r>
    <x v="74"/>
    <x v="1"/>
    <x v="0"/>
    <n v="2312.81"/>
    <n v="0"/>
    <n v="0"/>
  </r>
  <r>
    <x v="74"/>
    <x v="2"/>
    <x v="0"/>
    <n v="3484.96"/>
    <n v="0"/>
    <n v="0"/>
  </r>
  <r>
    <x v="74"/>
    <x v="3"/>
    <x v="0"/>
    <n v="3099.11"/>
    <n v="0"/>
    <n v="0"/>
  </r>
  <r>
    <x v="74"/>
    <x v="4"/>
    <x v="0"/>
    <n v="3697.32"/>
    <n v="0"/>
    <n v="0"/>
  </r>
  <r>
    <x v="74"/>
    <x v="5"/>
    <x v="0"/>
    <n v="1142.29"/>
    <n v="0"/>
    <n v="0"/>
  </r>
  <r>
    <x v="74"/>
    <x v="6"/>
    <x v="0"/>
    <n v="1829.52"/>
    <n v="0"/>
    <n v="0"/>
  </r>
  <r>
    <x v="74"/>
    <x v="7"/>
    <x v="0"/>
    <n v="382.93"/>
    <n v="0"/>
    <n v="0"/>
  </r>
  <r>
    <x v="74"/>
    <x v="8"/>
    <x v="0"/>
    <n v="409.52"/>
    <n v="0"/>
    <n v="0"/>
  </r>
  <r>
    <x v="74"/>
    <x v="9"/>
    <x v="0"/>
    <n v="491.3"/>
    <n v="0"/>
    <n v="0"/>
  </r>
  <r>
    <x v="74"/>
    <x v="10"/>
    <x v="0"/>
    <n v="2072.11"/>
    <n v="0"/>
    <n v="0"/>
  </r>
  <r>
    <x v="75"/>
    <x v="0"/>
    <x v="0"/>
    <n v="1024.81"/>
    <n v="0"/>
    <n v="0"/>
  </r>
  <r>
    <x v="75"/>
    <x v="1"/>
    <x v="0"/>
    <n v="2397.76"/>
    <n v="0"/>
    <n v="0"/>
  </r>
  <r>
    <x v="75"/>
    <x v="2"/>
    <x v="0"/>
    <n v="3324.55"/>
    <n v="0"/>
    <n v="0"/>
  </r>
  <r>
    <x v="75"/>
    <x v="3"/>
    <x v="0"/>
    <n v="3249.07"/>
    <n v="0"/>
    <n v="0"/>
  </r>
  <r>
    <x v="75"/>
    <x v="4"/>
    <x v="0"/>
    <n v="3845.66"/>
    <n v="0"/>
    <n v="0"/>
  </r>
  <r>
    <x v="75"/>
    <x v="5"/>
    <x v="0"/>
    <n v="1337.02"/>
    <n v="0"/>
    <n v="0"/>
  </r>
  <r>
    <x v="75"/>
    <x v="6"/>
    <x v="0"/>
    <n v="1772.36"/>
    <n v="0"/>
    <n v="0"/>
  </r>
  <r>
    <x v="75"/>
    <x v="7"/>
    <x v="0"/>
    <n v="283.62"/>
    <n v="0"/>
    <n v="0"/>
  </r>
  <r>
    <x v="75"/>
    <x v="8"/>
    <x v="0"/>
    <n v="616.3099999999999"/>
    <n v="0"/>
    <n v="0"/>
  </r>
  <r>
    <x v="75"/>
    <x v="9"/>
    <x v="0"/>
    <n v="435.69"/>
    <n v="0"/>
    <n v="0"/>
  </r>
  <r>
    <x v="75"/>
    <x v="10"/>
    <x v="0"/>
    <n v="1889.71"/>
    <n v="0"/>
    <n v="0"/>
  </r>
  <r>
    <x v="76"/>
    <x v="0"/>
    <x v="0"/>
    <n v="938.3200000000001"/>
    <n v="0"/>
    <n v="0"/>
  </r>
  <r>
    <x v="76"/>
    <x v="1"/>
    <x v="0"/>
    <n v="2216.86"/>
    <n v="0"/>
    <n v="0"/>
  </r>
  <r>
    <x v="76"/>
    <x v="2"/>
    <x v="0"/>
    <n v="2826.45"/>
    <n v="0"/>
    <n v="0"/>
  </r>
  <r>
    <x v="76"/>
    <x v="3"/>
    <x v="0"/>
    <n v="3231.96"/>
    <n v="0"/>
    <n v="0"/>
  </r>
  <r>
    <x v="76"/>
    <x v="4"/>
    <x v="0"/>
    <n v="3335.4"/>
    <n v="0"/>
    <n v="0"/>
  </r>
  <r>
    <x v="76"/>
    <x v="5"/>
    <x v="0"/>
    <n v="1257.19"/>
    <n v="0"/>
    <n v="0"/>
  </r>
  <r>
    <x v="76"/>
    <x v="6"/>
    <x v="0"/>
    <n v="1799.49"/>
    <n v="0"/>
    <n v="0"/>
  </r>
  <r>
    <x v="76"/>
    <x v="7"/>
    <x v="0"/>
    <n v="350.59"/>
    <n v="0"/>
    <n v="0"/>
  </r>
  <r>
    <x v="76"/>
    <x v="8"/>
    <x v="0"/>
    <n v="534.37"/>
    <n v="0"/>
    <n v="0"/>
  </r>
  <r>
    <x v="76"/>
    <x v="9"/>
    <x v="0"/>
    <n v="416.75"/>
    <n v="0"/>
    <n v="0"/>
  </r>
  <r>
    <x v="76"/>
    <x v="10"/>
    <x v="0"/>
    <n v="1907.71"/>
    <n v="0"/>
    <n v="0"/>
  </r>
  <r>
    <x v="77"/>
    <x v="0"/>
    <x v="0"/>
    <n v="1130.18"/>
    <n v="0"/>
    <n v="0"/>
  </r>
  <r>
    <x v="77"/>
    <x v="1"/>
    <x v="0"/>
    <n v="2504.72"/>
    <n v="0"/>
    <n v="0"/>
  </r>
  <r>
    <x v="77"/>
    <x v="2"/>
    <x v="0"/>
    <n v="2960.21"/>
    <n v="0"/>
    <n v="0"/>
  </r>
  <r>
    <x v="77"/>
    <x v="3"/>
    <x v="0"/>
    <n v="3230.13"/>
    <n v="0"/>
    <n v="0"/>
  </r>
  <r>
    <x v="77"/>
    <x v="4"/>
    <x v="0"/>
    <n v="3410.06"/>
    <n v="0"/>
    <n v="0"/>
  </r>
  <r>
    <x v="77"/>
    <x v="5"/>
    <x v="0"/>
    <n v="1297.02"/>
    <n v="0"/>
    <n v="0"/>
  </r>
  <r>
    <x v="77"/>
    <x v="6"/>
    <x v="0"/>
    <n v="1948.64"/>
    <n v="0"/>
    <n v="0"/>
  </r>
  <r>
    <x v="77"/>
    <x v="7"/>
    <x v="0"/>
    <n v="413.46"/>
    <n v="0"/>
    <n v="0"/>
  </r>
  <r>
    <x v="77"/>
    <x v="8"/>
    <x v="0"/>
    <n v="583.73"/>
    <n v="0"/>
    <n v="0"/>
  </r>
  <r>
    <x v="77"/>
    <x v="9"/>
    <x v="0"/>
    <n v="407.13"/>
    <n v="0"/>
    <n v="0"/>
  </r>
  <r>
    <x v="77"/>
    <x v="10"/>
    <x v="0"/>
    <n v="1987.05"/>
    <n v="0"/>
    <n v="0"/>
  </r>
  <r>
    <x v="78"/>
    <x v="0"/>
    <x v="0"/>
    <n v="1156.08"/>
    <n v="0"/>
    <n v="0"/>
  </r>
  <r>
    <x v="78"/>
    <x v="1"/>
    <x v="0"/>
    <n v="2152.62"/>
    <n v="0"/>
    <n v="0"/>
  </r>
  <r>
    <x v="78"/>
    <x v="2"/>
    <x v="0"/>
    <n v="3134.45"/>
    <n v="0"/>
    <n v="0"/>
  </r>
  <r>
    <x v="78"/>
    <x v="3"/>
    <x v="0"/>
    <n v="3229.94"/>
    <n v="0"/>
    <n v="0"/>
  </r>
  <r>
    <x v="78"/>
    <x v="4"/>
    <x v="0"/>
    <n v="3499.45"/>
    <n v="0"/>
    <n v="0"/>
  </r>
  <r>
    <x v="78"/>
    <x v="5"/>
    <x v="0"/>
    <n v="1341.96"/>
    <n v="0"/>
    <n v="0"/>
  </r>
  <r>
    <x v="78"/>
    <x v="6"/>
    <x v="0"/>
    <n v="1893.15"/>
    <n v="0"/>
    <n v="0"/>
  </r>
  <r>
    <x v="78"/>
    <x v="7"/>
    <x v="0"/>
    <n v="282.65"/>
    <n v="0"/>
    <n v="0"/>
  </r>
  <r>
    <x v="78"/>
    <x v="8"/>
    <x v="0"/>
    <n v="357.58"/>
    <n v="0"/>
    <n v="0"/>
  </r>
  <r>
    <x v="78"/>
    <x v="9"/>
    <x v="0"/>
    <n v="517.52"/>
    <n v="0"/>
    <n v="0"/>
  </r>
  <r>
    <x v="78"/>
    <x v="10"/>
    <x v="0"/>
    <n v="1962.73"/>
    <n v="0"/>
    <n v="0"/>
  </r>
  <r>
    <x v="79"/>
    <x v="0"/>
    <x v="0"/>
    <n v="1096.28"/>
    <n v="0"/>
    <n v="0"/>
  </r>
  <r>
    <x v="79"/>
    <x v="1"/>
    <x v="0"/>
    <n v="2393.78"/>
    <n v="0"/>
    <n v="0"/>
  </r>
  <r>
    <x v="79"/>
    <x v="2"/>
    <x v="0"/>
    <n v="2837.06"/>
    <n v="0"/>
    <n v="0"/>
  </r>
  <r>
    <x v="79"/>
    <x v="3"/>
    <x v="0"/>
    <n v="3440.42"/>
    <n v="0"/>
    <n v="0"/>
  </r>
  <r>
    <x v="79"/>
    <x v="4"/>
    <x v="0"/>
    <n v="3400.87"/>
    <n v="0"/>
    <n v="0"/>
  </r>
  <r>
    <x v="79"/>
    <x v="5"/>
    <x v="0"/>
    <n v="1303.1"/>
    <n v="0"/>
    <n v="0"/>
  </r>
  <r>
    <x v="79"/>
    <x v="6"/>
    <x v="0"/>
    <n v="1902.67"/>
    <n v="0"/>
    <n v="0"/>
  </r>
  <r>
    <x v="79"/>
    <x v="7"/>
    <x v="0"/>
    <n v="305.62"/>
    <n v="0"/>
    <n v="0"/>
  </r>
  <r>
    <x v="79"/>
    <x v="8"/>
    <x v="0"/>
    <n v="619.3"/>
    <n v="0"/>
    <n v="0"/>
  </r>
  <r>
    <x v="79"/>
    <x v="9"/>
    <x v="0"/>
    <n v="420.08"/>
    <n v="0"/>
    <n v="0"/>
  </r>
  <r>
    <x v="79"/>
    <x v="10"/>
    <x v="0"/>
    <n v="2171.6"/>
    <n v="0"/>
    <n v="0"/>
  </r>
  <r>
    <x v="80"/>
    <x v="0"/>
    <x v="0"/>
    <n v="982.92"/>
    <n v="0"/>
    <n v="0"/>
  </r>
  <r>
    <x v="80"/>
    <x v="1"/>
    <x v="0"/>
    <n v="1961.73"/>
    <n v="0"/>
    <n v="0"/>
  </r>
  <r>
    <x v="80"/>
    <x v="2"/>
    <x v="0"/>
    <n v="2428.51"/>
    <n v="0"/>
    <n v="0"/>
  </r>
  <r>
    <x v="80"/>
    <x v="3"/>
    <x v="0"/>
    <n v="3085.83"/>
    <n v="0"/>
    <n v="0"/>
  </r>
  <r>
    <x v="80"/>
    <x v="4"/>
    <x v="0"/>
    <n v="3321.61"/>
    <n v="0"/>
    <n v="0"/>
  </r>
  <r>
    <x v="80"/>
    <x v="5"/>
    <x v="0"/>
    <n v="1435.98"/>
    <n v="0"/>
    <n v="0"/>
  </r>
  <r>
    <x v="80"/>
    <x v="6"/>
    <x v="0"/>
    <n v="1740.92"/>
    <n v="0"/>
    <n v="0"/>
  </r>
  <r>
    <x v="80"/>
    <x v="7"/>
    <x v="0"/>
    <n v="317.59"/>
    <n v="0"/>
    <n v="0"/>
  </r>
  <r>
    <x v="80"/>
    <x v="8"/>
    <x v="0"/>
    <n v="622.27"/>
    <n v="0"/>
    <n v="0"/>
  </r>
  <r>
    <x v="80"/>
    <x v="9"/>
    <x v="0"/>
    <n v="445.5"/>
    <n v="0"/>
    <n v="0"/>
  </r>
  <r>
    <x v="80"/>
    <x v="10"/>
    <x v="0"/>
    <n v="1835.1"/>
    <n v="0"/>
    <n v="0"/>
  </r>
  <r>
    <x v="81"/>
    <x v="0"/>
    <x v="0"/>
    <n v="1167.53"/>
    <n v="0"/>
    <n v="0"/>
  </r>
  <r>
    <x v="81"/>
    <x v="1"/>
    <x v="0"/>
    <n v="2399.74"/>
    <n v="0"/>
    <n v="0"/>
  </r>
  <r>
    <x v="81"/>
    <x v="2"/>
    <x v="0"/>
    <n v="2772.37"/>
    <n v="0"/>
    <n v="0"/>
  </r>
  <r>
    <x v="81"/>
    <x v="3"/>
    <x v="0"/>
    <n v="3016.88"/>
    <n v="0"/>
    <n v="0"/>
  </r>
  <r>
    <x v="81"/>
    <x v="4"/>
    <x v="0"/>
    <n v="3518.87"/>
    <n v="0"/>
    <n v="0"/>
  </r>
  <r>
    <x v="81"/>
    <x v="5"/>
    <x v="0"/>
    <n v="1195.81"/>
    <n v="0"/>
    <n v="0"/>
  </r>
  <r>
    <x v="81"/>
    <x v="6"/>
    <x v="0"/>
    <n v="1835.21"/>
    <n v="0"/>
    <n v="0"/>
  </r>
  <r>
    <x v="81"/>
    <x v="7"/>
    <x v="0"/>
    <n v="281.57"/>
    <n v="0"/>
    <n v="0"/>
  </r>
  <r>
    <x v="81"/>
    <x v="8"/>
    <x v="0"/>
    <n v="489.36"/>
    <n v="0"/>
    <n v="0"/>
  </r>
  <r>
    <x v="81"/>
    <x v="9"/>
    <x v="0"/>
    <n v="435.37"/>
    <n v="0"/>
    <n v="0"/>
  </r>
  <r>
    <x v="81"/>
    <x v="10"/>
    <x v="0"/>
    <n v="2179.88"/>
    <n v="0"/>
    <n v="0"/>
  </r>
  <r>
    <x v="82"/>
    <x v="0"/>
    <x v="0"/>
    <n v="1150.06"/>
    <n v="0"/>
    <n v="0"/>
  </r>
  <r>
    <x v="82"/>
    <x v="1"/>
    <x v="0"/>
    <n v="2034.92"/>
    <n v="0"/>
    <n v="0"/>
  </r>
  <r>
    <x v="82"/>
    <x v="2"/>
    <x v="0"/>
    <n v="2682.9"/>
    <n v="0"/>
    <n v="0"/>
  </r>
  <r>
    <x v="82"/>
    <x v="3"/>
    <x v="0"/>
    <n v="3393.28"/>
    <n v="0"/>
    <n v="0"/>
  </r>
  <r>
    <x v="82"/>
    <x v="4"/>
    <x v="0"/>
    <n v="3595.87"/>
    <n v="0"/>
    <n v="0"/>
  </r>
  <r>
    <x v="82"/>
    <x v="5"/>
    <x v="0"/>
    <n v="1271.21"/>
    <n v="0"/>
    <n v="0"/>
  </r>
  <r>
    <x v="82"/>
    <x v="6"/>
    <x v="0"/>
    <n v="2164.28"/>
    <n v="0"/>
    <n v="0"/>
  </r>
  <r>
    <x v="82"/>
    <x v="7"/>
    <x v="0"/>
    <n v="286.53"/>
    <n v="0"/>
    <n v="0"/>
  </r>
  <r>
    <x v="82"/>
    <x v="8"/>
    <x v="0"/>
    <n v="602.33"/>
    <n v="0"/>
    <n v="0"/>
  </r>
  <r>
    <x v="82"/>
    <x v="9"/>
    <x v="0"/>
    <n v="430.82"/>
    <n v="0"/>
    <n v="0"/>
  </r>
  <r>
    <x v="82"/>
    <x v="10"/>
    <x v="0"/>
    <n v="2050.49"/>
    <n v="0"/>
    <n v="0"/>
  </r>
  <r>
    <x v="83"/>
    <x v="0"/>
    <x v="0"/>
    <n v="1057.98"/>
    <n v="0"/>
    <n v="0"/>
  </r>
  <r>
    <x v="83"/>
    <x v="1"/>
    <x v="0"/>
    <n v="2292.8"/>
    <n v="0"/>
    <n v="0"/>
  </r>
  <r>
    <x v="83"/>
    <x v="2"/>
    <x v="0"/>
    <n v="2509.17"/>
    <n v="0"/>
    <n v="0"/>
  </r>
  <r>
    <x v="83"/>
    <x v="3"/>
    <x v="0"/>
    <n v="3178.04"/>
    <n v="0"/>
    <n v="0"/>
  </r>
  <r>
    <x v="83"/>
    <x v="4"/>
    <x v="0"/>
    <n v="3655.07"/>
    <n v="0"/>
    <n v="0"/>
  </r>
  <r>
    <x v="83"/>
    <x v="5"/>
    <x v="0"/>
    <n v="1389.11"/>
    <n v="0"/>
    <n v="0"/>
  </r>
  <r>
    <x v="83"/>
    <x v="6"/>
    <x v="0"/>
    <n v="2170.76"/>
    <n v="0"/>
    <n v="0"/>
  </r>
  <r>
    <x v="83"/>
    <x v="7"/>
    <x v="0"/>
    <n v="391.08"/>
    <n v="0"/>
    <n v="0"/>
  </r>
  <r>
    <x v="83"/>
    <x v="8"/>
    <x v="0"/>
    <n v="498.37"/>
    <n v="0"/>
    <n v="0"/>
  </r>
  <r>
    <x v="83"/>
    <x v="9"/>
    <x v="0"/>
    <n v="466.38"/>
    <n v="0"/>
    <n v="0"/>
  </r>
  <r>
    <x v="83"/>
    <x v="10"/>
    <x v="0"/>
    <n v="1873.6"/>
    <n v="0"/>
    <n v="0"/>
  </r>
  <r>
    <x v="84"/>
    <x v="0"/>
    <x v="0"/>
    <n v="948.8099999999999"/>
    <n v="0"/>
    <n v="0"/>
  </r>
  <r>
    <x v="84"/>
    <x v="1"/>
    <x v="0"/>
    <n v="2179.9"/>
    <n v="0"/>
    <n v="0"/>
  </r>
  <r>
    <x v="84"/>
    <x v="2"/>
    <x v="0"/>
    <n v="2380.65"/>
    <n v="0"/>
    <n v="0"/>
  </r>
  <r>
    <x v="84"/>
    <x v="3"/>
    <x v="0"/>
    <n v="3284.02"/>
    <n v="0"/>
    <n v="0"/>
  </r>
  <r>
    <x v="84"/>
    <x v="4"/>
    <x v="0"/>
    <n v="4024.65"/>
    <n v="0"/>
    <n v="0"/>
  </r>
  <r>
    <x v="84"/>
    <x v="5"/>
    <x v="0"/>
    <n v="1593.93"/>
    <n v="0"/>
    <n v="0"/>
  </r>
  <r>
    <x v="84"/>
    <x v="6"/>
    <x v="0"/>
    <n v="1617.5"/>
    <n v="0"/>
    <n v="0"/>
  </r>
  <r>
    <x v="84"/>
    <x v="7"/>
    <x v="0"/>
    <n v="371.4"/>
    <n v="0"/>
    <n v="0"/>
  </r>
  <r>
    <x v="84"/>
    <x v="8"/>
    <x v="0"/>
    <n v="477.44"/>
    <n v="0"/>
    <n v="0"/>
  </r>
  <r>
    <x v="84"/>
    <x v="9"/>
    <x v="0"/>
    <n v="512.88"/>
    <n v="0"/>
    <n v="0"/>
  </r>
  <r>
    <x v="84"/>
    <x v="10"/>
    <x v="0"/>
    <n v="1858.35"/>
    <n v="0"/>
    <n v="0"/>
  </r>
  <r>
    <x v="85"/>
    <x v="0"/>
    <x v="0"/>
    <n v="1091.19"/>
    <n v="0"/>
    <n v="0"/>
  </r>
  <r>
    <x v="85"/>
    <x v="1"/>
    <x v="0"/>
    <n v="1812.05"/>
    <n v="0"/>
    <n v="0"/>
  </r>
  <r>
    <x v="85"/>
    <x v="2"/>
    <x v="0"/>
    <n v="2485.72"/>
    <n v="0"/>
    <n v="0"/>
  </r>
  <r>
    <x v="85"/>
    <x v="3"/>
    <x v="0"/>
    <n v="3114.96"/>
    <n v="0"/>
    <n v="0"/>
  </r>
  <r>
    <x v="85"/>
    <x v="4"/>
    <x v="0"/>
    <n v="3202.24"/>
    <n v="0"/>
    <n v="0"/>
  </r>
  <r>
    <x v="85"/>
    <x v="5"/>
    <x v="0"/>
    <n v="1226.2"/>
    <n v="0"/>
    <n v="0"/>
  </r>
  <r>
    <x v="85"/>
    <x v="6"/>
    <x v="0"/>
    <n v="2108.06"/>
    <n v="0"/>
    <n v="0"/>
  </r>
  <r>
    <x v="85"/>
    <x v="7"/>
    <x v="0"/>
    <n v="260.54"/>
    <n v="0"/>
    <n v="0"/>
  </r>
  <r>
    <x v="85"/>
    <x v="8"/>
    <x v="0"/>
    <n v="564.35"/>
    <n v="0"/>
    <n v="0"/>
  </r>
  <r>
    <x v="85"/>
    <x v="9"/>
    <x v="0"/>
    <n v="397.17"/>
    <n v="0"/>
    <n v="0"/>
  </r>
  <r>
    <x v="85"/>
    <x v="10"/>
    <x v="0"/>
    <n v="1989.75"/>
    <n v="0"/>
    <n v="0"/>
  </r>
  <r>
    <x v="86"/>
    <x v="0"/>
    <x v="0"/>
    <n v="1085.78"/>
    <n v="0"/>
    <n v="0"/>
  </r>
  <r>
    <x v="86"/>
    <x v="1"/>
    <x v="0"/>
    <n v="1738.09"/>
    <n v="0"/>
    <n v="0"/>
  </r>
  <r>
    <x v="86"/>
    <x v="2"/>
    <x v="0"/>
    <n v="2371.5"/>
    <n v="0"/>
    <n v="0"/>
  </r>
  <r>
    <x v="86"/>
    <x v="3"/>
    <x v="0"/>
    <n v="3312.22"/>
    <n v="0"/>
    <n v="0"/>
  </r>
  <r>
    <x v="86"/>
    <x v="4"/>
    <x v="0"/>
    <n v="3772.1"/>
    <n v="0"/>
    <n v="0"/>
  </r>
  <r>
    <x v="86"/>
    <x v="5"/>
    <x v="0"/>
    <n v="1358.27"/>
    <n v="0"/>
    <n v="0"/>
  </r>
  <r>
    <x v="86"/>
    <x v="6"/>
    <x v="0"/>
    <n v="2169.26"/>
    <n v="0"/>
    <n v="0"/>
  </r>
  <r>
    <x v="86"/>
    <x v="7"/>
    <x v="0"/>
    <n v="325.57"/>
    <n v="0"/>
    <n v="0"/>
  </r>
  <r>
    <x v="86"/>
    <x v="8"/>
    <x v="0"/>
    <n v="589.3"/>
    <n v="0"/>
    <n v="0"/>
  </r>
  <r>
    <x v="86"/>
    <x v="9"/>
    <x v="0"/>
    <n v="396.81"/>
    <n v="0"/>
    <n v="0"/>
  </r>
  <r>
    <x v="86"/>
    <x v="10"/>
    <x v="0"/>
    <n v="2043.79"/>
    <n v="0"/>
    <n v="0"/>
  </r>
  <r>
    <x v="87"/>
    <x v="0"/>
    <x v="0"/>
    <n v="1169.03"/>
    <n v="0"/>
    <n v="0"/>
  </r>
  <r>
    <x v="87"/>
    <x v="1"/>
    <x v="0"/>
    <n v="2065.88"/>
    <n v="0"/>
    <n v="0"/>
  </r>
  <r>
    <x v="87"/>
    <x v="2"/>
    <x v="0"/>
    <n v="2299.65"/>
    <n v="0"/>
    <n v="0"/>
  </r>
  <r>
    <x v="87"/>
    <x v="3"/>
    <x v="0"/>
    <n v="3149.66"/>
    <n v="0"/>
    <n v="0"/>
  </r>
  <r>
    <x v="87"/>
    <x v="4"/>
    <x v="0"/>
    <n v="3232.96"/>
    <n v="0"/>
    <n v="0"/>
  </r>
  <r>
    <x v="87"/>
    <x v="5"/>
    <x v="0"/>
    <n v="1287.13"/>
    <n v="0"/>
    <n v="0"/>
  </r>
  <r>
    <x v="87"/>
    <x v="6"/>
    <x v="0"/>
    <n v="1901.57"/>
    <n v="0"/>
    <n v="0"/>
  </r>
  <r>
    <x v="87"/>
    <x v="7"/>
    <x v="0"/>
    <n v="340.45"/>
    <n v="0"/>
    <n v="0"/>
  </r>
  <r>
    <x v="87"/>
    <x v="8"/>
    <x v="0"/>
    <n v="380.53"/>
    <n v="0"/>
    <n v="0"/>
  </r>
  <r>
    <x v="87"/>
    <x v="9"/>
    <x v="0"/>
    <n v="367.55"/>
    <n v="0"/>
    <n v="0"/>
  </r>
  <r>
    <x v="87"/>
    <x v="10"/>
    <x v="0"/>
    <n v="2038.36"/>
    <n v="0"/>
    <n v="0"/>
  </r>
  <r>
    <x v="88"/>
    <x v="0"/>
    <x v="0"/>
    <n v="1102.44"/>
    <n v="0"/>
    <n v="0"/>
  </r>
  <r>
    <x v="88"/>
    <x v="1"/>
    <x v="0"/>
    <n v="1709.11"/>
    <n v="0"/>
    <n v="0"/>
  </r>
  <r>
    <x v="88"/>
    <x v="2"/>
    <x v="0"/>
    <n v="2316.25"/>
    <n v="0"/>
    <n v="0"/>
  </r>
  <r>
    <x v="88"/>
    <x v="3"/>
    <x v="0"/>
    <n v="2920.04"/>
    <n v="0"/>
    <n v="0"/>
  </r>
  <r>
    <x v="88"/>
    <x v="4"/>
    <x v="0"/>
    <n v="3721.16"/>
    <n v="0"/>
    <n v="0"/>
  </r>
  <r>
    <x v="88"/>
    <x v="5"/>
    <x v="0"/>
    <n v="1272.24"/>
    <n v="0"/>
    <n v="0"/>
  </r>
  <r>
    <x v="88"/>
    <x v="6"/>
    <x v="0"/>
    <n v="1901.56"/>
    <n v="0"/>
    <n v="0"/>
  </r>
  <r>
    <x v="88"/>
    <x v="7"/>
    <x v="0"/>
    <n v="260.54"/>
    <n v="0"/>
    <n v="0"/>
  </r>
  <r>
    <x v="88"/>
    <x v="8"/>
    <x v="0"/>
    <n v="628.27"/>
    <n v="0"/>
    <n v="0"/>
  </r>
  <r>
    <x v="88"/>
    <x v="9"/>
    <x v="0"/>
    <n v="347.7"/>
    <n v="0"/>
    <n v="0"/>
  </r>
  <r>
    <x v="88"/>
    <x v="10"/>
    <x v="0"/>
    <n v="2147.62"/>
    <n v="0"/>
    <n v="0"/>
  </r>
  <r>
    <x v="89"/>
    <x v="0"/>
    <x v="0"/>
    <n v="1127.27"/>
    <n v="0"/>
    <n v="0"/>
  </r>
  <r>
    <x v="89"/>
    <x v="1"/>
    <x v="0"/>
    <n v="1529.21"/>
    <n v="0"/>
    <n v="0"/>
  </r>
  <r>
    <x v="89"/>
    <x v="2"/>
    <x v="0"/>
    <n v="2353.76"/>
    <n v="0"/>
    <n v="0"/>
  </r>
  <r>
    <x v="89"/>
    <x v="3"/>
    <x v="0"/>
    <n v="3270.95"/>
    <n v="0"/>
    <n v="0"/>
  </r>
  <r>
    <x v="89"/>
    <x v="4"/>
    <x v="0"/>
    <n v="3339.67"/>
    <n v="0"/>
    <n v="0"/>
  </r>
  <r>
    <x v="89"/>
    <x v="5"/>
    <x v="0"/>
    <n v="1202.28"/>
    <n v="0"/>
    <n v="0"/>
  </r>
  <r>
    <x v="89"/>
    <x v="6"/>
    <x v="0"/>
    <n v="2101.54"/>
    <n v="0"/>
    <n v="0"/>
  </r>
  <r>
    <x v="89"/>
    <x v="7"/>
    <x v="0"/>
    <n v="321.47"/>
    <n v="0"/>
    <n v="0"/>
  </r>
  <r>
    <x v="89"/>
    <x v="8"/>
    <x v="0"/>
    <n v="530.39"/>
    <n v="0"/>
    <n v="0"/>
  </r>
  <r>
    <x v="89"/>
    <x v="9"/>
    <x v="0"/>
    <n v="384.14"/>
    <n v="0"/>
    <n v="0"/>
  </r>
  <r>
    <x v="89"/>
    <x v="10"/>
    <x v="0"/>
    <n v="2008.34"/>
    <n v="0"/>
    <n v="0"/>
  </r>
  <r>
    <x v="90"/>
    <x v="0"/>
    <x v="0"/>
    <n v="1210.11"/>
    <n v="0"/>
    <n v="0"/>
  </r>
  <r>
    <x v="90"/>
    <x v="1"/>
    <x v="0"/>
    <n v="1937.01"/>
    <n v="0"/>
    <n v="0"/>
  </r>
  <r>
    <x v="90"/>
    <x v="2"/>
    <x v="0"/>
    <n v="2202.31"/>
    <n v="0"/>
    <n v="0"/>
  </r>
  <r>
    <x v="90"/>
    <x v="3"/>
    <x v="0"/>
    <n v="3003.55"/>
    <n v="0"/>
    <n v="0"/>
  </r>
  <r>
    <x v="90"/>
    <x v="4"/>
    <x v="0"/>
    <n v="3192.61"/>
    <n v="0"/>
    <n v="0"/>
  </r>
  <r>
    <x v="90"/>
    <x v="5"/>
    <x v="0"/>
    <n v="1220.29"/>
    <n v="0"/>
    <n v="0"/>
  </r>
  <r>
    <x v="90"/>
    <x v="6"/>
    <x v="0"/>
    <n v="2059.03"/>
    <n v="0"/>
    <n v="0"/>
  </r>
  <r>
    <x v="90"/>
    <x v="7"/>
    <x v="0"/>
    <n v="208.67"/>
    <n v="0"/>
    <n v="0"/>
  </r>
  <r>
    <x v="90"/>
    <x v="8"/>
    <x v="0"/>
    <n v="532.39"/>
    <n v="0"/>
    <n v="0"/>
  </r>
  <r>
    <x v="90"/>
    <x v="9"/>
    <x v="0"/>
    <n v="441.05"/>
    <n v="0"/>
    <n v="0"/>
  </r>
  <r>
    <x v="90"/>
    <x v="10"/>
    <x v="0"/>
    <n v="1768.52"/>
    <n v="0"/>
    <n v="0"/>
  </r>
  <r>
    <x v="91"/>
    <x v="0"/>
    <x v="0"/>
    <n v="1250.42"/>
    <n v="0"/>
    <n v="0"/>
  </r>
  <r>
    <x v="91"/>
    <x v="1"/>
    <x v="0"/>
    <n v="2159.89"/>
    <n v="0"/>
    <n v="0"/>
  </r>
  <r>
    <x v="91"/>
    <x v="2"/>
    <x v="0"/>
    <n v="2174.66"/>
    <n v="0"/>
    <n v="0"/>
  </r>
  <r>
    <x v="91"/>
    <x v="3"/>
    <x v="0"/>
    <n v="3014.59"/>
    <n v="0"/>
    <n v="0"/>
  </r>
  <r>
    <x v="91"/>
    <x v="4"/>
    <x v="0"/>
    <n v="3390.94"/>
    <n v="0"/>
    <n v="0"/>
  </r>
  <r>
    <x v="91"/>
    <x v="5"/>
    <x v="0"/>
    <n v="1466.06"/>
    <n v="0"/>
    <n v="0"/>
  </r>
  <r>
    <x v="91"/>
    <x v="6"/>
    <x v="0"/>
    <n v="2237.75"/>
    <n v="0"/>
    <n v="0"/>
  </r>
  <r>
    <x v="91"/>
    <x v="7"/>
    <x v="0"/>
    <n v="430.39"/>
    <n v="0"/>
    <n v="0"/>
  </r>
  <r>
    <x v="91"/>
    <x v="8"/>
    <x v="0"/>
    <n v="526.4299999999999"/>
    <n v="0"/>
    <n v="0"/>
  </r>
  <r>
    <x v="91"/>
    <x v="9"/>
    <x v="0"/>
    <n v="357.29"/>
    <n v="0"/>
    <n v="0"/>
  </r>
  <r>
    <x v="91"/>
    <x v="10"/>
    <x v="0"/>
    <n v="1934.22"/>
    <n v="0"/>
    <n v="0"/>
  </r>
  <r>
    <x v="92"/>
    <x v="0"/>
    <x v="0"/>
    <n v="1122.19"/>
    <n v="0"/>
    <n v="0"/>
  </r>
  <r>
    <x v="92"/>
    <x v="1"/>
    <x v="0"/>
    <n v="1850.05"/>
    <n v="0"/>
    <n v="0"/>
  </r>
  <r>
    <x v="92"/>
    <x v="2"/>
    <x v="0"/>
    <n v="2168.32"/>
    <n v="0"/>
    <n v="0"/>
  </r>
  <r>
    <x v="92"/>
    <x v="3"/>
    <x v="0"/>
    <n v="3463.95"/>
    <n v="0"/>
    <n v="0"/>
  </r>
  <r>
    <x v="92"/>
    <x v="4"/>
    <x v="0"/>
    <n v="3378.87"/>
    <n v="0"/>
    <n v="0"/>
  </r>
  <r>
    <x v="92"/>
    <x v="5"/>
    <x v="0"/>
    <n v="1469"/>
    <n v="0"/>
    <n v="0"/>
  </r>
  <r>
    <x v="92"/>
    <x v="6"/>
    <x v="0"/>
    <n v="2034.77"/>
    <n v="0"/>
    <n v="0"/>
  </r>
  <r>
    <x v="92"/>
    <x v="7"/>
    <x v="0"/>
    <n v="274.56"/>
    <n v="0"/>
    <n v="0"/>
  </r>
  <r>
    <x v="92"/>
    <x v="8"/>
    <x v="0"/>
    <n v="554.37"/>
    <n v="0"/>
    <n v="0"/>
  </r>
  <r>
    <x v="92"/>
    <x v="9"/>
    <x v="0"/>
    <n v="344.32"/>
    <n v="0"/>
    <n v="0"/>
  </r>
  <r>
    <x v="92"/>
    <x v="10"/>
    <x v="0"/>
    <n v="1903.87"/>
    <n v="0"/>
    <n v="0"/>
  </r>
  <r>
    <x v="93"/>
    <x v="0"/>
    <x v="0"/>
    <n v="1208.53"/>
    <n v="0"/>
    <n v="0"/>
  </r>
  <r>
    <x v="93"/>
    <x v="1"/>
    <x v="0"/>
    <n v="1998.16"/>
    <n v="0"/>
    <n v="0"/>
  </r>
  <r>
    <x v="93"/>
    <x v="2"/>
    <x v="0"/>
    <n v="2311.69"/>
    <n v="0"/>
    <n v="0"/>
  </r>
  <r>
    <x v="93"/>
    <x v="3"/>
    <x v="0"/>
    <n v="3334.35"/>
    <n v="0"/>
    <n v="0"/>
  </r>
  <r>
    <x v="93"/>
    <x v="4"/>
    <x v="0"/>
    <n v="3296.33"/>
    <n v="0"/>
    <n v="0"/>
  </r>
  <r>
    <x v="93"/>
    <x v="5"/>
    <x v="0"/>
    <n v="1307.03"/>
    <n v="0"/>
    <n v="0"/>
  </r>
  <r>
    <x v="93"/>
    <x v="6"/>
    <x v="0"/>
    <n v="1957.17"/>
    <n v="0"/>
    <n v="0"/>
  </r>
  <r>
    <x v="93"/>
    <x v="7"/>
    <x v="0"/>
    <n v="347.57"/>
    <n v="0"/>
    <n v="0"/>
  </r>
  <r>
    <x v="93"/>
    <x v="8"/>
    <x v="0"/>
    <n v="409.5"/>
    <n v="0"/>
    <n v="0"/>
  </r>
  <r>
    <x v="93"/>
    <x v="9"/>
    <x v="0"/>
    <n v="423.2"/>
    <n v="0"/>
    <n v="0"/>
  </r>
  <r>
    <x v="93"/>
    <x v="10"/>
    <x v="0"/>
    <n v="2206.36"/>
    <n v="0"/>
    <n v="0"/>
  </r>
  <r>
    <x v="94"/>
    <x v="0"/>
    <x v="0"/>
    <n v="1147.13"/>
    <n v="0"/>
    <n v="0"/>
  </r>
  <r>
    <x v="94"/>
    <x v="1"/>
    <x v="0"/>
    <n v="2188.88"/>
    <n v="0"/>
    <n v="0"/>
  </r>
  <r>
    <x v="94"/>
    <x v="2"/>
    <x v="0"/>
    <n v="2276.23"/>
    <n v="0"/>
    <n v="0"/>
  </r>
  <r>
    <x v="94"/>
    <x v="3"/>
    <x v="0"/>
    <n v="3199.45"/>
    <n v="0"/>
    <n v="0"/>
  </r>
  <r>
    <x v="94"/>
    <x v="4"/>
    <x v="0"/>
    <n v="3501.21"/>
    <n v="0"/>
    <n v="0"/>
  </r>
  <r>
    <x v="94"/>
    <x v="5"/>
    <x v="0"/>
    <n v="1385.24"/>
    <n v="0"/>
    <n v="0"/>
  </r>
  <r>
    <x v="94"/>
    <x v="6"/>
    <x v="0"/>
    <n v="2098.77"/>
    <n v="0"/>
    <n v="0"/>
  </r>
  <r>
    <x v="94"/>
    <x v="7"/>
    <x v="0"/>
    <n v="272.51"/>
    <n v="0"/>
    <n v="0"/>
  </r>
  <r>
    <x v="94"/>
    <x v="8"/>
    <x v="0"/>
    <n v="442.43"/>
    <n v="0"/>
    <n v="0"/>
  </r>
  <r>
    <x v="94"/>
    <x v="9"/>
    <x v="0"/>
    <n v="334.56"/>
    <n v="0"/>
    <n v="0"/>
  </r>
  <r>
    <x v="94"/>
    <x v="10"/>
    <x v="0"/>
    <n v="2045.19"/>
    <n v="0"/>
    <n v="0"/>
  </r>
  <r>
    <x v="95"/>
    <x v="0"/>
    <x v="0"/>
    <n v="990.58"/>
    <n v="0"/>
    <n v="0"/>
  </r>
  <r>
    <x v="95"/>
    <x v="1"/>
    <x v="0"/>
    <n v="1982.99"/>
    <n v="0"/>
    <n v="0"/>
  </r>
  <r>
    <x v="95"/>
    <x v="2"/>
    <x v="0"/>
    <n v="2416.67"/>
    <n v="0"/>
    <n v="0"/>
  </r>
  <r>
    <x v="95"/>
    <x v="3"/>
    <x v="0"/>
    <n v="3228.56"/>
    <n v="0"/>
    <n v="0"/>
  </r>
  <r>
    <x v="95"/>
    <x v="4"/>
    <x v="0"/>
    <n v="3834.32"/>
    <n v="0"/>
    <n v="0"/>
  </r>
  <r>
    <x v="95"/>
    <x v="5"/>
    <x v="0"/>
    <n v="1402.14"/>
    <n v="0"/>
    <n v="0"/>
  </r>
  <r>
    <x v="95"/>
    <x v="6"/>
    <x v="0"/>
    <n v="2007.76"/>
    <n v="0"/>
    <n v="0"/>
  </r>
  <r>
    <x v="95"/>
    <x v="7"/>
    <x v="0"/>
    <n v="372.48"/>
    <n v="0"/>
    <n v="0"/>
  </r>
  <r>
    <x v="95"/>
    <x v="8"/>
    <x v="0"/>
    <n v="605.28"/>
    <n v="0"/>
    <n v="0"/>
  </r>
  <r>
    <x v="95"/>
    <x v="9"/>
    <x v="0"/>
    <n v="389.64"/>
    <n v="0"/>
    <n v="0"/>
  </r>
  <r>
    <x v="95"/>
    <x v="10"/>
    <x v="0"/>
    <n v="2005.06"/>
    <n v="0"/>
    <n v="0"/>
  </r>
  <r>
    <x v="96"/>
    <x v="0"/>
    <x v="0"/>
    <n v="978.9299999999999"/>
    <n v="0"/>
    <n v="0"/>
  </r>
  <r>
    <x v="96"/>
    <x v="1"/>
    <x v="0"/>
    <n v="2054.94"/>
    <n v="0"/>
    <n v="0"/>
  </r>
  <r>
    <x v="96"/>
    <x v="2"/>
    <x v="0"/>
    <n v="2497.55"/>
    <n v="0"/>
    <n v="0"/>
  </r>
  <r>
    <x v="96"/>
    <x v="3"/>
    <x v="0"/>
    <n v="3228.32"/>
    <n v="0"/>
    <n v="0"/>
  </r>
  <r>
    <x v="96"/>
    <x v="4"/>
    <x v="0"/>
    <n v="3539.56"/>
    <n v="0"/>
    <n v="0"/>
  </r>
  <r>
    <x v="96"/>
    <x v="5"/>
    <x v="0"/>
    <n v="1600.79"/>
    <n v="0"/>
    <n v="0"/>
  </r>
  <r>
    <x v="96"/>
    <x v="6"/>
    <x v="0"/>
    <n v="2254.4"/>
    <n v="0"/>
    <n v="0"/>
  </r>
  <r>
    <x v="96"/>
    <x v="7"/>
    <x v="0"/>
    <n v="239.62"/>
    <n v="0"/>
    <n v="0"/>
  </r>
  <r>
    <x v="96"/>
    <x v="8"/>
    <x v="0"/>
    <n v="496.37"/>
    <n v="0"/>
    <n v="0"/>
  </r>
  <r>
    <x v="96"/>
    <x v="9"/>
    <x v="0"/>
    <n v="426.66"/>
    <n v="0"/>
    <n v="0"/>
  </r>
  <r>
    <x v="96"/>
    <x v="10"/>
    <x v="0"/>
    <n v="1939.52"/>
    <n v="0"/>
    <n v="0"/>
  </r>
  <r>
    <x v="97"/>
    <x v="0"/>
    <x v="0"/>
    <n v="1131.82"/>
    <n v="0"/>
    <n v="0"/>
  </r>
  <r>
    <x v="97"/>
    <x v="1"/>
    <x v="0"/>
    <n v="1960.98"/>
    <n v="0"/>
    <n v="0"/>
  </r>
  <r>
    <x v="97"/>
    <x v="2"/>
    <x v="0"/>
    <n v="2415"/>
    <n v="0"/>
    <n v="0"/>
  </r>
  <r>
    <x v="97"/>
    <x v="3"/>
    <x v="0"/>
    <n v="3095.22"/>
    <n v="0"/>
    <n v="0"/>
  </r>
  <r>
    <x v="97"/>
    <x v="4"/>
    <x v="0"/>
    <n v="3227.6"/>
    <n v="0"/>
    <n v="0"/>
  </r>
  <r>
    <x v="97"/>
    <x v="5"/>
    <x v="0"/>
    <n v="1264.07"/>
    <n v="0"/>
    <n v="0"/>
  </r>
  <r>
    <x v="97"/>
    <x v="6"/>
    <x v="0"/>
    <n v="2159.25"/>
    <n v="0"/>
    <n v="0"/>
  </r>
  <r>
    <x v="97"/>
    <x v="7"/>
    <x v="0"/>
    <n v="294.56"/>
    <n v="0"/>
    <n v="0"/>
  </r>
  <r>
    <x v="97"/>
    <x v="8"/>
    <x v="0"/>
    <n v="607.28"/>
    <n v="0"/>
    <n v="0"/>
  </r>
  <r>
    <x v="97"/>
    <x v="9"/>
    <x v="0"/>
    <n v="432.56"/>
    <n v="0"/>
    <n v="0"/>
  </r>
  <r>
    <x v="97"/>
    <x v="10"/>
    <x v="0"/>
    <n v="2115.26"/>
    <n v="0"/>
    <n v="0"/>
  </r>
  <r>
    <x v="98"/>
    <x v="0"/>
    <x v="0"/>
    <n v="1199.88"/>
    <n v="0"/>
    <n v="0"/>
  </r>
  <r>
    <x v="98"/>
    <x v="1"/>
    <x v="0"/>
    <n v="2334.79"/>
    <n v="0"/>
    <n v="0"/>
  </r>
  <r>
    <x v="98"/>
    <x v="2"/>
    <x v="0"/>
    <n v="2466.01"/>
    <n v="0"/>
    <n v="0"/>
  </r>
  <r>
    <x v="98"/>
    <x v="3"/>
    <x v="0"/>
    <n v="3062.93"/>
    <n v="0"/>
    <n v="0"/>
  </r>
  <r>
    <x v="98"/>
    <x v="4"/>
    <x v="0"/>
    <n v="3046.86"/>
    <n v="0"/>
    <n v="0"/>
  </r>
  <r>
    <x v="98"/>
    <x v="5"/>
    <x v="0"/>
    <n v="1376.06"/>
    <n v="0"/>
    <n v="0"/>
  </r>
  <r>
    <x v="98"/>
    <x v="6"/>
    <x v="0"/>
    <n v="1977.86"/>
    <n v="0"/>
    <n v="0"/>
  </r>
  <r>
    <x v="98"/>
    <x v="7"/>
    <x v="0"/>
    <n v="380.46"/>
    <n v="0"/>
    <n v="0"/>
  </r>
  <r>
    <x v="98"/>
    <x v="8"/>
    <x v="0"/>
    <n v="596.33"/>
    <n v="0"/>
    <n v="0"/>
  </r>
  <r>
    <x v="98"/>
    <x v="9"/>
    <x v="0"/>
    <n v="448.81"/>
    <n v="0"/>
    <n v="0"/>
  </r>
  <r>
    <x v="98"/>
    <x v="10"/>
    <x v="0"/>
    <n v="1930.14"/>
    <n v="0"/>
    <n v="0"/>
  </r>
  <r>
    <x v="99"/>
    <x v="0"/>
    <x v="0"/>
    <n v="1077.01"/>
    <n v="0"/>
    <n v="0"/>
  </r>
  <r>
    <x v="99"/>
    <x v="1"/>
    <x v="0"/>
    <n v="1967.98"/>
    <n v="0"/>
    <n v="0"/>
  </r>
  <r>
    <x v="99"/>
    <x v="2"/>
    <x v="0"/>
    <n v="2486.7"/>
    <n v="0"/>
    <n v="0"/>
  </r>
  <r>
    <x v="99"/>
    <x v="3"/>
    <x v="0"/>
    <n v="3095.66"/>
    <n v="0"/>
    <n v="0"/>
  </r>
  <r>
    <x v="99"/>
    <x v="4"/>
    <x v="0"/>
    <n v="3599.67"/>
    <n v="0"/>
    <n v="0"/>
  </r>
  <r>
    <x v="99"/>
    <x v="5"/>
    <x v="0"/>
    <n v="1405.57"/>
    <n v="0"/>
    <n v="0"/>
  </r>
  <r>
    <x v="99"/>
    <x v="6"/>
    <x v="0"/>
    <n v="2215.89"/>
    <n v="0"/>
    <n v="0"/>
  </r>
  <r>
    <x v="99"/>
    <x v="7"/>
    <x v="0"/>
    <n v="436.43"/>
    <n v="0"/>
    <n v="0"/>
  </r>
  <r>
    <x v="99"/>
    <x v="8"/>
    <x v="0"/>
    <n v="553.36"/>
    <n v="0"/>
    <n v="0"/>
  </r>
  <r>
    <x v="99"/>
    <x v="9"/>
    <x v="0"/>
    <n v="426.29"/>
    <n v="0"/>
    <n v="0"/>
  </r>
  <r>
    <x v="99"/>
    <x v="10"/>
    <x v="0"/>
    <n v="2078.45"/>
    <n v="0"/>
    <n v="0"/>
  </r>
  <r>
    <x v="100"/>
    <x v="0"/>
    <x v="0"/>
    <n v="1215.19"/>
    <n v="0"/>
    <n v="0"/>
  </r>
  <r>
    <x v="100"/>
    <x v="1"/>
    <x v="0"/>
    <n v="2367.34"/>
    <n v="0"/>
    <n v="0"/>
  </r>
  <r>
    <x v="100"/>
    <x v="2"/>
    <x v="0"/>
    <n v="2688.35"/>
    <n v="0"/>
    <n v="0"/>
  </r>
  <r>
    <x v="100"/>
    <x v="3"/>
    <x v="0"/>
    <n v="2959.19"/>
    <n v="0"/>
    <n v="0"/>
  </r>
  <r>
    <x v="100"/>
    <x v="4"/>
    <x v="0"/>
    <n v="3909.3"/>
    <n v="0"/>
    <n v="0"/>
  </r>
  <r>
    <x v="100"/>
    <x v="5"/>
    <x v="0"/>
    <n v="1552.24"/>
    <n v="0"/>
    <n v="0"/>
  </r>
  <r>
    <x v="100"/>
    <x v="6"/>
    <x v="0"/>
    <n v="2433.51"/>
    <n v="0"/>
    <n v="0"/>
  </r>
  <r>
    <x v="100"/>
    <x v="7"/>
    <x v="0"/>
    <n v="371.51"/>
    <n v="0"/>
    <n v="0"/>
  </r>
  <r>
    <x v="100"/>
    <x v="8"/>
    <x v="0"/>
    <n v="617.28"/>
    <n v="0"/>
    <n v="0"/>
  </r>
  <r>
    <x v="100"/>
    <x v="9"/>
    <x v="0"/>
    <n v="409.35"/>
    <n v="0"/>
    <n v="0"/>
  </r>
  <r>
    <x v="100"/>
    <x v="10"/>
    <x v="0"/>
    <n v="2216.36"/>
    <n v="0"/>
    <n v="0"/>
  </r>
  <r>
    <x v="101"/>
    <x v="0"/>
    <x v="0"/>
    <n v="1095.56"/>
    <n v="0"/>
    <n v="0"/>
  </r>
  <r>
    <x v="101"/>
    <x v="1"/>
    <x v="0"/>
    <n v="2154.87"/>
    <n v="0"/>
    <n v="0"/>
  </r>
  <r>
    <x v="101"/>
    <x v="2"/>
    <x v="0"/>
    <n v="2658.14"/>
    <n v="0"/>
    <n v="0"/>
  </r>
  <r>
    <x v="101"/>
    <x v="3"/>
    <x v="0"/>
    <n v="3266.66"/>
    <n v="0"/>
    <n v="0"/>
  </r>
  <r>
    <x v="101"/>
    <x v="4"/>
    <x v="0"/>
    <n v="3283.21"/>
    <n v="0"/>
    <n v="0"/>
  </r>
  <r>
    <x v="101"/>
    <x v="5"/>
    <x v="0"/>
    <n v="1316.07"/>
    <n v="0"/>
    <n v="0"/>
  </r>
  <r>
    <x v="101"/>
    <x v="6"/>
    <x v="0"/>
    <n v="2069.67"/>
    <n v="0"/>
    <n v="0"/>
  </r>
  <r>
    <x v="101"/>
    <x v="7"/>
    <x v="0"/>
    <n v="268.63"/>
    <n v="0"/>
    <n v="0"/>
  </r>
  <r>
    <x v="101"/>
    <x v="8"/>
    <x v="0"/>
    <n v="441.4"/>
    <n v="0"/>
    <n v="0"/>
  </r>
  <r>
    <x v="101"/>
    <x v="9"/>
    <x v="0"/>
    <n v="378.78"/>
    <n v="0"/>
    <n v="0"/>
  </r>
  <r>
    <x v="101"/>
    <x v="10"/>
    <x v="0"/>
    <n v="2081.69"/>
    <n v="0"/>
    <n v="0"/>
  </r>
  <r>
    <x v="102"/>
    <x v="0"/>
    <x v="0"/>
    <n v="1094.35"/>
    <n v="0"/>
    <n v="0"/>
  </r>
  <r>
    <x v="102"/>
    <x v="1"/>
    <x v="0"/>
    <n v="2280.8"/>
    <n v="0"/>
    <n v="0"/>
  </r>
  <r>
    <x v="102"/>
    <x v="2"/>
    <x v="0"/>
    <n v="2742.07"/>
    <n v="0"/>
    <n v="0"/>
  </r>
  <r>
    <x v="102"/>
    <x v="3"/>
    <x v="0"/>
    <n v="3003.78"/>
    <n v="0"/>
    <n v="0"/>
  </r>
  <r>
    <x v="102"/>
    <x v="4"/>
    <x v="0"/>
    <n v="3528.29"/>
    <n v="0"/>
    <n v="0"/>
  </r>
  <r>
    <x v="102"/>
    <x v="5"/>
    <x v="0"/>
    <n v="1442.93"/>
    <n v="0"/>
    <n v="0"/>
  </r>
  <r>
    <x v="102"/>
    <x v="6"/>
    <x v="0"/>
    <n v="2171.16"/>
    <n v="0"/>
    <n v="0"/>
  </r>
  <r>
    <x v="102"/>
    <x v="7"/>
    <x v="0"/>
    <n v="286.64"/>
    <n v="0"/>
    <n v="0"/>
  </r>
  <r>
    <x v="102"/>
    <x v="8"/>
    <x v="0"/>
    <n v="472.43"/>
    <n v="0"/>
    <n v="0"/>
  </r>
  <r>
    <x v="102"/>
    <x v="9"/>
    <x v="0"/>
    <n v="416.39"/>
    <n v="0"/>
    <n v="0"/>
  </r>
  <r>
    <x v="102"/>
    <x v="10"/>
    <x v="0"/>
    <n v="2189.67"/>
    <n v="0"/>
    <n v="0"/>
  </r>
  <r>
    <x v="103"/>
    <x v="0"/>
    <x v="0"/>
    <n v="1142.32"/>
    <n v="0"/>
    <n v="0"/>
  </r>
  <r>
    <x v="103"/>
    <x v="1"/>
    <x v="0"/>
    <n v="2071.93"/>
    <n v="0"/>
    <n v="0"/>
  </r>
  <r>
    <x v="103"/>
    <x v="2"/>
    <x v="0"/>
    <n v="3247.31"/>
    <n v="0"/>
    <n v="0"/>
  </r>
  <r>
    <x v="103"/>
    <x v="3"/>
    <x v="0"/>
    <n v="3124.83"/>
    <n v="0"/>
    <n v="0"/>
  </r>
  <r>
    <x v="103"/>
    <x v="4"/>
    <x v="0"/>
    <n v="3006.04"/>
    <n v="0"/>
    <n v="0"/>
  </r>
  <r>
    <x v="103"/>
    <x v="5"/>
    <x v="0"/>
    <n v="1163.05"/>
    <n v="0"/>
    <n v="0"/>
  </r>
  <r>
    <x v="103"/>
    <x v="6"/>
    <x v="0"/>
    <n v="1792.45"/>
    <n v="0"/>
    <n v="0"/>
  </r>
  <r>
    <x v="103"/>
    <x v="7"/>
    <x v="0"/>
    <n v="333.55"/>
    <n v="0"/>
    <n v="0"/>
  </r>
  <r>
    <x v="103"/>
    <x v="8"/>
    <x v="0"/>
    <n v="539.36"/>
    <n v="0"/>
    <n v="0"/>
  </r>
  <r>
    <x v="103"/>
    <x v="9"/>
    <x v="0"/>
    <n v="480.86"/>
    <n v="0"/>
    <n v="0"/>
  </r>
  <r>
    <x v="103"/>
    <x v="10"/>
    <x v="0"/>
    <n v="1865.27"/>
    <n v="0"/>
    <n v="0"/>
  </r>
  <r>
    <x v="104"/>
    <x v="0"/>
    <x v="1"/>
    <n v="1121.93"/>
    <n v="1004.26"/>
    <n v="1239.6"/>
  </r>
  <r>
    <x v="104"/>
    <x v="1"/>
    <x v="1"/>
    <n v="2391.25"/>
    <n v="2140.46"/>
    <n v="2642.04"/>
  </r>
  <r>
    <x v="104"/>
    <x v="2"/>
    <x v="1"/>
    <n v="3066.21"/>
    <n v="2744.63"/>
    <n v="3387.79"/>
  </r>
  <r>
    <x v="104"/>
    <x v="3"/>
    <x v="1"/>
    <n v="3246.69"/>
    <n v="2906.18"/>
    <n v="3587.2"/>
  </r>
  <r>
    <x v="104"/>
    <x v="4"/>
    <x v="1"/>
    <n v="3483.28"/>
    <n v="3117.96"/>
    <n v="3848.6"/>
  </r>
  <r>
    <x v="104"/>
    <x v="5"/>
    <x v="1"/>
    <n v="1350.76"/>
    <n v="1209.09"/>
    <n v="1492.43"/>
  </r>
  <r>
    <x v="104"/>
    <x v="6"/>
    <x v="1"/>
    <n v="1951.21"/>
    <n v="1746.57"/>
    <n v="2155.85"/>
  </r>
  <r>
    <x v="104"/>
    <x v="7"/>
    <x v="1"/>
    <n v="329.71"/>
    <n v="295.13"/>
    <n v="364.29"/>
  </r>
  <r>
    <x v="104"/>
    <x v="8"/>
    <x v="1"/>
    <n v="530.5"/>
    <n v="474.86"/>
    <n v="586.14"/>
  </r>
  <r>
    <x v="104"/>
    <x v="9"/>
    <x v="1"/>
    <n v="439.62"/>
    <n v="393.51"/>
    <n v="485.73"/>
  </r>
  <r>
    <x v="104"/>
    <x v="10"/>
    <x v="1"/>
    <n v="2180.63"/>
    <n v="1951.93"/>
    <n v="2409.33"/>
  </r>
  <r>
    <x v="105"/>
    <x v="0"/>
    <x v="1"/>
    <n v="1162.83"/>
    <n v="1040.87"/>
    <n v="1284.78"/>
  </r>
  <r>
    <x v="105"/>
    <x v="1"/>
    <x v="1"/>
    <n v="2585.18"/>
    <n v="2314.05"/>
    <n v="2856.31"/>
  </r>
  <r>
    <x v="105"/>
    <x v="2"/>
    <x v="1"/>
    <n v="2969.93"/>
    <n v="2658.45"/>
    <n v="3281.41"/>
  </r>
  <r>
    <x v="105"/>
    <x v="3"/>
    <x v="1"/>
    <n v="3401.38"/>
    <n v="3044.64"/>
    <n v="3758.11"/>
  </r>
  <r>
    <x v="105"/>
    <x v="4"/>
    <x v="1"/>
    <n v="3751.41"/>
    <n v="3357.96"/>
    <n v="4144.85"/>
  </r>
  <r>
    <x v="105"/>
    <x v="5"/>
    <x v="1"/>
    <n v="1572.73"/>
    <n v="1407.79"/>
    <n v="1737.68"/>
  </r>
  <r>
    <x v="105"/>
    <x v="6"/>
    <x v="1"/>
    <n v="1973.85"/>
    <n v="1766.84"/>
    <n v="2180.87"/>
  </r>
  <r>
    <x v="105"/>
    <x v="7"/>
    <x v="1"/>
    <n v="309.22"/>
    <n v="276.79"/>
    <n v="341.65"/>
  </r>
  <r>
    <x v="105"/>
    <x v="8"/>
    <x v="1"/>
    <n v="617.88"/>
    <n v="553.08"/>
    <n v="682.6799999999999"/>
  </r>
  <r>
    <x v="105"/>
    <x v="9"/>
    <x v="1"/>
    <n v="449.58"/>
    <n v="402.43"/>
    <n v="496.73"/>
  </r>
  <r>
    <x v="105"/>
    <x v="10"/>
    <x v="1"/>
    <n v="2085.39"/>
    <n v="1866.68"/>
    <n v="2304.1"/>
  </r>
  <r>
    <x v="106"/>
    <x v="0"/>
    <x v="1"/>
    <n v="1031.39"/>
    <n v="923.22"/>
    <n v="1139.56"/>
  </r>
  <r>
    <x v="106"/>
    <x v="1"/>
    <x v="1"/>
    <n v="2586.48"/>
    <n v="2315.21"/>
    <n v="2857.74"/>
  </r>
  <r>
    <x v="106"/>
    <x v="2"/>
    <x v="1"/>
    <n v="2979.8"/>
    <n v="2667.28"/>
    <n v="3292.31"/>
  </r>
  <r>
    <x v="106"/>
    <x v="3"/>
    <x v="1"/>
    <n v="3469.3"/>
    <n v="3105.44"/>
    <n v="3833.15"/>
  </r>
  <r>
    <x v="106"/>
    <x v="4"/>
    <x v="1"/>
    <n v="3441.31"/>
    <n v="3080.39"/>
    <n v="3802.23"/>
  </r>
  <r>
    <x v="106"/>
    <x v="5"/>
    <x v="1"/>
    <n v="1210.81"/>
    <n v="1083.82"/>
    <n v="1337.8"/>
  </r>
  <r>
    <x v="106"/>
    <x v="6"/>
    <x v="1"/>
    <n v="1917.86"/>
    <n v="1716.72"/>
    <n v="2119"/>
  </r>
  <r>
    <x v="106"/>
    <x v="7"/>
    <x v="1"/>
    <n v="177.48"/>
    <n v="158.87"/>
    <n v="196.09"/>
  </r>
  <r>
    <x v="106"/>
    <x v="8"/>
    <x v="1"/>
    <n v="509.52"/>
    <n v="456.08"/>
    <n v="562.96"/>
  </r>
  <r>
    <x v="106"/>
    <x v="9"/>
    <x v="1"/>
    <n v="466.03"/>
    <n v="417.16"/>
    <n v="514.91"/>
  </r>
  <r>
    <x v="106"/>
    <x v="10"/>
    <x v="1"/>
    <n v="2029.68"/>
    <n v="1816.81"/>
    <n v="2242.55"/>
  </r>
  <r>
    <x v="107"/>
    <x v="0"/>
    <x v="1"/>
    <n v="1090.61"/>
    <n v="976.23"/>
    <n v="1204.99"/>
  </r>
  <r>
    <x v="107"/>
    <x v="1"/>
    <x v="1"/>
    <n v="2631.97"/>
    <n v="2355.93"/>
    <n v="2908.01"/>
  </r>
  <r>
    <x v="107"/>
    <x v="2"/>
    <x v="1"/>
    <n v="3517.2"/>
    <n v="3148.32"/>
    <n v="3886.08"/>
  </r>
  <r>
    <x v="107"/>
    <x v="3"/>
    <x v="1"/>
    <n v="3687.06"/>
    <n v="3300.36"/>
    <n v="4073.75"/>
  </r>
  <r>
    <x v="107"/>
    <x v="4"/>
    <x v="1"/>
    <n v="3882.84"/>
    <n v="3475.61"/>
    <n v="4290.07"/>
  </r>
  <r>
    <x v="107"/>
    <x v="5"/>
    <x v="1"/>
    <n v="1556.38"/>
    <n v="1393.15"/>
    <n v="1719.61"/>
  </r>
  <r>
    <x v="107"/>
    <x v="6"/>
    <x v="1"/>
    <n v="2097.22"/>
    <n v="1877.27"/>
    <n v="2317.17"/>
  </r>
  <r>
    <x v="107"/>
    <x v="7"/>
    <x v="1"/>
    <n v="282.8"/>
    <n v="253.14"/>
    <n v="312.46"/>
  </r>
  <r>
    <x v="107"/>
    <x v="8"/>
    <x v="1"/>
    <n v="506.87"/>
    <n v="453.71"/>
    <n v="560.03"/>
  </r>
  <r>
    <x v="107"/>
    <x v="9"/>
    <x v="1"/>
    <n v="450.75"/>
    <n v="403.47"/>
    <n v="498.02"/>
  </r>
  <r>
    <x v="107"/>
    <x v="10"/>
    <x v="1"/>
    <n v="2035.34"/>
    <n v="1821.87"/>
    <n v="2248.8"/>
  </r>
  <r>
    <x v="108"/>
    <x v="0"/>
    <x v="1"/>
    <n v="1178.08"/>
    <n v="1054.53"/>
    <n v="1301.64"/>
  </r>
  <r>
    <x v="108"/>
    <x v="1"/>
    <x v="1"/>
    <n v="2620.92"/>
    <n v="2346.04"/>
    <n v="2895.8"/>
  </r>
  <r>
    <x v="108"/>
    <x v="2"/>
    <x v="1"/>
    <n v="3459.13"/>
    <n v="3096.34"/>
    <n v="3821.92"/>
  </r>
  <r>
    <x v="108"/>
    <x v="3"/>
    <x v="1"/>
    <n v="3399.07"/>
    <n v="3042.57"/>
    <n v="3755.56"/>
  </r>
  <r>
    <x v="108"/>
    <x v="4"/>
    <x v="1"/>
    <n v="3520.71"/>
    <n v="3151.46"/>
    <n v="3889.96"/>
  </r>
  <r>
    <x v="108"/>
    <x v="5"/>
    <x v="1"/>
    <n v="1420.75"/>
    <n v="1271.74"/>
    <n v="1569.76"/>
  </r>
  <r>
    <x v="108"/>
    <x v="6"/>
    <x v="1"/>
    <n v="1821.58"/>
    <n v="1630.53"/>
    <n v="2012.62"/>
  </r>
  <r>
    <x v="108"/>
    <x v="7"/>
    <x v="1"/>
    <n v="430.77"/>
    <n v="385.6"/>
    <n v="475.95"/>
  </r>
  <r>
    <x v="108"/>
    <x v="8"/>
    <x v="1"/>
    <n v="487.36"/>
    <n v="436.25"/>
    <n v="538.48"/>
  </r>
  <r>
    <x v="108"/>
    <x v="9"/>
    <x v="1"/>
    <n v="545.71"/>
    <n v="488.48"/>
    <n v="602.9400000000001"/>
  </r>
  <r>
    <x v="108"/>
    <x v="10"/>
    <x v="1"/>
    <n v="2068.47"/>
    <n v="1851.53"/>
    <n v="2285.41"/>
  </r>
  <r>
    <x v="109"/>
    <x v="0"/>
    <x v="1"/>
    <n v="1119"/>
    <n v="1001.64"/>
    <n v="1236.36"/>
  </r>
  <r>
    <x v="109"/>
    <x v="1"/>
    <x v="1"/>
    <n v="2666.12"/>
    <n v="2386.5"/>
    <n v="2945.74"/>
  </r>
  <r>
    <x v="109"/>
    <x v="2"/>
    <x v="1"/>
    <n v="3452.29"/>
    <n v="3090.21"/>
    <n v="3814.36"/>
  </r>
  <r>
    <x v="109"/>
    <x v="3"/>
    <x v="1"/>
    <n v="3567.24"/>
    <n v="3193.11"/>
    <n v="3941.37"/>
  </r>
  <r>
    <x v="109"/>
    <x v="4"/>
    <x v="1"/>
    <n v="4000.31"/>
    <n v="3580.76"/>
    <n v="4419.86"/>
  </r>
  <r>
    <x v="109"/>
    <x v="5"/>
    <x v="1"/>
    <n v="1265.36"/>
    <n v="1132.65"/>
    <n v="1398.08"/>
  </r>
  <r>
    <x v="109"/>
    <x v="6"/>
    <x v="1"/>
    <n v="1860.82"/>
    <n v="1665.66"/>
    <n v="2055.98"/>
  </r>
  <r>
    <x v="109"/>
    <x v="7"/>
    <x v="1"/>
    <n v="277.4"/>
    <n v="248.3"/>
    <n v="306.49"/>
  </r>
  <r>
    <x v="109"/>
    <x v="8"/>
    <x v="1"/>
    <n v="651.27"/>
    <n v="582.97"/>
    <n v="719.58"/>
  </r>
  <r>
    <x v="109"/>
    <x v="9"/>
    <x v="1"/>
    <n v="537.08"/>
    <n v="480.75"/>
    <n v="593.41"/>
  </r>
  <r>
    <x v="109"/>
    <x v="10"/>
    <x v="1"/>
    <n v="2067.71"/>
    <n v="1850.85"/>
    <n v="2284.57"/>
  </r>
  <r>
    <x v="110"/>
    <x v="0"/>
    <x v="1"/>
    <n v="1052.16"/>
    <n v="941.8099999999999"/>
    <n v="1162.51"/>
  </r>
  <r>
    <x v="110"/>
    <x v="1"/>
    <x v="1"/>
    <n v="2189.28"/>
    <n v="1959.67"/>
    <n v="2418.89"/>
  </r>
  <r>
    <x v="110"/>
    <x v="2"/>
    <x v="1"/>
    <n v="3652.59"/>
    <n v="3269.51"/>
    <n v="4035.67"/>
  </r>
  <r>
    <x v="110"/>
    <x v="3"/>
    <x v="1"/>
    <n v="3424.13"/>
    <n v="3065.01"/>
    <n v="3783.25"/>
  </r>
  <r>
    <x v="110"/>
    <x v="4"/>
    <x v="1"/>
    <n v="3447.88"/>
    <n v="3086.27"/>
    <n v="3809.49"/>
  </r>
  <r>
    <x v="110"/>
    <x v="5"/>
    <x v="1"/>
    <n v="1337.14"/>
    <n v="1196.9"/>
    <n v="1477.38"/>
  </r>
  <r>
    <x v="110"/>
    <x v="6"/>
    <x v="1"/>
    <n v="1957.49"/>
    <n v="1752.19"/>
    <n v="2162.79"/>
  </r>
  <r>
    <x v="110"/>
    <x v="7"/>
    <x v="1"/>
    <n v="467.65"/>
    <n v="418.6"/>
    <n v="516.7"/>
  </r>
  <r>
    <x v="110"/>
    <x v="8"/>
    <x v="1"/>
    <n v="544.77"/>
    <n v="487.64"/>
    <n v="601.91"/>
  </r>
  <r>
    <x v="110"/>
    <x v="9"/>
    <x v="1"/>
    <n v="590.67"/>
    <n v="528.73"/>
    <n v="652.62"/>
  </r>
  <r>
    <x v="110"/>
    <x v="10"/>
    <x v="1"/>
    <n v="1966.04"/>
    <n v="1759.84"/>
    <n v="2172.24"/>
  </r>
  <r>
    <x v="111"/>
    <x v="0"/>
    <x v="1"/>
    <n v="1320.38"/>
    <n v="1181.9"/>
    <n v="1458.86"/>
  </r>
  <r>
    <x v="111"/>
    <x v="1"/>
    <x v="1"/>
    <n v="3233.24"/>
    <n v="2894.14"/>
    <n v="3572.34"/>
  </r>
  <r>
    <x v="111"/>
    <x v="2"/>
    <x v="1"/>
    <n v="4096.96"/>
    <n v="3667.28"/>
    <n v="4526.65"/>
  </r>
  <r>
    <x v="111"/>
    <x v="3"/>
    <x v="1"/>
    <n v="3446.16"/>
    <n v="3084.73"/>
    <n v="3807.59"/>
  </r>
  <r>
    <x v="111"/>
    <x v="4"/>
    <x v="1"/>
    <n v="3949.81"/>
    <n v="3535.56"/>
    <n v="4364.06"/>
  </r>
  <r>
    <x v="111"/>
    <x v="5"/>
    <x v="1"/>
    <n v="1580.03"/>
    <n v="1414.32"/>
    <n v="1745.75"/>
  </r>
  <r>
    <x v="111"/>
    <x v="6"/>
    <x v="1"/>
    <n v="2143.49"/>
    <n v="1918.68"/>
    <n v="2368.3"/>
  </r>
  <r>
    <x v="111"/>
    <x v="7"/>
    <x v="1"/>
    <n v="398.13"/>
    <n v="356.37"/>
    <n v="439.88"/>
  </r>
  <r>
    <x v="111"/>
    <x v="8"/>
    <x v="1"/>
    <n v="722.9299999999999"/>
    <n v="647.11"/>
    <n v="798.75"/>
  </r>
  <r>
    <x v="111"/>
    <x v="9"/>
    <x v="1"/>
    <n v="591.16"/>
    <n v="529.16"/>
    <n v="653.16"/>
  </r>
  <r>
    <x v="111"/>
    <x v="10"/>
    <x v="1"/>
    <n v="2307.98"/>
    <n v="2065.93"/>
    <n v="2550.04"/>
  </r>
  <r>
    <x v="112"/>
    <x v="0"/>
    <x v="1"/>
    <n v="1221.49"/>
    <n v="1093.39"/>
    <n v="1349.6"/>
  </r>
  <r>
    <x v="112"/>
    <x v="1"/>
    <x v="1"/>
    <n v="2828.07"/>
    <n v="2531.46"/>
    <n v="3124.67"/>
  </r>
  <r>
    <x v="112"/>
    <x v="2"/>
    <x v="1"/>
    <n v="4205.46"/>
    <n v="3764.39"/>
    <n v="4646.52"/>
  </r>
  <r>
    <x v="112"/>
    <x v="3"/>
    <x v="1"/>
    <n v="3811.63"/>
    <n v="3411.87"/>
    <n v="4211.39"/>
  </r>
  <r>
    <x v="112"/>
    <x v="4"/>
    <x v="1"/>
    <n v="4275.73"/>
    <n v="3827.3"/>
    <n v="4724.16"/>
  </r>
  <r>
    <x v="112"/>
    <x v="5"/>
    <x v="1"/>
    <n v="1186.39"/>
    <n v="1061.96"/>
    <n v="1310.82"/>
  </r>
  <r>
    <x v="112"/>
    <x v="6"/>
    <x v="1"/>
    <n v="2136.78"/>
    <n v="1912.67"/>
    <n v="2360.88"/>
  </r>
  <r>
    <x v="112"/>
    <x v="7"/>
    <x v="1"/>
    <n v="262.13"/>
    <n v="234.64"/>
    <n v="289.62"/>
  </r>
  <r>
    <x v="112"/>
    <x v="8"/>
    <x v="1"/>
    <n v="504.78"/>
    <n v="451.84"/>
    <n v="557.72"/>
  </r>
  <r>
    <x v="112"/>
    <x v="9"/>
    <x v="1"/>
    <n v="567.3200000000001"/>
    <n v="507.82"/>
    <n v="626.8200000000001"/>
  </r>
  <r>
    <x v="112"/>
    <x v="10"/>
    <x v="1"/>
    <n v="2215.2"/>
    <n v="1982.87"/>
    <n v="2447.53"/>
  </r>
  <r>
    <x v="113"/>
    <x v="0"/>
    <x v="1"/>
    <n v="1340.84"/>
    <n v="1200.22"/>
    <n v="1481.47"/>
  </r>
  <r>
    <x v="113"/>
    <x v="1"/>
    <x v="1"/>
    <n v="3152.98"/>
    <n v="2822.29"/>
    <n v="3483.66"/>
  </r>
  <r>
    <x v="113"/>
    <x v="2"/>
    <x v="1"/>
    <n v="4081.3"/>
    <n v="3653.26"/>
    <n v="4509.34"/>
  </r>
  <r>
    <x v="113"/>
    <x v="3"/>
    <x v="1"/>
    <n v="3682.7"/>
    <n v="3296.46"/>
    <n v="4068.94"/>
  </r>
  <r>
    <x v="113"/>
    <x v="4"/>
    <x v="1"/>
    <n v="4228.33"/>
    <n v="3784.87"/>
    <n v="4671.79"/>
  </r>
  <r>
    <x v="113"/>
    <x v="5"/>
    <x v="1"/>
    <n v="1550.71"/>
    <n v="1388.07"/>
    <n v="1713.34"/>
  </r>
  <r>
    <x v="113"/>
    <x v="6"/>
    <x v="1"/>
    <n v="1848.32"/>
    <n v="1654.47"/>
    <n v="2042.17"/>
  </r>
  <r>
    <x v="113"/>
    <x v="7"/>
    <x v="1"/>
    <n v="348.1"/>
    <n v="311.59"/>
    <n v="384.6"/>
  </r>
  <r>
    <x v="113"/>
    <x v="8"/>
    <x v="1"/>
    <n v="496.62"/>
    <n v="444.53"/>
    <n v="548.7"/>
  </r>
  <r>
    <x v="113"/>
    <x v="9"/>
    <x v="1"/>
    <n v="618.83"/>
    <n v="553.9299999999999"/>
    <n v="683.73"/>
  </r>
  <r>
    <x v="113"/>
    <x v="10"/>
    <x v="1"/>
    <n v="1919.31"/>
    <n v="1718.02"/>
    <n v="2120.61"/>
  </r>
  <r>
    <x v="114"/>
    <x v="0"/>
    <x v="1"/>
    <n v="1174.56"/>
    <n v="1051.37"/>
    <n v="1297.75"/>
  </r>
  <r>
    <x v="114"/>
    <x v="1"/>
    <x v="1"/>
    <n v="2597.9"/>
    <n v="2325.43"/>
    <n v="2870.36"/>
  </r>
  <r>
    <x v="114"/>
    <x v="2"/>
    <x v="1"/>
    <n v="3939.21"/>
    <n v="3526.07"/>
    <n v="4352.35"/>
  </r>
  <r>
    <x v="114"/>
    <x v="3"/>
    <x v="1"/>
    <n v="3079.59"/>
    <n v="2756.61"/>
    <n v="3402.58"/>
  </r>
  <r>
    <x v="114"/>
    <x v="4"/>
    <x v="1"/>
    <n v="3705.48"/>
    <n v="3316.85"/>
    <n v="4094.1"/>
  </r>
  <r>
    <x v="114"/>
    <x v="5"/>
    <x v="1"/>
    <n v="1416.25"/>
    <n v="1267.72"/>
    <n v="1564.79"/>
  </r>
  <r>
    <x v="114"/>
    <x v="6"/>
    <x v="1"/>
    <n v="1797.62"/>
    <n v="1609.09"/>
    <n v="1986.15"/>
  </r>
  <r>
    <x v="114"/>
    <x v="7"/>
    <x v="1"/>
    <n v="299.1"/>
    <n v="267.73"/>
    <n v="330.47"/>
  </r>
  <r>
    <x v="114"/>
    <x v="8"/>
    <x v="1"/>
    <n v="532.51"/>
    <n v="476.66"/>
    <n v="588.36"/>
  </r>
  <r>
    <x v="114"/>
    <x v="9"/>
    <x v="1"/>
    <n v="542.86"/>
    <n v="485.93"/>
    <n v="599.79"/>
  </r>
  <r>
    <x v="114"/>
    <x v="10"/>
    <x v="1"/>
    <n v="1848.61"/>
    <n v="1654.73"/>
    <n v="2042.49"/>
  </r>
  <r>
    <x v="115"/>
    <x v="0"/>
    <x v="1"/>
    <n v="998.67"/>
    <n v="893.9299999999999"/>
    <n v="1103.41"/>
  </r>
  <r>
    <x v="115"/>
    <x v="1"/>
    <x v="1"/>
    <n v="2642.79"/>
    <n v="2365.62"/>
    <n v="2919.96"/>
  </r>
  <r>
    <x v="115"/>
    <x v="2"/>
    <x v="1"/>
    <n v="3653.29"/>
    <n v="3270.13"/>
    <n v="4036.44"/>
  </r>
  <r>
    <x v="115"/>
    <x v="3"/>
    <x v="1"/>
    <n v="2936"/>
    <n v="2628.07"/>
    <n v="3243.92"/>
  </r>
  <r>
    <x v="115"/>
    <x v="4"/>
    <x v="1"/>
    <n v="3539.67"/>
    <n v="3168.43"/>
    <n v="3910.9"/>
  </r>
  <r>
    <x v="115"/>
    <x v="5"/>
    <x v="1"/>
    <n v="1303.35"/>
    <n v="1166.65"/>
    <n v="1440.04"/>
  </r>
  <r>
    <x v="115"/>
    <x v="6"/>
    <x v="1"/>
    <n v="1635.6"/>
    <n v="1464.06"/>
    <n v="1807.14"/>
  </r>
  <r>
    <x v="115"/>
    <x v="7"/>
    <x v="1"/>
    <n v="269.76"/>
    <n v="241.47"/>
    <n v="298.05"/>
  </r>
  <r>
    <x v="115"/>
    <x v="8"/>
    <x v="1"/>
    <n v="542.7"/>
    <n v="485.78"/>
    <n v="599.62"/>
  </r>
  <r>
    <x v="115"/>
    <x v="9"/>
    <x v="1"/>
    <n v="562.09"/>
    <n v="503.13"/>
    <n v="621.04"/>
  </r>
  <r>
    <x v="115"/>
    <x v="10"/>
    <x v="1"/>
    <n v="1944.33"/>
    <n v="1740.41"/>
    <n v="2148.25"/>
  </r>
  <r>
    <x v="116"/>
    <x v="0"/>
    <x v="1"/>
    <n v="1052.19"/>
    <n v="941.84"/>
    <n v="1162.55"/>
  </r>
  <r>
    <x v="116"/>
    <x v="1"/>
    <x v="1"/>
    <n v="2814.66"/>
    <n v="2519.46"/>
    <n v="3109.86"/>
  </r>
  <r>
    <x v="116"/>
    <x v="2"/>
    <x v="1"/>
    <n v="3349.38"/>
    <n v="2998.1"/>
    <n v="3700.66"/>
  </r>
  <r>
    <x v="116"/>
    <x v="3"/>
    <x v="1"/>
    <n v="2574.34"/>
    <n v="2304.35"/>
    <n v="2844.34"/>
  </r>
  <r>
    <x v="116"/>
    <x v="4"/>
    <x v="1"/>
    <n v="3396.52"/>
    <n v="3040.3"/>
    <n v="3752.75"/>
  </r>
  <r>
    <x v="116"/>
    <x v="5"/>
    <x v="1"/>
    <n v="1295.84"/>
    <n v="1159.94"/>
    <n v="1431.75"/>
  </r>
  <r>
    <x v="116"/>
    <x v="6"/>
    <x v="1"/>
    <n v="1406.14"/>
    <n v="1258.66"/>
    <n v="1553.61"/>
  </r>
  <r>
    <x v="116"/>
    <x v="7"/>
    <x v="1"/>
    <n v="423.26"/>
    <n v="378.87"/>
    <n v="467.65"/>
  </r>
  <r>
    <x v="116"/>
    <x v="8"/>
    <x v="1"/>
    <n v="437.22"/>
    <n v="391.36"/>
    <n v="483.07"/>
  </r>
  <r>
    <x v="116"/>
    <x v="9"/>
    <x v="1"/>
    <n v="484.83"/>
    <n v="433.98"/>
    <n v="535.6799999999999"/>
  </r>
  <r>
    <x v="116"/>
    <x v="10"/>
    <x v="1"/>
    <n v="1702.19"/>
    <n v="1523.67"/>
    <n v="1880.72"/>
  </r>
</pivotCacheRecords>
</file>

<file path=xl/pivotCache/pivotCacheRecords2.xml><?xml version="1.0" encoding="utf-8"?>
<pivotCacheRecords xmlns="http://schemas.openxmlformats.org/spreadsheetml/2006/main" count="1287">
  <r>
    <x v="0"/>
    <x v="0"/>
    <x v="0"/>
    <n v="1017.77"/>
    <n v="0"/>
    <n v="0"/>
  </r>
  <r>
    <x v="0"/>
    <x v="1"/>
    <x v="0"/>
    <n v="2209.85"/>
    <n v="0"/>
    <n v="0"/>
  </r>
  <r>
    <x v="0"/>
    <x v="2"/>
    <x v="0"/>
    <n v="2765.74"/>
    <n v="0"/>
    <n v="0"/>
  </r>
  <r>
    <x v="0"/>
    <x v="3"/>
    <x v="0"/>
    <n v="3073.88"/>
    <n v="0"/>
    <n v="0"/>
  </r>
  <r>
    <x v="0"/>
    <x v="4"/>
    <x v="0"/>
    <n v="3263.28"/>
    <n v="0"/>
    <n v="0"/>
  </r>
  <r>
    <x v="0"/>
    <x v="5"/>
    <x v="0"/>
    <n v="1146.41"/>
    <n v="0"/>
    <n v="0"/>
  </r>
  <r>
    <x v="0"/>
    <x v="6"/>
    <x v="0"/>
    <n v="1748.45"/>
    <n v="0"/>
    <n v="0"/>
  </r>
  <r>
    <x v="0"/>
    <x v="7"/>
    <x v="0"/>
    <n v="222.69"/>
    <n v="0"/>
    <n v="0"/>
  </r>
  <r>
    <x v="0"/>
    <x v="8"/>
    <x v="0"/>
    <n v="499.36"/>
    <n v="0"/>
    <n v="0"/>
  </r>
  <r>
    <x v="0"/>
    <x v="9"/>
    <x v="0"/>
    <n v="410.24"/>
    <n v="0"/>
    <n v="0"/>
  </r>
  <r>
    <x v="0"/>
    <x v="10"/>
    <x v="0"/>
    <n v="1714.85"/>
    <n v="0"/>
    <n v="0"/>
  </r>
  <r>
    <x v="1"/>
    <x v="0"/>
    <x v="0"/>
    <n v="1066.01"/>
    <n v="0"/>
    <n v="0"/>
  </r>
  <r>
    <x v="1"/>
    <x v="1"/>
    <x v="0"/>
    <n v="2436.73"/>
    <n v="0"/>
    <n v="0"/>
  </r>
  <r>
    <x v="1"/>
    <x v="2"/>
    <x v="0"/>
    <n v="3015.46"/>
    <n v="0"/>
    <n v="0"/>
  </r>
  <r>
    <x v="1"/>
    <x v="3"/>
    <x v="0"/>
    <n v="3367.84"/>
    <n v="0"/>
    <n v="0"/>
  </r>
  <r>
    <x v="1"/>
    <x v="4"/>
    <x v="0"/>
    <n v="3322.29"/>
    <n v="0"/>
    <n v="0"/>
  </r>
  <r>
    <x v="1"/>
    <x v="5"/>
    <x v="0"/>
    <n v="1268.01"/>
    <n v="0"/>
    <n v="0"/>
  </r>
  <r>
    <x v="1"/>
    <x v="6"/>
    <x v="0"/>
    <n v="1818.63"/>
    <n v="0"/>
    <n v="0"/>
  </r>
  <r>
    <x v="1"/>
    <x v="7"/>
    <x v="0"/>
    <n v="283.62"/>
    <n v="0"/>
    <n v="0"/>
  </r>
  <r>
    <x v="1"/>
    <x v="8"/>
    <x v="0"/>
    <n v="499.34"/>
    <n v="0"/>
    <n v="0"/>
  </r>
  <r>
    <x v="1"/>
    <x v="9"/>
    <x v="0"/>
    <n v="387.89"/>
    <n v="0"/>
    <n v="0"/>
  </r>
  <r>
    <x v="1"/>
    <x v="10"/>
    <x v="0"/>
    <n v="1688.13"/>
    <n v="0"/>
    <n v="0"/>
  </r>
  <r>
    <x v="2"/>
    <x v="0"/>
    <x v="0"/>
    <n v="932.3099999999999"/>
    <n v="0"/>
    <n v="0"/>
  </r>
  <r>
    <x v="2"/>
    <x v="1"/>
    <x v="0"/>
    <n v="2131.84"/>
    <n v="0"/>
    <n v="0"/>
  </r>
  <r>
    <x v="2"/>
    <x v="2"/>
    <x v="0"/>
    <n v="2906.65"/>
    <n v="0"/>
    <n v="0"/>
  </r>
  <r>
    <x v="2"/>
    <x v="3"/>
    <x v="0"/>
    <n v="2730.71"/>
    <n v="0"/>
    <n v="0"/>
  </r>
  <r>
    <x v="2"/>
    <x v="4"/>
    <x v="0"/>
    <n v="3234.85"/>
    <n v="0"/>
    <n v="0"/>
  </r>
  <r>
    <x v="2"/>
    <x v="5"/>
    <x v="0"/>
    <n v="974.4299999999999"/>
    <n v="0"/>
    <n v="0"/>
  </r>
  <r>
    <x v="2"/>
    <x v="6"/>
    <x v="0"/>
    <n v="1688.75"/>
    <n v="0"/>
    <n v="0"/>
  </r>
  <r>
    <x v="2"/>
    <x v="7"/>
    <x v="0"/>
    <n v="288.69"/>
    <n v="0"/>
    <n v="0"/>
  </r>
  <r>
    <x v="2"/>
    <x v="8"/>
    <x v="0"/>
    <n v="464.41"/>
    <n v="0"/>
    <n v="0"/>
  </r>
  <r>
    <x v="2"/>
    <x v="9"/>
    <x v="0"/>
    <n v="427.54"/>
    <n v="0"/>
    <n v="0"/>
  </r>
  <r>
    <x v="2"/>
    <x v="10"/>
    <x v="0"/>
    <n v="1675.55"/>
    <n v="0"/>
    <n v="0"/>
  </r>
  <r>
    <x v="3"/>
    <x v="0"/>
    <x v="0"/>
    <n v="952.47"/>
    <n v="0"/>
    <n v="0"/>
  </r>
  <r>
    <x v="3"/>
    <x v="1"/>
    <x v="0"/>
    <n v="2464.73"/>
    <n v="0"/>
    <n v="0"/>
  </r>
  <r>
    <x v="3"/>
    <x v="2"/>
    <x v="0"/>
    <n v="3104.98"/>
    <n v="0"/>
    <n v="0"/>
  </r>
  <r>
    <x v="3"/>
    <x v="3"/>
    <x v="0"/>
    <n v="3238.65"/>
    <n v="0"/>
    <n v="0"/>
  </r>
  <r>
    <x v="3"/>
    <x v="4"/>
    <x v="0"/>
    <n v="3230.12"/>
    <n v="0"/>
    <n v="0"/>
  </r>
  <r>
    <x v="3"/>
    <x v="5"/>
    <x v="0"/>
    <n v="1281.8"/>
    <n v="0"/>
    <n v="0"/>
  </r>
  <r>
    <x v="3"/>
    <x v="6"/>
    <x v="0"/>
    <n v="1976.97"/>
    <n v="0"/>
    <n v="0"/>
  </r>
  <r>
    <x v="3"/>
    <x v="7"/>
    <x v="0"/>
    <n v="288.67"/>
    <n v="0"/>
    <n v="0"/>
  </r>
  <r>
    <x v="3"/>
    <x v="8"/>
    <x v="0"/>
    <n v="582.33"/>
    <n v="0"/>
    <n v="0"/>
  </r>
  <r>
    <x v="3"/>
    <x v="9"/>
    <x v="0"/>
    <n v="449.53"/>
    <n v="0"/>
    <n v="0"/>
  </r>
  <r>
    <x v="3"/>
    <x v="10"/>
    <x v="0"/>
    <n v="1942.52"/>
    <n v="0"/>
    <n v="0"/>
  </r>
  <r>
    <x v="4"/>
    <x v="0"/>
    <x v="0"/>
    <n v="963.3200000000001"/>
    <n v="0"/>
    <n v="0"/>
  </r>
  <r>
    <x v="4"/>
    <x v="1"/>
    <x v="0"/>
    <n v="2211.85"/>
    <n v="0"/>
    <n v="0"/>
  </r>
  <r>
    <x v="4"/>
    <x v="2"/>
    <x v="0"/>
    <n v="3342.44"/>
    <n v="0"/>
    <n v="0"/>
  </r>
  <r>
    <x v="4"/>
    <x v="3"/>
    <x v="0"/>
    <n v="2947.88"/>
    <n v="0"/>
    <n v="0"/>
  </r>
  <r>
    <x v="4"/>
    <x v="4"/>
    <x v="0"/>
    <n v="3604.49"/>
    <n v="0"/>
    <n v="0"/>
  </r>
  <r>
    <x v="4"/>
    <x v="5"/>
    <x v="0"/>
    <n v="1241.01"/>
    <n v="0"/>
    <n v="0"/>
  </r>
  <r>
    <x v="4"/>
    <x v="6"/>
    <x v="0"/>
    <n v="2209.39"/>
    <n v="0"/>
    <n v="0"/>
  </r>
  <r>
    <x v="4"/>
    <x v="7"/>
    <x v="0"/>
    <n v="258.6"/>
    <n v="0"/>
    <n v="0"/>
  </r>
  <r>
    <x v="4"/>
    <x v="8"/>
    <x v="0"/>
    <n v="392.55"/>
    <n v="0"/>
    <n v="0"/>
  </r>
  <r>
    <x v="4"/>
    <x v="9"/>
    <x v="0"/>
    <n v="491.07"/>
    <n v="0"/>
    <n v="0"/>
  </r>
  <r>
    <x v="4"/>
    <x v="10"/>
    <x v="0"/>
    <n v="1820.06"/>
    <n v="0"/>
    <n v="0"/>
  </r>
  <r>
    <x v="5"/>
    <x v="0"/>
    <x v="0"/>
    <n v="957.5"/>
    <n v="0"/>
    <n v="0"/>
  </r>
  <r>
    <x v="5"/>
    <x v="1"/>
    <x v="0"/>
    <n v="2682.61"/>
    <n v="0"/>
    <n v="0"/>
  </r>
  <r>
    <x v="5"/>
    <x v="2"/>
    <x v="0"/>
    <n v="3264.83"/>
    <n v="0"/>
    <n v="0"/>
  </r>
  <r>
    <x v="5"/>
    <x v="3"/>
    <x v="0"/>
    <n v="3031.24"/>
    <n v="0"/>
    <n v="0"/>
  </r>
  <r>
    <x v="5"/>
    <x v="4"/>
    <x v="0"/>
    <n v="3201.34"/>
    <n v="0"/>
    <n v="0"/>
  </r>
  <r>
    <x v="5"/>
    <x v="5"/>
    <x v="0"/>
    <n v="1198.15"/>
    <n v="0"/>
    <n v="0"/>
  </r>
  <r>
    <x v="5"/>
    <x v="6"/>
    <x v="0"/>
    <n v="1689.65"/>
    <n v="0"/>
    <n v="0"/>
  </r>
  <r>
    <x v="5"/>
    <x v="7"/>
    <x v="0"/>
    <n v="360.62"/>
    <n v="0"/>
    <n v="0"/>
  </r>
  <r>
    <x v="5"/>
    <x v="8"/>
    <x v="0"/>
    <n v="455.44"/>
    <n v="0"/>
    <n v="0"/>
  </r>
  <r>
    <x v="5"/>
    <x v="9"/>
    <x v="0"/>
    <n v="494.99"/>
    <n v="0"/>
    <n v="0"/>
  </r>
  <r>
    <x v="5"/>
    <x v="10"/>
    <x v="0"/>
    <n v="2024.64"/>
    <n v="0"/>
    <n v="0"/>
  </r>
  <r>
    <x v="6"/>
    <x v="0"/>
    <x v="0"/>
    <n v="1138.8"/>
    <n v="0"/>
    <n v="0"/>
  </r>
  <r>
    <x v="6"/>
    <x v="1"/>
    <x v="0"/>
    <n v="2476.5"/>
    <n v="0"/>
    <n v="0"/>
  </r>
  <r>
    <x v="6"/>
    <x v="2"/>
    <x v="0"/>
    <n v="3376.88"/>
    <n v="0"/>
    <n v="0"/>
  </r>
  <r>
    <x v="6"/>
    <x v="3"/>
    <x v="0"/>
    <n v="3074.05"/>
    <n v="0"/>
    <n v="0"/>
  </r>
  <r>
    <x v="6"/>
    <x v="4"/>
    <x v="0"/>
    <n v="3608.91"/>
    <n v="0"/>
    <n v="0"/>
  </r>
  <r>
    <x v="6"/>
    <x v="5"/>
    <x v="0"/>
    <n v="1294.02"/>
    <n v="0"/>
    <n v="0"/>
  </r>
  <r>
    <x v="6"/>
    <x v="6"/>
    <x v="0"/>
    <n v="1533.59"/>
    <n v="0"/>
    <n v="0"/>
  </r>
  <r>
    <x v="6"/>
    <x v="7"/>
    <x v="0"/>
    <n v="398.58"/>
    <n v="0"/>
    <n v="0"/>
  </r>
  <r>
    <x v="6"/>
    <x v="8"/>
    <x v="0"/>
    <n v="523.36"/>
    <n v="0"/>
    <n v="0"/>
  </r>
  <r>
    <x v="6"/>
    <x v="9"/>
    <x v="0"/>
    <n v="563.77"/>
    <n v="0"/>
    <n v="0"/>
  </r>
  <r>
    <x v="6"/>
    <x v="10"/>
    <x v="0"/>
    <n v="2068.59"/>
    <n v="0"/>
    <n v="0"/>
  </r>
  <r>
    <x v="7"/>
    <x v="0"/>
    <x v="0"/>
    <n v="1158.78"/>
    <n v="0"/>
    <n v="0"/>
  </r>
  <r>
    <x v="7"/>
    <x v="1"/>
    <x v="0"/>
    <n v="2821.56"/>
    <n v="0"/>
    <n v="0"/>
  </r>
  <r>
    <x v="7"/>
    <x v="2"/>
    <x v="0"/>
    <n v="3763.36"/>
    <n v="0"/>
    <n v="0"/>
  </r>
  <r>
    <x v="7"/>
    <x v="3"/>
    <x v="0"/>
    <n v="3555.06"/>
    <n v="0"/>
    <n v="0"/>
  </r>
  <r>
    <x v="7"/>
    <x v="4"/>
    <x v="0"/>
    <n v="4192.22"/>
    <n v="0"/>
    <n v="0"/>
  </r>
  <r>
    <x v="7"/>
    <x v="5"/>
    <x v="0"/>
    <n v="1541.63"/>
    <n v="0"/>
    <n v="0"/>
  </r>
  <r>
    <x v="7"/>
    <x v="6"/>
    <x v="0"/>
    <n v="1868.56"/>
    <n v="0"/>
    <n v="0"/>
  </r>
  <r>
    <x v="7"/>
    <x v="7"/>
    <x v="0"/>
    <n v="371.62"/>
    <n v="0"/>
    <n v="0"/>
  </r>
  <r>
    <x v="7"/>
    <x v="8"/>
    <x v="0"/>
    <n v="623.26"/>
    <n v="0"/>
    <n v="0"/>
  </r>
  <r>
    <x v="7"/>
    <x v="9"/>
    <x v="0"/>
    <n v="529.54"/>
    <n v="0"/>
    <n v="0"/>
  </r>
  <r>
    <x v="7"/>
    <x v="10"/>
    <x v="0"/>
    <n v="2077"/>
    <n v="0"/>
    <n v="0"/>
  </r>
  <r>
    <x v="8"/>
    <x v="0"/>
    <x v="0"/>
    <n v="1051.12"/>
    <n v="0"/>
    <n v="0"/>
  </r>
  <r>
    <x v="8"/>
    <x v="1"/>
    <x v="0"/>
    <n v="2959.45"/>
    <n v="0"/>
    <n v="0"/>
  </r>
  <r>
    <x v="8"/>
    <x v="2"/>
    <x v="0"/>
    <n v="3564.63"/>
    <n v="0"/>
    <n v="0"/>
  </r>
  <r>
    <x v="8"/>
    <x v="3"/>
    <x v="0"/>
    <n v="3244.26"/>
    <n v="0"/>
    <n v="0"/>
  </r>
  <r>
    <x v="8"/>
    <x v="4"/>
    <x v="0"/>
    <n v="3820.72"/>
    <n v="0"/>
    <n v="0"/>
  </r>
  <r>
    <x v="8"/>
    <x v="5"/>
    <x v="0"/>
    <n v="1711.39"/>
    <n v="0"/>
    <n v="0"/>
  </r>
  <r>
    <x v="8"/>
    <x v="6"/>
    <x v="0"/>
    <n v="1701.42"/>
    <n v="0"/>
    <n v="0"/>
  </r>
  <r>
    <x v="8"/>
    <x v="7"/>
    <x v="0"/>
    <n v="382.51"/>
    <n v="0"/>
    <n v="0"/>
  </r>
  <r>
    <x v="8"/>
    <x v="8"/>
    <x v="0"/>
    <n v="670.17"/>
    <n v="0"/>
    <n v="0"/>
  </r>
  <r>
    <x v="8"/>
    <x v="9"/>
    <x v="0"/>
    <n v="509.65"/>
    <n v="0"/>
    <n v="0"/>
  </r>
  <r>
    <x v="8"/>
    <x v="10"/>
    <x v="0"/>
    <n v="2138.36"/>
    <n v="0"/>
    <n v="0"/>
  </r>
  <r>
    <x v="9"/>
    <x v="0"/>
    <x v="0"/>
    <n v="1084.36"/>
    <n v="0"/>
    <n v="0"/>
  </r>
  <r>
    <x v="9"/>
    <x v="1"/>
    <x v="0"/>
    <n v="2658.62"/>
    <n v="0"/>
    <n v="0"/>
  </r>
  <r>
    <x v="9"/>
    <x v="2"/>
    <x v="0"/>
    <n v="3576.19"/>
    <n v="0"/>
    <n v="0"/>
  </r>
  <r>
    <x v="9"/>
    <x v="3"/>
    <x v="0"/>
    <n v="3029.79"/>
    <n v="0"/>
    <n v="0"/>
  </r>
  <r>
    <x v="9"/>
    <x v="4"/>
    <x v="0"/>
    <n v="3759.78"/>
    <n v="0"/>
    <n v="0"/>
  </r>
  <r>
    <x v="9"/>
    <x v="5"/>
    <x v="0"/>
    <n v="1500.61"/>
    <n v="0"/>
    <n v="0"/>
  </r>
  <r>
    <x v="9"/>
    <x v="6"/>
    <x v="0"/>
    <n v="2031.87"/>
    <n v="0"/>
    <n v="0"/>
  </r>
  <r>
    <x v="9"/>
    <x v="7"/>
    <x v="0"/>
    <n v="475.45"/>
    <n v="0"/>
    <n v="0"/>
  </r>
  <r>
    <x v="9"/>
    <x v="8"/>
    <x v="0"/>
    <n v="626.25"/>
    <n v="0"/>
    <n v="0"/>
  </r>
  <r>
    <x v="9"/>
    <x v="9"/>
    <x v="0"/>
    <n v="558.39"/>
    <n v="0"/>
    <n v="0"/>
  </r>
  <r>
    <x v="9"/>
    <x v="10"/>
    <x v="0"/>
    <n v="2028"/>
    <n v="0"/>
    <n v="0"/>
  </r>
  <r>
    <x v="10"/>
    <x v="0"/>
    <x v="0"/>
    <n v="1106.53"/>
    <n v="0"/>
    <n v="0"/>
  </r>
  <r>
    <x v="10"/>
    <x v="1"/>
    <x v="0"/>
    <n v="2843.51"/>
    <n v="0"/>
    <n v="0"/>
  </r>
  <r>
    <x v="10"/>
    <x v="2"/>
    <x v="0"/>
    <n v="3447.39"/>
    <n v="0"/>
    <n v="0"/>
  </r>
  <r>
    <x v="10"/>
    <x v="3"/>
    <x v="0"/>
    <n v="3012.76"/>
    <n v="0"/>
    <n v="0"/>
  </r>
  <r>
    <x v="10"/>
    <x v="4"/>
    <x v="0"/>
    <n v="3612.11"/>
    <n v="0"/>
    <n v="0"/>
  </r>
  <r>
    <x v="10"/>
    <x v="5"/>
    <x v="0"/>
    <n v="1311.05"/>
    <n v="0"/>
    <n v="0"/>
  </r>
  <r>
    <x v="10"/>
    <x v="6"/>
    <x v="0"/>
    <n v="1649.8"/>
    <n v="0"/>
    <n v="0"/>
  </r>
  <r>
    <x v="10"/>
    <x v="7"/>
    <x v="0"/>
    <n v="271.76"/>
    <n v="0"/>
    <n v="0"/>
  </r>
  <r>
    <x v="10"/>
    <x v="8"/>
    <x v="0"/>
    <n v="368.55"/>
    <n v="0"/>
    <n v="0"/>
  </r>
  <r>
    <x v="10"/>
    <x v="9"/>
    <x v="0"/>
    <n v="530.91"/>
    <n v="0"/>
    <n v="0"/>
  </r>
  <r>
    <x v="10"/>
    <x v="10"/>
    <x v="0"/>
    <n v="1959.85"/>
    <n v="0"/>
    <n v="0"/>
  </r>
  <r>
    <x v="11"/>
    <x v="0"/>
    <x v="0"/>
    <n v="947.9299999999999"/>
    <n v="0"/>
    <n v="0"/>
  </r>
  <r>
    <x v="11"/>
    <x v="1"/>
    <x v="0"/>
    <n v="2243.22"/>
    <n v="0"/>
    <n v="0"/>
  </r>
  <r>
    <x v="11"/>
    <x v="2"/>
    <x v="0"/>
    <n v="3169.86"/>
    <n v="0"/>
    <n v="0"/>
  </r>
  <r>
    <x v="11"/>
    <x v="3"/>
    <x v="0"/>
    <n v="2953.58"/>
    <n v="0"/>
    <n v="0"/>
  </r>
  <r>
    <x v="11"/>
    <x v="4"/>
    <x v="0"/>
    <n v="3028.16"/>
    <n v="0"/>
    <n v="0"/>
  </r>
  <r>
    <x v="11"/>
    <x v="5"/>
    <x v="0"/>
    <n v="930.4299999999999"/>
    <n v="0"/>
    <n v="0"/>
  </r>
  <r>
    <x v="11"/>
    <x v="6"/>
    <x v="0"/>
    <n v="1597.97"/>
    <n v="0"/>
    <n v="0"/>
  </r>
  <r>
    <x v="11"/>
    <x v="7"/>
    <x v="0"/>
    <n v="246.74"/>
    <n v="0"/>
    <n v="0"/>
  </r>
  <r>
    <x v="11"/>
    <x v="8"/>
    <x v="0"/>
    <n v="428.51"/>
    <n v="0"/>
    <n v="0"/>
  </r>
  <r>
    <x v="11"/>
    <x v="9"/>
    <x v="0"/>
    <n v="418.58"/>
    <n v="0"/>
    <n v="0"/>
  </r>
  <r>
    <x v="11"/>
    <x v="10"/>
    <x v="0"/>
    <n v="1622.14"/>
    <n v="0"/>
    <n v="0"/>
  </r>
  <r>
    <x v="12"/>
    <x v="0"/>
    <x v="0"/>
    <n v="847.27"/>
    <n v="0"/>
    <n v="0"/>
  </r>
  <r>
    <x v="12"/>
    <x v="1"/>
    <x v="0"/>
    <n v="2314.83"/>
    <n v="0"/>
    <n v="0"/>
  </r>
  <r>
    <x v="12"/>
    <x v="2"/>
    <x v="0"/>
    <n v="2938.25"/>
    <n v="0"/>
    <n v="0"/>
  </r>
  <r>
    <x v="12"/>
    <x v="3"/>
    <x v="0"/>
    <n v="2589.75"/>
    <n v="0"/>
    <n v="0"/>
  </r>
  <r>
    <x v="12"/>
    <x v="4"/>
    <x v="0"/>
    <n v="3416.32"/>
    <n v="0"/>
    <n v="0"/>
  </r>
  <r>
    <x v="12"/>
    <x v="5"/>
    <x v="0"/>
    <n v="1079.74"/>
    <n v="0"/>
    <n v="0"/>
  </r>
  <r>
    <x v="12"/>
    <x v="6"/>
    <x v="0"/>
    <n v="1256.03"/>
    <n v="0"/>
    <n v="0"/>
  </r>
  <r>
    <x v="12"/>
    <x v="7"/>
    <x v="0"/>
    <n v="290.63"/>
    <n v="0"/>
    <n v="0"/>
  </r>
  <r>
    <x v="12"/>
    <x v="8"/>
    <x v="0"/>
    <n v="500.41"/>
    <n v="0"/>
    <n v="0"/>
  </r>
  <r>
    <x v="12"/>
    <x v="9"/>
    <x v="0"/>
    <n v="448.25"/>
    <n v="0"/>
    <n v="0"/>
  </r>
  <r>
    <x v="12"/>
    <x v="10"/>
    <x v="0"/>
    <n v="1467.19"/>
    <n v="0"/>
    <n v="0"/>
  </r>
  <r>
    <x v="13"/>
    <x v="0"/>
    <x v="0"/>
    <n v="915.46"/>
    <n v="0"/>
    <n v="0"/>
  </r>
  <r>
    <x v="13"/>
    <x v="1"/>
    <x v="0"/>
    <n v="2586.69"/>
    <n v="0"/>
    <n v="0"/>
  </r>
  <r>
    <x v="13"/>
    <x v="2"/>
    <x v="0"/>
    <n v="3184.82"/>
    <n v="0"/>
    <n v="0"/>
  </r>
  <r>
    <x v="13"/>
    <x v="3"/>
    <x v="0"/>
    <n v="2409.62"/>
    <n v="0"/>
    <n v="0"/>
  </r>
  <r>
    <x v="13"/>
    <x v="4"/>
    <x v="0"/>
    <n v="2992.9"/>
    <n v="0"/>
    <n v="0"/>
  </r>
  <r>
    <x v="13"/>
    <x v="5"/>
    <x v="0"/>
    <n v="1117.28"/>
    <n v="0"/>
    <n v="0"/>
  </r>
  <r>
    <x v="13"/>
    <x v="6"/>
    <x v="0"/>
    <n v="1391.41"/>
    <n v="0"/>
    <n v="0"/>
  </r>
  <r>
    <x v="13"/>
    <x v="7"/>
    <x v="0"/>
    <n v="203.71"/>
    <n v="0"/>
    <n v="0"/>
  </r>
  <r>
    <x v="13"/>
    <x v="8"/>
    <x v="0"/>
    <n v="383.5"/>
    <n v="0"/>
    <n v="0"/>
  </r>
  <r>
    <x v="13"/>
    <x v="9"/>
    <x v="0"/>
    <n v="468.45"/>
    <n v="0"/>
    <n v="0"/>
  </r>
  <r>
    <x v="13"/>
    <x v="10"/>
    <x v="0"/>
    <n v="1694.74"/>
    <n v="0"/>
    <n v="0"/>
  </r>
  <r>
    <x v="14"/>
    <x v="0"/>
    <x v="0"/>
    <n v="1122.32"/>
    <n v="0"/>
    <n v="0"/>
  </r>
  <r>
    <x v="14"/>
    <x v="1"/>
    <x v="0"/>
    <n v="2796.58"/>
    <n v="0"/>
    <n v="0"/>
  </r>
  <r>
    <x v="14"/>
    <x v="2"/>
    <x v="0"/>
    <n v="3439.97"/>
    <n v="0"/>
    <n v="0"/>
  </r>
  <r>
    <x v="14"/>
    <x v="3"/>
    <x v="0"/>
    <n v="3427"/>
    <n v="0"/>
    <n v="0"/>
  </r>
  <r>
    <x v="14"/>
    <x v="4"/>
    <x v="0"/>
    <n v="3532.47"/>
    <n v="0"/>
    <n v="0"/>
  </r>
  <r>
    <x v="14"/>
    <x v="5"/>
    <x v="0"/>
    <n v="1303.97"/>
    <n v="0"/>
    <n v="0"/>
  </r>
  <r>
    <x v="14"/>
    <x v="6"/>
    <x v="0"/>
    <n v="1787.8"/>
    <n v="0"/>
    <n v="0"/>
  </r>
  <r>
    <x v="14"/>
    <x v="7"/>
    <x v="0"/>
    <n v="312.63"/>
    <n v="0"/>
    <n v="0"/>
  </r>
  <r>
    <x v="14"/>
    <x v="8"/>
    <x v="0"/>
    <n v="490.41"/>
    <n v="0"/>
    <n v="0"/>
  </r>
  <r>
    <x v="14"/>
    <x v="9"/>
    <x v="0"/>
    <n v="524.23"/>
    <n v="0"/>
    <n v="0"/>
  </r>
  <r>
    <x v="14"/>
    <x v="10"/>
    <x v="0"/>
    <n v="1769.5"/>
    <n v="0"/>
    <n v="0"/>
  </r>
  <r>
    <x v="15"/>
    <x v="0"/>
    <x v="0"/>
    <n v="994.4299999999999"/>
    <n v="0"/>
    <n v="0"/>
  </r>
  <r>
    <x v="15"/>
    <x v="1"/>
    <x v="0"/>
    <n v="2659.65"/>
    <n v="0"/>
    <n v="0"/>
  </r>
  <r>
    <x v="15"/>
    <x v="2"/>
    <x v="0"/>
    <n v="3272.58"/>
    <n v="0"/>
    <n v="0"/>
  </r>
  <r>
    <x v="15"/>
    <x v="3"/>
    <x v="0"/>
    <n v="3081.01"/>
    <n v="0"/>
    <n v="0"/>
  </r>
  <r>
    <x v="15"/>
    <x v="4"/>
    <x v="0"/>
    <n v="3540.94"/>
    <n v="0"/>
    <n v="0"/>
  </r>
  <r>
    <x v="15"/>
    <x v="5"/>
    <x v="0"/>
    <n v="1133.19"/>
    <n v="0"/>
    <n v="0"/>
  </r>
  <r>
    <x v="15"/>
    <x v="6"/>
    <x v="0"/>
    <n v="1668.02"/>
    <n v="0"/>
    <n v="0"/>
  </r>
  <r>
    <x v="15"/>
    <x v="7"/>
    <x v="0"/>
    <n v="280.71"/>
    <n v="0"/>
    <n v="0"/>
  </r>
  <r>
    <x v="15"/>
    <x v="8"/>
    <x v="0"/>
    <n v="543.12"/>
    <n v="0"/>
    <n v="0"/>
  </r>
  <r>
    <x v="15"/>
    <x v="9"/>
    <x v="0"/>
    <n v="450.11"/>
    <n v="0"/>
    <n v="0"/>
  </r>
  <r>
    <x v="15"/>
    <x v="10"/>
    <x v="0"/>
    <n v="1678.29"/>
    <n v="0"/>
    <n v="0"/>
  </r>
  <r>
    <x v="16"/>
    <x v="0"/>
    <x v="0"/>
    <n v="1072.69"/>
    <n v="0"/>
    <n v="0"/>
  </r>
  <r>
    <x v="16"/>
    <x v="1"/>
    <x v="0"/>
    <n v="2412.75"/>
    <n v="0"/>
    <n v="0"/>
  </r>
  <r>
    <x v="16"/>
    <x v="2"/>
    <x v="0"/>
    <n v="3354.85"/>
    <n v="0"/>
    <n v="0"/>
  </r>
  <r>
    <x v="16"/>
    <x v="3"/>
    <x v="0"/>
    <n v="3254.01"/>
    <n v="0"/>
    <n v="0"/>
  </r>
  <r>
    <x v="16"/>
    <x v="4"/>
    <x v="0"/>
    <n v="3659.52"/>
    <n v="0"/>
    <n v="0"/>
  </r>
  <r>
    <x v="16"/>
    <x v="5"/>
    <x v="0"/>
    <n v="1271.05"/>
    <n v="0"/>
    <n v="0"/>
  </r>
  <r>
    <x v="16"/>
    <x v="6"/>
    <x v="0"/>
    <n v="1603.76"/>
    <n v="0"/>
    <n v="0"/>
  </r>
  <r>
    <x v="16"/>
    <x v="7"/>
    <x v="0"/>
    <n v="266.69"/>
    <n v="0"/>
    <n v="0"/>
  </r>
  <r>
    <x v="16"/>
    <x v="8"/>
    <x v="0"/>
    <n v="630.24"/>
    <n v="0"/>
    <n v="0"/>
  </r>
  <r>
    <x v="16"/>
    <x v="9"/>
    <x v="0"/>
    <n v="530.95"/>
    <n v="0"/>
    <n v="0"/>
  </r>
  <r>
    <x v="16"/>
    <x v="10"/>
    <x v="0"/>
    <n v="1896.86"/>
    <n v="0"/>
    <n v="0"/>
  </r>
  <r>
    <x v="17"/>
    <x v="0"/>
    <x v="0"/>
    <n v="972.92"/>
    <n v="0"/>
    <n v="0"/>
  </r>
  <r>
    <x v="17"/>
    <x v="1"/>
    <x v="0"/>
    <n v="3044.43"/>
    <n v="0"/>
    <n v="0"/>
  </r>
  <r>
    <x v="17"/>
    <x v="2"/>
    <x v="0"/>
    <n v="3554.28"/>
    <n v="0"/>
    <n v="0"/>
  </r>
  <r>
    <x v="17"/>
    <x v="3"/>
    <x v="0"/>
    <n v="3187.47"/>
    <n v="0"/>
    <n v="0"/>
  </r>
  <r>
    <x v="17"/>
    <x v="4"/>
    <x v="0"/>
    <n v="3735.33"/>
    <n v="0"/>
    <n v="0"/>
  </r>
  <r>
    <x v="17"/>
    <x v="5"/>
    <x v="0"/>
    <n v="1385.52"/>
    <n v="0"/>
    <n v="0"/>
  </r>
  <r>
    <x v="17"/>
    <x v="6"/>
    <x v="0"/>
    <n v="1887.73"/>
    <n v="0"/>
    <n v="0"/>
  </r>
  <r>
    <x v="17"/>
    <x v="7"/>
    <x v="0"/>
    <n v="412.6"/>
    <n v="0"/>
    <n v="0"/>
  </r>
  <r>
    <x v="17"/>
    <x v="8"/>
    <x v="0"/>
    <n v="517.34"/>
    <n v="0"/>
    <n v="0"/>
  </r>
  <r>
    <x v="17"/>
    <x v="9"/>
    <x v="0"/>
    <n v="483.9"/>
    <n v="0"/>
    <n v="0"/>
  </r>
  <r>
    <x v="17"/>
    <x v="10"/>
    <x v="0"/>
    <n v="1820.26"/>
    <n v="0"/>
    <n v="0"/>
  </r>
  <r>
    <x v="18"/>
    <x v="0"/>
    <x v="0"/>
    <n v="1086.69"/>
    <n v="0"/>
    <n v="0"/>
  </r>
  <r>
    <x v="18"/>
    <x v="1"/>
    <x v="0"/>
    <n v="2729.57"/>
    <n v="0"/>
    <n v="0"/>
  </r>
  <r>
    <x v="18"/>
    <x v="2"/>
    <x v="0"/>
    <n v="3599.5"/>
    <n v="0"/>
    <n v="0"/>
  </r>
  <r>
    <x v="18"/>
    <x v="3"/>
    <x v="0"/>
    <n v="3098.36"/>
    <n v="0"/>
    <n v="0"/>
  </r>
  <r>
    <x v="18"/>
    <x v="4"/>
    <x v="0"/>
    <n v="3352.78"/>
    <n v="0"/>
    <n v="0"/>
  </r>
  <r>
    <x v="18"/>
    <x v="5"/>
    <x v="0"/>
    <n v="1275"/>
    <n v="0"/>
    <n v="0"/>
  </r>
  <r>
    <x v="18"/>
    <x v="6"/>
    <x v="0"/>
    <n v="1777.59"/>
    <n v="0"/>
    <n v="0"/>
  </r>
  <r>
    <x v="18"/>
    <x v="7"/>
    <x v="0"/>
    <n v="374.64"/>
    <n v="0"/>
    <n v="0"/>
  </r>
  <r>
    <x v="18"/>
    <x v="8"/>
    <x v="0"/>
    <n v="572.25"/>
    <n v="0"/>
    <n v="0"/>
  </r>
  <r>
    <x v="18"/>
    <x v="9"/>
    <x v="0"/>
    <n v="570.02"/>
    <n v="0"/>
    <n v="0"/>
  </r>
  <r>
    <x v="18"/>
    <x v="10"/>
    <x v="0"/>
    <n v="1863.48"/>
    <n v="0"/>
    <n v="0"/>
  </r>
  <r>
    <x v="19"/>
    <x v="0"/>
    <x v="0"/>
    <n v="1046.49"/>
    <n v="0"/>
    <n v="0"/>
  </r>
  <r>
    <x v="19"/>
    <x v="1"/>
    <x v="0"/>
    <n v="2505.71"/>
    <n v="0"/>
    <n v="0"/>
  </r>
  <r>
    <x v="19"/>
    <x v="2"/>
    <x v="0"/>
    <n v="3223.1"/>
    <n v="0"/>
    <n v="0"/>
  </r>
  <r>
    <x v="19"/>
    <x v="3"/>
    <x v="0"/>
    <n v="3202.11"/>
    <n v="0"/>
    <n v="0"/>
  </r>
  <r>
    <x v="19"/>
    <x v="4"/>
    <x v="0"/>
    <n v="3717.85"/>
    <n v="0"/>
    <n v="0"/>
  </r>
  <r>
    <x v="19"/>
    <x v="5"/>
    <x v="0"/>
    <n v="1343.77"/>
    <n v="0"/>
    <n v="0"/>
  </r>
  <r>
    <x v="19"/>
    <x v="6"/>
    <x v="0"/>
    <n v="1694.8"/>
    <n v="0"/>
    <n v="0"/>
  </r>
  <r>
    <x v="19"/>
    <x v="7"/>
    <x v="0"/>
    <n v="471.27"/>
    <n v="0"/>
    <n v="0"/>
  </r>
  <r>
    <x v="19"/>
    <x v="8"/>
    <x v="0"/>
    <n v="507.38"/>
    <n v="0"/>
    <n v="0"/>
  </r>
  <r>
    <x v="19"/>
    <x v="9"/>
    <x v="0"/>
    <n v="482.28"/>
    <n v="0"/>
    <n v="0"/>
  </r>
  <r>
    <x v="19"/>
    <x v="10"/>
    <x v="0"/>
    <n v="1871.96"/>
    <n v="0"/>
    <n v="0"/>
  </r>
  <r>
    <x v="20"/>
    <x v="0"/>
    <x v="0"/>
    <n v="1112.99"/>
    <n v="0"/>
    <n v="0"/>
  </r>
  <r>
    <x v="20"/>
    <x v="1"/>
    <x v="0"/>
    <n v="1761.08"/>
    <n v="0"/>
    <n v="0"/>
  </r>
  <r>
    <x v="20"/>
    <x v="2"/>
    <x v="0"/>
    <n v="3553.94"/>
    <n v="0"/>
    <n v="0"/>
  </r>
  <r>
    <x v="20"/>
    <x v="3"/>
    <x v="0"/>
    <n v="3221.04"/>
    <n v="0"/>
    <n v="0"/>
  </r>
  <r>
    <x v="20"/>
    <x v="4"/>
    <x v="0"/>
    <n v="3563.48"/>
    <n v="0"/>
    <n v="0"/>
  </r>
  <r>
    <x v="20"/>
    <x v="5"/>
    <x v="0"/>
    <n v="1068.28"/>
    <n v="0"/>
    <n v="0"/>
  </r>
  <r>
    <x v="20"/>
    <x v="6"/>
    <x v="0"/>
    <n v="1767.17"/>
    <n v="0"/>
    <n v="0"/>
  </r>
  <r>
    <x v="20"/>
    <x v="7"/>
    <x v="0"/>
    <n v="310.58"/>
    <n v="0"/>
    <n v="0"/>
  </r>
  <r>
    <x v="20"/>
    <x v="8"/>
    <x v="0"/>
    <n v="586.27"/>
    <n v="0"/>
    <n v="0"/>
  </r>
  <r>
    <x v="20"/>
    <x v="9"/>
    <x v="0"/>
    <n v="504.29"/>
    <n v="0"/>
    <n v="0"/>
  </r>
  <r>
    <x v="20"/>
    <x v="10"/>
    <x v="0"/>
    <n v="1847.39"/>
    <n v="0"/>
    <n v="0"/>
  </r>
  <r>
    <x v="21"/>
    <x v="0"/>
    <x v="0"/>
    <n v="1080.08"/>
    <n v="0"/>
    <n v="0"/>
  </r>
  <r>
    <x v="21"/>
    <x v="1"/>
    <x v="0"/>
    <n v="2181.85"/>
    <n v="0"/>
    <n v="0"/>
  </r>
  <r>
    <x v="21"/>
    <x v="2"/>
    <x v="0"/>
    <n v="3158.74"/>
    <n v="0"/>
    <n v="0"/>
  </r>
  <r>
    <x v="21"/>
    <x v="3"/>
    <x v="0"/>
    <n v="3062.32"/>
    <n v="0"/>
    <n v="0"/>
  </r>
  <r>
    <x v="21"/>
    <x v="4"/>
    <x v="0"/>
    <n v="3947.58"/>
    <n v="0"/>
    <n v="0"/>
  </r>
  <r>
    <x v="21"/>
    <x v="5"/>
    <x v="0"/>
    <n v="1366.97"/>
    <n v="0"/>
    <n v="0"/>
  </r>
  <r>
    <x v="21"/>
    <x v="6"/>
    <x v="0"/>
    <n v="1647.44"/>
    <n v="0"/>
    <n v="0"/>
  </r>
  <r>
    <x v="21"/>
    <x v="7"/>
    <x v="0"/>
    <n v="460.48"/>
    <n v="0"/>
    <n v="0"/>
  </r>
  <r>
    <x v="21"/>
    <x v="8"/>
    <x v="0"/>
    <n v="508.39"/>
    <n v="0"/>
    <n v="0"/>
  </r>
  <r>
    <x v="21"/>
    <x v="9"/>
    <x v="0"/>
    <n v="500.82"/>
    <n v="0"/>
    <n v="0"/>
  </r>
  <r>
    <x v="21"/>
    <x v="10"/>
    <x v="0"/>
    <n v="1996.92"/>
    <n v="0"/>
    <n v="0"/>
  </r>
  <r>
    <x v="22"/>
    <x v="0"/>
    <x v="0"/>
    <n v="1123.6"/>
    <n v="0"/>
    <n v="0"/>
  </r>
  <r>
    <x v="22"/>
    <x v="1"/>
    <x v="0"/>
    <n v="2371.79"/>
    <n v="0"/>
    <n v="0"/>
  </r>
  <r>
    <x v="22"/>
    <x v="2"/>
    <x v="0"/>
    <n v="3268.14"/>
    <n v="0"/>
    <n v="0"/>
  </r>
  <r>
    <x v="22"/>
    <x v="3"/>
    <x v="0"/>
    <n v="3168.94"/>
    <n v="0"/>
    <n v="0"/>
  </r>
  <r>
    <x v="22"/>
    <x v="4"/>
    <x v="0"/>
    <n v="3649.88"/>
    <n v="0"/>
    <n v="0"/>
  </r>
  <r>
    <x v="22"/>
    <x v="5"/>
    <x v="0"/>
    <n v="1270.03"/>
    <n v="0"/>
    <n v="0"/>
  </r>
  <r>
    <x v="22"/>
    <x v="6"/>
    <x v="0"/>
    <n v="1996.51"/>
    <n v="0"/>
    <n v="0"/>
  </r>
  <r>
    <x v="22"/>
    <x v="7"/>
    <x v="0"/>
    <n v="314.37"/>
    <n v="0"/>
    <n v="0"/>
  </r>
  <r>
    <x v="22"/>
    <x v="8"/>
    <x v="0"/>
    <n v="496.37"/>
    <n v="0"/>
    <n v="0"/>
  </r>
  <r>
    <x v="22"/>
    <x v="9"/>
    <x v="0"/>
    <n v="526.13"/>
    <n v="0"/>
    <n v="0"/>
  </r>
  <r>
    <x v="22"/>
    <x v="10"/>
    <x v="0"/>
    <n v="1971.54"/>
    <n v="0"/>
    <n v="0"/>
  </r>
  <r>
    <x v="23"/>
    <x v="0"/>
    <x v="0"/>
    <n v="811.96"/>
    <n v="0"/>
    <n v="0"/>
  </r>
  <r>
    <x v="23"/>
    <x v="1"/>
    <x v="0"/>
    <n v="2094.89"/>
    <n v="0"/>
    <n v="0"/>
  </r>
  <r>
    <x v="23"/>
    <x v="2"/>
    <x v="0"/>
    <n v="3255.58"/>
    <n v="0"/>
    <n v="0"/>
  </r>
  <r>
    <x v="23"/>
    <x v="3"/>
    <x v="0"/>
    <n v="2962.16"/>
    <n v="0"/>
    <n v="0"/>
  </r>
  <r>
    <x v="23"/>
    <x v="4"/>
    <x v="0"/>
    <n v="3350.1"/>
    <n v="0"/>
    <n v="0"/>
  </r>
  <r>
    <x v="23"/>
    <x v="5"/>
    <x v="0"/>
    <n v="1273.11"/>
    <n v="0"/>
    <n v="0"/>
  </r>
  <r>
    <x v="23"/>
    <x v="6"/>
    <x v="0"/>
    <n v="1957.97"/>
    <n v="0"/>
    <n v="0"/>
  </r>
  <r>
    <x v="23"/>
    <x v="7"/>
    <x v="0"/>
    <n v="448.4"/>
    <n v="0"/>
    <n v="0"/>
  </r>
  <r>
    <x v="23"/>
    <x v="8"/>
    <x v="0"/>
    <n v="463.46"/>
    <n v="0"/>
    <n v="0"/>
  </r>
  <r>
    <x v="23"/>
    <x v="9"/>
    <x v="0"/>
    <n v="444.99"/>
    <n v="0"/>
    <n v="0"/>
  </r>
  <r>
    <x v="23"/>
    <x v="10"/>
    <x v="0"/>
    <n v="1901.52"/>
    <n v="0"/>
    <n v="0"/>
  </r>
  <r>
    <x v="24"/>
    <x v="0"/>
    <x v="0"/>
    <n v="1114.64"/>
    <n v="0"/>
    <n v="0"/>
  </r>
  <r>
    <x v="24"/>
    <x v="1"/>
    <x v="0"/>
    <n v="2544.7"/>
    <n v="0"/>
    <n v="0"/>
  </r>
  <r>
    <x v="24"/>
    <x v="2"/>
    <x v="0"/>
    <n v="2849.21"/>
    <n v="0"/>
    <n v="0"/>
  </r>
  <r>
    <x v="24"/>
    <x v="3"/>
    <x v="0"/>
    <n v="3070.13"/>
    <n v="0"/>
    <n v="0"/>
  </r>
  <r>
    <x v="24"/>
    <x v="4"/>
    <x v="0"/>
    <n v="3311.62"/>
    <n v="0"/>
    <n v="0"/>
  </r>
  <r>
    <x v="24"/>
    <x v="5"/>
    <x v="0"/>
    <n v="1482.92"/>
    <n v="0"/>
    <n v="0"/>
  </r>
  <r>
    <x v="24"/>
    <x v="6"/>
    <x v="0"/>
    <n v="1808.72"/>
    <n v="0"/>
    <n v="0"/>
  </r>
  <r>
    <x v="24"/>
    <x v="7"/>
    <x v="0"/>
    <n v="339.59"/>
    <n v="0"/>
    <n v="0"/>
  </r>
  <r>
    <x v="24"/>
    <x v="8"/>
    <x v="0"/>
    <n v="480.41"/>
    <n v="0"/>
    <n v="0"/>
  </r>
  <r>
    <x v="24"/>
    <x v="9"/>
    <x v="0"/>
    <n v="424.03"/>
    <n v="0"/>
    <n v="0"/>
  </r>
  <r>
    <x v="24"/>
    <x v="10"/>
    <x v="0"/>
    <n v="1965.98"/>
    <n v="0"/>
    <n v="0"/>
  </r>
  <r>
    <x v="25"/>
    <x v="0"/>
    <x v="0"/>
    <n v="1116.5"/>
    <n v="0"/>
    <n v="0"/>
  </r>
  <r>
    <x v="25"/>
    <x v="1"/>
    <x v="0"/>
    <n v="2327.79"/>
    <n v="0"/>
    <n v="0"/>
  </r>
  <r>
    <x v="25"/>
    <x v="2"/>
    <x v="0"/>
    <n v="2832.74"/>
    <n v="0"/>
    <n v="0"/>
  </r>
  <r>
    <x v="25"/>
    <x v="3"/>
    <x v="0"/>
    <n v="3143.71"/>
    <n v="0"/>
    <n v="0"/>
  </r>
  <r>
    <x v="25"/>
    <x v="4"/>
    <x v="0"/>
    <n v="3315.49"/>
    <n v="0"/>
    <n v="0"/>
  </r>
  <r>
    <x v="25"/>
    <x v="5"/>
    <x v="0"/>
    <n v="1286.17"/>
    <n v="0"/>
    <n v="0"/>
  </r>
  <r>
    <x v="25"/>
    <x v="6"/>
    <x v="0"/>
    <n v="1769.49"/>
    <n v="0"/>
    <n v="0"/>
  </r>
  <r>
    <x v="25"/>
    <x v="7"/>
    <x v="0"/>
    <n v="384.56"/>
    <n v="0"/>
    <n v="0"/>
  </r>
  <r>
    <x v="25"/>
    <x v="8"/>
    <x v="0"/>
    <n v="553.3200000000001"/>
    <n v="0"/>
    <n v="0"/>
  </r>
  <r>
    <x v="25"/>
    <x v="9"/>
    <x v="0"/>
    <n v="483.09"/>
    <n v="0"/>
    <n v="0"/>
  </r>
  <r>
    <x v="25"/>
    <x v="10"/>
    <x v="0"/>
    <n v="1998.24"/>
    <n v="0"/>
    <n v="0"/>
  </r>
  <r>
    <x v="26"/>
    <x v="0"/>
    <x v="0"/>
    <n v="988.3200000000001"/>
    <n v="0"/>
    <n v="0"/>
  </r>
  <r>
    <x v="26"/>
    <x v="1"/>
    <x v="0"/>
    <n v="1810.21"/>
    <n v="0"/>
    <n v="0"/>
  </r>
  <r>
    <x v="26"/>
    <x v="2"/>
    <x v="0"/>
    <n v="2568.12"/>
    <n v="0"/>
    <n v="0"/>
  </r>
  <r>
    <x v="26"/>
    <x v="3"/>
    <x v="0"/>
    <n v="2933.55"/>
    <n v="0"/>
    <n v="0"/>
  </r>
  <r>
    <x v="26"/>
    <x v="4"/>
    <x v="0"/>
    <n v="3400.61"/>
    <n v="0"/>
    <n v="0"/>
  </r>
  <r>
    <x v="26"/>
    <x v="5"/>
    <x v="0"/>
    <n v="1316.22"/>
    <n v="0"/>
    <n v="0"/>
  </r>
  <r>
    <x v="26"/>
    <x v="6"/>
    <x v="0"/>
    <n v="1540.78"/>
    <n v="0"/>
    <n v="0"/>
  </r>
  <r>
    <x v="26"/>
    <x v="7"/>
    <x v="0"/>
    <n v="427.48"/>
    <n v="0"/>
    <n v="0"/>
  </r>
  <r>
    <x v="26"/>
    <x v="8"/>
    <x v="0"/>
    <n v="480.39"/>
    <n v="0"/>
    <n v="0"/>
  </r>
  <r>
    <x v="26"/>
    <x v="9"/>
    <x v="0"/>
    <n v="405.24"/>
    <n v="0"/>
    <n v="0"/>
  </r>
  <r>
    <x v="26"/>
    <x v="10"/>
    <x v="0"/>
    <n v="1560.26"/>
    <n v="0"/>
    <n v="0"/>
  </r>
  <r>
    <x v="27"/>
    <x v="0"/>
    <x v="0"/>
    <n v="995.8200000000001"/>
    <n v="0"/>
    <n v="0"/>
  </r>
  <r>
    <x v="27"/>
    <x v="1"/>
    <x v="0"/>
    <n v="2078.9"/>
    <n v="0"/>
    <n v="0"/>
  </r>
  <r>
    <x v="27"/>
    <x v="2"/>
    <x v="0"/>
    <n v="2299.37"/>
    <n v="0"/>
    <n v="0"/>
  </r>
  <r>
    <x v="27"/>
    <x v="3"/>
    <x v="0"/>
    <n v="2908.48"/>
    <n v="0"/>
    <n v="0"/>
  </r>
  <r>
    <x v="27"/>
    <x v="4"/>
    <x v="0"/>
    <n v="3447.49"/>
    <n v="0"/>
    <n v="0"/>
  </r>
  <r>
    <x v="27"/>
    <x v="5"/>
    <x v="0"/>
    <n v="1127.33"/>
    <n v="0"/>
    <n v="0"/>
  </r>
  <r>
    <x v="27"/>
    <x v="6"/>
    <x v="0"/>
    <n v="1665.01"/>
    <n v="0"/>
    <n v="0"/>
  </r>
  <r>
    <x v="27"/>
    <x v="7"/>
    <x v="0"/>
    <n v="338.62"/>
    <n v="0"/>
    <n v="0"/>
  </r>
  <r>
    <x v="27"/>
    <x v="8"/>
    <x v="0"/>
    <n v="430.47"/>
    <n v="0"/>
    <n v="0"/>
  </r>
  <r>
    <x v="27"/>
    <x v="9"/>
    <x v="0"/>
    <n v="382.98"/>
    <n v="0"/>
    <n v="0"/>
  </r>
  <r>
    <x v="27"/>
    <x v="10"/>
    <x v="0"/>
    <n v="1726.97"/>
    <n v="0"/>
    <n v="0"/>
  </r>
  <r>
    <x v="28"/>
    <x v="0"/>
    <x v="0"/>
    <n v="1035.13"/>
    <n v="0"/>
    <n v="0"/>
  </r>
  <r>
    <x v="28"/>
    <x v="1"/>
    <x v="0"/>
    <n v="2067.94"/>
    <n v="0"/>
    <n v="0"/>
  </r>
  <r>
    <x v="28"/>
    <x v="2"/>
    <x v="0"/>
    <n v="2914.6"/>
    <n v="0"/>
    <n v="0"/>
  </r>
  <r>
    <x v="28"/>
    <x v="3"/>
    <x v="0"/>
    <n v="3285.54"/>
    <n v="0"/>
    <n v="0"/>
  </r>
  <r>
    <x v="28"/>
    <x v="4"/>
    <x v="0"/>
    <n v="3461.93"/>
    <n v="0"/>
    <n v="0"/>
  </r>
  <r>
    <x v="28"/>
    <x v="5"/>
    <x v="0"/>
    <n v="1435.01"/>
    <n v="0"/>
    <n v="0"/>
  </r>
  <r>
    <x v="28"/>
    <x v="6"/>
    <x v="0"/>
    <n v="1972.57"/>
    <n v="0"/>
    <n v="0"/>
  </r>
  <r>
    <x v="28"/>
    <x v="7"/>
    <x v="0"/>
    <n v="286.53"/>
    <n v="0"/>
    <n v="0"/>
  </r>
  <r>
    <x v="28"/>
    <x v="8"/>
    <x v="0"/>
    <n v="609.3"/>
    <n v="0"/>
    <n v="0"/>
  </r>
  <r>
    <x v="28"/>
    <x v="9"/>
    <x v="0"/>
    <n v="371.12"/>
    <n v="0"/>
    <n v="0"/>
  </r>
  <r>
    <x v="28"/>
    <x v="10"/>
    <x v="0"/>
    <n v="1971.56"/>
    <n v="0"/>
    <n v="0"/>
  </r>
  <r>
    <x v="29"/>
    <x v="0"/>
    <x v="0"/>
    <n v="985.36"/>
    <n v="0"/>
    <n v="0"/>
  </r>
  <r>
    <x v="29"/>
    <x v="1"/>
    <x v="0"/>
    <n v="2293.8"/>
    <n v="0"/>
    <n v="0"/>
  </r>
  <r>
    <x v="29"/>
    <x v="2"/>
    <x v="0"/>
    <n v="2586.92"/>
    <n v="0"/>
    <n v="0"/>
  </r>
  <r>
    <x v="29"/>
    <x v="3"/>
    <x v="0"/>
    <n v="3185.67"/>
    <n v="0"/>
    <n v="0"/>
  </r>
  <r>
    <x v="29"/>
    <x v="4"/>
    <x v="0"/>
    <n v="3529.4"/>
    <n v="0"/>
    <n v="0"/>
  </r>
  <r>
    <x v="29"/>
    <x v="5"/>
    <x v="0"/>
    <n v="1308.74"/>
    <n v="0"/>
    <n v="0"/>
  </r>
  <r>
    <x v="29"/>
    <x v="6"/>
    <x v="0"/>
    <n v="2017.53"/>
    <n v="0"/>
    <n v="0"/>
  </r>
  <r>
    <x v="29"/>
    <x v="7"/>
    <x v="0"/>
    <n v="313.6"/>
    <n v="0"/>
    <n v="0"/>
  </r>
  <r>
    <x v="29"/>
    <x v="8"/>
    <x v="0"/>
    <n v="504.41"/>
    <n v="0"/>
    <n v="0"/>
  </r>
  <r>
    <x v="29"/>
    <x v="9"/>
    <x v="0"/>
    <n v="425.62"/>
    <n v="0"/>
    <n v="0"/>
  </r>
  <r>
    <x v="29"/>
    <x v="10"/>
    <x v="0"/>
    <n v="1817.86"/>
    <n v="0"/>
    <n v="0"/>
  </r>
  <r>
    <x v="30"/>
    <x v="0"/>
    <x v="0"/>
    <n v="1208.29"/>
    <n v="0"/>
    <n v="0"/>
  </r>
  <r>
    <x v="30"/>
    <x v="1"/>
    <x v="0"/>
    <n v="1993.69"/>
    <n v="0"/>
    <n v="0"/>
  </r>
  <r>
    <x v="30"/>
    <x v="2"/>
    <x v="0"/>
    <n v="2485.78"/>
    <n v="0"/>
    <n v="0"/>
  </r>
  <r>
    <x v="30"/>
    <x v="3"/>
    <x v="0"/>
    <n v="3032.95"/>
    <n v="0"/>
    <n v="0"/>
  </r>
  <r>
    <x v="30"/>
    <x v="4"/>
    <x v="0"/>
    <n v="3302.58"/>
    <n v="0"/>
    <n v="0"/>
  </r>
  <r>
    <x v="30"/>
    <x v="5"/>
    <x v="0"/>
    <n v="1465.09"/>
    <n v="0"/>
    <n v="0"/>
  </r>
  <r>
    <x v="30"/>
    <x v="6"/>
    <x v="0"/>
    <n v="1737.05"/>
    <n v="0"/>
    <n v="0"/>
  </r>
  <r>
    <x v="30"/>
    <x v="7"/>
    <x v="0"/>
    <n v="351.56"/>
    <n v="0"/>
    <n v="0"/>
  </r>
  <r>
    <x v="30"/>
    <x v="8"/>
    <x v="0"/>
    <n v="501.46"/>
    <n v="0"/>
    <n v="0"/>
  </r>
  <r>
    <x v="30"/>
    <x v="9"/>
    <x v="0"/>
    <n v="372.06"/>
    <n v="0"/>
    <n v="0"/>
  </r>
  <r>
    <x v="30"/>
    <x v="10"/>
    <x v="0"/>
    <n v="1883.2"/>
    <n v="0"/>
    <n v="0"/>
  </r>
  <r>
    <x v="31"/>
    <x v="0"/>
    <x v="0"/>
    <n v="988.9"/>
    <n v="0"/>
    <n v="0"/>
  </r>
  <r>
    <x v="31"/>
    <x v="1"/>
    <x v="0"/>
    <n v="1984.98"/>
    <n v="0"/>
    <n v="0"/>
  </r>
  <r>
    <x v="31"/>
    <x v="2"/>
    <x v="0"/>
    <n v="2330.47"/>
    <n v="0"/>
    <n v="0"/>
  </r>
  <r>
    <x v="31"/>
    <x v="3"/>
    <x v="0"/>
    <n v="3212.43"/>
    <n v="0"/>
    <n v="0"/>
  </r>
  <r>
    <x v="31"/>
    <x v="4"/>
    <x v="0"/>
    <n v="3509.55"/>
    <n v="0"/>
    <n v="0"/>
  </r>
  <r>
    <x v="31"/>
    <x v="5"/>
    <x v="0"/>
    <n v="1450.85"/>
    <n v="0"/>
    <n v="0"/>
  </r>
  <r>
    <x v="31"/>
    <x v="6"/>
    <x v="0"/>
    <n v="1940.48"/>
    <n v="0"/>
    <n v="0"/>
  </r>
  <r>
    <x v="31"/>
    <x v="7"/>
    <x v="0"/>
    <n v="203.71"/>
    <n v="0"/>
    <n v="0"/>
  </r>
  <r>
    <x v="31"/>
    <x v="8"/>
    <x v="0"/>
    <n v="410.45"/>
    <n v="0"/>
    <n v="0"/>
  </r>
  <r>
    <x v="31"/>
    <x v="9"/>
    <x v="0"/>
    <n v="417.26"/>
    <n v="0"/>
    <n v="0"/>
  </r>
  <r>
    <x v="31"/>
    <x v="10"/>
    <x v="0"/>
    <n v="1869.91"/>
    <n v="0"/>
    <n v="0"/>
  </r>
  <r>
    <x v="32"/>
    <x v="0"/>
    <x v="0"/>
    <n v="1038.45"/>
    <n v="0"/>
    <n v="0"/>
  </r>
  <r>
    <x v="32"/>
    <x v="1"/>
    <x v="0"/>
    <n v="2219.89"/>
    <n v="0"/>
    <n v="0"/>
  </r>
  <r>
    <x v="32"/>
    <x v="2"/>
    <x v="0"/>
    <n v="2358.43"/>
    <n v="0"/>
    <n v="0"/>
  </r>
  <r>
    <x v="32"/>
    <x v="3"/>
    <x v="0"/>
    <n v="2843.06"/>
    <n v="0"/>
    <n v="0"/>
  </r>
  <r>
    <x v="32"/>
    <x v="4"/>
    <x v="0"/>
    <n v="3314.52"/>
    <n v="0"/>
    <n v="0"/>
  </r>
  <r>
    <x v="32"/>
    <x v="5"/>
    <x v="0"/>
    <n v="1461.9"/>
    <n v="0"/>
    <n v="0"/>
  </r>
  <r>
    <x v="32"/>
    <x v="6"/>
    <x v="0"/>
    <n v="1958.18"/>
    <n v="0"/>
    <n v="0"/>
  </r>
  <r>
    <x v="32"/>
    <x v="7"/>
    <x v="0"/>
    <n v="306.59"/>
    <n v="0"/>
    <n v="0"/>
  </r>
  <r>
    <x v="32"/>
    <x v="8"/>
    <x v="0"/>
    <n v="509.4"/>
    <n v="0"/>
    <n v="0"/>
  </r>
  <r>
    <x v="32"/>
    <x v="9"/>
    <x v="0"/>
    <n v="364.46"/>
    <n v="0"/>
    <n v="0"/>
  </r>
  <r>
    <x v="32"/>
    <x v="10"/>
    <x v="0"/>
    <n v="1956.22"/>
    <n v="0"/>
    <n v="0"/>
  </r>
  <r>
    <x v="33"/>
    <x v="0"/>
    <x v="0"/>
    <n v="1011.46"/>
    <n v="0"/>
    <n v="0"/>
  </r>
  <r>
    <x v="33"/>
    <x v="1"/>
    <x v="0"/>
    <n v="2349.16"/>
    <n v="0"/>
    <n v="0"/>
  </r>
  <r>
    <x v="33"/>
    <x v="2"/>
    <x v="0"/>
    <n v="2072.96"/>
    <n v="0"/>
    <n v="0"/>
  </r>
  <r>
    <x v="33"/>
    <x v="3"/>
    <x v="0"/>
    <n v="2587.44"/>
    <n v="0"/>
    <n v="0"/>
  </r>
  <r>
    <x v="33"/>
    <x v="4"/>
    <x v="0"/>
    <n v="3165.66"/>
    <n v="0"/>
    <n v="0"/>
  </r>
  <r>
    <x v="33"/>
    <x v="5"/>
    <x v="0"/>
    <n v="1473.05"/>
    <n v="0"/>
    <n v="0"/>
  </r>
  <r>
    <x v="33"/>
    <x v="6"/>
    <x v="0"/>
    <n v="1794.54"/>
    <n v="0"/>
    <n v="0"/>
  </r>
  <r>
    <x v="33"/>
    <x v="7"/>
    <x v="0"/>
    <n v="332.58"/>
    <n v="0"/>
    <n v="0"/>
  </r>
  <r>
    <x v="33"/>
    <x v="8"/>
    <x v="0"/>
    <n v="449.46"/>
    <n v="0"/>
    <n v="0"/>
  </r>
  <r>
    <x v="33"/>
    <x v="9"/>
    <x v="0"/>
    <n v="316.79"/>
    <n v="0"/>
    <n v="0"/>
  </r>
  <r>
    <x v="33"/>
    <x v="10"/>
    <x v="0"/>
    <n v="1776.73"/>
    <n v="0"/>
    <n v="0"/>
  </r>
  <r>
    <x v="34"/>
    <x v="0"/>
    <x v="0"/>
    <n v="1159.32"/>
    <n v="0"/>
    <n v="0"/>
  </r>
  <r>
    <x v="34"/>
    <x v="1"/>
    <x v="0"/>
    <n v="2128.88"/>
    <n v="0"/>
    <n v="0"/>
  </r>
  <r>
    <x v="34"/>
    <x v="2"/>
    <x v="0"/>
    <n v="2394.61"/>
    <n v="0"/>
    <n v="0"/>
  </r>
  <r>
    <x v="34"/>
    <x v="3"/>
    <x v="0"/>
    <n v="3215.42"/>
    <n v="0"/>
    <n v="0"/>
  </r>
  <r>
    <x v="34"/>
    <x v="4"/>
    <x v="0"/>
    <n v="3071.83"/>
    <n v="0"/>
    <n v="0"/>
  </r>
  <r>
    <x v="34"/>
    <x v="5"/>
    <x v="0"/>
    <n v="1175.4"/>
    <n v="0"/>
    <n v="0"/>
  </r>
  <r>
    <x v="34"/>
    <x v="6"/>
    <x v="0"/>
    <n v="2089.15"/>
    <n v="0"/>
    <n v="0"/>
  </r>
  <r>
    <x v="34"/>
    <x v="7"/>
    <x v="0"/>
    <n v="272.62"/>
    <n v="0"/>
    <n v="0"/>
  </r>
  <r>
    <x v="34"/>
    <x v="8"/>
    <x v="0"/>
    <n v="696.15"/>
    <n v="0"/>
    <n v="0"/>
  </r>
  <r>
    <x v="34"/>
    <x v="9"/>
    <x v="0"/>
    <n v="307.62"/>
    <n v="0"/>
    <n v="0"/>
  </r>
  <r>
    <x v="34"/>
    <x v="10"/>
    <x v="0"/>
    <n v="1771.78"/>
    <n v="0"/>
    <n v="0"/>
  </r>
  <r>
    <x v="35"/>
    <x v="0"/>
    <x v="0"/>
    <n v="1045.64"/>
    <n v="0"/>
    <n v="0"/>
  </r>
  <r>
    <x v="35"/>
    <x v="1"/>
    <x v="0"/>
    <n v="1925.01"/>
    <n v="0"/>
    <n v="0"/>
  </r>
  <r>
    <x v="35"/>
    <x v="2"/>
    <x v="0"/>
    <n v="1945.81"/>
    <n v="0"/>
    <n v="0"/>
  </r>
  <r>
    <x v="35"/>
    <x v="3"/>
    <x v="0"/>
    <n v="3126.55"/>
    <n v="0"/>
    <n v="0"/>
  </r>
  <r>
    <x v="35"/>
    <x v="4"/>
    <x v="0"/>
    <n v="3039.24"/>
    <n v="0"/>
    <n v="0"/>
  </r>
  <r>
    <x v="35"/>
    <x v="5"/>
    <x v="0"/>
    <n v="1276.68"/>
    <n v="0"/>
    <n v="0"/>
  </r>
  <r>
    <x v="35"/>
    <x v="6"/>
    <x v="0"/>
    <n v="1936.94"/>
    <n v="0"/>
    <n v="0"/>
  </r>
  <r>
    <x v="35"/>
    <x v="7"/>
    <x v="0"/>
    <n v="190.66"/>
    <n v="0"/>
    <n v="0"/>
  </r>
  <r>
    <x v="35"/>
    <x v="8"/>
    <x v="0"/>
    <n v="555.45"/>
    <n v="0"/>
    <n v="0"/>
  </r>
  <r>
    <x v="35"/>
    <x v="9"/>
    <x v="0"/>
    <n v="284.2"/>
    <n v="0"/>
    <n v="0"/>
  </r>
  <r>
    <x v="35"/>
    <x v="10"/>
    <x v="0"/>
    <n v="1773.5"/>
    <n v="0"/>
    <n v="0"/>
  </r>
  <r>
    <x v="36"/>
    <x v="0"/>
    <x v="0"/>
    <n v="1197.6"/>
    <n v="0"/>
    <n v="0"/>
  </r>
  <r>
    <x v="36"/>
    <x v="1"/>
    <x v="0"/>
    <n v="1951.35"/>
    <n v="0"/>
    <n v="0"/>
  </r>
  <r>
    <x v="36"/>
    <x v="2"/>
    <x v="0"/>
    <n v="2127.15"/>
    <n v="0"/>
    <n v="0"/>
  </r>
  <r>
    <x v="36"/>
    <x v="3"/>
    <x v="0"/>
    <n v="2913.81"/>
    <n v="0"/>
    <n v="0"/>
  </r>
  <r>
    <x v="36"/>
    <x v="4"/>
    <x v="0"/>
    <n v="3484.34"/>
    <n v="0"/>
    <n v="0"/>
  </r>
  <r>
    <x v="36"/>
    <x v="5"/>
    <x v="0"/>
    <n v="1412.11"/>
    <n v="0"/>
    <n v="0"/>
  </r>
  <r>
    <x v="36"/>
    <x v="6"/>
    <x v="0"/>
    <n v="2211.16"/>
    <n v="0"/>
    <n v="0"/>
  </r>
  <r>
    <x v="36"/>
    <x v="7"/>
    <x v="0"/>
    <n v="398.29"/>
    <n v="0"/>
    <n v="0"/>
  </r>
  <r>
    <x v="36"/>
    <x v="8"/>
    <x v="0"/>
    <n v="463.42"/>
    <n v="0"/>
    <n v="0"/>
  </r>
  <r>
    <x v="36"/>
    <x v="9"/>
    <x v="0"/>
    <n v="337.32"/>
    <n v="0"/>
    <n v="0"/>
  </r>
  <r>
    <x v="36"/>
    <x v="10"/>
    <x v="0"/>
    <n v="1969.3"/>
    <n v="0"/>
    <n v="0"/>
  </r>
  <r>
    <x v="37"/>
    <x v="0"/>
    <x v="0"/>
    <n v="1040.48"/>
    <n v="0"/>
    <n v="0"/>
  </r>
  <r>
    <x v="37"/>
    <x v="1"/>
    <x v="0"/>
    <n v="1736.11"/>
    <n v="0"/>
    <n v="0"/>
  </r>
  <r>
    <x v="37"/>
    <x v="2"/>
    <x v="0"/>
    <n v="2262.37"/>
    <n v="0"/>
    <n v="0"/>
  </r>
  <r>
    <x v="37"/>
    <x v="3"/>
    <x v="0"/>
    <n v="2955.94"/>
    <n v="0"/>
    <n v="0"/>
  </r>
  <r>
    <x v="37"/>
    <x v="4"/>
    <x v="0"/>
    <n v="3131.69"/>
    <n v="0"/>
    <n v="0"/>
  </r>
  <r>
    <x v="37"/>
    <x v="5"/>
    <x v="0"/>
    <n v="1410.07"/>
    <n v="0"/>
    <n v="0"/>
  </r>
  <r>
    <x v="37"/>
    <x v="6"/>
    <x v="0"/>
    <n v="2033.17"/>
    <n v="0"/>
    <n v="0"/>
  </r>
  <r>
    <x v="37"/>
    <x v="7"/>
    <x v="0"/>
    <n v="293.54"/>
    <n v="0"/>
    <n v="0"/>
  </r>
  <r>
    <x v="37"/>
    <x v="8"/>
    <x v="0"/>
    <n v="516.54"/>
    <n v="0"/>
    <n v="0"/>
  </r>
  <r>
    <x v="37"/>
    <x v="9"/>
    <x v="0"/>
    <n v="358.23"/>
    <n v="0"/>
    <n v="0"/>
  </r>
  <r>
    <x v="37"/>
    <x v="10"/>
    <x v="0"/>
    <n v="1763.25"/>
    <n v="0"/>
    <n v="0"/>
  </r>
  <r>
    <x v="38"/>
    <x v="0"/>
    <x v="0"/>
    <n v="953.5700000000001"/>
    <n v="0"/>
    <n v="0"/>
  </r>
  <r>
    <x v="38"/>
    <x v="1"/>
    <x v="0"/>
    <n v="1937.03"/>
    <n v="0"/>
    <n v="0"/>
  </r>
  <r>
    <x v="38"/>
    <x v="2"/>
    <x v="0"/>
    <n v="2026.14"/>
    <n v="0"/>
    <n v="0"/>
  </r>
  <r>
    <x v="38"/>
    <x v="3"/>
    <x v="0"/>
    <n v="3016.64"/>
    <n v="0"/>
    <n v="0"/>
  </r>
  <r>
    <x v="38"/>
    <x v="4"/>
    <x v="0"/>
    <n v="3159.62"/>
    <n v="0"/>
    <n v="0"/>
  </r>
  <r>
    <x v="38"/>
    <x v="5"/>
    <x v="0"/>
    <n v="1153.51"/>
    <n v="0"/>
    <n v="0"/>
  </r>
  <r>
    <x v="38"/>
    <x v="6"/>
    <x v="0"/>
    <n v="1987.34"/>
    <n v="0"/>
    <n v="0"/>
  </r>
  <r>
    <x v="38"/>
    <x v="7"/>
    <x v="0"/>
    <n v="345.52"/>
    <n v="0"/>
    <n v="0"/>
  </r>
  <r>
    <x v="38"/>
    <x v="8"/>
    <x v="0"/>
    <n v="494.43"/>
    <n v="0"/>
    <n v="0"/>
  </r>
  <r>
    <x v="38"/>
    <x v="9"/>
    <x v="0"/>
    <n v="388.19"/>
    <n v="0"/>
    <n v="0"/>
  </r>
  <r>
    <x v="38"/>
    <x v="10"/>
    <x v="0"/>
    <n v="1953.71"/>
    <n v="0"/>
    <n v="0"/>
  </r>
  <r>
    <x v="39"/>
    <x v="0"/>
    <x v="0"/>
    <n v="1066.58"/>
    <n v="0"/>
    <n v="0"/>
  </r>
  <r>
    <x v="39"/>
    <x v="1"/>
    <x v="0"/>
    <n v="1807.06"/>
    <n v="0"/>
    <n v="0"/>
  </r>
  <r>
    <x v="39"/>
    <x v="2"/>
    <x v="0"/>
    <n v="2133.84"/>
    <n v="0"/>
    <n v="0"/>
  </r>
  <r>
    <x v="39"/>
    <x v="3"/>
    <x v="0"/>
    <n v="3106.63"/>
    <n v="0"/>
    <n v="0"/>
  </r>
  <r>
    <x v="39"/>
    <x v="4"/>
    <x v="0"/>
    <n v="3117.19"/>
    <n v="0"/>
    <n v="0"/>
  </r>
  <r>
    <x v="39"/>
    <x v="5"/>
    <x v="0"/>
    <n v="1221.52"/>
    <n v="0"/>
    <n v="0"/>
  </r>
  <r>
    <x v="39"/>
    <x v="6"/>
    <x v="0"/>
    <n v="2030.23"/>
    <n v="0"/>
    <n v="0"/>
  </r>
  <r>
    <x v="39"/>
    <x v="7"/>
    <x v="0"/>
    <n v="370.43"/>
    <n v="0"/>
    <n v="0"/>
  </r>
  <r>
    <x v="39"/>
    <x v="8"/>
    <x v="0"/>
    <n v="494.41"/>
    <n v="0"/>
    <n v="0"/>
  </r>
  <r>
    <x v="39"/>
    <x v="9"/>
    <x v="0"/>
    <n v="390.12"/>
    <n v="0"/>
    <n v="0"/>
  </r>
  <r>
    <x v="39"/>
    <x v="10"/>
    <x v="0"/>
    <n v="1745.51"/>
    <n v="0"/>
    <n v="0"/>
  </r>
  <r>
    <x v="40"/>
    <x v="0"/>
    <x v="0"/>
    <n v="1191.01"/>
    <n v="0"/>
    <n v="0"/>
  </r>
  <r>
    <x v="40"/>
    <x v="1"/>
    <x v="0"/>
    <n v="1967.97"/>
    <n v="0"/>
    <n v="0"/>
  </r>
  <r>
    <x v="40"/>
    <x v="2"/>
    <x v="0"/>
    <n v="2165.07"/>
    <n v="0"/>
    <n v="0"/>
  </r>
  <r>
    <x v="40"/>
    <x v="3"/>
    <x v="0"/>
    <n v="2961.32"/>
    <n v="0"/>
    <n v="0"/>
  </r>
  <r>
    <x v="40"/>
    <x v="4"/>
    <x v="0"/>
    <n v="3220.05"/>
    <n v="0"/>
    <n v="0"/>
  </r>
  <r>
    <x v="40"/>
    <x v="5"/>
    <x v="0"/>
    <n v="1421.23"/>
    <n v="0"/>
    <n v="0"/>
  </r>
  <r>
    <x v="40"/>
    <x v="6"/>
    <x v="0"/>
    <n v="2071.08"/>
    <n v="0"/>
    <n v="0"/>
  </r>
  <r>
    <x v="40"/>
    <x v="7"/>
    <x v="0"/>
    <n v="300.55"/>
    <n v="0"/>
    <n v="0"/>
  </r>
  <r>
    <x v="40"/>
    <x v="8"/>
    <x v="0"/>
    <n v="454.47"/>
    <n v="0"/>
    <n v="0"/>
  </r>
  <r>
    <x v="40"/>
    <x v="9"/>
    <x v="0"/>
    <n v="355.24"/>
    <n v="0"/>
    <n v="0"/>
  </r>
  <r>
    <x v="40"/>
    <x v="10"/>
    <x v="0"/>
    <n v="1910.41"/>
    <n v="0"/>
    <n v="0"/>
  </r>
  <r>
    <x v="41"/>
    <x v="0"/>
    <x v="0"/>
    <n v="972.16"/>
    <n v="0"/>
    <n v="0"/>
  </r>
  <r>
    <x v="41"/>
    <x v="1"/>
    <x v="0"/>
    <n v="2294.82"/>
    <n v="0"/>
    <n v="0"/>
  </r>
  <r>
    <x v="41"/>
    <x v="2"/>
    <x v="0"/>
    <n v="2220.31"/>
    <n v="0"/>
    <n v="0"/>
  </r>
  <r>
    <x v="41"/>
    <x v="3"/>
    <x v="0"/>
    <n v="3014.37"/>
    <n v="0"/>
    <n v="0"/>
  </r>
  <r>
    <x v="41"/>
    <x v="4"/>
    <x v="0"/>
    <n v="3108.3"/>
    <n v="0"/>
    <n v="0"/>
  </r>
  <r>
    <x v="41"/>
    <x v="5"/>
    <x v="0"/>
    <n v="1258.85"/>
    <n v="0"/>
    <n v="0"/>
  </r>
  <r>
    <x v="41"/>
    <x v="6"/>
    <x v="0"/>
    <n v="1824.58"/>
    <n v="0"/>
    <n v="0"/>
  </r>
  <r>
    <x v="41"/>
    <x v="7"/>
    <x v="0"/>
    <n v="391.46"/>
    <n v="0"/>
    <n v="0"/>
  </r>
  <r>
    <x v="41"/>
    <x v="8"/>
    <x v="0"/>
    <n v="546.41"/>
    <n v="0"/>
    <n v="0"/>
  </r>
  <r>
    <x v="41"/>
    <x v="9"/>
    <x v="0"/>
    <n v="365.84"/>
    <n v="0"/>
    <n v="0"/>
  </r>
  <r>
    <x v="41"/>
    <x v="10"/>
    <x v="0"/>
    <n v="1961.81"/>
    <n v="0"/>
    <n v="0"/>
  </r>
  <r>
    <x v="42"/>
    <x v="0"/>
    <x v="0"/>
    <n v="1001.23"/>
    <n v="0"/>
    <n v="0"/>
  </r>
  <r>
    <x v="42"/>
    <x v="1"/>
    <x v="0"/>
    <n v="1847.04"/>
    <n v="0"/>
    <n v="0"/>
  </r>
  <r>
    <x v="42"/>
    <x v="2"/>
    <x v="0"/>
    <n v="2018.28"/>
    <n v="0"/>
    <n v="0"/>
  </r>
  <r>
    <x v="42"/>
    <x v="3"/>
    <x v="0"/>
    <n v="3013.09"/>
    <n v="0"/>
    <n v="0"/>
  </r>
  <r>
    <x v="42"/>
    <x v="4"/>
    <x v="0"/>
    <n v="3465.38"/>
    <n v="0"/>
    <n v="0"/>
  </r>
  <r>
    <x v="42"/>
    <x v="5"/>
    <x v="0"/>
    <n v="1439.25"/>
    <n v="0"/>
    <n v="0"/>
  </r>
  <r>
    <x v="42"/>
    <x v="6"/>
    <x v="0"/>
    <n v="2137.42"/>
    <n v="0"/>
    <n v="0"/>
  </r>
  <r>
    <x v="42"/>
    <x v="7"/>
    <x v="0"/>
    <n v="219.56"/>
    <n v="0"/>
    <n v="0"/>
  </r>
  <r>
    <x v="42"/>
    <x v="8"/>
    <x v="0"/>
    <n v="592.84"/>
    <n v="0"/>
    <n v="0"/>
  </r>
  <r>
    <x v="42"/>
    <x v="9"/>
    <x v="0"/>
    <n v="334.92"/>
    <n v="0"/>
    <n v="0"/>
  </r>
  <r>
    <x v="42"/>
    <x v="10"/>
    <x v="0"/>
    <n v="1973.42"/>
    <n v="0"/>
    <n v="0"/>
  </r>
  <r>
    <x v="43"/>
    <x v="0"/>
    <x v="0"/>
    <n v="1083.14"/>
    <n v="0"/>
    <n v="0"/>
  </r>
  <r>
    <x v="43"/>
    <x v="1"/>
    <x v="0"/>
    <n v="1799.06"/>
    <n v="0"/>
    <n v="0"/>
  </r>
  <r>
    <x v="43"/>
    <x v="2"/>
    <x v="0"/>
    <n v="2152.23"/>
    <n v="0"/>
    <n v="0"/>
  </r>
  <r>
    <x v="43"/>
    <x v="3"/>
    <x v="0"/>
    <n v="3119.99"/>
    <n v="0"/>
    <n v="0"/>
  </r>
  <r>
    <x v="43"/>
    <x v="4"/>
    <x v="0"/>
    <n v="3660.54"/>
    <n v="0"/>
    <n v="0"/>
  </r>
  <r>
    <x v="43"/>
    <x v="5"/>
    <x v="0"/>
    <n v="1318.63"/>
    <n v="0"/>
    <n v="0"/>
  </r>
  <r>
    <x v="43"/>
    <x v="6"/>
    <x v="0"/>
    <n v="2087.02"/>
    <n v="0"/>
    <n v="0"/>
  </r>
  <r>
    <x v="43"/>
    <x v="7"/>
    <x v="0"/>
    <n v="327.51"/>
    <n v="0"/>
    <n v="0"/>
  </r>
  <r>
    <x v="43"/>
    <x v="8"/>
    <x v="0"/>
    <n v="584.27"/>
    <n v="0"/>
    <n v="0"/>
  </r>
  <r>
    <x v="43"/>
    <x v="9"/>
    <x v="0"/>
    <n v="407.65"/>
    <n v="0"/>
    <n v="0"/>
  </r>
  <r>
    <x v="43"/>
    <x v="10"/>
    <x v="0"/>
    <n v="1910.51"/>
    <n v="0"/>
    <n v="0"/>
  </r>
  <r>
    <x v="44"/>
    <x v="0"/>
    <x v="0"/>
    <n v="1021.42"/>
    <n v="0"/>
    <n v="0"/>
  </r>
  <r>
    <x v="44"/>
    <x v="1"/>
    <x v="0"/>
    <n v="1827.08"/>
    <n v="0"/>
    <n v="0"/>
  </r>
  <r>
    <x v="44"/>
    <x v="2"/>
    <x v="0"/>
    <n v="2205.06"/>
    <n v="0"/>
    <n v="0"/>
  </r>
  <r>
    <x v="44"/>
    <x v="3"/>
    <x v="0"/>
    <n v="2926.43"/>
    <n v="0"/>
    <n v="0"/>
  </r>
  <r>
    <x v="44"/>
    <x v="4"/>
    <x v="0"/>
    <n v="3381.49"/>
    <n v="0"/>
    <n v="0"/>
  </r>
  <r>
    <x v="44"/>
    <x v="5"/>
    <x v="0"/>
    <n v="1198.41"/>
    <n v="0"/>
    <n v="0"/>
  </r>
  <r>
    <x v="44"/>
    <x v="6"/>
    <x v="0"/>
    <n v="2205.57"/>
    <n v="0"/>
    <n v="0"/>
  </r>
  <r>
    <x v="44"/>
    <x v="7"/>
    <x v="0"/>
    <n v="386.33"/>
    <n v="0"/>
    <n v="0"/>
  </r>
  <r>
    <x v="44"/>
    <x v="8"/>
    <x v="0"/>
    <n v="496.39"/>
    <n v="0"/>
    <n v="0"/>
  </r>
  <r>
    <x v="44"/>
    <x v="9"/>
    <x v="0"/>
    <n v="345.77"/>
    <n v="0"/>
    <n v="0"/>
  </r>
  <r>
    <x v="44"/>
    <x v="10"/>
    <x v="0"/>
    <n v="2014.17"/>
    <n v="0"/>
    <n v="0"/>
  </r>
  <r>
    <x v="45"/>
    <x v="0"/>
    <x v="0"/>
    <n v="1355.26"/>
    <n v="0"/>
    <n v="0"/>
  </r>
  <r>
    <x v="45"/>
    <x v="1"/>
    <x v="0"/>
    <n v="2268.84"/>
    <n v="0"/>
    <n v="0"/>
  </r>
  <r>
    <x v="45"/>
    <x v="2"/>
    <x v="0"/>
    <n v="2338.74"/>
    <n v="0"/>
    <n v="0"/>
  </r>
  <r>
    <x v="45"/>
    <x v="3"/>
    <x v="0"/>
    <n v="2899.84"/>
    <n v="0"/>
    <n v="0"/>
  </r>
  <r>
    <x v="45"/>
    <x v="4"/>
    <x v="0"/>
    <n v="3403.9"/>
    <n v="0"/>
    <n v="0"/>
  </r>
  <r>
    <x v="45"/>
    <x v="5"/>
    <x v="0"/>
    <n v="1066.51"/>
    <n v="0"/>
    <n v="0"/>
  </r>
  <r>
    <x v="45"/>
    <x v="6"/>
    <x v="0"/>
    <n v="1923.77"/>
    <n v="0"/>
    <n v="0"/>
  </r>
  <r>
    <x v="45"/>
    <x v="7"/>
    <x v="0"/>
    <n v="206.62"/>
    <n v="0"/>
    <n v="0"/>
  </r>
  <r>
    <x v="45"/>
    <x v="8"/>
    <x v="0"/>
    <n v="515.54"/>
    <n v="0"/>
    <n v="0"/>
  </r>
  <r>
    <x v="45"/>
    <x v="9"/>
    <x v="0"/>
    <n v="327.79"/>
    <n v="0"/>
    <n v="0"/>
  </r>
  <r>
    <x v="45"/>
    <x v="10"/>
    <x v="0"/>
    <n v="1900.43"/>
    <n v="0"/>
    <n v="0"/>
  </r>
  <r>
    <x v="46"/>
    <x v="0"/>
    <x v="0"/>
    <n v="1055.9"/>
    <n v="0"/>
    <n v="0"/>
  </r>
  <r>
    <x v="46"/>
    <x v="1"/>
    <x v="0"/>
    <n v="1775.06"/>
    <n v="0"/>
    <n v="0"/>
  </r>
  <r>
    <x v="46"/>
    <x v="2"/>
    <x v="0"/>
    <n v="2434.05"/>
    <n v="0"/>
    <n v="0"/>
  </r>
  <r>
    <x v="46"/>
    <x v="3"/>
    <x v="0"/>
    <n v="2997.1"/>
    <n v="0"/>
    <n v="0"/>
  </r>
  <r>
    <x v="46"/>
    <x v="4"/>
    <x v="0"/>
    <n v="3355.6"/>
    <n v="0"/>
    <n v="0"/>
  </r>
  <r>
    <x v="46"/>
    <x v="5"/>
    <x v="0"/>
    <n v="1401.48"/>
    <n v="0"/>
    <n v="0"/>
  </r>
  <r>
    <x v="46"/>
    <x v="6"/>
    <x v="0"/>
    <n v="2026.35"/>
    <n v="0"/>
    <n v="0"/>
  </r>
  <r>
    <x v="46"/>
    <x v="7"/>
    <x v="0"/>
    <n v="205.65"/>
    <n v="0"/>
    <n v="0"/>
  </r>
  <r>
    <x v="46"/>
    <x v="8"/>
    <x v="0"/>
    <n v="464.83"/>
    <n v="0"/>
    <n v="0"/>
  </r>
  <r>
    <x v="46"/>
    <x v="9"/>
    <x v="0"/>
    <n v="358.08"/>
    <n v="0"/>
    <n v="0"/>
  </r>
  <r>
    <x v="46"/>
    <x v="10"/>
    <x v="0"/>
    <n v="2075.97"/>
    <n v="0"/>
    <n v="0"/>
  </r>
  <r>
    <x v="47"/>
    <x v="0"/>
    <x v="0"/>
    <n v="1075.4"/>
    <n v="0"/>
    <n v="0"/>
  </r>
  <r>
    <x v="47"/>
    <x v="1"/>
    <x v="0"/>
    <n v="2158.89"/>
    <n v="0"/>
    <n v="0"/>
  </r>
  <r>
    <x v="47"/>
    <x v="2"/>
    <x v="0"/>
    <n v="2491.43"/>
    <n v="0"/>
    <n v="0"/>
  </r>
  <r>
    <x v="47"/>
    <x v="3"/>
    <x v="0"/>
    <n v="3413.22"/>
    <n v="0"/>
    <n v="0"/>
  </r>
  <r>
    <x v="47"/>
    <x v="4"/>
    <x v="0"/>
    <n v="3283.03"/>
    <n v="0"/>
    <n v="0"/>
  </r>
  <r>
    <x v="47"/>
    <x v="5"/>
    <x v="0"/>
    <n v="1073.9"/>
    <n v="0"/>
    <n v="0"/>
  </r>
  <r>
    <x v="47"/>
    <x v="6"/>
    <x v="0"/>
    <n v="2058.71"/>
    <n v="0"/>
    <n v="0"/>
  </r>
  <r>
    <x v="47"/>
    <x v="7"/>
    <x v="0"/>
    <n v="386.39"/>
    <n v="0"/>
    <n v="0"/>
  </r>
  <r>
    <x v="47"/>
    <x v="8"/>
    <x v="0"/>
    <n v="490.41"/>
    <n v="0"/>
    <n v="0"/>
  </r>
  <r>
    <x v="47"/>
    <x v="9"/>
    <x v="0"/>
    <n v="310.58"/>
    <n v="0"/>
    <n v="0"/>
  </r>
  <r>
    <x v="47"/>
    <x v="10"/>
    <x v="0"/>
    <n v="1818.61"/>
    <n v="0"/>
    <n v="0"/>
  </r>
  <r>
    <x v="48"/>
    <x v="0"/>
    <x v="0"/>
    <n v="1046.13"/>
    <n v="0"/>
    <n v="0"/>
  </r>
  <r>
    <x v="48"/>
    <x v="1"/>
    <x v="0"/>
    <n v="2342.97"/>
    <n v="0"/>
    <n v="0"/>
  </r>
  <r>
    <x v="48"/>
    <x v="2"/>
    <x v="0"/>
    <n v="2543.91"/>
    <n v="0"/>
    <n v="0"/>
  </r>
  <r>
    <x v="48"/>
    <x v="3"/>
    <x v="0"/>
    <n v="3096.21"/>
    <n v="0"/>
    <n v="0"/>
  </r>
  <r>
    <x v="48"/>
    <x v="4"/>
    <x v="0"/>
    <n v="3178.8"/>
    <n v="0"/>
    <n v="0"/>
  </r>
  <r>
    <x v="48"/>
    <x v="5"/>
    <x v="0"/>
    <n v="1375.18"/>
    <n v="0"/>
    <n v="0"/>
  </r>
  <r>
    <x v="48"/>
    <x v="6"/>
    <x v="0"/>
    <n v="1926.73"/>
    <n v="0"/>
    <n v="0"/>
  </r>
  <r>
    <x v="48"/>
    <x v="7"/>
    <x v="0"/>
    <n v="318.56"/>
    <n v="0"/>
    <n v="0"/>
  </r>
  <r>
    <x v="48"/>
    <x v="8"/>
    <x v="0"/>
    <n v="401.48"/>
    <n v="0"/>
    <n v="0"/>
  </r>
  <r>
    <x v="48"/>
    <x v="9"/>
    <x v="0"/>
    <n v="396.92"/>
    <n v="0"/>
    <n v="0"/>
  </r>
  <r>
    <x v="48"/>
    <x v="10"/>
    <x v="0"/>
    <n v="1739.8"/>
    <n v="0"/>
    <n v="0"/>
  </r>
  <r>
    <x v="49"/>
    <x v="0"/>
    <x v="0"/>
    <n v="1188.54"/>
    <n v="0"/>
    <n v="0"/>
  </r>
  <r>
    <x v="49"/>
    <x v="1"/>
    <x v="0"/>
    <n v="2115.88"/>
    <n v="0"/>
    <n v="0"/>
  </r>
  <r>
    <x v="49"/>
    <x v="2"/>
    <x v="0"/>
    <n v="2524"/>
    <n v="0"/>
    <n v="0"/>
  </r>
  <r>
    <x v="49"/>
    <x v="3"/>
    <x v="0"/>
    <n v="3021.72"/>
    <n v="0"/>
    <n v="0"/>
  </r>
  <r>
    <x v="49"/>
    <x v="4"/>
    <x v="0"/>
    <n v="3243.24"/>
    <n v="0"/>
    <n v="0"/>
  </r>
  <r>
    <x v="49"/>
    <x v="5"/>
    <x v="0"/>
    <n v="1223.22"/>
    <n v="0"/>
    <n v="0"/>
  </r>
  <r>
    <x v="49"/>
    <x v="6"/>
    <x v="0"/>
    <n v="1805.01"/>
    <n v="0"/>
    <n v="0"/>
  </r>
  <r>
    <x v="49"/>
    <x v="7"/>
    <x v="0"/>
    <n v="357.49"/>
    <n v="0"/>
    <n v="0"/>
  </r>
  <r>
    <x v="49"/>
    <x v="8"/>
    <x v="0"/>
    <n v="504.39"/>
    <n v="0"/>
    <n v="0"/>
  </r>
  <r>
    <x v="49"/>
    <x v="9"/>
    <x v="0"/>
    <n v="403.64"/>
    <n v="0"/>
    <n v="0"/>
  </r>
  <r>
    <x v="49"/>
    <x v="10"/>
    <x v="0"/>
    <n v="1988.65"/>
    <n v="0"/>
    <n v="0"/>
  </r>
  <r>
    <x v="50"/>
    <x v="0"/>
    <x v="0"/>
    <n v="1020.26"/>
    <n v="0"/>
    <n v="0"/>
  </r>
  <r>
    <x v="50"/>
    <x v="1"/>
    <x v="0"/>
    <n v="2331.78"/>
    <n v="0"/>
    <n v="0"/>
  </r>
  <r>
    <x v="50"/>
    <x v="2"/>
    <x v="0"/>
    <n v="2776.15"/>
    <n v="0"/>
    <n v="0"/>
  </r>
  <r>
    <x v="50"/>
    <x v="3"/>
    <x v="0"/>
    <n v="3012.9"/>
    <n v="0"/>
    <n v="0"/>
  </r>
  <r>
    <x v="50"/>
    <x v="4"/>
    <x v="0"/>
    <n v="3381.02"/>
    <n v="0"/>
    <n v="0"/>
  </r>
  <r>
    <x v="50"/>
    <x v="5"/>
    <x v="0"/>
    <n v="1242.09"/>
    <n v="0"/>
    <n v="0"/>
  </r>
  <r>
    <x v="50"/>
    <x v="6"/>
    <x v="0"/>
    <n v="1902.88"/>
    <n v="0"/>
    <n v="0"/>
  </r>
  <r>
    <x v="50"/>
    <x v="7"/>
    <x v="0"/>
    <n v="256.66"/>
    <n v="0"/>
    <n v="0"/>
  </r>
  <r>
    <x v="50"/>
    <x v="8"/>
    <x v="0"/>
    <n v="558.27"/>
    <n v="0"/>
    <n v="0"/>
  </r>
  <r>
    <x v="50"/>
    <x v="9"/>
    <x v="0"/>
    <n v="379.88"/>
    <n v="0"/>
    <n v="0"/>
  </r>
  <r>
    <x v="50"/>
    <x v="10"/>
    <x v="0"/>
    <n v="2001.55"/>
    <n v="0"/>
    <n v="0"/>
  </r>
  <r>
    <x v="51"/>
    <x v="0"/>
    <x v="0"/>
    <n v="1049.42"/>
    <n v="0"/>
    <n v="0"/>
  </r>
  <r>
    <x v="51"/>
    <x v="1"/>
    <x v="0"/>
    <n v="2375.76"/>
    <n v="0"/>
    <n v="0"/>
  </r>
  <r>
    <x v="51"/>
    <x v="2"/>
    <x v="0"/>
    <n v="2775.9"/>
    <n v="0"/>
    <n v="0"/>
  </r>
  <r>
    <x v="51"/>
    <x v="3"/>
    <x v="0"/>
    <n v="3198.43"/>
    <n v="0"/>
    <n v="0"/>
  </r>
  <r>
    <x v="51"/>
    <x v="4"/>
    <x v="0"/>
    <n v="3603.72"/>
    <n v="0"/>
    <n v="0"/>
  </r>
  <r>
    <x v="51"/>
    <x v="5"/>
    <x v="0"/>
    <n v="1342.1"/>
    <n v="0"/>
    <n v="0"/>
  </r>
  <r>
    <x v="51"/>
    <x v="6"/>
    <x v="0"/>
    <n v="2092.79"/>
    <n v="0"/>
    <n v="0"/>
  </r>
  <r>
    <x v="51"/>
    <x v="7"/>
    <x v="0"/>
    <n v="204.68"/>
    <n v="0"/>
    <n v="0"/>
  </r>
  <r>
    <x v="51"/>
    <x v="8"/>
    <x v="0"/>
    <n v="570.33"/>
    <n v="0"/>
    <n v="0"/>
  </r>
  <r>
    <x v="51"/>
    <x v="9"/>
    <x v="0"/>
    <n v="440.81"/>
    <n v="0"/>
    <n v="0"/>
  </r>
  <r>
    <x v="51"/>
    <x v="10"/>
    <x v="0"/>
    <n v="1884.68"/>
    <n v="0"/>
    <n v="0"/>
  </r>
  <r>
    <x v="52"/>
    <x v="0"/>
    <x v="0"/>
    <n v="1175.82"/>
    <n v="0"/>
    <n v="0"/>
  </r>
  <r>
    <x v="52"/>
    <x v="1"/>
    <x v="0"/>
    <n v="2396.75"/>
    <n v="0"/>
    <n v="0"/>
  </r>
  <r>
    <x v="52"/>
    <x v="2"/>
    <x v="0"/>
    <n v="2973.61"/>
    <n v="0"/>
    <n v="0"/>
  </r>
  <r>
    <x v="52"/>
    <x v="3"/>
    <x v="0"/>
    <n v="3024.87"/>
    <n v="0"/>
    <n v="0"/>
  </r>
  <r>
    <x v="52"/>
    <x v="4"/>
    <x v="0"/>
    <n v="3575.88"/>
    <n v="0"/>
    <n v="0"/>
  </r>
  <r>
    <x v="52"/>
    <x v="5"/>
    <x v="0"/>
    <n v="1489.69"/>
    <n v="0"/>
    <n v="0"/>
  </r>
  <r>
    <x v="52"/>
    <x v="6"/>
    <x v="0"/>
    <n v="1705.09"/>
    <n v="0"/>
    <n v="0"/>
  </r>
  <r>
    <x v="52"/>
    <x v="7"/>
    <x v="0"/>
    <n v="364.5"/>
    <n v="0"/>
    <n v="0"/>
  </r>
  <r>
    <x v="52"/>
    <x v="8"/>
    <x v="0"/>
    <n v="571.36"/>
    <n v="0"/>
    <n v="0"/>
  </r>
  <r>
    <x v="52"/>
    <x v="9"/>
    <x v="0"/>
    <n v="467.06"/>
    <n v="0"/>
    <n v="0"/>
  </r>
  <r>
    <x v="52"/>
    <x v="10"/>
    <x v="0"/>
    <n v="1986.27"/>
    <n v="0"/>
    <n v="0"/>
  </r>
  <r>
    <x v="53"/>
    <x v="0"/>
    <x v="0"/>
    <n v="1175.07"/>
    <n v="0"/>
    <n v="0"/>
  </r>
  <r>
    <x v="53"/>
    <x v="1"/>
    <x v="0"/>
    <n v="2582.57"/>
    <n v="0"/>
    <n v="0"/>
  </r>
  <r>
    <x v="53"/>
    <x v="2"/>
    <x v="0"/>
    <n v="2840.28"/>
    <n v="0"/>
    <n v="0"/>
  </r>
  <r>
    <x v="53"/>
    <x v="3"/>
    <x v="0"/>
    <n v="3222.7"/>
    <n v="0"/>
    <n v="0"/>
  </r>
  <r>
    <x v="53"/>
    <x v="4"/>
    <x v="0"/>
    <n v="3760.73"/>
    <n v="0"/>
    <n v="0"/>
  </r>
  <r>
    <x v="53"/>
    <x v="5"/>
    <x v="0"/>
    <n v="1584.78"/>
    <n v="0"/>
    <n v="0"/>
  </r>
  <r>
    <x v="53"/>
    <x v="6"/>
    <x v="0"/>
    <n v="1804"/>
    <n v="0"/>
    <n v="0"/>
  </r>
  <r>
    <x v="53"/>
    <x v="7"/>
    <x v="0"/>
    <n v="311.55"/>
    <n v="0"/>
    <n v="0"/>
  </r>
  <r>
    <x v="53"/>
    <x v="8"/>
    <x v="0"/>
    <n v="633.3"/>
    <n v="0"/>
    <n v="0"/>
  </r>
  <r>
    <x v="53"/>
    <x v="9"/>
    <x v="0"/>
    <n v="439.96"/>
    <n v="0"/>
    <n v="0"/>
  </r>
  <r>
    <x v="53"/>
    <x v="10"/>
    <x v="0"/>
    <n v="1932.9"/>
    <n v="0"/>
    <n v="0"/>
  </r>
  <r>
    <x v="54"/>
    <x v="0"/>
    <x v="0"/>
    <n v="1023.43"/>
    <n v="0"/>
    <n v="0"/>
  </r>
  <r>
    <x v="54"/>
    <x v="1"/>
    <x v="0"/>
    <n v="2579.6"/>
    <n v="0"/>
    <n v="0"/>
  </r>
  <r>
    <x v="54"/>
    <x v="2"/>
    <x v="0"/>
    <n v="2829.88"/>
    <n v="0"/>
    <n v="0"/>
  </r>
  <r>
    <x v="54"/>
    <x v="3"/>
    <x v="0"/>
    <n v="3314.79"/>
    <n v="0"/>
    <n v="0"/>
  </r>
  <r>
    <x v="54"/>
    <x v="4"/>
    <x v="0"/>
    <n v="3409.13"/>
    <n v="0"/>
    <n v="0"/>
  </r>
  <r>
    <x v="54"/>
    <x v="5"/>
    <x v="0"/>
    <n v="1166.24"/>
    <n v="0"/>
    <n v="0"/>
  </r>
  <r>
    <x v="54"/>
    <x v="6"/>
    <x v="0"/>
    <n v="1792.58"/>
    <n v="0"/>
    <n v="0"/>
  </r>
  <r>
    <x v="54"/>
    <x v="7"/>
    <x v="0"/>
    <n v="170.71"/>
    <n v="0"/>
    <n v="0"/>
  </r>
  <r>
    <x v="54"/>
    <x v="8"/>
    <x v="0"/>
    <n v="509.46"/>
    <n v="0"/>
    <n v="0"/>
  </r>
  <r>
    <x v="54"/>
    <x v="9"/>
    <x v="0"/>
    <n v="437.7"/>
    <n v="0"/>
    <n v="0"/>
  </r>
  <r>
    <x v="54"/>
    <x v="10"/>
    <x v="0"/>
    <n v="1897.72"/>
    <n v="0"/>
    <n v="0"/>
  </r>
  <r>
    <x v="55"/>
    <x v="0"/>
    <x v="0"/>
    <n v="1062.65"/>
    <n v="0"/>
    <n v="0"/>
  </r>
  <r>
    <x v="55"/>
    <x v="1"/>
    <x v="0"/>
    <n v="2620.64"/>
    <n v="0"/>
    <n v="0"/>
  </r>
  <r>
    <x v="55"/>
    <x v="2"/>
    <x v="0"/>
    <n v="3317"/>
    <n v="0"/>
    <n v="0"/>
  </r>
  <r>
    <x v="55"/>
    <x v="3"/>
    <x v="0"/>
    <n v="3552.58"/>
    <n v="0"/>
    <n v="0"/>
  </r>
  <r>
    <x v="55"/>
    <x v="4"/>
    <x v="0"/>
    <n v="3801.11"/>
    <n v="0"/>
    <n v="0"/>
  </r>
  <r>
    <x v="55"/>
    <x v="5"/>
    <x v="0"/>
    <n v="1432.93"/>
    <n v="0"/>
    <n v="0"/>
  </r>
  <r>
    <x v="55"/>
    <x v="6"/>
    <x v="0"/>
    <n v="2004.68"/>
    <n v="0"/>
    <n v="0"/>
  </r>
  <r>
    <x v="55"/>
    <x v="7"/>
    <x v="0"/>
    <n v="259.68"/>
    <n v="0"/>
    <n v="0"/>
  </r>
  <r>
    <x v="55"/>
    <x v="8"/>
    <x v="0"/>
    <n v="494.41"/>
    <n v="0"/>
    <n v="0"/>
  </r>
  <r>
    <x v="55"/>
    <x v="9"/>
    <x v="0"/>
    <n v="406.3"/>
    <n v="0"/>
    <n v="0"/>
  </r>
  <r>
    <x v="55"/>
    <x v="10"/>
    <x v="0"/>
    <n v="1919.66"/>
    <n v="0"/>
    <n v="0"/>
  </r>
  <r>
    <x v="56"/>
    <x v="0"/>
    <x v="0"/>
    <n v="1147.88"/>
    <n v="0"/>
    <n v="0"/>
  </r>
  <r>
    <x v="56"/>
    <x v="1"/>
    <x v="0"/>
    <n v="2609.64"/>
    <n v="0"/>
    <n v="0"/>
  </r>
  <r>
    <x v="56"/>
    <x v="2"/>
    <x v="0"/>
    <n v="3262.23"/>
    <n v="0"/>
    <n v="0"/>
  </r>
  <r>
    <x v="56"/>
    <x v="3"/>
    <x v="0"/>
    <n v="3275.09"/>
    <n v="0"/>
    <n v="0"/>
  </r>
  <r>
    <x v="56"/>
    <x v="4"/>
    <x v="0"/>
    <n v="3446.6"/>
    <n v="0"/>
    <n v="0"/>
  </r>
  <r>
    <x v="56"/>
    <x v="5"/>
    <x v="0"/>
    <n v="1308.06"/>
    <n v="0"/>
    <n v="0"/>
  </r>
  <r>
    <x v="56"/>
    <x v="6"/>
    <x v="0"/>
    <n v="1741.2"/>
    <n v="0"/>
    <n v="0"/>
  </r>
  <r>
    <x v="56"/>
    <x v="7"/>
    <x v="0"/>
    <n v="395.56"/>
    <n v="0"/>
    <n v="0"/>
  </r>
  <r>
    <x v="56"/>
    <x v="8"/>
    <x v="0"/>
    <n v="475.38"/>
    <n v="0"/>
    <n v="0"/>
  </r>
  <r>
    <x v="56"/>
    <x v="9"/>
    <x v="0"/>
    <n v="491.9"/>
    <n v="0"/>
    <n v="0"/>
  </r>
  <r>
    <x v="56"/>
    <x v="10"/>
    <x v="0"/>
    <n v="1950.91"/>
    <n v="0"/>
    <n v="0"/>
  </r>
  <r>
    <x v="57"/>
    <x v="0"/>
    <x v="0"/>
    <n v="1090.31"/>
    <n v="0"/>
    <n v="0"/>
  </r>
  <r>
    <x v="57"/>
    <x v="1"/>
    <x v="0"/>
    <n v="2654.64"/>
    <n v="0"/>
    <n v="0"/>
  </r>
  <r>
    <x v="57"/>
    <x v="2"/>
    <x v="0"/>
    <n v="3255.78"/>
    <n v="0"/>
    <n v="0"/>
  </r>
  <r>
    <x v="57"/>
    <x v="3"/>
    <x v="0"/>
    <n v="3437.13"/>
    <n v="0"/>
    <n v="0"/>
  </r>
  <r>
    <x v="57"/>
    <x v="4"/>
    <x v="0"/>
    <n v="3916.11"/>
    <n v="0"/>
    <n v="0"/>
  </r>
  <r>
    <x v="57"/>
    <x v="5"/>
    <x v="0"/>
    <n v="1165"/>
    <n v="0"/>
    <n v="0"/>
  </r>
  <r>
    <x v="57"/>
    <x v="6"/>
    <x v="0"/>
    <n v="1778.71"/>
    <n v="0"/>
    <n v="0"/>
  </r>
  <r>
    <x v="57"/>
    <x v="7"/>
    <x v="0"/>
    <n v="254.72"/>
    <n v="0"/>
    <n v="0"/>
  </r>
  <r>
    <x v="57"/>
    <x v="8"/>
    <x v="0"/>
    <n v="635.26"/>
    <n v="0"/>
    <n v="0"/>
  </r>
  <r>
    <x v="57"/>
    <x v="9"/>
    <x v="0"/>
    <n v="484.12"/>
    <n v="0"/>
    <n v="0"/>
  </r>
  <r>
    <x v="57"/>
    <x v="10"/>
    <x v="0"/>
    <n v="1950.19"/>
    <n v="0"/>
    <n v="0"/>
  </r>
  <r>
    <x v="58"/>
    <x v="0"/>
    <x v="0"/>
    <n v="1025.19"/>
    <n v="0"/>
    <n v="0"/>
  </r>
  <r>
    <x v="58"/>
    <x v="1"/>
    <x v="0"/>
    <n v="2179.85"/>
    <n v="0"/>
    <n v="0"/>
  </r>
  <r>
    <x v="58"/>
    <x v="2"/>
    <x v="0"/>
    <n v="3444.68"/>
    <n v="0"/>
    <n v="0"/>
  </r>
  <r>
    <x v="58"/>
    <x v="3"/>
    <x v="0"/>
    <n v="3299.24"/>
    <n v="0"/>
    <n v="0"/>
  </r>
  <r>
    <x v="58"/>
    <x v="4"/>
    <x v="0"/>
    <n v="3375.31"/>
    <n v="0"/>
    <n v="0"/>
  </r>
  <r>
    <x v="58"/>
    <x v="5"/>
    <x v="0"/>
    <n v="1231.08"/>
    <n v="0"/>
    <n v="0"/>
  </r>
  <r>
    <x v="58"/>
    <x v="6"/>
    <x v="0"/>
    <n v="1871.12"/>
    <n v="0"/>
    <n v="0"/>
  </r>
  <r>
    <x v="58"/>
    <x v="7"/>
    <x v="0"/>
    <n v="429.42"/>
    <n v="0"/>
    <n v="0"/>
  </r>
  <r>
    <x v="58"/>
    <x v="8"/>
    <x v="0"/>
    <n v="531.38"/>
    <n v="0"/>
    <n v="0"/>
  </r>
  <r>
    <x v="58"/>
    <x v="9"/>
    <x v="0"/>
    <n v="532.4299999999999"/>
    <n v="0"/>
    <n v="0"/>
  </r>
  <r>
    <x v="58"/>
    <x v="10"/>
    <x v="0"/>
    <n v="1854.3"/>
    <n v="0"/>
    <n v="0"/>
  </r>
  <r>
    <x v="59"/>
    <x v="0"/>
    <x v="0"/>
    <n v="1286.53"/>
    <n v="0"/>
    <n v="0"/>
  </r>
  <r>
    <x v="59"/>
    <x v="1"/>
    <x v="0"/>
    <n v="3219.32"/>
    <n v="0"/>
    <n v="0"/>
  </r>
  <r>
    <x v="59"/>
    <x v="2"/>
    <x v="0"/>
    <n v="3863.76"/>
    <n v="0"/>
    <n v="0"/>
  </r>
  <r>
    <x v="59"/>
    <x v="3"/>
    <x v="0"/>
    <n v="3320.47"/>
    <n v="0"/>
    <n v="0"/>
  </r>
  <r>
    <x v="59"/>
    <x v="4"/>
    <x v="0"/>
    <n v="3866.67"/>
    <n v="0"/>
    <n v="0"/>
  </r>
  <r>
    <x v="59"/>
    <x v="5"/>
    <x v="0"/>
    <n v="1454.71"/>
    <n v="0"/>
    <n v="0"/>
  </r>
  <r>
    <x v="59"/>
    <x v="6"/>
    <x v="0"/>
    <n v="2048.91"/>
    <n v="0"/>
    <n v="0"/>
  </r>
  <r>
    <x v="59"/>
    <x v="7"/>
    <x v="0"/>
    <n v="365.58"/>
    <n v="0"/>
    <n v="0"/>
  </r>
  <r>
    <x v="59"/>
    <x v="8"/>
    <x v="0"/>
    <n v="705.16"/>
    <n v="0"/>
    <n v="0"/>
  </r>
  <r>
    <x v="59"/>
    <x v="9"/>
    <x v="0"/>
    <n v="532.87"/>
    <n v="0"/>
    <n v="0"/>
  </r>
  <r>
    <x v="59"/>
    <x v="10"/>
    <x v="0"/>
    <n v="2176.81"/>
    <n v="0"/>
    <n v="0"/>
  </r>
  <r>
    <x v="60"/>
    <x v="0"/>
    <x v="0"/>
    <n v="1190.18"/>
    <n v="0"/>
    <n v="0"/>
  </r>
  <r>
    <x v="60"/>
    <x v="1"/>
    <x v="0"/>
    <n v="2815.89"/>
    <n v="0"/>
    <n v="0"/>
  </r>
  <r>
    <x v="60"/>
    <x v="2"/>
    <x v="0"/>
    <n v="3966.08"/>
    <n v="0"/>
    <n v="0"/>
  </r>
  <r>
    <x v="60"/>
    <x v="3"/>
    <x v="0"/>
    <n v="3672.61"/>
    <n v="0"/>
    <n v="0"/>
  </r>
  <r>
    <x v="60"/>
    <x v="4"/>
    <x v="0"/>
    <n v="4185.73"/>
    <n v="0"/>
    <n v="0"/>
  </r>
  <r>
    <x v="60"/>
    <x v="5"/>
    <x v="0"/>
    <n v="1092.29"/>
    <n v="0"/>
    <n v="0"/>
  </r>
  <r>
    <x v="60"/>
    <x v="6"/>
    <x v="0"/>
    <n v="2042.49"/>
    <n v="0"/>
    <n v="0"/>
  </r>
  <r>
    <x v="60"/>
    <x v="7"/>
    <x v="0"/>
    <n v="240.7"/>
    <n v="0"/>
    <n v="0"/>
  </r>
  <r>
    <x v="60"/>
    <x v="8"/>
    <x v="0"/>
    <n v="492.37"/>
    <n v="0"/>
    <n v="0"/>
  </r>
  <r>
    <x v="60"/>
    <x v="9"/>
    <x v="0"/>
    <n v="511.38"/>
    <n v="0"/>
    <n v="0"/>
  </r>
  <r>
    <x v="60"/>
    <x v="10"/>
    <x v="0"/>
    <n v="2089.3"/>
    <n v="0"/>
    <n v="0"/>
  </r>
  <r>
    <x v="61"/>
    <x v="0"/>
    <x v="0"/>
    <n v="1306.47"/>
    <n v="0"/>
    <n v="0"/>
  </r>
  <r>
    <x v="61"/>
    <x v="1"/>
    <x v="0"/>
    <n v="3139.4"/>
    <n v="0"/>
    <n v="0"/>
  </r>
  <r>
    <x v="61"/>
    <x v="2"/>
    <x v="0"/>
    <n v="3848.99"/>
    <n v="0"/>
    <n v="0"/>
  </r>
  <r>
    <x v="61"/>
    <x v="3"/>
    <x v="0"/>
    <n v="3548.38"/>
    <n v="0"/>
    <n v="0"/>
  </r>
  <r>
    <x v="61"/>
    <x v="4"/>
    <x v="0"/>
    <n v="4139.33"/>
    <n v="0"/>
    <n v="0"/>
  </r>
  <r>
    <x v="61"/>
    <x v="5"/>
    <x v="0"/>
    <n v="1427.71"/>
    <n v="0"/>
    <n v="0"/>
  </r>
  <r>
    <x v="61"/>
    <x v="6"/>
    <x v="0"/>
    <n v="1766.76"/>
    <n v="0"/>
    <n v="0"/>
  </r>
  <r>
    <x v="61"/>
    <x v="7"/>
    <x v="0"/>
    <n v="319.64"/>
    <n v="0"/>
    <n v="0"/>
  </r>
  <r>
    <x v="61"/>
    <x v="8"/>
    <x v="0"/>
    <n v="484.41"/>
    <n v="0"/>
    <n v="0"/>
  </r>
  <r>
    <x v="61"/>
    <x v="9"/>
    <x v="0"/>
    <n v="557.8099999999999"/>
    <n v="0"/>
    <n v="0"/>
  </r>
  <r>
    <x v="61"/>
    <x v="10"/>
    <x v="0"/>
    <n v="1810.23"/>
    <n v="0"/>
    <n v="0"/>
  </r>
  <r>
    <x v="62"/>
    <x v="0"/>
    <x v="0"/>
    <n v="1144.45"/>
    <n v="0"/>
    <n v="0"/>
  </r>
  <r>
    <x v="62"/>
    <x v="1"/>
    <x v="0"/>
    <n v="2586.71"/>
    <n v="0"/>
    <n v="0"/>
  </r>
  <r>
    <x v="62"/>
    <x v="2"/>
    <x v="0"/>
    <n v="3714.99"/>
    <n v="0"/>
    <n v="0"/>
  </r>
  <r>
    <x v="62"/>
    <x v="3"/>
    <x v="0"/>
    <n v="2967.27"/>
    <n v="0"/>
    <n v="0"/>
  </r>
  <r>
    <x v="62"/>
    <x v="4"/>
    <x v="0"/>
    <n v="3627.48"/>
    <n v="0"/>
    <n v="0"/>
  </r>
  <r>
    <x v="62"/>
    <x v="5"/>
    <x v="0"/>
    <n v="1303.92"/>
    <n v="0"/>
    <n v="0"/>
  </r>
  <r>
    <x v="62"/>
    <x v="6"/>
    <x v="0"/>
    <n v="1718.3"/>
    <n v="0"/>
    <n v="0"/>
  </r>
  <r>
    <x v="62"/>
    <x v="7"/>
    <x v="0"/>
    <n v="274.65"/>
    <n v="0"/>
    <n v="0"/>
  </r>
  <r>
    <x v="62"/>
    <x v="8"/>
    <x v="0"/>
    <n v="519.42"/>
    <n v="0"/>
    <n v="0"/>
  </r>
  <r>
    <x v="62"/>
    <x v="9"/>
    <x v="0"/>
    <n v="489.33"/>
    <n v="0"/>
    <n v="0"/>
  </r>
  <r>
    <x v="62"/>
    <x v="10"/>
    <x v="0"/>
    <n v="1743.54"/>
    <n v="0"/>
    <n v="0"/>
  </r>
  <r>
    <x v="63"/>
    <x v="0"/>
    <x v="0"/>
    <n v="973.0700000000001"/>
    <n v="0"/>
    <n v="0"/>
  </r>
  <r>
    <x v="63"/>
    <x v="1"/>
    <x v="0"/>
    <n v="2631.41"/>
    <n v="0"/>
    <n v="0"/>
  </r>
  <r>
    <x v="63"/>
    <x v="2"/>
    <x v="0"/>
    <n v="3445.34"/>
    <n v="0"/>
    <n v="0"/>
  </r>
  <r>
    <x v="63"/>
    <x v="3"/>
    <x v="0"/>
    <n v="2828.91"/>
    <n v="0"/>
    <n v="0"/>
  </r>
  <r>
    <x v="63"/>
    <x v="4"/>
    <x v="0"/>
    <n v="3465.16"/>
    <n v="0"/>
    <n v="0"/>
  </r>
  <r>
    <x v="63"/>
    <x v="5"/>
    <x v="0"/>
    <n v="1199.97"/>
    <n v="0"/>
    <n v="0"/>
  </r>
  <r>
    <x v="63"/>
    <x v="6"/>
    <x v="0"/>
    <n v="1563.43"/>
    <n v="0"/>
    <n v="0"/>
  </r>
  <r>
    <x v="63"/>
    <x v="7"/>
    <x v="0"/>
    <n v="247.71"/>
    <n v="0"/>
    <n v="0"/>
  </r>
  <r>
    <x v="63"/>
    <x v="8"/>
    <x v="0"/>
    <n v="529.36"/>
    <n v="0"/>
    <n v="0"/>
  </r>
  <r>
    <x v="63"/>
    <x v="9"/>
    <x v="0"/>
    <n v="506.66"/>
    <n v="0"/>
    <n v="0"/>
  </r>
  <r>
    <x v="63"/>
    <x v="10"/>
    <x v="0"/>
    <n v="1833.82"/>
    <n v="0"/>
    <n v="0"/>
  </r>
  <r>
    <x v="64"/>
    <x v="0"/>
    <x v="0"/>
    <n v="1025.22"/>
    <n v="0"/>
    <n v="0"/>
  </r>
  <r>
    <x v="64"/>
    <x v="1"/>
    <x v="0"/>
    <n v="2802.54"/>
    <n v="0"/>
    <n v="0"/>
  </r>
  <r>
    <x v="64"/>
    <x v="2"/>
    <x v="0"/>
    <n v="3158.73"/>
    <n v="0"/>
    <n v="0"/>
  </r>
  <r>
    <x v="64"/>
    <x v="3"/>
    <x v="0"/>
    <n v="2480.45"/>
    <n v="0"/>
    <n v="0"/>
  </r>
  <r>
    <x v="64"/>
    <x v="4"/>
    <x v="0"/>
    <n v="3325.03"/>
    <n v="0"/>
    <n v="0"/>
  </r>
  <r>
    <x v="64"/>
    <x v="5"/>
    <x v="0"/>
    <n v="1193.06"/>
    <n v="0"/>
    <n v="0"/>
  </r>
  <r>
    <x v="64"/>
    <x v="6"/>
    <x v="0"/>
    <n v="1344.09"/>
    <n v="0"/>
    <n v="0"/>
  </r>
  <r>
    <x v="64"/>
    <x v="7"/>
    <x v="0"/>
    <n v="388.66"/>
    <n v="0"/>
    <n v="0"/>
  </r>
  <r>
    <x v="64"/>
    <x v="8"/>
    <x v="0"/>
    <n v="426.47"/>
    <n v="0"/>
    <n v="0"/>
  </r>
  <r>
    <x v="64"/>
    <x v="9"/>
    <x v="0"/>
    <n v="437.02"/>
    <n v="0"/>
    <n v="0"/>
  </r>
  <r>
    <x v="64"/>
    <x v="10"/>
    <x v="0"/>
    <n v="1605.45"/>
    <n v="0"/>
    <n v="0"/>
  </r>
  <r>
    <x v="65"/>
    <x v="0"/>
    <x v="0"/>
    <n v="815.72"/>
    <n v="0"/>
    <n v="0"/>
  </r>
  <r>
    <x v="65"/>
    <x v="1"/>
    <x v="0"/>
    <n v="2365.75"/>
    <n v="0"/>
    <n v="0"/>
  </r>
  <r>
    <x v="65"/>
    <x v="2"/>
    <x v="0"/>
    <n v="2921.52"/>
    <n v="0"/>
    <n v="0"/>
  </r>
  <r>
    <x v="65"/>
    <x v="3"/>
    <x v="0"/>
    <n v="2799.78"/>
    <n v="0"/>
    <n v="0"/>
  </r>
  <r>
    <x v="65"/>
    <x v="4"/>
    <x v="0"/>
    <n v="3277.88"/>
    <n v="0"/>
    <n v="0"/>
  </r>
  <r>
    <x v="65"/>
    <x v="5"/>
    <x v="0"/>
    <n v="1022.41"/>
    <n v="0"/>
    <n v="0"/>
  </r>
  <r>
    <x v="65"/>
    <x v="6"/>
    <x v="0"/>
    <n v="1437.2"/>
    <n v="0"/>
    <n v="0"/>
  </r>
  <r>
    <x v="65"/>
    <x v="7"/>
    <x v="0"/>
    <n v="413.57"/>
    <n v="0"/>
    <n v="0"/>
  </r>
  <r>
    <x v="65"/>
    <x v="8"/>
    <x v="0"/>
    <n v="544.29"/>
    <n v="0"/>
    <n v="0"/>
  </r>
  <r>
    <x v="65"/>
    <x v="9"/>
    <x v="0"/>
    <n v="503.65"/>
    <n v="0"/>
    <n v="0"/>
  </r>
  <r>
    <x v="65"/>
    <x v="10"/>
    <x v="0"/>
    <n v="1704.31"/>
    <n v="0"/>
    <n v="0"/>
  </r>
  <r>
    <x v="66"/>
    <x v="0"/>
    <x v="0"/>
    <n v="1126.87"/>
    <n v="0"/>
    <n v="0"/>
  </r>
  <r>
    <x v="66"/>
    <x v="1"/>
    <x v="0"/>
    <n v="2925.46"/>
    <n v="0"/>
    <n v="0"/>
  </r>
  <r>
    <x v="66"/>
    <x v="2"/>
    <x v="0"/>
    <n v="3532.96"/>
    <n v="0"/>
    <n v="0"/>
  </r>
  <r>
    <x v="66"/>
    <x v="3"/>
    <x v="0"/>
    <n v="3382.95"/>
    <n v="0"/>
    <n v="0"/>
  </r>
  <r>
    <x v="66"/>
    <x v="4"/>
    <x v="0"/>
    <n v="3779.27"/>
    <n v="0"/>
    <n v="0"/>
  </r>
  <r>
    <x v="66"/>
    <x v="5"/>
    <x v="0"/>
    <n v="1346.9"/>
    <n v="0"/>
    <n v="0"/>
  </r>
  <r>
    <x v="66"/>
    <x v="6"/>
    <x v="0"/>
    <n v="1706.42"/>
    <n v="0"/>
    <n v="0"/>
  </r>
  <r>
    <x v="66"/>
    <x v="7"/>
    <x v="0"/>
    <n v="354.58"/>
    <n v="0"/>
    <n v="0"/>
  </r>
  <r>
    <x v="66"/>
    <x v="8"/>
    <x v="0"/>
    <n v="558.28"/>
    <n v="0"/>
    <n v="0"/>
  </r>
  <r>
    <x v="66"/>
    <x v="9"/>
    <x v="0"/>
    <n v="572.6799999999999"/>
    <n v="0"/>
    <n v="0"/>
  </r>
  <r>
    <x v="66"/>
    <x v="10"/>
    <x v="0"/>
    <n v="1911.2"/>
    <n v="0"/>
    <n v="0"/>
  </r>
  <r>
    <x v="67"/>
    <x v="0"/>
    <x v="0"/>
    <n v="1017.92"/>
    <n v="0"/>
    <n v="0"/>
  </r>
  <r>
    <x v="67"/>
    <x v="1"/>
    <x v="0"/>
    <n v="3071.42"/>
    <n v="0"/>
    <n v="0"/>
  </r>
  <r>
    <x v="67"/>
    <x v="2"/>
    <x v="0"/>
    <n v="3438.14"/>
    <n v="0"/>
    <n v="0"/>
  </r>
  <r>
    <x v="67"/>
    <x v="3"/>
    <x v="0"/>
    <n v="2865.1"/>
    <n v="0"/>
    <n v="0"/>
  </r>
  <r>
    <x v="67"/>
    <x v="4"/>
    <x v="0"/>
    <n v="3814.4"/>
    <n v="0"/>
    <n v="0"/>
  </r>
  <r>
    <x v="67"/>
    <x v="5"/>
    <x v="0"/>
    <n v="1394.86"/>
    <n v="0"/>
    <n v="0"/>
  </r>
  <r>
    <x v="67"/>
    <x v="6"/>
    <x v="0"/>
    <n v="1578.6"/>
    <n v="0"/>
    <n v="0"/>
  </r>
  <r>
    <x v="67"/>
    <x v="7"/>
    <x v="0"/>
    <n v="469.54"/>
    <n v="0"/>
    <n v="0"/>
  </r>
  <r>
    <x v="67"/>
    <x v="8"/>
    <x v="0"/>
    <n v="637.24"/>
    <n v="0"/>
    <n v="0"/>
  </r>
  <r>
    <x v="67"/>
    <x v="9"/>
    <x v="0"/>
    <n v="547.16"/>
    <n v="0"/>
    <n v="0"/>
  </r>
  <r>
    <x v="67"/>
    <x v="10"/>
    <x v="0"/>
    <n v="2083.37"/>
    <n v="0"/>
    <n v="0"/>
  </r>
  <r>
    <x v="68"/>
    <x v="0"/>
    <x v="0"/>
    <n v="1006.01"/>
    <n v="0"/>
    <n v="0"/>
  </r>
  <r>
    <x v="68"/>
    <x v="1"/>
    <x v="0"/>
    <n v="2926.83"/>
    <n v="0"/>
    <n v="0"/>
  </r>
  <r>
    <x v="68"/>
    <x v="2"/>
    <x v="0"/>
    <n v="3273.66"/>
    <n v="0"/>
    <n v="0"/>
  </r>
  <r>
    <x v="68"/>
    <x v="3"/>
    <x v="0"/>
    <n v="3298.9"/>
    <n v="0"/>
    <n v="0"/>
  </r>
  <r>
    <x v="68"/>
    <x v="4"/>
    <x v="0"/>
    <n v="3667.21"/>
    <n v="0"/>
    <n v="0"/>
  </r>
  <r>
    <x v="68"/>
    <x v="5"/>
    <x v="0"/>
    <n v="1308.01"/>
    <n v="0"/>
    <n v="0"/>
  </r>
  <r>
    <x v="68"/>
    <x v="6"/>
    <x v="0"/>
    <n v="1566.45"/>
    <n v="0"/>
    <n v="0"/>
  </r>
  <r>
    <x v="68"/>
    <x v="7"/>
    <x v="0"/>
    <n v="260.65"/>
    <n v="0"/>
    <n v="0"/>
  </r>
  <r>
    <x v="68"/>
    <x v="8"/>
    <x v="0"/>
    <n v="414.49"/>
    <n v="0"/>
    <n v="0"/>
  </r>
  <r>
    <x v="68"/>
    <x v="9"/>
    <x v="0"/>
    <n v="483.66"/>
    <n v="0"/>
    <n v="0"/>
  </r>
  <r>
    <x v="68"/>
    <x v="10"/>
    <x v="0"/>
    <n v="1930.43"/>
    <n v="0"/>
    <n v="0"/>
  </r>
  <r>
    <x v="69"/>
    <x v="0"/>
    <x v="0"/>
    <n v="1182.62"/>
    <n v="0"/>
    <n v="0"/>
  </r>
  <r>
    <x v="69"/>
    <x v="1"/>
    <x v="0"/>
    <n v="3103.31"/>
    <n v="0"/>
    <n v="0"/>
  </r>
  <r>
    <x v="69"/>
    <x v="2"/>
    <x v="0"/>
    <n v="3877.67"/>
    <n v="0"/>
    <n v="0"/>
  </r>
  <r>
    <x v="69"/>
    <x v="3"/>
    <x v="0"/>
    <n v="3309.21"/>
    <n v="0"/>
    <n v="0"/>
  </r>
  <r>
    <x v="69"/>
    <x v="4"/>
    <x v="0"/>
    <n v="3654.45"/>
    <n v="0"/>
    <n v="0"/>
  </r>
  <r>
    <x v="69"/>
    <x v="5"/>
    <x v="0"/>
    <n v="1506.8"/>
    <n v="0"/>
    <n v="0"/>
  </r>
  <r>
    <x v="69"/>
    <x v="6"/>
    <x v="0"/>
    <n v="1751.13"/>
    <n v="0"/>
    <n v="0"/>
  </r>
  <r>
    <x v="69"/>
    <x v="7"/>
    <x v="0"/>
    <n v="405.59"/>
    <n v="0"/>
    <n v="0"/>
  </r>
  <r>
    <x v="69"/>
    <x v="8"/>
    <x v="0"/>
    <n v="519.36"/>
    <n v="0"/>
    <n v="0"/>
  </r>
  <r>
    <x v="69"/>
    <x v="9"/>
    <x v="0"/>
    <n v="495.15"/>
    <n v="0"/>
    <n v="0"/>
  </r>
  <r>
    <x v="69"/>
    <x v="10"/>
    <x v="0"/>
    <n v="1869.68"/>
    <n v="0"/>
    <n v="0"/>
  </r>
  <r>
    <x v="70"/>
    <x v="0"/>
    <x v="0"/>
    <n v="1147.07"/>
    <n v="0"/>
    <n v="0"/>
  </r>
  <r>
    <x v="70"/>
    <x v="1"/>
    <x v="0"/>
    <n v="2919.5"/>
    <n v="0"/>
    <n v="0"/>
  </r>
  <r>
    <x v="70"/>
    <x v="2"/>
    <x v="0"/>
    <n v="3550.49"/>
    <n v="0"/>
    <n v="0"/>
  </r>
  <r>
    <x v="70"/>
    <x v="3"/>
    <x v="0"/>
    <n v="3286.08"/>
    <n v="0"/>
    <n v="0"/>
  </r>
  <r>
    <x v="70"/>
    <x v="4"/>
    <x v="0"/>
    <n v="3560.11"/>
    <n v="0"/>
    <n v="0"/>
  </r>
  <r>
    <x v="70"/>
    <x v="5"/>
    <x v="0"/>
    <n v="1426.86"/>
    <n v="0"/>
    <n v="0"/>
  </r>
  <r>
    <x v="70"/>
    <x v="6"/>
    <x v="0"/>
    <n v="1729.14"/>
    <n v="0"/>
    <n v="0"/>
  </r>
  <r>
    <x v="70"/>
    <x v="7"/>
    <x v="0"/>
    <n v="385.57"/>
    <n v="0"/>
    <n v="0"/>
  </r>
  <r>
    <x v="70"/>
    <x v="8"/>
    <x v="0"/>
    <n v="499.37"/>
    <n v="0"/>
    <n v="0"/>
  </r>
  <r>
    <x v="70"/>
    <x v="9"/>
    <x v="0"/>
    <n v="496.95"/>
    <n v="0"/>
    <n v="0"/>
  </r>
  <r>
    <x v="70"/>
    <x v="10"/>
    <x v="0"/>
    <n v="1822.52"/>
    <n v="0"/>
    <n v="0"/>
  </r>
  <r>
    <x v="71"/>
    <x v="0"/>
    <x v="0"/>
    <n v="1009.23"/>
    <n v="0"/>
    <n v="0"/>
  </r>
  <r>
    <x v="71"/>
    <x v="1"/>
    <x v="0"/>
    <n v="2834.1"/>
    <n v="0"/>
    <n v="0"/>
  </r>
  <r>
    <x v="71"/>
    <x v="2"/>
    <x v="0"/>
    <n v="3860.87"/>
    <n v="0"/>
    <n v="0"/>
  </r>
  <r>
    <x v="71"/>
    <x v="3"/>
    <x v="0"/>
    <n v="3183.95"/>
    <n v="0"/>
    <n v="0"/>
  </r>
  <r>
    <x v="71"/>
    <x v="4"/>
    <x v="0"/>
    <n v="4035.37"/>
    <n v="0"/>
    <n v="0"/>
  </r>
  <r>
    <x v="71"/>
    <x v="5"/>
    <x v="0"/>
    <n v="1399.83"/>
    <n v="0"/>
    <n v="0"/>
  </r>
  <r>
    <x v="71"/>
    <x v="6"/>
    <x v="0"/>
    <n v="1707.83"/>
    <n v="0"/>
    <n v="0"/>
  </r>
  <r>
    <x v="71"/>
    <x v="7"/>
    <x v="0"/>
    <n v="355.66"/>
    <n v="0"/>
    <n v="0"/>
  </r>
  <r>
    <x v="71"/>
    <x v="8"/>
    <x v="0"/>
    <n v="593.3200000000001"/>
    <n v="0"/>
    <n v="0"/>
  </r>
  <r>
    <x v="71"/>
    <x v="9"/>
    <x v="0"/>
    <n v="527.38"/>
    <n v="0"/>
    <n v="0"/>
  </r>
  <r>
    <x v="71"/>
    <x v="10"/>
    <x v="0"/>
    <n v="2110.78"/>
    <n v="0"/>
    <n v="0"/>
  </r>
  <r>
    <x v="72"/>
    <x v="0"/>
    <x v="0"/>
    <n v="1070.49"/>
    <n v="0"/>
    <n v="0"/>
  </r>
  <r>
    <x v="72"/>
    <x v="1"/>
    <x v="0"/>
    <n v="2627.65"/>
    <n v="0"/>
    <n v="0"/>
  </r>
  <r>
    <x v="72"/>
    <x v="2"/>
    <x v="0"/>
    <n v="3506.03"/>
    <n v="0"/>
    <n v="0"/>
  </r>
  <r>
    <x v="72"/>
    <x v="3"/>
    <x v="0"/>
    <n v="3267.62"/>
    <n v="0"/>
    <n v="0"/>
  </r>
  <r>
    <x v="72"/>
    <x v="4"/>
    <x v="0"/>
    <n v="3673.85"/>
    <n v="0"/>
    <n v="0"/>
  </r>
  <r>
    <x v="72"/>
    <x v="5"/>
    <x v="0"/>
    <n v="1077.21"/>
    <n v="0"/>
    <n v="0"/>
  </r>
  <r>
    <x v="72"/>
    <x v="6"/>
    <x v="0"/>
    <n v="1764.31"/>
    <n v="0"/>
    <n v="0"/>
  </r>
  <r>
    <x v="72"/>
    <x v="7"/>
    <x v="0"/>
    <n v="374.53"/>
    <n v="0"/>
    <n v="0"/>
  </r>
  <r>
    <x v="72"/>
    <x v="8"/>
    <x v="0"/>
    <n v="503.38"/>
    <n v="0"/>
    <n v="0"/>
  </r>
  <r>
    <x v="72"/>
    <x v="9"/>
    <x v="0"/>
    <n v="539.95"/>
    <n v="0"/>
    <n v="0"/>
  </r>
  <r>
    <x v="72"/>
    <x v="10"/>
    <x v="0"/>
    <n v="1874.19"/>
    <n v="0"/>
    <n v="0"/>
  </r>
  <r>
    <x v="73"/>
    <x v="0"/>
    <x v="0"/>
    <n v="1212.21"/>
    <n v="0"/>
    <n v="0"/>
  </r>
  <r>
    <x v="73"/>
    <x v="1"/>
    <x v="0"/>
    <n v="2758.56"/>
    <n v="0"/>
    <n v="0"/>
  </r>
  <r>
    <x v="73"/>
    <x v="2"/>
    <x v="0"/>
    <n v="3608.54"/>
    <n v="0"/>
    <n v="0"/>
  </r>
  <r>
    <x v="73"/>
    <x v="3"/>
    <x v="0"/>
    <n v="3299.92"/>
    <n v="0"/>
    <n v="0"/>
  </r>
  <r>
    <x v="73"/>
    <x v="4"/>
    <x v="0"/>
    <n v="3582.91"/>
    <n v="0"/>
    <n v="0"/>
  </r>
  <r>
    <x v="73"/>
    <x v="5"/>
    <x v="0"/>
    <n v="1405.8"/>
    <n v="0"/>
    <n v="0"/>
  </r>
  <r>
    <x v="73"/>
    <x v="6"/>
    <x v="0"/>
    <n v="1599.03"/>
    <n v="0"/>
    <n v="0"/>
  </r>
  <r>
    <x v="73"/>
    <x v="7"/>
    <x v="0"/>
    <n v="301.63"/>
    <n v="0"/>
    <n v="0"/>
  </r>
  <r>
    <x v="73"/>
    <x v="8"/>
    <x v="0"/>
    <n v="552.3099999999999"/>
    <n v="0"/>
    <n v="0"/>
  </r>
  <r>
    <x v="73"/>
    <x v="9"/>
    <x v="0"/>
    <n v="455.01"/>
    <n v="0"/>
    <n v="0"/>
  </r>
  <r>
    <x v="73"/>
    <x v="10"/>
    <x v="0"/>
    <n v="1842.02"/>
    <n v="0"/>
    <n v="0"/>
  </r>
  <r>
    <x v="74"/>
    <x v="0"/>
    <x v="0"/>
    <n v="971.04"/>
    <n v="0"/>
    <n v="0"/>
  </r>
  <r>
    <x v="74"/>
    <x v="1"/>
    <x v="0"/>
    <n v="2312.81"/>
    <n v="0"/>
    <n v="0"/>
  </r>
  <r>
    <x v="74"/>
    <x v="2"/>
    <x v="0"/>
    <n v="3484.96"/>
    <n v="0"/>
    <n v="0"/>
  </r>
  <r>
    <x v="74"/>
    <x v="3"/>
    <x v="0"/>
    <n v="3099.11"/>
    <n v="0"/>
    <n v="0"/>
  </r>
  <r>
    <x v="74"/>
    <x v="4"/>
    <x v="0"/>
    <n v="3697.32"/>
    <n v="0"/>
    <n v="0"/>
  </r>
  <r>
    <x v="74"/>
    <x v="5"/>
    <x v="0"/>
    <n v="1142.29"/>
    <n v="0"/>
    <n v="0"/>
  </r>
  <r>
    <x v="74"/>
    <x v="6"/>
    <x v="0"/>
    <n v="1829.52"/>
    <n v="0"/>
    <n v="0"/>
  </r>
  <r>
    <x v="74"/>
    <x v="7"/>
    <x v="0"/>
    <n v="382.93"/>
    <n v="0"/>
    <n v="0"/>
  </r>
  <r>
    <x v="74"/>
    <x v="8"/>
    <x v="0"/>
    <n v="409.52"/>
    <n v="0"/>
    <n v="0"/>
  </r>
  <r>
    <x v="74"/>
    <x v="9"/>
    <x v="0"/>
    <n v="491.3"/>
    <n v="0"/>
    <n v="0"/>
  </r>
  <r>
    <x v="74"/>
    <x v="10"/>
    <x v="0"/>
    <n v="2072.11"/>
    <n v="0"/>
    <n v="0"/>
  </r>
  <r>
    <x v="75"/>
    <x v="0"/>
    <x v="0"/>
    <n v="1024.81"/>
    <n v="0"/>
    <n v="0"/>
  </r>
  <r>
    <x v="75"/>
    <x v="1"/>
    <x v="0"/>
    <n v="2397.76"/>
    <n v="0"/>
    <n v="0"/>
  </r>
  <r>
    <x v="75"/>
    <x v="2"/>
    <x v="0"/>
    <n v="3324.55"/>
    <n v="0"/>
    <n v="0"/>
  </r>
  <r>
    <x v="75"/>
    <x v="3"/>
    <x v="0"/>
    <n v="3249.07"/>
    <n v="0"/>
    <n v="0"/>
  </r>
  <r>
    <x v="75"/>
    <x v="4"/>
    <x v="0"/>
    <n v="3845.66"/>
    <n v="0"/>
    <n v="0"/>
  </r>
  <r>
    <x v="75"/>
    <x v="5"/>
    <x v="0"/>
    <n v="1337.02"/>
    <n v="0"/>
    <n v="0"/>
  </r>
  <r>
    <x v="75"/>
    <x v="6"/>
    <x v="0"/>
    <n v="1772.36"/>
    <n v="0"/>
    <n v="0"/>
  </r>
  <r>
    <x v="75"/>
    <x v="7"/>
    <x v="0"/>
    <n v="283.62"/>
    <n v="0"/>
    <n v="0"/>
  </r>
  <r>
    <x v="75"/>
    <x v="8"/>
    <x v="0"/>
    <n v="616.3099999999999"/>
    <n v="0"/>
    <n v="0"/>
  </r>
  <r>
    <x v="75"/>
    <x v="9"/>
    <x v="0"/>
    <n v="435.69"/>
    <n v="0"/>
    <n v="0"/>
  </r>
  <r>
    <x v="75"/>
    <x v="10"/>
    <x v="0"/>
    <n v="1889.71"/>
    <n v="0"/>
    <n v="0"/>
  </r>
  <r>
    <x v="76"/>
    <x v="0"/>
    <x v="0"/>
    <n v="938.3200000000001"/>
    <n v="0"/>
    <n v="0"/>
  </r>
  <r>
    <x v="76"/>
    <x v="1"/>
    <x v="0"/>
    <n v="2216.86"/>
    <n v="0"/>
    <n v="0"/>
  </r>
  <r>
    <x v="76"/>
    <x v="2"/>
    <x v="0"/>
    <n v="2826.45"/>
    <n v="0"/>
    <n v="0"/>
  </r>
  <r>
    <x v="76"/>
    <x v="3"/>
    <x v="0"/>
    <n v="3231.96"/>
    <n v="0"/>
    <n v="0"/>
  </r>
  <r>
    <x v="76"/>
    <x v="4"/>
    <x v="0"/>
    <n v="3335.4"/>
    <n v="0"/>
    <n v="0"/>
  </r>
  <r>
    <x v="76"/>
    <x v="5"/>
    <x v="0"/>
    <n v="1257.19"/>
    <n v="0"/>
    <n v="0"/>
  </r>
  <r>
    <x v="76"/>
    <x v="6"/>
    <x v="0"/>
    <n v="1799.49"/>
    <n v="0"/>
    <n v="0"/>
  </r>
  <r>
    <x v="76"/>
    <x v="7"/>
    <x v="0"/>
    <n v="350.59"/>
    <n v="0"/>
    <n v="0"/>
  </r>
  <r>
    <x v="76"/>
    <x v="8"/>
    <x v="0"/>
    <n v="534.37"/>
    <n v="0"/>
    <n v="0"/>
  </r>
  <r>
    <x v="76"/>
    <x v="9"/>
    <x v="0"/>
    <n v="416.75"/>
    <n v="0"/>
    <n v="0"/>
  </r>
  <r>
    <x v="76"/>
    <x v="10"/>
    <x v="0"/>
    <n v="1907.71"/>
    <n v="0"/>
    <n v="0"/>
  </r>
  <r>
    <x v="77"/>
    <x v="0"/>
    <x v="0"/>
    <n v="1130.18"/>
    <n v="0"/>
    <n v="0"/>
  </r>
  <r>
    <x v="77"/>
    <x v="1"/>
    <x v="0"/>
    <n v="2504.72"/>
    <n v="0"/>
    <n v="0"/>
  </r>
  <r>
    <x v="77"/>
    <x v="2"/>
    <x v="0"/>
    <n v="2960.21"/>
    <n v="0"/>
    <n v="0"/>
  </r>
  <r>
    <x v="77"/>
    <x v="3"/>
    <x v="0"/>
    <n v="3230.13"/>
    <n v="0"/>
    <n v="0"/>
  </r>
  <r>
    <x v="77"/>
    <x v="4"/>
    <x v="0"/>
    <n v="3410.06"/>
    <n v="0"/>
    <n v="0"/>
  </r>
  <r>
    <x v="77"/>
    <x v="5"/>
    <x v="0"/>
    <n v="1297.02"/>
    <n v="0"/>
    <n v="0"/>
  </r>
  <r>
    <x v="77"/>
    <x v="6"/>
    <x v="0"/>
    <n v="1948.64"/>
    <n v="0"/>
    <n v="0"/>
  </r>
  <r>
    <x v="77"/>
    <x v="7"/>
    <x v="0"/>
    <n v="413.46"/>
    <n v="0"/>
    <n v="0"/>
  </r>
  <r>
    <x v="77"/>
    <x v="8"/>
    <x v="0"/>
    <n v="583.73"/>
    <n v="0"/>
    <n v="0"/>
  </r>
  <r>
    <x v="77"/>
    <x v="9"/>
    <x v="0"/>
    <n v="407.13"/>
    <n v="0"/>
    <n v="0"/>
  </r>
  <r>
    <x v="77"/>
    <x v="10"/>
    <x v="0"/>
    <n v="1987.05"/>
    <n v="0"/>
    <n v="0"/>
  </r>
  <r>
    <x v="78"/>
    <x v="0"/>
    <x v="0"/>
    <n v="1156.08"/>
    <n v="0"/>
    <n v="0"/>
  </r>
  <r>
    <x v="78"/>
    <x v="1"/>
    <x v="0"/>
    <n v="2152.62"/>
    <n v="0"/>
    <n v="0"/>
  </r>
  <r>
    <x v="78"/>
    <x v="2"/>
    <x v="0"/>
    <n v="3134.45"/>
    <n v="0"/>
    <n v="0"/>
  </r>
  <r>
    <x v="78"/>
    <x v="3"/>
    <x v="0"/>
    <n v="3229.94"/>
    <n v="0"/>
    <n v="0"/>
  </r>
  <r>
    <x v="78"/>
    <x v="4"/>
    <x v="0"/>
    <n v="3499.45"/>
    <n v="0"/>
    <n v="0"/>
  </r>
  <r>
    <x v="78"/>
    <x v="5"/>
    <x v="0"/>
    <n v="1341.96"/>
    <n v="0"/>
    <n v="0"/>
  </r>
  <r>
    <x v="78"/>
    <x v="6"/>
    <x v="0"/>
    <n v="1893.15"/>
    <n v="0"/>
    <n v="0"/>
  </r>
  <r>
    <x v="78"/>
    <x v="7"/>
    <x v="0"/>
    <n v="282.65"/>
    <n v="0"/>
    <n v="0"/>
  </r>
  <r>
    <x v="78"/>
    <x v="8"/>
    <x v="0"/>
    <n v="357.58"/>
    <n v="0"/>
    <n v="0"/>
  </r>
  <r>
    <x v="78"/>
    <x v="9"/>
    <x v="0"/>
    <n v="517.52"/>
    <n v="0"/>
    <n v="0"/>
  </r>
  <r>
    <x v="78"/>
    <x v="10"/>
    <x v="0"/>
    <n v="1962.73"/>
    <n v="0"/>
    <n v="0"/>
  </r>
  <r>
    <x v="79"/>
    <x v="0"/>
    <x v="0"/>
    <n v="1096.28"/>
    <n v="0"/>
    <n v="0"/>
  </r>
  <r>
    <x v="79"/>
    <x v="1"/>
    <x v="0"/>
    <n v="2393.78"/>
    <n v="0"/>
    <n v="0"/>
  </r>
  <r>
    <x v="79"/>
    <x v="2"/>
    <x v="0"/>
    <n v="2837.06"/>
    <n v="0"/>
    <n v="0"/>
  </r>
  <r>
    <x v="79"/>
    <x v="3"/>
    <x v="0"/>
    <n v="3440.42"/>
    <n v="0"/>
    <n v="0"/>
  </r>
  <r>
    <x v="79"/>
    <x v="4"/>
    <x v="0"/>
    <n v="3400.87"/>
    <n v="0"/>
    <n v="0"/>
  </r>
  <r>
    <x v="79"/>
    <x v="5"/>
    <x v="0"/>
    <n v="1303.1"/>
    <n v="0"/>
    <n v="0"/>
  </r>
  <r>
    <x v="79"/>
    <x v="6"/>
    <x v="0"/>
    <n v="1902.67"/>
    <n v="0"/>
    <n v="0"/>
  </r>
  <r>
    <x v="79"/>
    <x v="7"/>
    <x v="0"/>
    <n v="305.62"/>
    <n v="0"/>
    <n v="0"/>
  </r>
  <r>
    <x v="79"/>
    <x v="8"/>
    <x v="0"/>
    <n v="619.3"/>
    <n v="0"/>
    <n v="0"/>
  </r>
  <r>
    <x v="79"/>
    <x v="9"/>
    <x v="0"/>
    <n v="420.08"/>
    <n v="0"/>
    <n v="0"/>
  </r>
  <r>
    <x v="79"/>
    <x v="10"/>
    <x v="0"/>
    <n v="2171.6"/>
    <n v="0"/>
    <n v="0"/>
  </r>
  <r>
    <x v="80"/>
    <x v="0"/>
    <x v="0"/>
    <n v="982.92"/>
    <n v="0"/>
    <n v="0"/>
  </r>
  <r>
    <x v="80"/>
    <x v="1"/>
    <x v="0"/>
    <n v="1961.73"/>
    <n v="0"/>
    <n v="0"/>
  </r>
  <r>
    <x v="80"/>
    <x v="2"/>
    <x v="0"/>
    <n v="2428.51"/>
    <n v="0"/>
    <n v="0"/>
  </r>
  <r>
    <x v="80"/>
    <x v="3"/>
    <x v="0"/>
    <n v="3085.83"/>
    <n v="0"/>
    <n v="0"/>
  </r>
  <r>
    <x v="80"/>
    <x v="4"/>
    <x v="0"/>
    <n v="3321.61"/>
    <n v="0"/>
    <n v="0"/>
  </r>
  <r>
    <x v="80"/>
    <x v="5"/>
    <x v="0"/>
    <n v="1435.98"/>
    <n v="0"/>
    <n v="0"/>
  </r>
  <r>
    <x v="80"/>
    <x v="6"/>
    <x v="0"/>
    <n v="1740.92"/>
    <n v="0"/>
    <n v="0"/>
  </r>
  <r>
    <x v="80"/>
    <x v="7"/>
    <x v="0"/>
    <n v="317.59"/>
    <n v="0"/>
    <n v="0"/>
  </r>
  <r>
    <x v="80"/>
    <x v="8"/>
    <x v="0"/>
    <n v="622.27"/>
    <n v="0"/>
    <n v="0"/>
  </r>
  <r>
    <x v="80"/>
    <x v="9"/>
    <x v="0"/>
    <n v="445.5"/>
    <n v="0"/>
    <n v="0"/>
  </r>
  <r>
    <x v="80"/>
    <x v="10"/>
    <x v="0"/>
    <n v="1835.1"/>
    <n v="0"/>
    <n v="0"/>
  </r>
  <r>
    <x v="81"/>
    <x v="0"/>
    <x v="0"/>
    <n v="1167.53"/>
    <n v="0"/>
    <n v="0"/>
  </r>
  <r>
    <x v="81"/>
    <x v="1"/>
    <x v="0"/>
    <n v="2399.74"/>
    <n v="0"/>
    <n v="0"/>
  </r>
  <r>
    <x v="81"/>
    <x v="2"/>
    <x v="0"/>
    <n v="2772.37"/>
    <n v="0"/>
    <n v="0"/>
  </r>
  <r>
    <x v="81"/>
    <x v="3"/>
    <x v="0"/>
    <n v="3016.88"/>
    <n v="0"/>
    <n v="0"/>
  </r>
  <r>
    <x v="81"/>
    <x v="4"/>
    <x v="0"/>
    <n v="3518.87"/>
    <n v="0"/>
    <n v="0"/>
  </r>
  <r>
    <x v="81"/>
    <x v="5"/>
    <x v="0"/>
    <n v="1195.81"/>
    <n v="0"/>
    <n v="0"/>
  </r>
  <r>
    <x v="81"/>
    <x v="6"/>
    <x v="0"/>
    <n v="1835.21"/>
    <n v="0"/>
    <n v="0"/>
  </r>
  <r>
    <x v="81"/>
    <x v="7"/>
    <x v="0"/>
    <n v="281.57"/>
    <n v="0"/>
    <n v="0"/>
  </r>
  <r>
    <x v="81"/>
    <x v="8"/>
    <x v="0"/>
    <n v="489.36"/>
    <n v="0"/>
    <n v="0"/>
  </r>
  <r>
    <x v="81"/>
    <x v="9"/>
    <x v="0"/>
    <n v="435.37"/>
    <n v="0"/>
    <n v="0"/>
  </r>
  <r>
    <x v="81"/>
    <x v="10"/>
    <x v="0"/>
    <n v="2179.88"/>
    <n v="0"/>
    <n v="0"/>
  </r>
  <r>
    <x v="82"/>
    <x v="0"/>
    <x v="0"/>
    <n v="1150.06"/>
    <n v="0"/>
    <n v="0"/>
  </r>
  <r>
    <x v="82"/>
    <x v="1"/>
    <x v="0"/>
    <n v="2034.92"/>
    <n v="0"/>
    <n v="0"/>
  </r>
  <r>
    <x v="82"/>
    <x v="2"/>
    <x v="0"/>
    <n v="2682.9"/>
    <n v="0"/>
    <n v="0"/>
  </r>
  <r>
    <x v="82"/>
    <x v="3"/>
    <x v="0"/>
    <n v="3393.28"/>
    <n v="0"/>
    <n v="0"/>
  </r>
  <r>
    <x v="82"/>
    <x v="4"/>
    <x v="0"/>
    <n v="3595.87"/>
    <n v="0"/>
    <n v="0"/>
  </r>
  <r>
    <x v="82"/>
    <x v="5"/>
    <x v="0"/>
    <n v="1271.21"/>
    <n v="0"/>
    <n v="0"/>
  </r>
  <r>
    <x v="82"/>
    <x v="6"/>
    <x v="0"/>
    <n v="2164.28"/>
    <n v="0"/>
    <n v="0"/>
  </r>
  <r>
    <x v="82"/>
    <x v="7"/>
    <x v="0"/>
    <n v="286.53"/>
    <n v="0"/>
    <n v="0"/>
  </r>
  <r>
    <x v="82"/>
    <x v="8"/>
    <x v="0"/>
    <n v="602.33"/>
    <n v="0"/>
    <n v="0"/>
  </r>
  <r>
    <x v="82"/>
    <x v="9"/>
    <x v="0"/>
    <n v="430.82"/>
    <n v="0"/>
    <n v="0"/>
  </r>
  <r>
    <x v="82"/>
    <x v="10"/>
    <x v="0"/>
    <n v="2050.49"/>
    <n v="0"/>
    <n v="0"/>
  </r>
  <r>
    <x v="83"/>
    <x v="0"/>
    <x v="0"/>
    <n v="1057.98"/>
    <n v="0"/>
    <n v="0"/>
  </r>
  <r>
    <x v="83"/>
    <x v="1"/>
    <x v="0"/>
    <n v="2292.8"/>
    <n v="0"/>
    <n v="0"/>
  </r>
  <r>
    <x v="83"/>
    <x v="2"/>
    <x v="0"/>
    <n v="2509.17"/>
    <n v="0"/>
    <n v="0"/>
  </r>
  <r>
    <x v="83"/>
    <x v="3"/>
    <x v="0"/>
    <n v="3178.04"/>
    <n v="0"/>
    <n v="0"/>
  </r>
  <r>
    <x v="83"/>
    <x v="4"/>
    <x v="0"/>
    <n v="3655.07"/>
    <n v="0"/>
    <n v="0"/>
  </r>
  <r>
    <x v="83"/>
    <x v="5"/>
    <x v="0"/>
    <n v="1389.11"/>
    <n v="0"/>
    <n v="0"/>
  </r>
  <r>
    <x v="83"/>
    <x v="6"/>
    <x v="0"/>
    <n v="2170.76"/>
    <n v="0"/>
    <n v="0"/>
  </r>
  <r>
    <x v="83"/>
    <x v="7"/>
    <x v="0"/>
    <n v="391.08"/>
    <n v="0"/>
    <n v="0"/>
  </r>
  <r>
    <x v="83"/>
    <x v="8"/>
    <x v="0"/>
    <n v="498.37"/>
    <n v="0"/>
    <n v="0"/>
  </r>
  <r>
    <x v="83"/>
    <x v="9"/>
    <x v="0"/>
    <n v="466.38"/>
    <n v="0"/>
    <n v="0"/>
  </r>
  <r>
    <x v="83"/>
    <x v="10"/>
    <x v="0"/>
    <n v="1873.6"/>
    <n v="0"/>
    <n v="0"/>
  </r>
  <r>
    <x v="84"/>
    <x v="0"/>
    <x v="0"/>
    <n v="948.8099999999999"/>
    <n v="0"/>
    <n v="0"/>
  </r>
  <r>
    <x v="84"/>
    <x v="1"/>
    <x v="0"/>
    <n v="2179.9"/>
    <n v="0"/>
    <n v="0"/>
  </r>
  <r>
    <x v="84"/>
    <x v="2"/>
    <x v="0"/>
    <n v="2380.65"/>
    <n v="0"/>
    <n v="0"/>
  </r>
  <r>
    <x v="84"/>
    <x v="3"/>
    <x v="0"/>
    <n v="3284.02"/>
    <n v="0"/>
    <n v="0"/>
  </r>
  <r>
    <x v="84"/>
    <x v="4"/>
    <x v="0"/>
    <n v="4024.65"/>
    <n v="0"/>
    <n v="0"/>
  </r>
  <r>
    <x v="84"/>
    <x v="5"/>
    <x v="0"/>
    <n v="1593.93"/>
    <n v="0"/>
    <n v="0"/>
  </r>
  <r>
    <x v="84"/>
    <x v="6"/>
    <x v="0"/>
    <n v="1617.5"/>
    <n v="0"/>
    <n v="0"/>
  </r>
  <r>
    <x v="84"/>
    <x v="7"/>
    <x v="0"/>
    <n v="371.4"/>
    <n v="0"/>
    <n v="0"/>
  </r>
  <r>
    <x v="84"/>
    <x v="8"/>
    <x v="0"/>
    <n v="477.44"/>
    <n v="0"/>
    <n v="0"/>
  </r>
  <r>
    <x v="84"/>
    <x v="9"/>
    <x v="0"/>
    <n v="512.88"/>
    <n v="0"/>
    <n v="0"/>
  </r>
  <r>
    <x v="84"/>
    <x v="10"/>
    <x v="0"/>
    <n v="1858.35"/>
    <n v="0"/>
    <n v="0"/>
  </r>
  <r>
    <x v="85"/>
    <x v="0"/>
    <x v="0"/>
    <n v="1091.19"/>
    <n v="0"/>
    <n v="0"/>
  </r>
  <r>
    <x v="85"/>
    <x v="1"/>
    <x v="0"/>
    <n v="1812.05"/>
    <n v="0"/>
    <n v="0"/>
  </r>
  <r>
    <x v="85"/>
    <x v="2"/>
    <x v="0"/>
    <n v="2485.72"/>
    <n v="0"/>
    <n v="0"/>
  </r>
  <r>
    <x v="85"/>
    <x v="3"/>
    <x v="0"/>
    <n v="3114.96"/>
    <n v="0"/>
    <n v="0"/>
  </r>
  <r>
    <x v="85"/>
    <x v="4"/>
    <x v="0"/>
    <n v="3202.24"/>
    <n v="0"/>
    <n v="0"/>
  </r>
  <r>
    <x v="85"/>
    <x v="5"/>
    <x v="0"/>
    <n v="1226.2"/>
    <n v="0"/>
    <n v="0"/>
  </r>
  <r>
    <x v="85"/>
    <x v="6"/>
    <x v="0"/>
    <n v="2108.06"/>
    <n v="0"/>
    <n v="0"/>
  </r>
  <r>
    <x v="85"/>
    <x v="7"/>
    <x v="0"/>
    <n v="260.54"/>
    <n v="0"/>
    <n v="0"/>
  </r>
  <r>
    <x v="85"/>
    <x v="8"/>
    <x v="0"/>
    <n v="564.35"/>
    <n v="0"/>
    <n v="0"/>
  </r>
  <r>
    <x v="85"/>
    <x v="9"/>
    <x v="0"/>
    <n v="397.17"/>
    <n v="0"/>
    <n v="0"/>
  </r>
  <r>
    <x v="85"/>
    <x v="10"/>
    <x v="0"/>
    <n v="1989.75"/>
    <n v="0"/>
    <n v="0"/>
  </r>
  <r>
    <x v="86"/>
    <x v="0"/>
    <x v="0"/>
    <n v="1085.78"/>
    <n v="0"/>
    <n v="0"/>
  </r>
  <r>
    <x v="86"/>
    <x v="1"/>
    <x v="0"/>
    <n v="1738.09"/>
    <n v="0"/>
    <n v="0"/>
  </r>
  <r>
    <x v="86"/>
    <x v="2"/>
    <x v="0"/>
    <n v="2371.5"/>
    <n v="0"/>
    <n v="0"/>
  </r>
  <r>
    <x v="86"/>
    <x v="3"/>
    <x v="0"/>
    <n v="3312.22"/>
    <n v="0"/>
    <n v="0"/>
  </r>
  <r>
    <x v="86"/>
    <x v="4"/>
    <x v="0"/>
    <n v="3772.1"/>
    <n v="0"/>
    <n v="0"/>
  </r>
  <r>
    <x v="86"/>
    <x v="5"/>
    <x v="0"/>
    <n v="1358.27"/>
    <n v="0"/>
    <n v="0"/>
  </r>
  <r>
    <x v="86"/>
    <x v="6"/>
    <x v="0"/>
    <n v="2169.26"/>
    <n v="0"/>
    <n v="0"/>
  </r>
  <r>
    <x v="86"/>
    <x v="7"/>
    <x v="0"/>
    <n v="325.57"/>
    <n v="0"/>
    <n v="0"/>
  </r>
  <r>
    <x v="86"/>
    <x v="8"/>
    <x v="0"/>
    <n v="589.3"/>
    <n v="0"/>
    <n v="0"/>
  </r>
  <r>
    <x v="86"/>
    <x v="9"/>
    <x v="0"/>
    <n v="396.81"/>
    <n v="0"/>
    <n v="0"/>
  </r>
  <r>
    <x v="86"/>
    <x v="10"/>
    <x v="0"/>
    <n v="2043.79"/>
    <n v="0"/>
    <n v="0"/>
  </r>
  <r>
    <x v="87"/>
    <x v="0"/>
    <x v="0"/>
    <n v="1169.03"/>
    <n v="0"/>
    <n v="0"/>
  </r>
  <r>
    <x v="87"/>
    <x v="1"/>
    <x v="0"/>
    <n v="2065.88"/>
    <n v="0"/>
    <n v="0"/>
  </r>
  <r>
    <x v="87"/>
    <x v="2"/>
    <x v="0"/>
    <n v="2299.65"/>
    <n v="0"/>
    <n v="0"/>
  </r>
  <r>
    <x v="87"/>
    <x v="3"/>
    <x v="0"/>
    <n v="3149.66"/>
    <n v="0"/>
    <n v="0"/>
  </r>
  <r>
    <x v="87"/>
    <x v="4"/>
    <x v="0"/>
    <n v="3232.96"/>
    <n v="0"/>
    <n v="0"/>
  </r>
  <r>
    <x v="87"/>
    <x v="5"/>
    <x v="0"/>
    <n v="1287.13"/>
    <n v="0"/>
    <n v="0"/>
  </r>
  <r>
    <x v="87"/>
    <x v="6"/>
    <x v="0"/>
    <n v="1901.57"/>
    <n v="0"/>
    <n v="0"/>
  </r>
  <r>
    <x v="87"/>
    <x v="7"/>
    <x v="0"/>
    <n v="340.45"/>
    <n v="0"/>
    <n v="0"/>
  </r>
  <r>
    <x v="87"/>
    <x v="8"/>
    <x v="0"/>
    <n v="380.53"/>
    <n v="0"/>
    <n v="0"/>
  </r>
  <r>
    <x v="87"/>
    <x v="9"/>
    <x v="0"/>
    <n v="367.55"/>
    <n v="0"/>
    <n v="0"/>
  </r>
  <r>
    <x v="87"/>
    <x v="10"/>
    <x v="0"/>
    <n v="2038.36"/>
    <n v="0"/>
    <n v="0"/>
  </r>
  <r>
    <x v="88"/>
    <x v="0"/>
    <x v="0"/>
    <n v="1102.44"/>
    <n v="0"/>
    <n v="0"/>
  </r>
  <r>
    <x v="88"/>
    <x v="1"/>
    <x v="0"/>
    <n v="1709.11"/>
    <n v="0"/>
    <n v="0"/>
  </r>
  <r>
    <x v="88"/>
    <x v="2"/>
    <x v="0"/>
    <n v="2316.25"/>
    <n v="0"/>
    <n v="0"/>
  </r>
  <r>
    <x v="88"/>
    <x v="3"/>
    <x v="0"/>
    <n v="2920.04"/>
    <n v="0"/>
    <n v="0"/>
  </r>
  <r>
    <x v="88"/>
    <x v="4"/>
    <x v="0"/>
    <n v="3721.16"/>
    <n v="0"/>
    <n v="0"/>
  </r>
  <r>
    <x v="88"/>
    <x v="5"/>
    <x v="0"/>
    <n v="1272.24"/>
    <n v="0"/>
    <n v="0"/>
  </r>
  <r>
    <x v="88"/>
    <x v="6"/>
    <x v="0"/>
    <n v="1901.56"/>
    <n v="0"/>
    <n v="0"/>
  </r>
  <r>
    <x v="88"/>
    <x v="7"/>
    <x v="0"/>
    <n v="260.54"/>
    <n v="0"/>
    <n v="0"/>
  </r>
  <r>
    <x v="88"/>
    <x v="8"/>
    <x v="0"/>
    <n v="628.27"/>
    <n v="0"/>
    <n v="0"/>
  </r>
  <r>
    <x v="88"/>
    <x v="9"/>
    <x v="0"/>
    <n v="347.7"/>
    <n v="0"/>
    <n v="0"/>
  </r>
  <r>
    <x v="88"/>
    <x v="10"/>
    <x v="0"/>
    <n v="2147.62"/>
    <n v="0"/>
    <n v="0"/>
  </r>
  <r>
    <x v="89"/>
    <x v="0"/>
    <x v="0"/>
    <n v="1127.27"/>
    <n v="0"/>
    <n v="0"/>
  </r>
  <r>
    <x v="89"/>
    <x v="1"/>
    <x v="0"/>
    <n v="1529.21"/>
    <n v="0"/>
    <n v="0"/>
  </r>
  <r>
    <x v="89"/>
    <x v="2"/>
    <x v="0"/>
    <n v="2353.76"/>
    <n v="0"/>
    <n v="0"/>
  </r>
  <r>
    <x v="89"/>
    <x v="3"/>
    <x v="0"/>
    <n v="3270.95"/>
    <n v="0"/>
    <n v="0"/>
  </r>
  <r>
    <x v="89"/>
    <x v="4"/>
    <x v="0"/>
    <n v="3339.67"/>
    <n v="0"/>
    <n v="0"/>
  </r>
  <r>
    <x v="89"/>
    <x v="5"/>
    <x v="0"/>
    <n v="1202.28"/>
    <n v="0"/>
    <n v="0"/>
  </r>
  <r>
    <x v="89"/>
    <x v="6"/>
    <x v="0"/>
    <n v="2101.54"/>
    <n v="0"/>
    <n v="0"/>
  </r>
  <r>
    <x v="89"/>
    <x v="7"/>
    <x v="0"/>
    <n v="321.47"/>
    <n v="0"/>
    <n v="0"/>
  </r>
  <r>
    <x v="89"/>
    <x v="8"/>
    <x v="0"/>
    <n v="530.39"/>
    <n v="0"/>
    <n v="0"/>
  </r>
  <r>
    <x v="89"/>
    <x v="9"/>
    <x v="0"/>
    <n v="384.14"/>
    <n v="0"/>
    <n v="0"/>
  </r>
  <r>
    <x v="89"/>
    <x v="10"/>
    <x v="0"/>
    <n v="2008.34"/>
    <n v="0"/>
    <n v="0"/>
  </r>
  <r>
    <x v="90"/>
    <x v="0"/>
    <x v="0"/>
    <n v="1210.11"/>
    <n v="0"/>
    <n v="0"/>
  </r>
  <r>
    <x v="90"/>
    <x v="1"/>
    <x v="0"/>
    <n v="1937.01"/>
    <n v="0"/>
    <n v="0"/>
  </r>
  <r>
    <x v="90"/>
    <x v="2"/>
    <x v="0"/>
    <n v="2202.31"/>
    <n v="0"/>
    <n v="0"/>
  </r>
  <r>
    <x v="90"/>
    <x v="3"/>
    <x v="0"/>
    <n v="3003.55"/>
    <n v="0"/>
    <n v="0"/>
  </r>
  <r>
    <x v="90"/>
    <x v="4"/>
    <x v="0"/>
    <n v="3192.61"/>
    <n v="0"/>
    <n v="0"/>
  </r>
  <r>
    <x v="90"/>
    <x v="5"/>
    <x v="0"/>
    <n v="1220.29"/>
    <n v="0"/>
    <n v="0"/>
  </r>
  <r>
    <x v="90"/>
    <x v="6"/>
    <x v="0"/>
    <n v="2059.03"/>
    <n v="0"/>
    <n v="0"/>
  </r>
  <r>
    <x v="90"/>
    <x v="7"/>
    <x v="0"/>
    <n v="208.67"/>
    <n v="0"/>
    <n v="0"/>
  </r>
  <r>
    <x v="90"/>
    <x v="8"/>
    <x v="0"/>
    <n v="532.39"/>
    <n v="0"/>
    <n v="0"/>
  </r>
  <r>
    <x v="90"/>
    <x v="9"/>
    <x v="0"/>
    <n v="441.05"/>
    <n v="0"/>
    <n v="0"/>
  </r>
  <r>
    <x v="90"/>
    <x v="10"/>
    <x v="0"/>
    <n v="1768.52"/>
    <n v="0"/>
    <n v="0"/>
  </r>
  <r>
    <x v="91"/>
    <x v="0"/>
    <x v="0"/>
    <n v="1250.42"/>
    <n v="0"/>
    <n v="0"/>
  </r>
  <r>
    <x v="91"/>
    <x v="1"/>
    <x v="0"/>
    <n v="2159.89"/>
    <n v="0"/>
    <n v="0"/>
  </r>
  <r>
    <x v="91"/>
    <x v="2"/>
    <x v="0"/>
    <n v="2174.66"/>
    <n v="0"/>
    <n v="0"/>
  </r>
  <r>
    <x v="91"/>
    <x v="3"/>
    <x v="0"/>
    <n v="3014.59"/>
    <n v="0"/>
    <n v="0"/>
  </r>
  <r>
    <x v="91"/>
    <x v="4"/>
    <x v="0"/>
    <n v="3390.94"/>
    <n v="0"/>
    <n v="0"/>
  </r>
  <r>
    <x v="91"/>
    <x v="5"/>
    <x v="0"/>
    <n v="1466.06"/>
    <n v="0"/>
    <n v="0"/>
  </r>
  <r>
    <x v="91"/>
    <x v="6"/>
    <x v="0"/>
    <n v="2237.75"/>
    <n v="0"/>
    <n v="0"/>
  </r>
  <r>
    <x v="91"/>
    <x v="7"/>
    <x v="0"/>
    <n v="430.39"/>
    <n v="0"/>
    <n v="0"/>
  </r>
  <r>
    <x v="91"/>
    <x v="8"/>
    <x v="0"/>
    <n v="526.4299999999999"/>
    <n v="0"/>
    <n v="0"/>
  </r>
  <r>
    <x v="91"/>
    <x v="9"/>
    <x v="0"/>
    <n v="357.29"/>
    <n v="0"/>
    <n v="0"/>
  </r>
  <r>
    <x v="91"/>
    <x v="10"/>
    <x v="0"/>
    <n v="1934.22"/>
    <n v="0"/>
    <n v="0"/>
  </r>
  <r>
    <x v="92"/>
    <x v="0"/>
    <x v="0"/>
    <n v="1122.19"/>
    <n v="0"/>
    <n v="0"/>
  </r>
  <r>
    <x v="92"/>
    <x v="1"/>
    <x v="0"/>
    <n v="1850.05"/>
    <n v="0"/>
    <n v="0"/>
  </r>
  <r>
    <x v="92"/>
    <x v="2"/>
    <x v="0"/>
    <n v="2168.32"/>
    <n v="0"/>
    <n v="0"/>
  </r>
  <r>
    <x v="92"/>
    <x v="3"/>
    <x v="0"/>
    <n v="3463.95"/>
    <n v="0"/>
    <n v="0"/>
  </r>
  <r>
    <x v="92"/>
    <x v="4"/>
    <x v="0"/>
    <n v="3378.87"/>
    <n v="0"/>
    <n v="0"/>
  </r>
  <r>
    <x v="92"/>
    <x v="5"/>
    <x v="0"/>
    <n v="1469"/>
    <n v="0"/>
    <n v="0"/>
  </r>
  <r>
    <x v="92"/>
    <x v="6"/>
    <x v="0"/>
    <n v="2034.77"/>
    <n v="0"/>
    <n v="0"/>
  </r>
  <r>
    <x v="92"/>
    <x v="7"/>
    <x v="0"/>
    <n v="274.56"/>
    <n v="0"/>
    <n v="0"/>
  </r>
  <r>
    <x v="92"/>
    <x v="8"/>
    <x v="0"/>
    <n v="554.37"/>
    <n v="0"/>
    <n v="0"/>
  </r>
  <r>
    <x v="92"/>
    <x v="9"/>
    <x v="0"/>
    <n v="344.32"/>
    <n v="0"/>
    <n v="0"/>
  </r>
  <r>
    <x v="92"/>
    <x v="10"/>
    <x v="0"/>
    <n v="1903.87"/>
    <n v="0"/>
    <n v="0"/>
  </r>
  <r>
    <x v="93"/>
    <x v="0"/>
    <x v="0"/>
    <n v="1208.53"/>
    <n v="0"/>
    <n v="0"/>
  </r>
  <r>
    <x v="93"/>
    <x v="1"/>
    <x v="0"/>
    <n v="1998.16"/>
    <n v="0"/>
    <n v="0"/>
  </r>
  <r>
    <x v="93"/>
    <x v="2"/>
    <x v="0"/>
    <n v="2311.69"/>
    <n v="0"/>
    <n v="0"/>
  </r>
  <r>
    <x v="93"/>
    <x v="3"/>
    <x v="0"/>
    <n v="3334.35"/>
    <n v="0"/>
    <n v="0"/>
  </r>
  <r>
    <x v="93"/>
    <x v="4"/>
    <x v="0"/>
    <n v="3296.33"/>
    <n v="0"/>
    <n v="0"/>
  </r>
  <r>
    <x v="93"/>
    <x v="5"/>
    <x v="0"/>
    <n v="1307.03"/>
    <n v="0"/>
    <n v="0"/>
  </r>
  <r>
    <x v="93"/>
    <x v="6"/>
    <x v="0"/>
    <n v="1957.17"/>
    <n v="0"/>
    <n v="0"/>
  </r>
  <r>
    <x v="93"/>
    <x v="7"/>
    <x v="0"/>
    <n v="347.57"/>
    <n v="0"/>
    <n v="0"/>
  </r>
  <r>
    <x v="93"/>
    <x v="8"/>
    <x v="0"/>
    <n v="409.5"/>
    <n v="0"/>
    <n v="0"/>
  </r>
  <r>
    <x v="93"/>
    <x v="9"/>
    <x v="0"/>
    <n v="423.2"/>
    <n v="0"/>
    <n v="0"/>
  </r>
  <r>
    <x v="93"/>
    <x v="10"/>
    <x v="0"/>
    <n v="2206.36"/>
    <n v="0"/>
    <n v="0"/>
  </r>
  <r>
    <x v="94"/>
    <x v="0"/>
    <x v="0"/>
    <n v="1147.13"/>
    <n v="0"/>
    <n v="0"/>
  </r>
  <r>
    <x v="94"/>
    <x v="1"/>
    <x v="0"/>
    <n v="2188.88"/>
    <n v="0"/>
    <n v="0"/>
  </r>
  <r>
    <x v="94"/>
    <x v="2"/>
    <x v="0"/>
    <n v="2276.23"/>
    <n v="0"/>
    <n v="0"/>
  </r>
  <r>
    <x v="94"/>
    <x v="3"/>
    <x v="0"/>
    <n v="3199.45"/>
    <n v="0"/>
    <n v="0"/>
  </r>
  <r>
    <x v="94"/>
    <x v="4"/>
    <x v="0"/>
    <n v="3501.21"/>
    <n v="0"/>
    <n v="0"/>
  </r>
  <r>
    <x v="94"/>
    <x v="5"/>
    <x v="0"/>
    <n v="1385.24"/>
    <n v="0"/>
    <n v="0"/>
  </r>
  <r>
    <x v="94"/>
    <x v="6"/>
    <x v="0"/>
    <n v="2098.77"/>
    <n v="0"/>
    <n v="0"/>
  </r>
  <r>
    <x v="94"/>
    <x v="7"/>
    <x v="0"/>
    <n v="272.51"/>
    <n v="0"/>
    <n v="0"/>
  </r>
  <r>
    <x v="94"/>
    <x v="8"/>
    <x v="0"/>
    <n v="442.43"/>
    <n v="0"/>
    <n v="0"/>
  </r>
  <r>
    <x v="94"/>
    <x v="9"/>
    <x v="0"/>
    <n v="334.56"/>
    <n v="0"/>
    <n v="0"/>
  </r>
  <r>
    <x v="94"/>
    <x v="10"/>
    <x v="0"/>
    <n v="2045.19"/>
    <n v="0"/>
    <n v="0"/>
  </r>
  <r>
    <x v="95"/>
    <x v="0"/>
    <x v="0"/>
    <n v="990.58"/>
    <n v="0"/>
    <n v="0"/>
  </r>
  <r>
    <x v="95"/>
    <x v="1"/>
    <x v="0"/>
    <n v="1982.99"/>
    <n v="0"/>
    <n v="0"/>
  </r>
  <r>
    <x v="95"/>
    <x v="2"/>
    <x v="0"/>
    <n v="2416.67"/>
    <n v="0"/>
    <n v="0"/>
  </r>
  <r>
    <x v="95"/>
    <x v="3"/>
    <x v="0"/>
    <n v="3228.56"/>
    <n v="0"/>
    <n v="0"/>
  </r>
  <r>
    <x v="95"/>
    <x v="4"/>
    <x v="0"/>
    <n v="3834.32"/>
    <n v="0"/>
    <n v="0"/>
  </r>
  <r>
    <x v="95"/>
    <x v="5"/>
    <x v="0"/>
    <n v="1402.14"/>
    <n v="0"/>
    <n v="0"/>
  </r>
  <r>
    <x v="95"/>
    <x v="6"/>
    <x v="0"/>
    <n v="2007.76"/>
    <n v="0"/>
    <n v="0"/>
  </r>
  <r>
    <x v="95"/>
    <x v="7"/>
    <x v="0"/>
    <n v="372.48"/>
    <n v="0"/>
    <n v="0"/>
  </r>
  <r>
    <x v="95"/>
    <x v="8"/>
    <x v="0"/>
    <n v="605.28"/>
    <n v="0"/>
    <n v="0"/>
  </r>
  <r>
    <x v="95"/>
    <x v="9"/>
    <x v="0"/>
    <n v="389.64"/>
    <n v="0"/>
    <n v="0"/>
  </r>
  <r>
    <x v="95"/>
    <x v="10"/>
    <x v="0"/>
    <n v="2005.06"/>
    <n v="0"/>
    <n v="0"/>
  </r>
  <r>
    <x v="96"/>
    <x v="0"/>
    <x v="0"/>
    <n v="978.9299999999999"/>
    <n v="0"/>
    <n v="0"/>
  </r>
  <r>
    <x v="96"/>
    <x v="1"/>
    <x v="0"/>
    <n v="2054.94"/>
    <n v="0"/>
    <n v="0"/>
  </r>
  <r>
    <x v="96"/>
    <x v="2"/>
    <x v="0"/>
    <n v="2497.55"/>
    <n v="0"/>
    <n v="0"/>
  </r>
  <r>
    <x v="96"/>
    <x v="3"/>
    <x v="0"/>
    <n v="3228.32"/>
    <n v="0"/>
    <n v="0"/>
  </r>
  <r>
    <x v="96"/>
    <x v="4"/>
    <x v="0"/>
    <n v="3539.56"/>
    <n v="0"/>
    <n v="0"/>
  </r>
  <r>
    <x v="96"/>
    <x v="5"/>
    <x v="0"/>
    <n v="1600.79"/>
    <n v="0"/>
    <n v="0"/>
  </r>
  <r>
    <x v="96"/>
    <x v="6"/>
    <x v="0"/>
    <n v="2254.4"/>
    <n v="0"/>
    <n v="0"/>
  </r>
  <r>
    <x v="96"/>
    <x v="7"/>
    <x v="0"/>
    <n v="239.62"/>
    <n v="0"/>
    <n v="0"/>
  </r>
  <r>
    <x v="96"/>
    <x v="8"/>
    <x v="0"/>
    <n v="496.37"/>
    <n v="0"/>
    <n v="0"/>
  </r>
  <r>
    <x v="96"/>
    <x v="9"/>
    <x v="0"/>
    <n v="426.66"/>
    <n v="0"/>
    <n v="0"/>
  </r>
  <r>
    <x v="96"/>
    <x v="10"/>
    <x v="0"/>
    <n v="1939.52"/>
    <n v="0"/>
    <n v="0"/>
  </r>
  <r>
    <x v="97"/>
    <x v="0"/>
    <x v="0"/>
    <n v="1131.82"/>
    <n v="0"/>
    <n v="0"/>
  </r>
  <r>
    <x v="97"/>
    <x v="1"/>
    <x v="0"/>
    <n v="1960.98"/>
    <n v="0"/>
    <n v="0"/>
  </r>
  <r>
    <x v="97"/>
    <x v="2"/>
    <x v="0"/>
    <n v="2415"/>
    <n v="0"/>
    <n v="0"/>
  </r>
  <r>
    <x v="97"/>
    <x v="3"/>
    <x v="0"/>
    <n v="3095.22"/>
    <n v="0"/>
    <n v="0"/>
  </r>
  <r>
    <x v="97"/>
    <x v="4"/>
    <x v="0"/>
    <n v="3227.6"/>
    <n v="0"/>
    <n v="0"/>
  </r>
  <r>
    <x v="97"/>
    <x v="5"/>
    <x v="0"/>
    <n v="1264.07"/>
    <n v="0"/>
    <n v="0"/>
  </r>
  <r>
    <x v="97"/>
    <x v="6"/>
    <x v="0"/>
    <n v="2159.25"/>
    <n v="0"/>
    <n v="0"/>
  </r>
  <r>
    <x v="97"/>
    <x v="7"/>
    <x v="0"/>
    <n v="294.56"/>
    <n v="0"/>
    <n v="0"/>
  </r>
  <r>
    <x v="97"/>
    <x v="8"/>
    <x v="0"/>
    <n v="607.28"/>
    <n v="0"/>
    <n v="0"/>
  </r>
  <r>
    <x v="97"/>
    <x v="9"/>
    <x v="0"/>
    <n v="432.56"/>
    <n v="0"/>
    <n v="0"/>
  </r>
  <r>
    <x v="97"/>
    <x v="10"/>
    <x v="0"/>
    <n v="2115.26"/>
    <n v="0"/>
    <n v="0"/>
  </r>
  <r>
    <x v="98"/>
    <x v="0"/>
    <x v="0"/>
    <n v="1199.88"/>
    <n v="0"/>
    <n v="0"/>
  </r>
  <r>
    <x v="98"/>
    <x v="1"/>
    <x v="0"/>
    <n v="2334.79"/>
    <n v="0"/>
    <n v="0"/>
  </r>
  <r>
    <x v="98"/>
    <x v="2"/>
    <x v="0"/>
    <n v="2466.01"/>
    <n v="0"/>
    <n v="0"/>
  </r>
  <r>
    <x v="98"/>
    <x v="3"/>
    <x v="0"/>
    <n v="3062.93"/>
    <n v="0"/>
    <n v="0"/>
  </r>
  <r>
    <x v="98"/>
    <x v="4"/>
    <x v="0"/>
    <n v="3046.86"/>
    <n v="0"/>
    <n v="0"/>
  </r>
  <r>
    <x v="98"/>
    <x v="5"/>
    <x v="0"/>
    <n v="1376.06"/>
    <n v="0"/>
    <n v="0"/>
  </r>
  <r>
    <x v="98"/>
    <x v="6"/>
    <x v="0"/>
    <n v="1977.86"/>
    <n v="0"/>
    <n v="0"/>
  </r>
  <r>
    <x v="98"/>
    <x v="7"/>
    <x v="0"/>
    <n v="380.46"/>
    <n v="0"/>
    <n v="0"/>
  </r>
  <r>
    <x v="98"/>
    <x v="8"/>
    <x v="0"/>
    <n v="596.33"/>
    <n v="0"/>
    <n v="0"/>
  </r>
  <r>
    <x v="98"/>
    <x v="9"/>
    <x v="0"/>
    <n v="448.81"/>
    <n v="0"/>
    <n v="0"/>
  </r>
  <r>
    <x v="98"/>
    <x v="10"/>
    <x v="0"/>
    <n v="1930.14"/>
    <n v="0"/>
    <n v="0"/>
  </r>
  <r>
    <x v="99"/>
    <x v="0"/>
    <x v="0"/>
    <n v="1077.01"/>
    <n v="0"/>
    <n v="0"/>
  </r>
  <r>
    <x v="99"/>
    <x v="1"/>
    <x v="0"/>
    <n v="1967.98"/>
    <n v="0"/>
    <n v="0"/>
  </r>
  <r>
    <x v="99"/>
    <x v="2"/>
    <x v="0"/>
    <n v="2486.7"/>
    <n v="0"/>
    <n v="0"/>
  </r>
  <r>
    <x v="99"/>
    <x v="3"/>
    <x v="0"/>
    <n v="3095.66"/>
    <n v="0"/>
    <n v="0"/>
  </r>
  <r>
    <x v="99"/>
    <x v="4"/>
    <x v="0"/>
    <n v="3599.67"/>
    <n v="0"/>
    <n v="0"/>
  </r>
  <r>
    <x v="99"/>
    <x v="5"/>
    <x v="0"/>
    <n v="1405.57"/>
    <n v="0"/>
    <n v="0"/>
  </r>
  <r>
    <x v="99"/>
    <x v="6"/>
    <x v="0"/>
    <n v="2215.89"/>
    <n v="0"/>
    <n v="0"/>
  </r>
  <r>
    <x v="99"/>
    <x v="7"/>
    <x v="0"/>
    <n v="436.43"/>
    <n v="0"/>
    <n v="0"/>
  </r>
  <r>
    <x v="99"/>
    <x v="8"/>
    <x v="0"/>
    <n v="553.36"/>
    <n v="0"/>
    <n v="0"/>
  </r>
  <r>
    <x v="99"/>
    <x v="9"/>
    <x v="0"/>
    <n v="426.29"/>
    <n v="0"/>
    <n v="0"/>
  </r>
  <r>
    <x v="99"/>
    <x v="10"/>
    <x v="0"/>
    <n v="2078.45"/>
    <n v="0"/>
    <n v="0"/>
  </r>
  <r>
    <x v="100"/>
    <x v="0"/>
    <x v="0"/>
    <n v="1215.19"/>
    <n v="0"/>
    <n v="0"/>
  </r>
  <r>
    <x v="100"/>
    <x v="1"/>
    <x v="0"/>
    <n v="2367.34"/>
    <n v="0"/>
    <n v="0"/>
  </r>
  <r>
    <x v="100"/>
    <x v="2"/>
    <x v="0"/>
    <n v="2688.35"/>
    <n v="0"/>
    <n v="0"/>
  </r>
  <r>
    <x v="100"/>
    <x v="3"/>
    <x v="0"/>
    <n v="2959.19"/>
    <n v="0"/>
    <n v="0"/>
  </r>
  <r>
    <x v="100"/>
    <x v="4"/>
    <x v="0"/>
    <n v="3909.3"/>
    <n v="0"/>
    <n v="0"/>
  </r>
  <r>
    <x v="100"/>
    <x v="5"/>
    <x v="0"/>
    <n v="1552.24"/>
    <n v="0"/>
    <n v="0"/>
  </r>
  <r>
    <x v="100"/>
    <x v="6"/>
    <x v="0"/>
    <n v="2433.51"/>
    <n v="0"/>
    <n v="0"/>
  </r>
  <r>
    <x v="100"/>
    <x v="7"/>
    <x v="0"/>
    <n v="371.51"/>
    <n v="0"/>
    <n v="0"/>
  </r>
  <r>
    <x v="100"/>
    <x v="8"/>
    <x v="0"/>
    <n v="617.28"/>
    <n v="0"/>
    <n v="0"/>
  </r>
  <r>
    <x v="100"/>
    <x v="9"/>
    <x v="0"/>
    <n v="409.35"/>
    <n v="0"/>
    <n v="0"/>
  </r>
  <r>
    <x v="100"/>
    <x v="10"/>
    <x v="0"/>
    <n v="2216.36"/>
    <n v="0"/>
    <n v="0"/>
  </r>
  <r>
    <x v="101"/>
    <x v="0"/>
    <x v="0"/>
    <n v="1095.56"/>
    <n v="0"/>
    <n v="0"/>
  </r>
  <r>
    <x v="101"/>
    <x v="1"/>
    <x v="0"/>
    <n v="2154.87"/>
    <n v="0"/>
    <n v="0"/>
  </r>
  <r>
    <x v="101"/>
    <x v="2"/>
    <x v="0"/>
    <n v="2658.14"/>
    <n v="0"/>
    <n v="0"/>
  </r>
  <r>
    <x v="101"/>
    <x v="3"/>
    <x v="0"/>
    <n v="3266.66"/>
    <n v="0"/>
    <n v="0"/>
  </r>
  <r>
    <x v="101"/>
    <x v="4"/>
    <x v="0"/>
    <n v="3283.21"/>
    <n v="0"/>
    <n v="0"/>
  </r>
  <r>
    <x v="101"/>
    <x v="5"/>
    <x v="0"/>
    <n v="1316.07"/>
    <n v="0"/>
    <n v="0"/>
  </r>
  <r>
    <x v="101"/>
    <x v="6"/>
    <x v="0"/>
    <n v="2069.67"/>
    <n v="0"/>
    <n v="0"/>
  </r>
  <r>
    <x v="101"/>
    <x v="7"/>
    <x v="0"/>
    <n v="268.63"/>
    <n v="0"/>
    <n v="0"/>
  </r>
  <r>
    <x v="101"/>
    <x v="8"/>
    <x v="0"/>
    <n v="441.4"/>
    <n v="0"/>
    <n v="0"/>
  </r>
  <r>
    <x v="101"/>
    <x v="9"/>
    <x v="0"/>
    <n v="378.78"/>
    <n v="0"/>
    <n v="0"/>
  </r>
  <r>
    <x v="101"/>
    <x v="10"/>
    <x v="0"/>
    <n v="2081.69"/>
    <n v="0"/>
    <n v="0"/>
  </r>
  <r>
    <x v="102"/>
    <x v="0"/>
    <x v="0"/>
    <n v="1094.35"/>
    <n v="0"/>
    <n v="0"/>
  </r>
  <r>
    <x v="102"/>
    <x v="1"/>
    <x v="0"/>
    <n v="2280.8"/>
    <n v="0"/>
    <n v="0"/>
  </r>
  <r>
    <x v="102"/>
    <x v="2"/>
    <x v="0"/>
    <n v="2742.07"/>
    <n v="0"/>
    <n v="0"/>
  </r>
  <r>
    <x v="102"/>
    <x v="3"/>
    <x v="0"/>
    <n v="3003.78"/>
    <n v="0"/>
    <n v="0"/>
  </r>
  <r>
    <x v="102"/>
    <x v="4"/>
    <x v="0"/>
    <n v="3528.29"/>
    <n v="0"/>
    <n v="0"/>
  </r>
  <r>
    <x v="102"/>
    <x v="5"/>
    <x v="0"/>
    <n v="1442.93"/>
    <n v="0"/>
    <n v="0"/>
  </r>
  <r>
    <x v="102"/>
    <x v="6"/>
    <x v="0"/>
    <n v="2171.16"/>
    <n v="0"/>
    <n v="0"/>
  </r>
  <r>
    <x v="102"/>
    <x v="7"/>
    <x v="0"/>
    <n v="286.64"/>
    <n v="0"/>
    <n v="0"/>
  </r>
  <r>
    <x v="102"/>
    <x v="8"/>
    <x v="0"/>
    <n v="472.43"/>
    <n v="0"/>
    <n v="0"/>
  </r>
  <r>
    <x v="102"/>
    <x v="9"/>
    <x v="0"/>
    <n v="416.39"/>
    <n v="0"/>
    <n v="0"/>
  </r>
  <r>
    <x v="102"/>
    <x v="10"/>
    <x v="0"/>
    <n v="2189.67"/>
    <n v="0"/>
    <n v="0"/>
  </r>
  <r>
    <x v="103"/>
    <x v="0"/>
    <x v="0"/>
    <n v="1142.32"/>
    <n v="0"/>
    <n v="0"/>
  </r>
  <r>
    <x v="103"/>
    <x v="1"/>
    <x v="0"/>
    <n v="2071.93"/>
    <n v="0"/>
    <n v="0"/>
  </r>
  <r>
    <x v="103"/>
    <x v="2"/>
    <x v="0"/>
    <n v="3247.31"/>
    <n v="0"/>
    <n v="0"/>
  </r>
  <r>
    <x v="103"/>
    <x v="3"/>
    <x v="0"/>
    <n v="3124.83"/>
    <n v="0"/>
    <n v="0"/>
  </r>
  <r>
    <x v="103"/>
    <x v="4"/>
    <x v="0"/>
    <n v="3006.04"/>
    <n v="0"/>
    <n v="0"/>
  </r>
  <r>
    <x v="103"/>
    <x v="5"/>
    <x v="0"/>
    <n v="1163.05"/>
    <n v="0"/>
    <n v="0"/>
  </r>
  <r>
    <x v="103"/>
    <x v="6"/>
    <x v="0"/>
    <n v="1792.45"/>
    <n v="0"/>
    <n v="0"/>
  </r>
  <r>
    <x v="103"/>
    <x v="7"/>
    <x v="0"/>
    <n v="333.55"/>
    <n v="0"/>
    <n v="0"/>
  </r>
  <r>
    <x v="103"/>
    <x v="8"/>
    <x v="0"/>
    <n v="539.36"/>
    <n v="0"/>
    <n v="0"/>
  </r>
  <r>
    <x v="103"/>
    <x v="9"/>
    <x v="0"/>
    <n v="480.86"/>
    <n v="0"/>
    <n v="0"/>
  </r>
  <r>
    <x v="103"/>
    <x v="10"/>
    <x v="0"/>
    <n v="1865.27"/>
    <n v="0"/>
    <n v="0"/>
  </r>
  <r>
    <x v="104"/>
    <x v="0"/>
    <x v="1"/>
    <n v="1121.93"/>
    <n v="1004.26"/>
    <n v="1239.6"/>
  </r>
  <r>
    <x v="104"/>
    <x v="1"/>
    <x v="1"/>
    <n v="2391.25"/>
    <n v="2140.46"/>
    <n v="2642.04"/>
  </r>
  <r>
    <x v="104"/>
    <x v="2"/>
    <x v="1"/>
    <n v="3066.21"/>
    <n v="2744.63"/>
    <n v="3387.79"/>
  </r>
  <r>
    <x v="104"/>
    <x v="3"/>
    <x v="1"/>
    <n v="3246.69"/>
    <n v="2906.18"/>
    <n v="3587.2"/>
  </r>
  <r>
    <x v="104"/>
    <x v="4"/>
    <x v="1"/>
    <n v="3483.28"/>
    <n v="3117.96"/>
    <n v="3848.6"/>
  </r>
  <r>
    <x v="104"/>
    <x v="5"/>
    <x v="1"/>
    <n v="1350.76"/>
    <n v="1209.09"/>
    <n v="1492.43"/>
  </r>
  <r>
    <x v="104"/>
    <x v="6"/>
    <x v="1"/>
    <n v="1951.21"/>
    <n v="1746.57"/>
    <n v="2155.85"/>
  </r>
  <r>
    <x v="104"/>
    <x v="7"/>
    <x v="1"/>
    <n v="329.71"/>
    <n v="295.13"/>
    <n v="364.29"/>
  </r>
  <r>
    <x v="104"/>
    <x v="8"/>
    <x v="1"/>
    <n v="530.5"/>
    <n v="474.86"/>
    <n v="586.14"/>
  </r>
  <r>
    <x v="104"/>
    <x v="9"/>
    <x v="1"/>
    <n v="439.62"/>
    <n v="393.51"/>
    <n v="485.73"/>
  </r>
  <r>
    <x v="104"/>
    <x v="10"/>
    <x v="1"/>
    <n v="2180.63"/>
    <n v="1951.93"/>
    <n v="2409.33"/>
  </r>
  <r>
    <x v="105"/>
    <x v="0"/>
    <x v="1"/>
    <n v="1162.83"/>
    <n v="1040.87"/>
    <n v="1284.78"/>
  </r>
  <r>
    <x v="105"/>
    <x v="1"/>
    <x v="1"/>
    <n v="2585.18"/>
    <n v="2314.05"/>
    <n v="2856.31"/>
  </r>
  <r>
    <x v="105"/>
    <x v="2"/>
    <x v="1"/>
    <n v="2969.93"/>
    <n v="2658.45"/>
    <n v="3281.41"/>
  </r>
  <r>
    <x v="105"/>
    <x v="3"/>
    <x v="1"/>
    <n v="3401.38"/>
    <n v="3044.64"/>
    <n v="3758.11"/>
  </r>
  <r>
    <x v="105"/>
    <x v="4"/>
    <x v="1"/>
    <n v="3751.41"/>
    <n v="3357.96"/>
    <n v="4144.85"/>
  </r>
  <r>
    <x v="105"/>
    <x v="5"/>
    <x v="1"/>
    <n v="1572.73"/>
    <n v="1407.79"/>
    <n v="1737.68"/>
  </r>
  <r>
    <x v="105"/>
    <x v="6"/>
    <x v="1"/>
    <n v="1973.85"/>
    <n v="1766.84"/>
    <n v="2180.87"/>
  </r>
  <r>
    <x v="105"/>
    <x v="7"/>
    <x v="1"/>
    <n v="309.22"/>
    <n v="276.79"/>
    <n v="341.65"/>
  </r>
  <r>
    <x v="105"/>
    <x v="8"/>
    <x v="1"/>
    <n v="617.88"/>
    <n v="553.08"/>
    <n v="682.6799999999999"/>
  </r>
  <r>
    <x v="105"/>
    <x v="9"/>
    <x v="1"/>
    <n v="449.58"/>
    <n v="402.43"/>
    <n v="496.73"/>
  </r>
  <r>
    <x v="105"/>
    <x v="10"/>
    <x v="1"/>
    <n v="2085.39"/>
    <n v="1866.68"/>
    <n v="2304.1"/>
  </r>
  <r>
    <x v="106"/>
    <x v="0"/>
    <x v="1"/>
    <n v="1031.39"/>
    <n v="923.22"/>
    <n v="1139.56"/>
  </r>
  <r>
    <x v="106"/>
    <x v="1"/>
    <x v="1"/>
    <n v="2586.48"/>
    <n v="2315.21"/>
    <n v="2857.74"/>
  </r>
  <r>
    <x v="106"/>
    <x v="2"/>
    <x v="1"/>
    <n v="2979.8"/>
    <n v="2667.28"/>
    <n v="3292.31"/>
  </r>
  <r>
    <x v="106"/>
    <x v="3"/>
    <x v="1"/>
    <n v="3469.3"/>
    <n v="3105.44"/>
    <n v="3833.15"/>
  </r>
  <r>
    <x v="106"/>
    <x v="4"/>
    <x v="1"/>
    <n v="3441.31"/>
    <n v="3080.39"/>
    <n v="3802.23"/>
  </r>
  <r>
    <x v="106"/>
    <x v="5"/>
    <x v="1"/>
    <n v="1210.81"/>
    <n v="1083.82"/>
    <n v="1337.8"/>
  </r>
  <r>
    <x v="106"/>
    <x v="6"/>
    <x v="1"/>
    <n v="1917.86"/>
    <n v="1716.72"/>
    <n v="2119"/>
  </r>
  <r>
    <x v="106"/>
    <x v="7"/>
    <x v="1"/>
    <n v="177.48"/>
    <n v="158.87"/>
    <n v="196.09"/>
  </r>
  <r>
    <x v="106"/>
    <x v="8"/>
    <x v="1"/>
    <n v="509.52"/>
    <n v="456.08"/>
    <n v="562.96"/>
  </r>
  <r>
    <x v="106"/>
    <x v="9"/>
    <x v="1"/>
    <n v="466.03"/>
    <n v="417.16"/>
    <n v="514.91"/>
  </r>
  <r>
    <x v="106"/>
    <x v="10"/>
    <x v="1"/>
    <n v="2029.68"/>
    <n v="1816.81"/>
    <n v="2242.55"/>
  </r>
  <r>
    <x v="107"/>
    <x v="0"/>
    <x v="1"/>
    <n v="1090.61"/>
    <n v="976.23"/>
    <n v="1204.99"/>
  </r>
  <r>
    <x v="107"/>
    <x v="1"/>
    <x v="1"/>
    <n v="2631.97"/>
    <n v="2355.93"/>
    <n v="2908.01"/>
  </r>
  <r>
    <x v="107"/>
    <x v="2"/>
    <x v="1"/>
    <n v="3517.2"/>
    <n v="3148.32"/>
    <n v="3886.08"/>
  </r>
  <r>
    <x v="107"/>
    <x v="3"/>
    <x v="1"/>
    <n v="3687.06"/>
    <n v="3300.36"/>
    <n v="4073.75"/>
  </r>
  <r>
    <x v="107"/>
    <x v="4"/>
    <x v="1"/>
    <n v="3882.84"/>
    <n v="3475.61"/>
    <n v="4290.07"/>
  </r>
  <r>
    <x v="107"/>
    <x v="5"/>
    <x v="1"/>
    <n v="1556.38"/>
    <n v="1393.15"/>
    <n v="1719.61"/>
  </r>
  <r>
    <x v="107"/>
    <x v="6"/>
    <x v="1"/>
    <n v="2097.22"/>
    <n v="1877.27"/>
    <n v="2317.17"/>
  </r>
  <r>
    <x v="107"/>
    <x v="7"/>
    <x v="1"/>
    <n v="282.8"/>
    <n v="253.14"/>
    <n v="312.46"/>
  </r>
  <r>
    <x v="107"/>
    <x v="8"/>
    <x v="1"/>
    <n v="506.87"/>
    <n v="453.71"/>
    <n v="560.03"/>
  </r>
  <r>
    <x v="107"/>
    <x v="9"/>
    <x v="1"/>
    <n v="450.75"/>
    <n v="403.47"/>
    <n v="498.02"/>
  </r>
  <r>
    <x v="107"/>
    <x v="10"/>
    <x v="1"/>
    <n v="2035.34"/>
    <n v="1821.87"/>
    <n v="2248.8"/>
  </r>
  <r>
    <x v="108"/>
    <x v="0"/>
    <x v="1"/>
    <n v="1178.08"/>
    <n v="1054.53"/>
    <n v="1301.64"/>
  </r>
  <r>
    <x v="108"/>
    <x v="1"/>
    <x v="1"/>
    <n v="2620.92"/>
    <n v="2346.04"/>
    <n v="2895.8"/>
  </r>
  <r>
    <x v="108"/>
    <x v="2"/>
    <x v="1"/>
    <n v="3459.13"/>
    <n v="3096.34"/>
    <n v="3821.92"/>
  </r>
  <r>
    <x v="108"/>
    <x v="3"/>
    <x v="1"/>
    <n v="3399.07"/>
    <n v="3042.57"/>
    <n v="3755.56"/>
  </r>
  <r>
    <x v="108"/>
    <x v="4"/>
    <x v="1"/>
    <n v="3520.71"/>
    <n v="3151.46"/>
    <n v="3889.96"/>
  </r>
  <r>
    <x v="108"/>
    <x v="5"/>
    <x v="1"/>
    <n v="1420.75"/>
    <n v="1271.74"/>
    <n v="1569.76"/>
  </r>
  <r>
    <x v="108"/>
    <x v="6"/>
    <x v="1"/>
    <n v="1821.58"/>
    <n v="1630.53"/>
    <n v="2012.62"/>
  </r>
  <r>
    <x v="108"/>
    <x v="7"/>
    <x v="1"/>
    <n v="430.77"/>
    <n v="385.6"/>
    <n v="475.95"/>
  </r>
  <r>
    <x v="108"/>
    <x v="8"/>
    <x v="1"/>
    <n v="487.36"/>
    <n v="436.25"/>
    <n v="538.48"/>
  </r>
  <r>
    <x v="108"/>
    <x v="9"/>
    <x v="1"/>
    <n v="545.71"/>
    <n v="488.48"/>
    <n v="602.9400000000001"/>
  </r>
  <r>
    <x v="108"/>
    <x v="10"/>
    <x v="1"/>
    <n v="2068.47"/>
    <n v="1851.53"/>
    <n v="2285.41"/>
  </r>
  <r>
    <x v="109"/>
    <x v="0"/>
    <x v="1"/>
    <n v="1119"/>
    <n v="1001.64"/>
    <n v="1236.36"/>
  </r>
  <r>
    <x v="109"/>
    <x v="1"/>
    <x v="1"/>
    <n v="2666.12"/>
    <n v="2386.5"/>
    <n v="2945.74"/>
  </r>
  <r>
    <x v="109"/>
    <x v="2"/>
    <x v="1"/>
    <n v="3452.29"/>
    <n v="3090.21"/>
    <n v="3814.36"/>
  </r>
  <r>
    <x v="109"/>
    <x v="3"/>
    <x v="1"/>
    <n v="3567.24"/>
    <n v="3193.11"/>
    <n v="3941.37"/>
  </r>
  <r>
    <x v="109"/>
    <x v="4"/>
    <x v="1"/>
    <n v="4000.31"/>
    <n v="3580.76"/>
    <n v="4419.86"/>
  </r>
  <r>
    <x v="109"/>
    <x v="5"/>
    <x v="1"/>
    <n v="1265.36"/>
    <n v="1132.65"/>
    <n v="1398.08"/>
  </r>
  <r>
    <x v="109"/>
    <x v="6"/>
    <x v="1"/>
    <n v="1860.82"/>
    <n v="1665.66"/>
    <n v="2055.98"/>
  </r>
  <r>
    <x v="109"/>
    <x v="7"/>
    <x v="1"/>
    <n v="277.4"/>
    <n v="248.3"/>
    <n v="306.49"/>
  </r>
  <r>
    <x v="109"/>
    <x v="8"/>
    <x v="1"/>
    <n v="651.27"/>
    <n v="582.97"/>
    <n v="719.58"/>
  </r>
  <r>
    <x v="109"/>
    <x v="9"/>
    <x v="1"/>
    <n v="537.08"/>
    <n v="480.75"/>
    <n v="593.41"/>
  </r>
  <r>
    <x v="109"/>
    <x v="10"/>
    <x v="1"/>
    <n v="2067.71"/>
    <n v="1850.85"/>
    <n v="2284.57"/>
  </r>
  <r>
    <x v="110"/>
    <x v="0"/>
    <x v="1"/>
    <n v="1052.16"/>
    <n v="941.8099999999999"/>
    <n v="1162.51"/>
  </r>
  <r>
    <x v="110"/>
    <x v="1"/>
    <x v="1"/>
    <n v="2189.28"/>
    <n v="1959.67"/>
    <n v="2418.89"/>
  </r>
  <r>
    <x v="110"/>
    <x v="2"/>
    <x v="1"/>
    <n v="3652.59"/>
    <n v="3269.51"/>
    <n v="4035.67"/>
  </r>
  <r>
    <x v="110"/>
    <x v="3"/>
    <x v="1"/>
    <n v="3424.13"/>
    <n v="3065.01"/>
    <n v="3783.25"/>
  </r>
  <r>
    <x v="110"/>
    <x v="4"/>
    <x v="1"/>
    <n v="3447.88"/>
    <n v="3086.27"/>
    <n v="3809.49"/>
  </r>
  <r>
    <x v="110"/>
    <x v="5"/>
    <x v="1"/>
    <n v="1337.14"/>
    <n v="1196.9"/>
    <n v="1477.38"/>
  </r>
  <r>
    <x v="110"/>
    <x v="6"/>
    <x v="1"/>
    <n v="1957.49"/>
    <n v="1752.19"/>
    <n v="2162.79"/>
  </r>
  <r>
    <x v="110"/>
    <x v="7"/>
    <x v="1"/>
    <n v="467.65"/>
    <n v="418.6"/>
    <n v="516.7"/>
  </r>
  <r>
    <x v="110"/>
    <x v="8"/>
    <x v="1"/>
    <n v="544.77"/>
    <n v="487.64"/>
    <n v="601.91"/>
  </r>
  <r>
    <x v="110"/>
    <x v="9"/>
    <x v="1"/>
    <n v="590.67"/>
    <n v="528.73"/>
    <n v="652.62"/>
  </r>
  <r>
    <x v="110"/>
    <x v="10"/>
    <x v="1"/>
    <n v="1966.04"/>
    <n v="1759.84"/>
    <n v="2172.24"/>
  </r>
  <r>
    <x v="111"/>
    <x v="0"/>
    <x v="1"/>
    <n v="1320.38"/>
    <n v="1181.9"/>
    <n v="1458.86"/>
  </r>
  <r>
    <x v="111"/>
    <x v="1"/>
    <x v="1"/>
    <n v="3233.24"/>
    <n v="2894.14"/>
    <n v="3572.34"/>
  </r>
  <r>
    <x v="111"/>
    <x v="2"/>
    <x v="1"/>
    <n v="4096.96"/>
    <n v="3667.28"/>
    <n v="4526.65"/>
  </r>
  <r>
    <x v="111"/>
    <x v="3"/>
    <x v="1"/>
    <n v="3446.16"/>
    <n v="3084.73"/>
    <n v="3807.59"/>
  </r>
  <r>
    <x v="111"/>
    <x v="4"/>
    <x v="1"/>
    <n v="3949.81"/>
    <n v="3535.56"/>
    <n v="4364.06"/>
  </r>
  <r>
    <x v="111"/>
    <x v="5"/>
    <x v="1"/>
    <n v="1580.03"/>
    <n v="1414.32"/>
    <n v="1745.75"/>
  </r>
  <r>
    <x v="111"/>
    <x v="6"/>
    <x v="1"/>
    <n v="2143.49"/>
    <n v="1918.68"/>
    <n v="2368.3"/>
  </r>
  <r>
    <x v="111"/>
    <x v="7"/>
    <x v="1"/>
    <n v="398.13"/>
    <n v="356.37"/>
    <n v="439.88"/>
  </r>
  <r>
    <x v="111"/>
    <x v="8"/>
    <x v="1"/>
    <n v="722.9299999999999"/>
    <n v="647.11"/>
    <n v="798.75"/>
  </r>
  <r>
    <x v="111"/>
    <x v="9"/>
    <x v="1"/>
    <n v="591.16"/>
    <n v="529.16"/>
    <n v="653.16"/>
  </r>
  <r>
    <x v="111"/>
    <x v="10"/>
    <x v="1"/>
    <n v="2307.98"/>
    <n v="2065.93"/>
    <n v="2550.04"/>
  </r>
  <r>
    <x v="112"/>
    <x v="0"/>
    <x v="1"/>
    <n v="1221.49"/>
    <n v="1093.39"/>
    <n v="1349.6"/>
  </r>
  <r>
    <x v="112"/>
    <x v="1"/>
    <x v="1"/>
    <n v="2828.07"/>
    <n v="2531.46"/>
    <n v="3124.67"/>
  </r>
  <r>
    <x v="112"/>
    <x v="2"/>
    <x v="1"/>
    <n v="4205.46"/>
    <n v="3764.39"/>
    <n v="4646.52"/>
  </r>
  <r>
    <x v="112"/>
    <x v="3"/>
    <x v="1"/>
    <n v="3811.63"/>
    <n v="3411.87"/>
    <n v="4211.39"/>
  </r>
  <r>
    <x v="112"/>
    <x v="4"/>
    <x v="1"/>
    <n v="4275.73"/>
    <n v="3827.3"/>
    <n v="4724.16"/>
  </r>
  <r>
    <x v="112"/>
    <x v="5"/>
    <x v="1"/>
    <n v="1186.39"/>
    <n v="1061.96"/>
    <n v="1310.82"/>
  </r>
  <r>
    <x v="112"/>
    <x v="6"/>
    <x v="1"/>
    <n v="2136.78"/>
    <n v="1912.67"/>
    <n v="2360.88"/>
  </r>
  <r>
    <x v="112"/>
    <x v="7"/>
    <x v="1"/>
    <n v="262.13"/>
    <n v="234.64"/>
    <n v="289.62"/>
  </r>
  <r>
    <x v="112"/>
    <x v="8"/>
    <x v="1"/>
    <n v="504.78"/>
    <n v="451.84"/>
    <n v="557.72"/>
  </r>
  <r>
    <x v="112"/>
    <x v="9"/>
    <x v="1"/>
    <n v="567.3200000000001"/>
    <n v="507.82"/>
    <n v="626.8200000000001"/>
  </r>
  <r>
    <x v="112"/>
    <x v="10"/>
    <x v="1"/>
    <n v="2215.2"/>
    <n v="1982.87"/>
    <n v="2447.53"/>
  </r>
  <r>
    <x v="113"/>
    <x v="0"/>
    <x v="1"/>
    <n v="1340.84"/>
    <n v="1200.22"/>
    <n v="1481.47"/>
  </r>
  <r>
    <x v="113"/>
    <x v="1"/>
    <x v="1"/>
    <n v="3152.98"/>
    <n v="2822.29"/>
    <n v="3483.66"/>
  </r>
  <r>
    <x v="113"/>
    <x v="2"/>
    <x v="1"/>
    <n v="4081.3"/>
    <n v="3653.26"/>
    <n v="4509.34"/>
  </r>
  <r>
    <x v="113"/>
    <x v="3"/>
    <x v="1"/>
    <n v="3682.7"/>
    <n v="3296.46"/>
    <n v="4068.94"/>
  </r>
  <r>
    <x v="113"/>
    <x v="4"/>
    <x v="1"/>
    <n v="4228.33"/>
    <n v="3784.87"/>
    <n v="4671.79"/>
  </r>
  <r>
    <x v="113"/>
    <x v="5"/>
    <x v="1"/>
    <n v="1550.71"/>
    <n v="1388.07"/>
    <n v="1713.34"/>
  </r>
  <r>
    <x v="113"/>
    <x v="6"/>
    <x v="1"/>
    <n v="1848.32"/>
    <n v="1654.47"/>
    <n v="2042.17"/>
  </r>
  <r>
    <x v="113"/>
    <x v="7"/>
    <x v="1"/>
    <n v="348.1"/>
    <n v="311.59"/>
    <n v="384.6"/>
  </r>
  <r>
    <x v="113"/>
    <x v="8"/>
    <x v="1"/>
    <n v="496.62"/>
    <n v="444.53"/>
    <n v="548.7"/>
  </r>
  <r>
    <x v="113"/>
    <x v="9"/>
    <x v="1"/>
    <n v="618.83"/>
    <n v="553.9299999999999"/>
    <n v="683.73"/>
  </r>
  <r>
    <x v="113"/>
    <x v="10"/>
    <x v="1"/>
    <n v="1919.31"/>
    <n v="1718.02"/>
    <n v="2120.61"/>
  </r>
  <r>
    <x v="114"/>
    <x v="0"/>
    <x v="1"/>
    <n v="1174.56"/>
    <n v="1051.37"/>
    <n v="1297.75"/>
  </r>
  <r>
    <x v="114"/>
    <x v="1"/>
    <x v="1"/>
    <n v="2597.9"/>
    <n v="2325.43"/>
    <n v="2870.36"/>
  </r>
  <r>
    <x v="114"/>
    <x v="2"/>
    <x v="1"/>
    <n v="3939.21"/>
    <n v="3526.07"/>
    <n v="4352.35"/>
  </r>
  <r>
    <x v="114"/>
    <x v="3"/>
    <x v="1"/>
    <n v="3079.59"/>
    <n v="2756.61"/>
    <n v="3402.58"/>
  </r>
  <r>
    <x v="114"/>
    <x v="4"/>
    <x v="1"/>
    <n v="3705.48"/>
    <n v="3316.85"/>
    <n v="4094.1"/>
  </r>
  <r>
    <x v="114"/>
    <x v="5"/>
    <x v="1"/>
    <n v="1416.25"/>
    <n v="1267.72"/>
    <n v="1564.79"/>
  </r>
  <r>
    <x v="114"/>
    <x v="6"/>
    <x v="1"/>
    <n v="1797.62"/>
    <n v="1609.09"/>
    <n v="1986.15"/>
  </r>
  <r>
    <x v="114"/>
    <x v="7"/>
    <x v="1"/>
    <n v="299.1"/>
    <n v="267.73"/>
    <n v="330.47"/>
  </r>
  <r>
    <x v="114"/>
    <x v="8"/>
    <x v="1"/>
    <n v="532.51"/>
    <n v="476.66"/>
    <n v="588.36"/>
  </r>
  <r>
    <x v="114"/>
    <x v="9"/>
    <x v="1"/>
    <n v="542.86"/>
    <n v="485.93"/>
    <n v="599.79"/>
  </r>
  <r>
    <x v="114"/>
    <x v="10"/>
    <x v="1"/>
    <n v="1848.61"/>
    <n v="1654.73"/>
    <n v="2042.49"/>
  </r>
  <r>
    <x v="115"/>
    <x v="0"/>
    <x v="1"/>
    <n v="998.67"/>
    <n v="893.9299999999999"/>
    <n v="1103.41"/>
  </r>
  <r>
    <x v="115"/>
    <x v="1"/>
    <x v="1"/>
    <n v="2642.79"/>
    <n v="2365.62"/>
    <n v="2919.96"/>
  </r>
  <r>
    <x v="115"/>
    <x v="2"/>
    <x v="1"/>
    <n v="3653.29"/>
    <n v="3270.13"/>
    <n v="4036.44"/>
  </r>
  <r>
    <x v="115"/>
    <x v="3"/>
    <x v="1"/>
    <n v="2936"/>
    <n v="2628.07"/>
    <n v="3243.92"/>
  </r>
  <r>
    <x v="115"/>
    <x v="4"/>
    <x v="1"/>
    <n v="3539.67"/>
    <n v="3168.43"/>
    <n v="3910.9"/>
  </r>
  <r>
    <x v="115"/>
    <x v="5"/>
    <x v="1"/>
    <n v="1303.35"/>
    <n v="1166.65"/>
    <n v="1440.04"/>
  </r>
  <r>
    <x v="115"/>
    <x v="6"/>
    <x v="1"/>
    <n v="1635.6"/>
    <n v="1464.06"/>
    <n v="1807.14"/>
  </r>
  <r>
    <x v="115"/>
    <x v="7"/>
    <x v="1"/>
    <n v="269.76"/>
    <n v="241.47"/>
    <n v="298.05"/>
  </r>
  <r>
    <x v="115"/>
    <x v="8"/>
    <x v="1"/>
    <n v="542.7"/>
    <n v="485.78"/>
    <n v="599.62"/>
  </r>
  <r>
    <x v="115"/>
    <x v="9"/>
    <x v="1"/>
    <n v="562.09"/>
    <n v="503.13"/>
    <n v="621.04"/>
  </r>
  <r>
    <x v="115"/>
    <x v="10"/>
    <x v="1"/>
    <n v="1944.33"/>
    <n v="1740.41"/>
    <n v="2148.25"/>
  </r>
  <r>
    <x v="116"/>
    <x v="0"/>
    <x v="1"/>
    <n v="1052.19"/>
    <n v="941.84"/>
    <n v="1162.55"/>
  </r>
  <r>
    <x v="116"/>
    <x v="1"/>
    <x v="1"/>
    <n v="2814.66"/>
    <n v="2519.46"/>
    <n v="3109.86"/>
  </r>
  <r>
    <x v="116"/>
    <x v="2"/>
    <x v="1"/>
    <n v="3349.38"/>
    <n v="2998.1"/>
    <n v="3700.66"/>
  </r>
  <r>
    <x v="116"/>
    <x v="3"/>
    <x v="1"/>
    <n v="2574.34"/>
    <n v="2304.35"/>
    <n v="2844.34"/>
  </r>
  <r>
    <x v="116"/>
    <x v="4"/>
    <x v="1"/>
    <n v="3396.52"/>
    <n v="3040.3"/>
    <n v="3752.75"/>
  </r>
  <r>
    <x v="116"/>
    <x v="5"/>
    <x v="1"/>
    <n v="1295.84"/>
    <n v="1159.94"/>
    <n v="1431.75"/>
  </r>
  <r>
    <x v="116"/>
    <x v="6"/>
    <x v="1"/>
    <n v="1406.14"/>
    <n v="1258.66"/>
    <n v="1553.61"/>
  </r>
  <r>
    <x v="116"/>
    <x v="7"/>
    <x v="1"/>
    <n v="423.26"/>
    <n v="378.87"/>
    <n v="467.65"/>
  </r>
  <r>
    <x v="116"/>
    <x v="8"/>
    <x v="1"/>
    <n v="437.22"/>
    <n v="391.36"/>
    <n v="483.07"/>
  </r>
  <r>
    <x v="116"/>
    <x v="9"/>
    <x v="1"/>
    <n v="484.83"/>
    <n v="433.98"/>
    <n v="535.6799999999999"/>
  </r>
  <r>
    <x v="116"/>
    <x v="10"/>
    <x v="1"/>
    <n v="1702.19"/>
    <n v="1523.67"/>
    <n v="1880.7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:B20" firstHeaderRow="1" firstDataRow="1" firstDataCol="1" rowPageCount="1" colPageCount="1"/>
  <pivotFields count="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Items count="1">
    <i t="data" r="0" i="0"/>
  </colItems>
  <pageFields count="1">
    <pageField fld="2" hier="-1"/>
  </pageFields>
  <dataFields count="1">
    <dataField name="Sales" fld="3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5:D144" firstHeaderRow="1" firstDataRow="2" firstDataCol="1"/>
  <pivotFields count="6">
    <pivotField axis="axisRow" showDropDowns="1" compact="1" outline="1" subtotalTop="1" dragToRow="1" dragToCol="1" dragToPage="1" dragToData="1" dragOff="1" showAll="0" topAutoShow="1" itemPageCount="10" sortType="manual" defaultSubtotal="1">
      <items count="11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1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Sales" fld="3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F1288" headerRowCount="1">
  <autoFilter ref="A1:F1288"/>
  <tableColumns count="6">
    <tableColumn id="1" name="Week start"/>
    <tableColumn id="2" name="Category"/>
    <tableColumn id="3" name="Type"/>
    <tableColumn id="4" name="Sales"/>
    <tableColumn id="5" name="Low"/>
    <tableColumn id="6" name="Hig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13-week sales forecast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from 12 Oct 2026 · data to 11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NEXT 13 WEEKS</t>
        </is>
      </c>
      <c r="D9" s="9" t="n"/>
      <c r="E9" s="8" t="inlineStr">
        <is>
          <t>LOW</t>
        </is>
      </c>
      <c r="G9" s="9" t="n"/>
      <c r="H9" s="8" t="inlineStr">
        <is>
          <t>HIGH</t>
        </is>
      </c>
      <c r="J9" s="9" t="n"/>
      <c r="K9" s="8" t="inlineStr">
        <is>
          <t>VS LAST YEAR</t>
        </is>
      </c>
      <c r="M9" s="9" t="n"/>
    </row>
    <row r="10">
      <c r="B10" s="10">
        <f>Model!$C$21</f>
        <v>275748.62</v>
      </c>
      <c r="D10" s="9" t="n"/>
      <c r="E10" s="10">
        <f>Model!$D$21</f>
        <v>246828.36</v>
      </c>
      <c r="G10" s="9" t="n"/>
      <c r="H10" s="10">
        <f>Model!$E$21</f>
        <v>304668.81</v>
      </c>
      <c r="J10" s="9" t="n"/>
      <c r="K10" s="11">
        <f>Model!$G$21</f>
        <v>0.0385519180633989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  <row r="13">
      <c r="B13" s="8" t="inlineStr">
        <is>
          <t>NEXT WEEK</t>
        </is>
      </c>
      <c r="D13" s="9" t="n"/>
      <c r="E13" s="8" t="inlineStr">
        <is>
          <t>PLAN INCL. UPLIFT</t>
        </is>
      </c>
      <c r="G13" s="9" t="n"/>
      <c r="H13" s="8" t="inlineStr">
        <is>
          <t>LAST 13 WEEKS</t>
        </is>
      </c>
      <c r="J13" s="9" t="n"/>
      <c r="K13" s="8" t="inlineStr">
        <is>
          <t>LAST 13 WEEKS YOY</t>
        </is>
      </c>
      <c r="M13" s="9" t="n"/>
    </row>
    <row r="14">
      <c r="B14" s="10">
        <f>Model!$C$8</f>
        <v>20091.79</v>
      </c>
      <c r="D14" s="9" t="n"/>
      <c r="E14" s="10">
        <f>Model!$I$21</f>
        <v>275748.62</v>
      </c>
      <c r="G14" s="9" t="n"/>
      <c r="H14" s="10">
        <f>Model!$C$40</f>
        <v>248707.06</v>
      </c>
      <c r="J14" s="9" t="n"/>
      <c r="K14" s="11">
        <f>Model!$E$40</f>
        <v>0.0448807882420765</v>
      </c>
      <c r="M14" s="9" t="n"/>
    </row>
    <row r="15">
      <c r="B15" s="9" t="n"/>
      <c r="D15" s="9" t="n"/>
      <c r="E15" s="9" t="n"/>
      <c r="G15" s="9" t="n"/>
      <c r="H15" s="9" t="n"/>
      <c r="J15" s="9" t="n"/>
      <c r="K15" s="9" t="n"/>
      <c r="M15" s="9" t="n"/>
    </row>
  </sheetData>
  <mergeCells count="24">
    <mergeCell ref="H10:I10"/>
    <mergeCell ref="K15:L15"/>
    <mergeCell ref="K9:L9"/>
    <mergeCell ref="E14:F14"/>
    <mergeCell ref="H9:I9"/>
    <mergeCell ref="K11:L11"/>
    <mergeCell ref="B11:C11"/>
    <mergeCell ref="E10:F10"/>
    <mergeCell ref="B14:C14"/>
    <mergeCell ref="E13:F13"/>
    <mergeCell ref="E9:F9"/>
    <mergeCell ref="B13:C13"/>
    <mergeCell ref="H11:I11"/>
    <mergeCell ref="E15:F15"/>
    <mergeCell ref="B10:C10"/>
    <mergeCell ref="E11:F11"/>
    <mergeCell ref="B9:C9"/>
    <mergeCell ref="H13:I13"/>
    <mergeCell ref="K14:L14"/>
    <mergeCell ref="B15:C15"/>
    <mergeCell ref="K10:L10"/>
    <mergeCell ref="H15:I15"/>
    <mergeCell ref="H14:I14"/>
    <mergeCell ref="K13:L13"/>
  </mergeCells>
  <dataValidations count="1">
    <dataValidation sqref="B6" showDropDown="0" showInputMessage="0" showErrorMessage="0" allowBlank="0" promptTitle="Category" prompt="Pick a category or All" type="list">
      <formula1>=Lookup!$M$6:$M$17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2" t="inlineStr">
        <is>
          <t>13-week forecast</t>
        </is>
      </c>
    </row>
    <row r="7" ht="28" customHeight="1">
      <c r="B7" s="13" t="inlineStr">
        <is>
          <t>Week starting</t>
        </is>
      </c>
      <c r="C7" s="13" t="inlineStr">
        <is>
          <t>Forecast</t>
        </is>
      </c>
      <c r="D7" s="13" t="inlineStr">
        <is>
          <t>Low</t>
        </is>
      </c>
      <c r="E7" s="13" t="inlineStr">
        <is>
          <t>High</t>
        </is>
      </c>
      <c r="F7" s="13" t="inlineStr">
        <is>
          <t>Last year</t>
        </is>
      </c>
      <c r="G7" s="13" t="inlineStr">
        <is>
          <t>vs LY</t>
        </is>
      </c>
      <c r="H7" s="13" t="inlineStr">
        <is>
          <t>Uplift ($)</t>
        </is>
      </c>
      <c r="I7" s="13" t="inlineStr">
        <is>
          <t>Plan</t>
        </is>
      </c>
    </row>
    <row r="8">
      <c r="B8" s="14" t="n">
        <v>46307</v>
      </c>
      <c r="C8" s="15">
        <f>SUMIFS(Raw!$D$2:$D$1288,Raw!$C$2:$C$1288,"Forecast",Raw!$B$2:$B$1288,CatCrit,Raw!$A$2:$A$1288,$B8)</f>
        <v>20091.79</v>
      </c>
      <c r="D8" s="15">
        <f>SUMIFS(Raw!$E$2:$E$1288,Raw!$C$2:$C$1288,"Forecast",Raw!$B$2:$B$1288,CatCrit,Raw!$A$2:$A$1288,$B8)</f>
        <v>17984.58</v>
      </c>
      <c r="E8" s="15">
        <f>SUMIFS(Raw!$F$2:$F$1288,Raw!$C$2:$C$1288,"Forecast",Raw!$B$2:$B$1288,CatCrit,Raw!$A$2:$A$1288,$B8)</f>
        <v>22199</v>
      </c>
      <c r="F8" s="15">
        <f>SUMIFS(Raw!$D$2:$D$1288,Raw!$C$2:$C$1288,"Actual",Raw!$B$2:$B$1288,CatCrit,Raw!$A$2:$A$1288,$B8-364)</f>
        <v>19730.9</v>
      </c>
      <c r="G8" s="16">
        <f>IFERROR(C8/F8-1,0)</f>
        <v>0.0182906000233136</v>
      </c>
      <c r="H8" s="15">
        <f>C8*Assumptions!$C$6</f>
        <v>0</v>
      </c>
      <c r="I8" s="15">
        <f>C8+H8</f>
        <v>20091.79</v>
      </c>
    </row>
    <row r="9">
      <c r="B9" s="14" t="n">
        <v>46314</v>
      </c>
      <c r="C9" s="15">
        <f>SUMIFS(Raw!$D$2:$D$1288,Raw!$C$2:$C$1288,"Forecast",Raw!$B$2:$B$1288,CatCrit,Raw!$A$2:$A$1288,$B9)</f>
        <v>20879.38</v>
      </c>
      <c r="D9" s="15">
        <f>SUMIFS(Raw!$E$2:$E$1288,Raw!$C$2:$C$1288,"Forecast",Raw!$B$2:$B$1288,CatCrit,Raw!$A$2:$A$1288,$B9)</f>
        <v>18689.58</v>
      </c>
      <c r="E9" s="15">
        <f>SUMIFS(Raw!$F$2:$F$1288,Raw!$C$2:$C$1288,"Forecast",Raw!$B$2:$B$1288,CatCrit,Raw!$A$2:$A$1288,$B9)</f>
        <v>23069.17</v>
      </c>
      <c r="F9" s="15">
        <f>SUMIFS(Raw!$D$2:$D$1288,Raw!$C$2:$C$1288,"Actual",Raw!$B$2:$B$1288,CatCrit,Raw!$A$2:$A$1288,$B9-364)</f>
        <v>20287.84</v>
      </c>
      <c r="G9" s="16">
        <f>IFERROR(C9/F9-1,0)</f>
        <v>0.0291573671716654</v>
      </c>
      <c r="H9" s="15">
        <f>C9*Assumptions!$C$6</f>
        <v>0</v>
      </c>
      <c r="I9" s="15">
        <f>C9+H9</f>
        <v>20879.38</v>
      </c>
    </row>
    <row r="10">
      <c r="B10" s="14" t="n">
        <v>46321</v>
      </c>
      <c r="C10" s="15">
        <f>SUMIFS(Raw!$D$2:$D$1288,Raw!$C$2:$C$1288,"Forecast",Raw!$B$2:$B$1288,CatCrit,Raw!$A$2:$A$1288,$B10)</f>
        <v>19819.66</v>
      </c>
      <c r="D10" s="15">
        <f>SUMIFS(Raw!$E$2:$E$1288,Raw!$C$2:$C$1288,"Forecast",Raw!$B$2:$B$1288,CatCrit,Raw!$A$2:$A$1288,$B10)</f>
        <v>17741</v>
      </c>
      <c r="E10" s="15">
        <f>SUMIFS(Raw!$F$2:$F$1288,Raw!$C$2:$C$1288,"Forecast",Raw!$B$2:$B$1288,CatCrit,Raw!$A$2:$A$1288,$B10)</f>
        <v>21898.3</v>
      </c>
      <c r="F10" s="15">
        <f>SUMIFS(Raw!$D$2:$D$1288,Raw!$C$2:$C$1288,"Actual",Raw!$B$2:$B$1288,CatCrit,Raw!$A$2:$A$1288,$B10-364)</f>
        <v>19131.24</v>
      </c>
      <c r="G10" s="16">
        <f>IFERROR(C10/F10-1,0)</f>
        <v>0.0359840763066064</v>
      </c>
      <c r="H10" s="15">
        <f>C10*Assumptions!$C$6</f>
        <v>0</v>
      </c>
      <c r="I10" s="15">
        <f>C10+H10</f>
        <v>19819.66</v>
      </c>
    </row>
    <row r="11">
      <c r="B11" s="14" t="n">
        <v>46328</v>
      </c>
      <c r="C11" s="15">
        <f>SUMIFS(Raw!$D$2:$D$1288,Raw!$C$2:$C$1288,"Forecast",Raw!$B$2:$B$1288,CatCrit,Raw!$A$2:$A$1288,$B11)</f>
        <v>21739.04</v>
      </c>
      <c r="D11" s="15">
        <f>SUMIFS(Raw!$E$2:$E$1288,Raw!$C$2:$C$1288,"Forecast",Raw!$B$2:$B$1288,CatCrit,Raw!$A$2:$A$1288,$B11)</f>
        <v>19459.06</v>
      </c>
      <c r="E11" s="15">
        <f>SUMIFS(Raw!$F$2:$F$1288,Raw!$C$2:$C$1288,"Forecast",Raw!$B$2:$B$1288,CatCrit,Raw!$A$2:$A$1288,$B11)</f>
        <v>24018.99</v>
      </c>
      <c r="F11" s="15">
        <f>SUMIFS(Raw!$D$2:$D$1288,Raw!$C$2:$C$1288,"Actual",Raw!$B$2:$B$1288,CatCrit,Raw!$A$2:$A$1288,$B11-364)</f>
        <v>20871.64</v>
      </c>
      <c r="G11" s="16">
        <f>IFERROR(C11/F11-1,0)</f>
        <v>0.0415587850307884</v>
      </c>
      <c r="H11" s="15">
        <f>C11*Assumptions!$C$6</f>
        <v>0</v>
      </c>
      <c r="I11" s="15">
        <f>C11+H11</f>
        <v>21739.04</v>
      </c>
    </row>
    <row r="12">
      <c r="B12" s="14" t="n">
        <v>46335</v>
      </c>
      <c r="C12" s="15">
        <f>SUMIFS(Raw!$D$2:$D$1288,Raw!$C$2:$C$1288,"Forecast",Raw!$B$2:$B$1288,CatCrit,Raw!$A$2:$A$1288,$B12)</f>
        <v>20952.55</v>
      </c>
      <c r="D12" s="15">
        <f>SUMIFS(Raw!$E$2:$E$1288,Raw!$C$2:$C$1288,"Forecast",Raw!$B$2:$B$1288,CatCrit,Raw!$A$2:$A$1288,$B12)</f>
        <v>18755.07</v>
      </c>
      <c r="E12" s="15">
        <f>SUMIFS(Raw!$F$2:$F$1288,Raw!$C$2:$C$1288,"Forecast",Raw!$B$2:$B$1288,CatCrit,Raw!$A$2:$A$1288,$B12)</f>
        <v>23150.04</v>
      </c>
      <c r="F12" s="15">
        <f>SUMIFS(Raw!$D$2:$D$1288,Raw!$C$2:$C$1288,"Actual",Raw!$B$2:$B$1288,CatCrit,Raw!$A$2:$A$1288,$B12-364)</f>
        <v>20104.45</v>
      </c>
      <c r="G12" s="16">
        <f>IFERROR(C12/F12-1,0)</f>
        <v>0.0421846904541034</v>
      </c>
      <c r="H12" s="15">
        <f>C12*Assumptions!$C$6</f>
        <v>0</v>
      </c>
      <c r="I12" s="15">
        <f>C12+H12</f>
        <v>20952.55</v>
      </c>
    </row>
    <row r="13">
      <c r="B13" s="14" t="n">
        <v>46342</v>
      </c>
      <c r="C13" s="15">
        <f>SUMIFS(Raw!$D$2:$D$1288,Raw!$C$2:$C$1288,"Forecast",Raw!$B$2:$B$1288,CatCrit,Raw!$A$2:$A$1288,$B13)</f>
        <v>21464.6</v>
      </c>
      <c r="D13" s="15">
        <f>SUMIFS(Raw!$E$2:$E$1288,Raw!$C$2:$C$1288,"Forecast",Raw!$B$2:$B$1288,CatCrit,Raw!$A$2:$A$1288,$B13)</f>
        <v>19213.4</v>
      </c>
      <c r="E13" s="15">
        <f>SUMIFS(Raw!$F$2:$F$1288,Raw!$C$2:$C$1288,"Forecast",Raw!$B$2:$B$1288,CatCrit,Raw!$A$2:$A$1288,$B13)</f>
        <v>23715.8</v>
      </c>
      <c r="F13" s="15">
        <f>SUMIFS(Raw!$D$2:$D$1288,Raw!$C$2:$C$1288,"Actual",Raw!$B$2:$B$1288,CatCrit,Raw!$A$2:$A$1288,$B13-364)</f>
        <v>20621.97</v>
      </c>
      <c r="G13" s="16">
        <f>IFERROR(C13/F13-1,0)</f>
        <v>0.0408607907004033</v>
      </c>
      <c r="H13" s="15">
        <f>C13*Assumptions!$C$6</f>
        <v>0</v>
      </c>
      <c r="I13" s="15">
        <f>C13+H13</f>
        <v>21464.6</v>
      </c>
    </row>
    <row r="14">
      <c r="B14" s="14" t="n">
        <v>46349</v>
      </c>
      <c r="C14" s="15">
        <f>SUMIFS(Raw!$D$2:$D$1288,Raw!$C$2:$C$1288,"Forecast",Raw!$B$2:$B$1288,CatCrit,Raw!$A$2:$A$1288,$B14)</f>
        <v>20629.8</v>
      </c>
      <c r="D14" s="15">
        <f>SUMIFS(Raw!$E$2:$E$1288,Raw!$C$2:$C$1288,"Forecast",Raw!$B$2:$B$1288,CatCrit,Raw!$A$2:$A$1288,$B14)</f>
        <v>18466.17</v>
      </c>
      <c r="E14" s="15">
        <f>SUMIFS(Raw!$F$2:$F$1288,Raw!$C$2:$C$1288,"Forecast",Raw!$B$2:$B$1288,CatCrit,Raw!$A$2:$A$1288,$B14)</f>
        <v>22793.45</v>
      </c>
      <c r="F14" s="15">
        <f>SUMIFS(Raw!$D$2:$D$1288,Raw!$C$2:$C$1288,"Actual",Raw!$B$2:$B$1288,CatCrit,Raw!$A$2:$A$1288,$B14-364)</f>
        <v>19774</v>
      </c>
      <c r="G14" s="16">
        <f>IFERROR(C14/F14-1,0)</f>
        <v>0.0432790533023162</v>
      </c>
      <c r="H14" s="15">
        <f>C14*Assumptions!$C$6</f>
        <v>0</v>
      </c>
      <c r="I14" s="15">
        <f>C14+H14</f>
        <v>20629.8</v>
      </c>
    </row>
    <row r="15">
      <c r="B15" s="14" t="n">
        <v>46356</v>
      </c>
      <c r="C15" s="15">
        <f>SUMIFS(Raw!$D$2:$D$1288,Raw!$C$2:$C$1288,"Forecast",Raw!$B$2:$B$1288,CatCrit,Raw!$A$2:$A$1288,$B15)</f>
        <v>23790.27</v>
      </c>
      <c r="D15" s="15">
        <f>SUMIFS(Raw!$E$2:$E$1288,Raw!$C$2:$C$1288,"Forecast",Raw!$B$2:$B$1288,CatCrit,Raw!$A$2:$A$1288,$B15)</f>
        <v>21295.18</v>
      </c>
      <c r="E15" s="15">
        <f>SUMIFS(Raw!$F$2:$F$1288,Raw!$C$2:$C$1288,"Forecast",Raw!$B$2:$B$1288,CatCrit,Raw!$A$2:$A$1288,$B15)</f>
        <v>26285.38</v>
      </c>
      <c r="F15" s="15">
        <f>SUMIFS(Raw!$D$2:$D$1288,Raw!$C$2:$C$1288,"Actual",Raw!$B$2:$B$1288,CatCrit,Raw!$A$2:$A$1288,$B15-364)</f>
        <v>22840.79</v>
      </c>
      <c r="G15" s="16">
        <f>IFERROR(C15/F15-1,0)</f>
        <v>0.0415694903722681</v>
      </c>
      <c r="H15" s="15">
        <f>C15*Assumptions!$C$6</f>
        <v>0</v>
      </c>
      <c r="I15" s="15">
        <f>C15+H15</f>
        <v>23790.27</v>
      </c>
    </row>
    <row r="16">
      <c r="B16" s="14" t="n">
        <v>46363</v>
      </c>
      <c r="C16" s="15">
        <f>SUMIFS(Raw!$D$2:$D$1288,Raw!$C$2:$C$1288,"Forecast",Raw!$B$2:$B$1288,CatCrit,Raw!$A$2:$A$1288,$B16)</f>
        <v>23214.98</v>
      </c>
      <c r="D16" s="15">
        <f>SUMIFS(Raw!$E$2:$E$1288,Raw!$C$2:$C$1288,"Forecast",Raw!$B$2:$B$1288,CatCrit,Raw!$A$2:$A$1288,$B16)</f>
        <v>20780.21</v>
      </c>
      <c r="E16" s="15">
        <f>SUMIFS(Raw!$F$2:$F$1288,Raw!$C$2:$C$1288,"Forecast",Raw!$B$2:$B$1288,CatCrit,Raw!$A$2:$A$1288,$B16)</f>
        <v>25649.73</v>
      </c>
      <c r="F16" s="15">
        <f>SUMIFS(Raw!$D$2:$D$1288,Raw!$C$2:$C$1288,"Actual",Raw!$B$2:$B$1288,CatCrit,Raw!$A$2:$A$1288,$B16-364)</f>
        <v>22299.02</v>
      </c>
      <c r="G16" s="16">
        <f>IFERROR(C16/F16-1,0)</f>
        <v>0.0410762446062651</v>
      </c>
      <c r="H16" s="15">
        <f>C16*Assumptions!$C$6</f>
        <v>0</v>
      </c>
      <c r="I16" s="15">
        <f>C16+H16</f>
        <v>23214.98</v>
      </c>
    </row>
    <row r="17">
      <c r="B17" s="14" t="n">
        <v>46370</v>
      </c>
      <c r="C17" s="15">
        <f>SUMIFS(Raw!$D$2:$D$1288,Raw!$C$2:$C$1288,"Forecast",Raw!$B$2:$B$1288,CatCrit,Raw!$A$2:$A$1288,$B17)</f>
        <v>23268.04</v>
      </c>
      <c r="D17" s="15">
        <f>SUMIFS(Raw!$E$2:$E$1288,Raw!$C$2:$C$1288,"Forecast",Raw!$B$2:$B$1288,CatCrit,Raw!$A$2:$A$1288,$B17)</f>
        <v>20827.71</v>
      </c>
      <c r="E17" s="15">
        <f>SUMIFS(Raw!$F$2:$F$1288,Raw!$C$2:$C$1288,"Forecast",Raw!$B$2:$B$1288,CatCrit,Raw!$A$2:$A$1288,$B17)</f>
        <v>25708.35</v>
      </c>
      <c r="F17" s="15">
        <f>SUMIFS(Raw!$D$2:$D$1288,Raw!$C$2:$C$1288,"Actual",Raw!$B$2:$B$1288,CatCrit,Raw!$A$2:$A$1288,$B17-364)</f>
        <v>22349.13</v>
      </c>
      <c r="G17" s="16">
        <f>IFERROR(C17/F17-1,0)</f>
        <v>0.0411161418811381</v>
      </c>
      <c r="H17" s="15">
        <f>C17*Assumptions!$C$6</f>
        <v>0</v>
      </c>
      <c r="I17" s="15">
        <f>C17+H17</f>
        <v>23268.04</v>
      </c>
    </row>
    <row r="18">
      <c r="B18" s="14" t="n">
        <v>46377</v>
      </c>
      <c r="C18" s="15">
        <f>SUMIFS(Raw!$D$2:$D$1288,Raw!$C$2:$C$1288,"Forecast",Raw!$B$2:$B$1288,CatCrit,Raw!$A$2:$A$1288,$B18)</f>
        <v>20933.69</v>
      </c>
      <c r="D18" s="15">
        <f>SUMIFS(Raw!$E$2:$E$1288,Raw!$C$2:$C$1288,"Forecast",Raw!$B$2:$B$1288,CatCrit,Raw!$A$2:$A$1288,$B18)</f>
        <v>18738.19</v>
      </c>
      <c r="E18" s="15">
        <f>SUMIFS(Raw!$F$2:$F$1288,Raw!$C$2:$C$1288,"Forecast",Raw!$B$2:$B$1288,CatCrit,Raw!$A$2:$A$1288,$B18)</f>
        <v>23129.19</v>
      </c>
      <c r="F18" s="15">
        <f>SUMIFS(Raw!$D$2:$D$1288,Raw!$C$2:$C$1288,"Actual",Raw!$B$2:$B$1288,CatCrit,Raw!$A$2:$A$1288,$B18-364)</f>
        <v>20090.06</v>
      </c>
      <c r="G18" s="16">
        <f>IFERROR(C18/F18-1,0)</f>
        <v>0.0419924081859386</v>
      </c>
      <c r="H18" s="15">
        <f>C18*Assumptions!$C$6</f>
        <v>0</v>
      </c>
      <c r="I18" s="15">
        <f>C18+H18</f>
        <v>20933.69</v>
      </c>
    </row>
    <row r="19">
      <c r="B19" s="14" t="n">
        <v>46384</v>
      </c>
      <c r="C19" s="15">
        <f>SUMIFS(Raw!$D$2:$D$1288,Raw!$C$2:$C$1288,"Forecast",Raw!$B$2:$B$1288,CatCrit,Raw!$A$2:$A$1288,$B19)</f>
        <v>20028.25</v>
      </c>
      <c r="D19" s="15">
        <f>SUMIFS(Raw!$E$2:$E$1288,Raw!$C$2:$C$1288,"Forecast",Raw!$B$2:$B$1288,CatCrit,Raw!$A$2:$A$1288,$B19)</f>
        <v>17927.68</v>
      </c>
      <c r="E19" s="15">
        <f>SUMIFS(Raw!$F$2:$F$1288,Raw!$C$2:$C$1288,"Forecast",Raw!$B$2:$B$1288,CatCrit,Raw!$A$2:$A$1288,$B19)</f>
        <v>22128.77</v>
      </c>
      <c r="F19" s="15">
        <f>SUMIFS(Raw!$D$2:$D$1288,Raw!$C$2:$C$1288,"Actual",Raw!$B$2:$B$1288,CatCrit,Raw!$A$2:$A$1288,$B19-364)</f>
        <v>19224.84</v>
      </c>
      <c r="G19" s="16">
        <f>IFERROR(C19/F19-1,0)</f>
        <v>0.0417902047559304</v>
      </c>
      <c r="H19" s="15">
        <f>C19*Assumptions!$C$6</f>
        <v>0</v>
      </c>
      <c r="I19" s="15">
        <f>C19+H19</f>
        <v>20028.25</v>
      </c>
    </row>
    <row r="20">
      <c r="B20" s="14" t="n">
        <v>46391</v>
      </c>
      <c r="C20" s="15">
        <f>SUMIFS(Raw!$D$2:$D$1288,Raw!$C$2:$C$1288,"Forecast",Raw!$B$2:$B$1288,CatCrit,Raw!$A$2:$A$1288,$B20)</f>
        <v>18936.57</v>
      </c>
      <c r="D20" s="15">
        <f>SUMIFS(Raw!$E$2:$E$1288,Raw!$C$2:$C$1288,"Forecast",Raw!$B$2:$B$1288,CatCrit,Raw!$A$2:$A$1288,$B20)</f>
        <v>16950.53</v>
      </c>
      <c r="E20" s="15">
        <f>SUMIFS(Raw!$F$2:$F$1288,Raw!$C$2:$C$1288,"Forecast",Raw!$B$2:$B$1288,CatCrit,Raw!$A$2:$A$1288,$B20)</f>
        <v>20922.64</v>
      </c>
      <c r="F20" s="15">
        <f>SUMIFS(Raw!$D$2:$D$1288,Raw!$C$2:$C$1288,"Actual",Raw!$B$2:$B$1288,CatCrit,Raw!$A$2:$A$1288,$B20-364)</f>
        <v>18186.72</v>
      </c>
      <c r="G20" s="16">
        <f>IFERROR(C20/F20-1,0)</f>
        <v>0.041230634221014</v>
      </c>
      <c r="H20" s="15">
        <f>C20*Assumptions!$C$6</f>
        <v>0</v>
      </c>
      <c r="I20" s="15">
        <f>C20+H20</f>
        <v>18936.57</v>
      </c>
    </row>
    <row r="21">
      <c r="B21" s="17" t="inlineStr">
        <is>
          <t>Total</t>
        </is>
      </c>
      <c r="C21" s="18">
        <f>SUM(C8:C20)</f>
        <v>275748.62</v>
      </c>
      <c r="D21" s="18">
        <f>SUM(D8:D20)</f>
        <v>246828.36</v>
      </c>
      <c r="E21" s="18">
        <f>SUM(E8:E20)</f>
        <v>304668.81</v>
      </c>
      <c r="F21" s="18">
        <f>SUM(F8:F20)</f>
        <v>265512.6</v>
      </c>
      <c r="G21" s="19">
        <f>IFERROR(C21/F21-1,0)</f>
        <v>0.0385519180633989</v>
      </c>
      <c r="H21" s="18">
        <f>SUM(H8:H20)</f>
        <v>0</v>
      </c>
      <c r="I21" s="18">
        <f>SUM(I8:I20)</f>
        <v>275748.62</v>
      </c>
    </row>
    <row r="24">
      <c r="B24" s="12" t="inlineStr">
        <is>
          <t>Last 13 weeks (actual)</t>
        </is>
      </c>
    </row>
    <row r="26" ht="28" customHeight="1">
      <c r="B26" s="13" t="inlineStr">
        <is>
          <t>Week starting</t>
        </is>
      </c>
      <c r="C26" s="13" t="inlineStr">
        <is>
          <t>Actual</t>
        </is>
      </c>
      <c r="D26" s="13" t="inlineStr">
        <is>
          <t>Year before</t>
        </is>
      </c>
      <c r="E26" s="13" t="inlineStr">
        <is>
          <t>YoY</t>
        </is>
      </c>
    </row>
    <row r="27">
      <c r="B27" s="14" t="n">
        <v>46216</v>
      </c>
      <c r="C27" s="15">
        <f>SUMIFS(Raw!$D$2:$D$1288,Raw!$C$2:$C$1288,"Actual",Raw!$B$2:$B$1288,CatCrit,Raw!$A$2:$A$1288,$B27)</f>
        <v>18942.64</v>
      </c>
      <c r="D27" s="15">
        <f>SUMIFS(Raw!$D$2:$D$1288,Raw!$C$2:$C$1288,"Actual",Raw!$B$2:$B$1288,CatCrit,Raw!$A$2:$A$1288,$B27-364)</f>
        <v>17483.52</v>
      </c>
      <c r="E27" s="16">
        <f>IFERROR(C27/D27-1,0)</f>
        <v>0.0834568782487737</v>
      </c>
    </row>
    <row r="28">
      <c r="B28" s="14" t="n">
        <v>46223</v>
      </c>
      <c r="C28" s="15">
        <f>SUMIFS(Raw!$D$2:$D$1288,Raw!$C$2:$C$1288,"Actual",Raw!$B$2:$B$1288,CatCrit,Raw!$A$2:$A$1288,$B28)</f>
        <v>18564.27</v>
      </c>
      <c r="D28" s="15">
        <f>SUMIFS(Raw!$D$2:$D$1288,Raw!$C$2:$C$1288,"Actual",Raw!$B$2:$B$1288,CatCrit,Raw!$A$2:$A$1288,$B28-364)</f>
        <v>18018.4</v>
      </c>
      <c r="E28" s="16">
        <f>IFERROR(C28/D28-1,0)</f>
        <v>0.0302951427429738</v>
      </c>
    </row>
    <row r="29">
      <c r="B29" s="14" t="n">
        <v>46230</v>
      </c>
      <c r="C29" s="15">
        <f>SUMIFS(Raw!$D$2:$D$1288,Raw!$C$2:$C$1288,"Actual",Raw!$B$2:$B$1288,CatCrit,Raw!$A$2:$A$1288,$B29)</f>
        <v>18799.89</v>
      </c>
      <c r="D29" s="15">
        <f>SUMIFS(Raw!$D$2:$D$1288,Raw!$C$2:$C$1288,"Actual",Raw!$B$2:$B$1288,CatCrit,Raw!$A$2:$A$1288,$B29-364)</f>
        <v>17958.91</v>
      </c>
      <c r="E29" s="16">
        <f>IFERROR(C29/D29-1,0)</f>
        <v>0.046828009049547</v>
      </c>
    </row>
    <row r="30">
      <c r="B30" s="14" t="n">
        <v>46237</v>
      </c>
      <c r="C30" s="15">
        <f>SUMIFS(Raw!$D$2:$D$1288,Raw!$C$2:$C$1288,"Actual",Raw!$B$2:$B$1288,CatCrit,Raw!$A$2:$A$1288,$B30)</f>
        <v>18891.6</v>
      </c>
      <c r="D30" s="15">
        <f>SUMIFS(Raw!$D$2:$D$1288,Raw!$C$2:$C$1288,"Actual",Raw!$B$2:$B$1288,CatCrit,Raw!$A$2:$A$1288,$B30-364)</f>
        <v>18042.43</v>
      </c>
      <c r="E30" s="16">
        <f>IFERROR(C30/D30-1,0)</f>
        <v>0.0470651680510883</v>
      </c>
    </row>
    <row r="31">
      <c r="B31" s="14" t="n">
        <v>46244</v>
      </c>
      <c r="C31" s="15">
        <f>SUMIFS(Raw!$D$2:$D$1288,Raw!$C$2:$C$1288,"Actual",Raw!$B$2:$B$1288,CatCrit,Raw!$A$2:$A$1288,$B31)</f>
        <v>19235.48</v>
      </c>
      <c r="D31" s="15">
        <f>SUMIFS(Raw!$D$2:$D$1288,Raw!$C$2:$C$1288,"Actual",Raw!$B$2:$B$1288,CatCrit,Raw!$A$2:$A$1288,$B31-364)</f>
        <v>18450.55</v>
      </c>
      <c r="E31" s="16">
        <f>IFERROR(C31/D31-1,0)</f>
        <v>0.0425423632357844</v>
      </c>
    </row>
    <row r="32">
      <c r="B32" s="14" t="n">
        <v>46251</v>
      </c>
      <c r="C32" s="15">
        <f>SUMIFS(Raw!$D$2:$D$1288,Raw!$C$2:$C$1288,"Actual",Raw!$B$2:$B$1288,CatCrit,Raw!$A$2:$A$1288,$B32)</f>
        <v>19256.66</v>
      </c>
      <c r="D32" s="15">
        <f>SUMIFS(Raw!$D$2:$D$1288,Raw!$C$2:$C$1288,"Actual",Raw!$B$2:$B$1288,CatCrit,Raw!$A$2:$A$1288,$B32-364)</f>
        <v>18008.12</v>
      </c>
      <c r="E32" s="16">
        <f>IFERROR(C32/D32-1,0)</f>
        <v>0.0693320568721223</v>
      </c>
    </row>
    <row r="33">
      <c r="B33" s="14" t="n">
        <v>46258</v>
      </c>
      <c r="C33" s="15">
        <f>SUMIFS(Raw!$D$2:$D$1288,Raw!$C$2:$C$1288,"Actual",Raw!$B$2:$B$1288,CatCrit,Raw!$A$2:$A$1288,$B33)</f>
        <v>18703.6</v>
      </c>
      <c r="D33" s="15">
        <f>SUMIFS(Raw!$D$2:$D$1288,Raw!$C$2:$C$1288,"Actual",Raw!$B$2:$B$1288,CatCrit,Raw!$A$2:$A$1288,$B33-364)</f>
        <v>18207.24</v>
      </c>
      <c r="E33" s="16">
        <f>IFERROR(C33/D33-1,0)</f>
        <v>0.0272616827152274</v>
      </c>
    </row>
    <row r="34">
      <c r="B34" s="14" t="n">
        <v>46265</v>
      </c>
      <c r="C34" s="15">
        <f>SUMIFS(Raw!$D$2:$D$1288,Raw!$C$2:$C$1288,"Actual",Raw!$B$2:$B$1288,CatCrit,Raw!$A$2:$A$1288,$B34)</f>
        <v>18820.13</v>
      </c>
      <c r="D34" s="15">
        <f>SUMIFS(Raw!$D$2:$D$1288,Raw!$C$2:$C$1288,"Actual",Raw!$B$2:$B$1288,CatCrit,Raw!$A$2:$A$1288,$B34-364)</f>
        <v>18150.07</v>
      </c>
      <c r="E34" s="16">
        <f>IFERROR(C34/D34-1,0)</f>
        <v>0.0369177639535274</v>
      </c>
    </row>
    <row r="35">
      <c r="B35" s="14" t="n">
        <v>46272</v>
      </c>
      <c r="C35" s="15">
        <f>SUMIFS(Raw!$D$2:$D$1288,Raw!$C$2:$C$1288,"Actual",Raw!$B$2:$B$1288,CatCrit,Raw!$A$2:$A$1288,$B35)</f>
        <v>19343.01</v>
      </c>
      <c r="D35" s="15">
        <f>SUMIFS(Raw!$D$2:$D$1288,Raw!$C$2:$C$1288,"Actual",Raw!$B$2:$B$1288,CatCrit,Raw!$A$2:$A$1288,$B35-364)</f>
        <v>18560.57</v>
      </c>
      <c r="E35" s="16">
        <f>IFERROR(C35/D35-1,0)</f>
        <v>0.0421560329235577</v>
      </c>
    </row>
    <row r="36">
      <c r="B36" s="14" t="n">
        <v>46279</v>
      </c>
      <c r="C36" s="15">
        <f>SUMIFS(Raw!$D$2:$D$1288,Raw!$C$2:$C$1288,"Actual",Raw!$B$2:$B$1288,CatCrit,Raw!$A$2:$A$1288,$B36)</f>
        <v>20739.62</v>
      </c>
      <c r="D36" s="15">
        <f>SUMIFS(Raw!$D$2:$D$1288,Raw!$C$2:$C$1288,"Actual",Raw!$B$2:$B$1288,CatCrit,Raw!$A$2:$A$1288,$B36-364)</f>
        <v>18366.69</v>
      </c>
      <c r="E36" s="16">
        <f>IFERROR(C36/D36-1,0)</f>
        <v>0.129197476518632</v>
      </c>
    </row>
    <row r="37">
      <c r="B37" s="14" t="n">
        <v>46286</v>
      </c>
      <c r="C37" s="15">
        <f>SUMIFS(Raw!$D$2:$D$1288,Raw!$C$2:$C$1288,"Actual",Raw!$B$2:$B$1288,CatCrit,Raw!$A$2:$A$1288,$B37)</f>
        <v>19014.68</v>
      </c>
      <c r="D37" s="15">
        <f>SUMIFS(Raw!$D$2:$D$1288,Raw!$C$2:$C$1288,"Actual",Raw!$B$2:$B$1288,CatCrit,Raw!$A$2:$A$1288,$B37-364)</f>
        <v>18375.78</v>
      </c>
      <c r="E37" s="16">
        <f>IFERROR(C37/D37-1,0)</f>
        <v>0.0347685921359529</v>
      </c>
    </row>
    <row r="38">
      <c r="B38" s="14" t="n">
        <v>46293</v>
      </c>
      <c r="C38" s="15">
        <f>SUMIFS(Raw!$D$2:$D$1288,Raw!$C$2:$C$1288,"Actual",Raw!$B$2:$B$1288,CatCrit,Raw!$A$2:$A$1288,$B38)</f>
        <v>19628.51</v>
      </c>
      <c r="D38" s="15">
        <f>SUMIFS(Raw!$D$2:$D$1288,Raw!$C$2:$C$1288,"Actual",Raw!$B$2:$B$1288,CatCrit,Raw!$A$2:$A$1288,$B38-364)</f>
        <v>18863.44</v>
      </c>
      <c r="E38" s="16">
        <f>IFERROR(C38/D38-1,0)</f>
        <v>0.0405583499086064</v>
      </c>
    </row>
    <row r="39">
      <c r="B39" s="14" t="n">
        <v>46300</v>
      </c>
      <c r="C39" s="15">
        <f>SUMIFS(Raw!$D$2:$D$1288,Raw!$C$2:$C$1288,"Actual",Raw!$B$2:$B$1288,CatCrit,Raw!$A$2:$A$1288,$B39)</f>
        <v>18766.97</v>
      </c>
      <c r="D39" s="15">
        <f>SUMIFS(Raw!$D$2:$D$1288,Raw!$C$2:$C$1288,"Actual",Raw!$B$2:$B$1288,CatCrit,Raw!$A$2:$A$1288,$B39-364)</f>
        <v>19538.62</v>
      </c>
      <c r="E39" s="16">
        <f>IFERROR(C39/D39-1,0)</f>
        <v>-0.0394935773355538</v>
      </c>
    </row>
    <row r="40">
      <c r="B40" s="17" t="inlineStr">
        <is>
          <t>Total</t>
        </is>
      </c>
      <c r="C40" s="18">
        <f>SUM(C27:C39)</f>
        <v>248707.06</v>
      </c>
      <c r="D40" s="18">
        <f>SUM(D27:D39)</f>
        <v>238024.34</v>
      </c>
      <c r="E40" s="19">
        <f>IFERROR(C40/D40-1,0)</f>
        <v>0.0448807882420765</v>
      </c>
    </row>
  </sheetData>
  <conditionalFormatting sqref="G8:G20">
    <cfRule type="cellIs" priority="1" operator="lessThan" dxfId="0">
      <formula>0</formula>
    </cfRule>
  </conditionalFormatting>
  <conditionalFormatting sqref="E27:E39">
    <cfRule type="cellIs" priority="2" operator="lessThan" dxfId="0">
      <formula>0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2" t="inlineStr">
        <is>
          <t>Sales by category (filter Type)</t>
        </is>
      </c>
    </row>
    <row r="6">
      <c r="A6" t="inlineStr">
        <is>
          <t>Type</t>
        </is>
      </c>
      <c r="B6" t="inlineStr">
        <is>
          <t>(All)</t>
        </is>
      </c>
    </row>
    <row r="8">
      <c r="A8" t="inlineStr">
        <is>
          <t>Row Labels</t>
        </is>
      </c>
      <c r="B8" t="inlineStr">
        <is>
          <t>Sales</t>
        </is>
      </c>
    </row>
    <row r="9">
      <c r="A9" t="inlineStr">
        <is>
          <t>Bakery</t>
        </is>
      </c>
      <c r="B9" s="20" t="n">
        <v>126712.01</v>
      </c>
    </row>
    <row r="10">
      <c r="A10" t="inlineStr">
        <is>
          <t>Beer &amp; Wine</t>
        </is>
      </c>
      <c r="B10" s="20" t="n">
        <v>276166.91</v>
      </c>
    </row>
    <row r="11">
      <c r="A11" t="inlineStr">
        <is>
          <t>Beverages</t>
        </is>
      </c>
      <c r="B11" s="20" t="n">
        <v>345768.96</v>
      </c>
    </row>
    <row r="12">
      <c r="A12" t="inlineStr">
        <is>
          <t>Dairy</t>
        </is>
      </c>
      <c r="B12" s="20" t="n">
        <v>368786.9</v>
      </c>
    </row>
    <row r="13">
      <c r="A13" t="inlineStr">
        <is>
          <t>Food To Go</t>
        </is>
      </c>
      <c r="B13" s="20" t="n">
        <v>411256.02</v>
      </c>
    </row>
    <row r="14">
      <c r="A14" t="inlineStr">
        <is>
          <t>Frozen</t>
        </is>
      </c>
      <c r="B14" s="20" t="n">
        <v>154370.17</v>
      </c>
    </row>
    <row r="15">
      <c r="A15" t="inlineStr">
        <is>
          <t>Grocery</t>
        </is>
      </c>
      <c r="B15" s="20" t="n">
        <v>219400.91</v>
      </c>
    </row>
    <row r="16">
      <c r="A16" t="inlineStr">
        <is>
          <t>Health &amp; Beauty</t>
        </is>
      </c>
      <c r="B16" s="20" t="n">
        <v>38026.7</v>
      </c>
    </row>
    <row r="17">
      <c r="A17" t="inlineStr">
        <is>
          <t>Household</t>
        </is>
      </c>
      <c r="B17" s="20" t="n">
        <v>61474.11</v>
      </c>
    </row>
    <row r="18">
      <c r="A18" t="inlineStr">
        <is>
          <t>Produce</t>
        </is>
      </c>
      <c r="B18" s="20" t="n">
        <v>52507.18</v>
      </c>
    </row>
    <row r="19">
      <c r="A19" t="inlineStr">
        <is>
          <t>Snacks &amp; Confectionery</t>
        </is>
      </c>
      <c r="B19" s="20" t="n">
        <v>225789.58</v>
      </c>
    </row>
    <row r="20">
      <c r="A20" t="inlineStr">
        <is>
          <t>Grand Total</t>
        </is>
      </c>
      <c r="B20" s="20" t="n">
        <v>2280259.45</v>
      </c>
    </row>
    <row r="24">
      <c r="A24" s="12" t="inlineStr">
        <is>
          <t>Weekly sales by type</t>
        </is>
      </c>
    </row>
    <row r="25">
      <c r="A25" t="inlineStr">
        <is>
          <t>Sales</t>
        </is>
      </c>
      <c r="B25" t="inlineStr">
        <is>
          <t>Column Labels</t>
        </is>
      </c>
    </row>
    <row r="26">
      <c r="A26" t="inlineStr">
        <is>
          <t>Row Labels</t>
        </is>
      </c>
      <c r="B26" t="inlineStr">
        <is>
          <t>Actual</t>
        </is>
      </c>
      <c r="C26" t="inlineStr">
        <is>
          <t>Forecast</t>
        </is>
      </c>
      <c r="D26" t="inlineStr">
        <is>
          <t>Grand Total</t>
        </is>
      </c>
    </row>
    <row r="27">
      <c r="A27" t="inlineStr">
        <is>
          <t>2024-10-14</t>
        </is>
      </c>
      <c r="B27" s="20" t="n">
        <v>18072.52</v>
      </c>
      <c r="C27" s="20" t="n">
        <v>0</v>
      </c>
      <c r="D27" s="20" t="n">
        <v>18072.52</v>
      </c>
    </row>
    <row r="28">
      <c r="A28" t="inlineStr">
        <is>
          <t>2024-10-21</t>
        </is>
      </c>
      <c r="B28" s="20" t="n">
        <v>19153.95</v>
      </c>
      <c r="C28" s="20" t="n">
        <v>0</v>
      </c>
      <c r="D28" s="20" t="n">
        <v>19153.95</v>
      </c>
    </row>
    <row r="29">
      <c r="A29" t="inlineStr">
        <is>
          <t>2024-10-28</t>
        </is>
      </c>
      <c r="B29" s="20" t="n">
        <v>17455.73</v>
      </c>
      <c r="C29" s="20" t="n">
        <v>0</v>
      </c>
      <c r="D29" s="20" t="n">
        <v>17455.73</v>
      </c>
    </row>
    <row r="30">
      <c r="A30" t="inlineStr">
        <is>
          <t>2024-11-04</t>
        </is>
      </c>
      <c r="B30" s="20" t="n">
        <v>19512.77</v>
      </c>
      <c r="C30" s="20" t="n">
        <v>0</v>
      </c>
      <c r="D30" s="20" t="n">
        <v>19512.77</v>
      </c>
    </row>
    <row r="31">
      <c r="A31" t="inlineStr">
        <is>
          <t>2024-11-11</t>
        </is>
      </c>
      <c r="B31" s="20" t="n">
        <v>19482.66</v>
      </c>
      <c r="C31" s="20" t="n">
        <v>0</v>
      </c>
      <c r="D31" s="20" t="n">
        <v>19482.66</v>
      </c>
    </row>
    <row r="32">
      <c r="A32" t="inlineStr">
        <is>
          <t>2024-11-18</t>
        </is>
      </c>
      <c r="B32" s="20" t="n">
        <v>19361.01</v>
      </c>
      <c r="C32" s="20" t="n">
        <v>0</v>
      </c>
      <c r="D32" s="20" t="n">
        <v>19361.01</v>
      </c>
    </row>
    <row r="33">
      <c r="A33" t="inlineStr">
        <is>
          <t>2024-11-25</t>
        </is>
      </c>
      <c r="B33" s="20" t="n">
        <v>20057.05</v>
      </c>
      <c r="C33" s="20" t="n">
        <v>0</v>
      </c>
      <c r="D33" s="20" t="n">
        <v>20057.05</v>
      </c>
    </row>
    <row r="34">
      <c r="A34" t="inlineStr">
        <is>
          <t>2024-12-02</t>
        </is>
      </c>
      <c r="B34" s="20" t="n">
        <v>22502.59</v>
      </c>
      <c r="C34" s="20" t="n">
        <v>0</v>
      </c>
      <c r="D34" s="20" t="n">
        <v>22502.59</v>
      </c>
    </row>
    <row r="35">
      <c r="A35" t="inlineStr">
        <is>
          <t>2024-12-09</t>
        </is>
      </c>
      <c r="B35" s="20" t="n">
        <v>21753.68</v>
      </c>
      <c r="C35" s="20" t="n">
        <v>0</v>
      </c>
      <c r="D35" s="20" t="n">
        <v>21753.68</v>
      </c>
    </row>
    <row r="36">
      <c r="A36" t="inlineStr">
        <is>
          <t>2024-12-16</t>
        </is>
      </c>
      <c r="B36" s="20" t="n">
        <v>21329.31</v>
      </c>
      <c r="C36" s="20" t="n">
        <v>0</v>
      </c>
      <c r="D36" s="20" t="n">
        <v>21329.31</v>
      </c>
    </row>
    <row r="37">
      <c r="A37" t="inlineStr">
        <is>
          <t>2024-12-23</t>
        </is>
      </c>
      <c r="B37" s="20" t="n">
        <v>20114.22</v>
      </c>
      <c r="C37" s="20" t="n">
        <v>0</v>
      </c>
      <c r="D37" s="20" t="n">
        <v>20114.22</v>
      </c>
    </row>
    <row r="38">
      <c r="A38" t="inlineStr">
        <is>
          <t>2024-12-30</t>
        </is>
      </c>
      <c r="B38" s="20" t="n">
        <v>17587.12</v>
      </c>
      <c r="C38" s="20" t="n">
        <v>0</v>
      </c>
      <c r="D38" s="20" t="n">
        <v>17587.12</v>
      </c>
    </row>
    <row r="39">
      <c r="A39" t="inlineStr">
        <is>
          <t>2025-01-06</t>
        </is>
      </c>
      <c r="B39" s="20" t="n">
        <v>17148.67</v>
      </c>
      <c r="C39" s="20" t="n">
        <v>0</v>
      </c>
      <c r="D39" s="20" t="n">
        <v>17148.67</v>
      </c>
    </row>
    <row r="40">
      <c r="A40" t="inlineStr">
        <is>
          <t>2025-01-13</t>
        </is>
      </c>
      <c r="B40" s="20" t="n">
        <v>17348.58</v>
      </c>
      <c r="C40" s="20" t="n">
        <v>0</v>
      </c>
      <c r="D40" s="20" t="n">
        <v>17348.58</v>
      </c>
    </row>
    <row r="41">
      <c r="A41" t="inlineStr">
        <is>
          <t>2025-01-20</t>
        </is>
      </c>
      <c r="B41" s="20" t="n">
        <v>20506.88</v>
      </c>
      <c r="C41" s="20" t="n">
        <v>0</v>
      </c>
      <c r="D41" s="20" t="n">
        <v>20506.88</v>
      </c>
    </row>
    <row r="42">
      <c r="A42" t="inlineStr">
        <is>
          <t>2025-01-27</t>
        </is>
      </c>
      <c r="B42" s="20" t="n">
        <v>19302.05</v>
      </c>
      <c r="C42" s="20" t="n">
        <v>0</v>
      </c>
      <c r="D42" s="20" t="n">
        <v>19302.05</v>
      </c>
    </row>
    <row r="43">
      <c r="A43" t="inlineStr">
        <is>
          <t>2025-02-03</t>
        </is>
      </c>
      <c r="B43" s="20" t="n">
        <v>19953.37</v>
      </c>
      <c r="C43" s="20" t="n">
        <v>0</v>
      </c>
      <c r="D43" s="20" t="n">
        <v>19953.37</v>
      </c>
    </row>
    <row r="44">
      <c r="A44" t="inlineStr">
        <is>
          <t>2025-02-10</t>
        </is>
      </c>
      <c r="B44" s="20" t="n">
        <v>21001.78</v>
      </c>
      <c r="C44" s="20" t="n">
        <v>0</v>
      </c>
      <c r="D44" s="20" t="n">
        <v>21001.78</v>
      </c>
    </row>
    <row r="45">
      <c r="A45" t="inlineStr">
        <is>
          <t>2025-02-17</t>
        </is>
      </c>
      <c r="B45" s="20" t="n">
        <v>20299.88</v>
      </c>
      <c r="C45" s="20" t="n">
        <v>0</v>
      </c>
      <c r="D45" s="20" t="n">
        <v>20299.88</v>
      </c>
    </row>
    <row r="46">
      <c r="A46" t="inlineStr">
        <is>
          <t>2025-02-24</t>
        </is>
      </c>
      <c r="B46" s="20" t="n">
        <v>20066.72</v>
      </c>
      <c r="C46" s="20" t="n">
        <v>0</v>
      </c>
      <c r="D46" s="20" t="n">
        <v>20066.72</v>
      </c>
    </row>
    <row r="47">
      <c r="A47" t="inlineStr">
        <is>
          <t>2025-03-03</t>
        </is>
      </c>
      <c r="B47" s="20" t="n">
        <v>19296.51</v>
      </c>
      <c r="C47" s="20" t="n">
        <v>0</v>
      </c>
      <c r="D47" s="20" t="n">
        <v>19296.51</v>
      </c>
    </row>
    <row r="48">
      <c r="A48" t="inlineStr">
        <is>
          <t>2025-03-10</t>
        </is>
      </c>
      <c r="B48" s="20" t="n">
        <v>19911.59</v>
      </c>
      <c r="C48" s="20" t="n">
        <v>0</v>
      </c>
      <c r="D48" s="20" t="n">
        <v>19911.59</v>
      </c>
    </row>
    <row r="49">
      <c r="A49" t="inlineStr">
        <is>
          <t>2025-03-17</t>
        </is>
      </c>
      <c r="B49" s="20" t="n">
        <v>20157.3</v>
      </c>
      <c r="C49" s="20" t="n">
        <v>0</v>
      </c>
      <c r="D49" s="20" t="n">
        <v>20157.3</v>
      </c>
    </row>
    <row r="50">
      <c r="A50" t="inlineStr">
        <is>
          <t>2025-03-24</t>
        </is>
      </c>
      <c r="B50" s="20" t="n">
        <v>18964.14</v>
      </c>
      <c r="C50" s="20" t="n">
        <v>0</v>
      </c>
      <c r="D50" s="20" t="n">
        <v>18964.14</v>
      </c>
    </row>
    <row r="51">
      <c r="A51" t="inlineStr">
        <is>
          <t>2025-03-31</t>
        </is>
      </c>
      <c r="B51" s="20" t="n">
        <v>19391.95</v>
      </c>
      <c r="C51" s="20" t="n">
        <v>0</v>
      </c>
      <c r="D51" s="20" t="n">
        <v>19391.95</v>
      </c>
    </row>
    <row r="52">
      <c r="A52" t="inlineStr">
        <is>
          <t>2025-04-07</t>
        </is>
      </c>
      <c r="B52" s="20" t="n">
        <v>19211.1</v>
      </c>
      <c r="C52" s="20" t="n">
        <v>0</v>
      </c>
      <c r="D52" s="20" t="n">
        <v>19211.1</v>
      </c>
    </row>
    <row r="53">
      <c r="A53" t="inlineStr">
        <is>
          <t>2025-04-14</t>
        </is>
      </c>
      <c r="B53" s="20" t="n">
        <v>17431.18</v>
      </c>
      <c r="C53" s="20" t="n">
        <v>0</v>
      </c>
      <c r="D53" s="20" t="n">
        <v>17431.18</v>
      </c>
    </row>
    <row r="54">
      <c r="A54" t="inlineStr">
        <is>
          <t>2025-04-21</t>
        </is>
      </c>
      <c r="B54" s="20" t="n">
        <v>17401.44</v>
      </c>
      <c r="C54" s="20" t="n">
        <v>0</v>
      </c>
      <c r="D54" s="20" t="n">
        <v>17401.44</v>
      </c>
    </row>
    <row r="55">
      <c r="A55" t="inlineStr">
        <is>
          <t>2025-04-28</t>
        </is>
      </c>
      <c r="B55" s="20" t="n">
        <v>19411.23</v>
      </c>
      <c r="C55" s="20" t="n">
        <v>0</v>
      </c>
      <c r="D55" s="20" t="n">
        <v>19411.23</v>
      </c>
    </row>
    <row r="56">
      <c r="A56" t="inlineStr">
        <is>
          <t>2025-05-05</t>
        </is>
      </c>
      <c r="B56" s="20" t="n">
        <v>18968.91</v>
      </c>
      <c r="C56" s="20" t="n">
        <v>0</v>
      </c>
      <c r="D56" s="20" t="n">
        <v>18968.91</v>
      </c>
    </row>
    <row r="57">
      <c r="A57" t="inlineStr">
        <is>
          <t>2025-05-12</t>
        </is>
      </c>
      <c r="B57" s="20" t="n">
        <v>18333.71</v>
      </c>
      <c r="C57" s="20" t="n">
        <v>0</v>
      </c>
      <c r="D57" s="20" t="n">
        <v>18333.71</v>
      </c>
    </row>
    <row r="58">
      <c r="A58" t="inlineStr">
        <is>
          <t>2025-05-19</t>
        </is>
      </c>
      <c r="B58" s="20" t="n">
        <v>18318.99</v>
      </c>
      <c r="C58" s="20" t="n">
        <v>0</v>
      </c>
      <c r="D58" s="20" t="n">
        <v>18318.99</v>
      </c>
    </row>
    <row r="59">
      <c r="A59" t="inlineStr">
        <is>
          <t>2025-05-26</t>
        </is>
      </c>
      <c r="B59" s="20" t="n">
        <v>18331.1</v>
      </c>
      <c r="C59" s="20" t="n">
        <v>0</v>
      </c>
      <c r="D59" s="20" t="n">
        <v>18331.1</v>
      </c>
    </row>
    <row r="60">
      <c r="A60" t="inlineStr">
        <is>
          <t>2025-06-02</t>
        </is>
      </c>
      <c r="B60" s="20" t="n">
        <v>17329.83</v>
      </c>
      <c r="C60" s="20" t="n">
        <v>0</v>
      </c>
      <c r="D60" s="20" t="n">
        <v>17329.83</v>
      </c>
    </row>
    <row r="61">
      <c r="A61" t="inlineStr">
        <is>
          <t>2025-06-09</t>
        </is>
      </c>
      <c r="B61" s="20" t="n">
        <v>18282.78</v>
      </c>
      <c r="C61" s="20" t="n">
        <v>0</v>
      </c>
      <c r="D61" s="20" t="n">
        <v>18282.78</v>
      </c>
    </row>
    <row r="62">
      <c r="A62" t="inlineStr">
        <is>
          <t>2025-06-16</t>
        </is>
      </c>
      <c r="B62" s="20" t="n">
        <v>17099.68</v>
      </c>
      <c r="C62" s="20" t="n">
        <v>0</v>
      </c>
      <c r="D62" s="20" t="n">
        <v>17099.68</v>
      </c>
    </row>
    <row r="63">
      <c r="A63" t="inlineStr">
        <is>
          <t>2025-06-23</t>
        </is>
      </c>
      <c r="B63" s="20" t="n">
        <v>18465.85</v>
      </c>
      <c r="C63" s="20" t="n">
        <v>0</v>
      </c>
      <c r="D63" s="20" t="n">
        <v>18465.85</v>
      </c>
    </row>
    <row r="64">
      <c r="A64" t="inlineStr">
        <is>
          <t>2025-06-30</t>
        </is>
      </c>
      <c r="B64" s="20" t="n">
        <v>17501.39</v>
      </c>
      <c r="C64" s="20" t="n">
        <v>0</v>
      </c>
      <c r="D64" s="20" t="n">
        <v>17501.39</v>
      </c>
    </row>
    <row r="65">
      <c r="A65" t="inlineStr">
        <is>
          <t>2025-07-07</t>
        </is>
      </c>
      <c r="B65" s="20" t="n">
        <v>17415.7</v>
      </c>
      <c r="C65" s="20" t="n">
        <v>0</v>
      </c>
      <c r="D65" s="20" t="n">
        <v>17415.7</v>
      </c>
    </row>
    <row r="66">
      <c r="A66" t="inlineStr">
        <is>
          <t>2025-07-14</t>
        </is>
      </c>
      <c r="B66" s="20" t="n">
        <v>17483.52</v>
      </c>
      <c r="C66" s="20" t="n">
        <v>0</v>
      </c>
      <c r="D66" s="20" t="n">
        <v>17483.52</v>
      </c>
    </row>
    <row r="67">
      <c r="A67" t="inlineStr">
        <is>
          <t>2025-07-21</t>
        </is>
      </c>
      <c r="B67" s="20" t="n">
        <v>18018.4</v>
      </c>
      <c r="C67" s="20" t="n">
        <v>0</v>
      </c>
      <c r="D67" s="20" t="n">
        <v>18018.4</v>
      </c>
    </row>
    <row r="68">
      <c r="A68" t="inlineStr">
        <is>
          <t>2025-07-28</t>
        </is>
      </c>
      <c r="B68" s="20" t="n">
        <v>17958.91</v>
      </c>
      <c r="C68" s="20" t="n">
        <v>0</v>
      </c>
      <c r="D68" s="20" t="n">
        <v>17958.91</v>
      </c>
    </row>
    <row r="69">
      <c r="A69" t="inlineStr">
        <is>
          <t>2025-08-04</t>
        </is>
      </c>
      <c r="B69" s="20" t="n">
        <v>18042.43</v>
      </c>
      <c r="C69" s="20" t="n">
        <v>0</v>
      </c>
      <c r="D69" s="20" t="n">
        <v>18042.43</v>
      </c>
    </row>
    <row r="70">
      <c r="A70" t="inlineStr">
        <is>
          <t>2025-08-11</t>
        </is>
      </c>
      <c r="B70" s="20" t="n">
        <v>18450.55</v>
      </c>
      <c r="C70" s="20" t="n">
        <v>0</v>
      </c>
      <c r="D70" s="20" t="n">
        <v>18450.55</v>
      </c>
    </row>
    <row r="71">
      <c r="A71" t="inlineStr">
        <is>
          <t>2025-08-18</t>
        </is>
      </c>
      <c r="B71" s="20" t="n">
        <v>18008.12</v>
      </c>
      <c r="C71" s="20" t="n">
        <v>0</v>
      </c>
      <c r="D71" s="20" t="n">
        <v>18008.12</v>
      </c>
    </row>
    <row r="72">
      <c r="A72" t="inlineStr">
        <is>
          <t>2025-08-25</t>
        </is>
      </c>
      <c r="B72" s="20" t="n">
        <v>18207.24</v>
      </c>
      <c r="C72" s="20" t="n">
        <v>0</v>
      </c>
      <c r="D72" s="20" t="n">
        <v>18207.24</v>
      </c>
    </row>
    <row r="73">
      <c r="A73" t="inlineStr">
        <is>
          <t>2025-09-01</t>
        </is>
      </c>
      <c r="B73" s="20" t="n">
        <v>18150.07</v>
      </c>
      <c r="C73" s="20" t="n">
        <v>0</v>
      </c>
      <c r="D73" s="20" t="n">
        <v>18150.07</v>
      </c>
    </row>
    <row r="74">
      <c r="A74" t="inlineStr">
        <is>
          <t>2025-09-08</t>
        </is>
      </c>
      <c r="B74" s="20" t="n">
        <v>18560.57</v>
      </c>
      <c r="C74" s="20" t="n">
        <v>0</v>
      </c>
      <c r="D74" s="20" t="n">
        <v>18560.57</v>
      </c>
    </row>
    <row r="75">
      <c r="A75" t="inlineStr">
        <is>
          <t>2025-09-15</t>
        </is>
      </c>
      <c r="B75" s="20" t="n">
        <v>18366.69</v>
      </c>
      <c r="C75" s="20" t="n">
        <v>0</v>
      </c>
      <c r="D75" s="20" t="n">
        <v>18366.69</v>
      </c>
    </row>
    <row r="76">
      <c r="A76" t="inlineStr">
        <is>
          <t>2025-09-22</t>
        </is>
      </c>
      <c r="B76" s="20" t="n">
        <v>18375.78</v>
      </c>
      <c r="C76" s="20" t="n">
        <v>0</v>
      </c>
      <c r="D76" s="20" t="n">
        <v>18375.78</v>
      </c>
    </row>
    <row r="77">
      <c r="A77" t="inlineStr">
        <is>
          <t>2025-09-29</t>
        </is>
      </c>
      <c r="B77" s="20" t="n">
        <v>18863.44</v>
      </c>
      <c r="C77" s="20" t="n">
        <v>0</v>
      </c>
      <c r="D77" s="20" t="n">
        <v>18863.44</v>
      </c>
    </row>
    <row r="78">
      <c r="A78" t="inlineStr">
        <is>
          <t>2025-10-06</t>
        </is>
      </c>
      <c r="B78" s="20" t="n">
        <v>19538.62</v>
      </c>
      <c r="C78" s="20" t="n">
        <v>0</v>
      </c>
      <c r="D78" s="20" t="n">
        <v>19538.62</v>
      </c>
    </row>
    <row r="79">
      <c r="A79" t="inlineStr">
        <is>
          <t>2025-10-13</t>
        </is>
      </c>
      <c r="B79" s="20" t="n">
        <v>19730.9</v>
      </c>
      <c r="C79" s="20" t="n">
        <v>0</v>
      </c>
      <c r="D79" s="20" t="n">
        <v>19730.9</v>
      </c>
    </row>
    <row r="80">
      <c r="A80" t="inlineStr">
        <is>
          <t>2025-10-20</t>
        </is>
      </c>
      <c r="B80" s="20" t="n">
        <v>20287.84</v>
      </c>
      <c r="C80" s="20" t="n">
        <v>0</v>
      </c>
      <c r="D80" s="20" t="n">
        <v>20287.84</v>
      </c>
    </row>
    <row r="81">
      <c r="A81" t="inlineStr">
        <is>
          <t>2025-10-27</t>
        </is>
      </c>
      <c r="B81" s="20" t="n">
        <v>19131.24</v>
      </c>
      <c r="C81" s="20" t="n">
        <v>0</v>
      </c>
      <c r="D81" s="20" t="n">
        <v>19131.24</v>
      </c>
    </row>
    <row r="82">
      <c r="A82" t="inlineStr">
        <is>
          <t>2025-11-03</t>
        </is>
      </c>
      <c r="B82" s="20" t="n">
        <v>20871.64</v>
      </c>
      <c r="C82" s="20" t="n">
        <v>0</v>
      </c>
      <c r="D82" s="20" t="n">
        <v>20871.64</v>
      </c>
    </row>
    <row r="83">
      <c r="A83" t="inlineStr">
        <is>
          <t>2025-11-10</t>
        </is>
      </c>
      <c r="B83" s="20" t="n">
        <v>20104.45</v>
      </c>
      <c r="C83" s="20" t="n">
        <v>0</v>
      </c>
      <c r="D83" s="20" t="n">
        <v>20104.45</v>
      </c>
    </row>
    <row r="84">
      <c r="A84" t="inlineStr">
        <is>
          <t>2025-11-17</t>
        </is>
      </c>
      <c r="B84" s="20" t="n">
        <v>20621.97</v>
      </c>
      <c r="C84" s="20" t="n">
        <v>0</v>
      </c>
      <c r="D84" s="20" t="n">
        <v>20621.97</v>
      </c>
    </row>
    <row r="85">
      <c r="A85" t="inlineStr">
        <is>
          <t>2025-11-24</t>
        </is>
      </c>
      <c r="B85" s="20" t="n">
        <v>19774</v>
      </c>
      <c r="C85" s="20" t="n">
        <v>0</v>
      </c>
      <c r="D85" s="20" t="n">
        <v>19774</v>
      </c>
    </row>
    <row r="86">
      <c r="A86" t="inlineStr">
        <is>
          <t>2025-12-01</t>
        </is>
      </c>
      <c r="B86" s="20" t="n">
        <v>22840.79</v>
      </c>
      <c r="C86" s="20" t="n">
        <v>0</v>
      </c>
      <c r="D86" s="20" t="n">
        <v>22840.79</v>
      </c>
    </row>
    <row r="87">
      <c r="A87" t="inlineStr">
        <is>
          <t>2025-12-08</t>
        </is>
      </c>
      <c r="B87" s="20" t="n">
        <v>22299.02</v>
      </c>
      <c r="C87" s="20" t="n">
        <v>0</v>
      </c>
      <c r="D87" s="20" t="n">
        <v>22299.02</v>
      </c>
    </row>
    <row r="88">
      <c r="A88" t="inlineStr">
        <is>
          <t>2025-12-15</t>
        </is>
      </c>
      <c r="B88" s="20" t="n">
        <v>22349.13</v>
      </c>
      <c r="C88" s="20" t="n">
        <v>0</v>
      </c>
      <c r="D88" s="20" t="n">
        <v>22349.13</v>
      </c>
    </row>
    <row r="89">
      <c r="A89" t="inlineStr">
        <is>
          <t>2025-12-22</t>
        </is>
      </c>
      <c r="B89" s="20" t="n">
        <v>20090.06</v>
      </c>
      <c r="C89" s="20" t="n">
        <v>0</v>
      </c>
      <c r="D89" s="20" t="n">
        <v>20090.06</v>
      </c>
    </row>
    <row r="90">
      <c r="A90" t="inlineStr">
        <is>
          <t>2025-12-29</t>
        </is>
      </c>
      <c r="B90" s="20" t="n">
        <v>19224.84</v>
      </c>
      <c r="C90" s="20" t="n">
        <v>0</v>
      </c>
      <c r="D90" s="20" t="n">
        <v>19224.84</v>
      </c>
    </row>
    <row r="91">
      <c r="A91" t="inlineStr">
        <is>
          <t>2026-01-05</t>
        </is>
      </c>
      <c r="B91" s="20" t="n">
        <v>18186.72</v>
      </c>
      <c r="C91" s="20" t="n">
        <v>0</v>
      </c>
      <c r="D91" s="20" t="n">
        <v>18186.72</v>
      </c>
    </row>
    <row r="92">
      <c r="A92" t="inlineStr">
        <is>
          <t>2026-01-12</t>
        </is>
      </c>
      <c r="B92" s="20" t="n">
        <v>17806.08</v>
      </c>
      <c r="C92" s="20" t="n">
        <v>0</v>
      </c>
      <c r="D92" s="20" t="n">
        <v>17806.08</v>
      </c>
    </row>
    <row r="93">
      <c r="A93" t="inlineStr">
        <is>
          <t>2026-01-19</t>
        </is>
      </c>
      <c r="B93" s="20" t="n">
        <v>21197.57</v>
      </c>
      <c r="C93" s="20" t="n">
        <v>0</v>
      </c>
      <c r="D93" s="20" t="n">
        <v>21197.57</v>
      </c>
    </row>
    <row r="94">
      <c r="A94" t="inlineStr">
        <is>
          <t>2026-01-26</t>
        </is>
      </c>
      <c r="B94" s="20" t="n">
        <v>20917.75</v>
      </c>
      <c r="C94" s="20" t="n">
        <v>0</v>
      </c>
      <c r="D94" s="20" t="n">
        <v>20917.75</v>
      </c>
    </row>
    <row r="95">
      <c r="A95" t="inlineStr">
        <is>
          <t>2026-02-02</t>
        </is>
      </c>
      <c r="B95" s="20" t="n">
        <v>20136.3</v>
      </c>
      <c r="C95" s="20" t="n">
        <v>0</v>
      </c>
      <c r="D95" s="20" t="n">
        <v>20136.3</v>
      </c>
    </row>
    <row r="96">
      <c r="A96" t="inlineStr">
        <is>
          <t>2026-02-09</t>
        </is>
      </c>
      <c r="B96" s="20" t="n">
        <v>21674.97</v>
      </c>
      <c r="C96" s="20" t="n">
        <v>0</v>
      </c>
      <c r="D96" s="20" t="n">
        <v>21674.97</v>
      </c>
    </row>
    <row r="97">
      <c r="A97" t="inlineStr">
        <is>
          <t>2026-02-16</t>
        </is>
      </c>
      <c r="B97" s="20" t="n">
        <v>20823.66</v>
      </c>
      <c r="C97" s="20" t="n">
        <v>0</v>
      </c>
      <c r="D97" s="20" t="n">
        <v>20823.66</v>
      </c>
    </row>
    <row r="98">
      <c r="A98" t="inlineStr">
        <is>
          <t>2026-02-23</t>
        </is>
      </c>
      <c r="B98" s="20" t="n">
        <v>21618.32</v>
      </c>
      <c r="C98" s="20" t="n">
        <v>0</v>
      </c>
      <c r="D98" s="20" t="n">
        <v>21618.32</v>
      </c>
    </row>
    <row r="99">
      <c r="A99" t="inlineStr">
        <is>
          <t>2026-03-02</t>
        </is>
      </c>
      <c r="B99" s="20" t="n">
        <v>20279.21</v>
      </c>
      <c r="C99" s="20" t="n">
        <v>0</v>
      </c>
      <c r="D99" s="20" t="n">
        <v>20279.21</v>
      </c>
    </row>
    <row r="100">
      <c r="A100" t="inlineStr">
        <is>
          <t>2026-03-09</t>
        </is>
      </c>
      <c r="B100" s="20" t="n">
        <v>20617.94</v>
      </c>
      <c r="C100" s="20" t="n">
        <v>0</v>
      </c>
      <c r="D100" s="20" t="n">
        <v>20617.94</v>
      </c>
    </row>
    <row r="101">
      <c r="A101" t="inlineStr">
        <is>
          <t>2026-03-16</t>
        </is>
      </c>
      <c r="B101" s="20" t="n">
        <v>19892.91</v>
      </c>
      <c r="C101" s="20" t="n">
        <v>0</v>
      </c>
      <c r="D101" s="20" t="n">
        <v>19892.91</v>
      </c>
    </row>
    <row r="102">
      <c r="A102" t="inlineStr">
        <is>
          <t>2026-03-23</t>
        </is>
      </c>
      <c r="B102" s="20" t="n">
        <v>20176.56</v>
      </c>
      <c r="C102" s="20" t="n">
        <v>0</v>
      </c>
      <c r="D102" s="20" t="n">
        <v>20176.56</v>
      </c>
    </row>
    <row r="103">
      <c r="A103" t="inlineStr">
        <is>
          <t>2026-03-30</t>
        </is>
      </c>
      <c r="B103" s="20" t="n">
        <v>18815.09</v>
      </c>
      <c r="C103" s="20" t="n">
        <v>0</v>
      </c>
      <c r="D103" s="20" t="n">
        <v>18815.09</v>
      </c>
    </row>
    <row r="104">
      <c r="A104" t="inlineStr">
        <is>
          <t>2026-04-06</t>
        </is>
      </c>
      <c r="B104" s="20" t="n">
        <v>19872.33</v>
      </c>
      <c r="C104" s="20" t="n">
        <v>0</v>
      </c>
      <c r="D104" s="20" t="n">
        <v>19872.33</v>
      </c>
    </row>
    <row r="105">
      <c r="A105" t="inlineStr">
        <is>
          <t>2026-04-13</t>
        </is>
      </c>
      <c r="B105" s="20" t="n">
        <v>19528.13</v>
      </c>
      <c r="C105" s="20" t="n">
        <v>0</v>
      </c>
      <c r="D105" s="20" t="n">
        <v>19528.13</v>
      </c>
    </row>
    <row r="106">
      <c r="A106" t="inlineStr">
        <is>
          <t>2026-04-20</t>
        </is>
      </c>
      <c r="B106" s="20" t="n">
        <v>19890.78</v>
      </c>
      <c r="C106" s="20" t="n">
        <v>0</v>
      </c>
      <c r="D106" s="20" t="n">
        <v>19890.78</v>
      </c>
    </row>
    <row r="107">
      <c r="A107" t="inlineStr">
        <is>
          <t>2026-04-27</t>
        </is>
      </c>
      <c r="B107" s="20" t="n">
        <v>18177.96</v>
      </c>
      <c r="C107" s="20" t="n">
        <v>0</v>
      </c>
      <c r="D107" s="20" t="n">
        <v>18177.96</v>
      </c>
    </row>
    <row r="108">
      <c r="A108" t="inlineStr">
        <is>
          <t>2026-05-04</t>
        </is>
      </c>
      <c r="B108" s="20" t="n">
        <v>19292.59</v>
      </c>
      <c r="C108" s="20" t="n">
        <v>0</v>
      </c>
      <c r="D108" s="20" t="n">
        <v>19292.59</v>
      </c>
    </row>
    <row r="109">
      <c r="A109" t="inlineStr">
        <is>
          <t>2026-05-11</t>
        </is>
      </c>
      <c r="B109" s="20" t="n">
        <v>19662.69</v>
      </c>
      <c r="C109" s="20" t="n">
        <v>0</v>
      </c>
      <c r="D109" s="20" t="n">
        <v>19662.69</v>
      </c>
    </row>
    <row r="110">
      <c r="A110" t="inlineStr">
        <is>
          <t>2026-05-18</t>
        </is>
      </c>
      <c r="B110" s="20" t="n">
        <v>19482.36</v>
      </c>
      <c r="C110" s="20" t="n">
        <v>0</v>
      </c>
      <c r="D110" s="20" t="n">
        <v>19482.36</v>
      </c>
    </row>
    <row r="111">
      <c r="A111" t="inlineStr">
        <is>
          <t>2026-05-25</t>
        </is>
      </c>
      <c r="B111" s="20" t="n">
        <v>19249.53</v>
      </c>
      <c r="C111" s="20" t="n">
        <v>0</v>
      </c>
      <c r="D111" s="20" t="n">
        <v>19249.53</v>
      </c>
    </row>
    <row r="112">
      <c r="A112" t="inlineStr">
        <is>
          <t>2026-06-01</t>
        </is>
      </c>
      <c r="B112" s="20" t="n">
        <v>18252.23</v>
      </c>
      <c r="C112" s="20" t="n">
        <v>0</v>
      </c>
      <c r="D112" s="20" t="n">
        <v>18252.23</v>
      </c>
    </row>
    <row r="113">
      <c r="A113" t="inlineStr">
        <is>
          <t>2026-06-08</t>
        </is>
      </c>
      <c r="B113" s="20" t="n">
        <v>19162.69</v>
      </c>
      <c r="C113" s="20" t="n">
        <v>0</v>
      </c>
      <c r="D113" s="20" t="n">
        <v>19162.69</v>
      </c>
    </row>
    <row r="114">
      <c r="A114" t="inlineStr">
        <is>
          <t>2026-06-15</t>
        </is>
      </c>
      <c r="B114" s="20" t="n">
        <v>18232.77</v>
      </c>
      <c r="C114" s="20" t="n">
        <v>0</v>
      </c>
      <c r="D114" s="20" t="n">
        <v>18232.77</v>
      </c>
    </row>
    <row r="115">
      <c r="A115" t="inlineStr">
        <is>
          <t>2026-06-22</t>
        </is>
      </c>
      <c r="B115" s="20" t="n">
        <v>18326.93</v>
      </c>
      <c r="C115" s="20" t="n">
        <v>0</v>
      </c>
      <c r="D115" s="20" t="n">
        <v>18326.93</v>
      </c>
    </row>
    <row r="116">
      <c r="A116" t="inlineStr">
        <is>
          <t>2026-06-29</t>
        </is>
      </c>
      <c r="B116" s="20" t="n">
        <v>18169.02</v>
      </c>
      <c r="C116" s="20" t="n">
        <v>0</v>
      </c>
      <c r="D116" s="20" t="n">
        <v>18169.02</v>
      </c>
    </row>
    <row r="117">
      <c r="A117" t="inlineStr">
        <is>
          <t>2026-07-06</t>
        </is>
      </c>
      <c r="B117" s="20" t="n">
        <v>17775.54</v>
      </c>
      <c r="C117" s="20" t="n">
        <v>0</v>
      </c>
      <c r="D117" s="20" t="n">
        <v>17775.54</v>
      </c>
    </row>
    <row r="118">
      <c r="A118" t="inlineStr">
        <is>
          <t>2026-07-13</t>
        </is>
      </c>
      <c r="B118" s="20" t="n">
        <v>18942.64</v>
      </c>
      <c r="C118" s="20" t="n">
        <v>0</v>
      </c>
      <c r="D118" s="20" t="n">
        <v>18942.64</v>
      </c>
    </row>
    <row r="119">
      <c r="A119" t="inlineStr">
        <is>
          <t>2026-07-20</t>
        </is>
      </c>
      <c r="B119" s="20" t="n">
        <v>18564.27</v>
      </c>
      <c r="C119" s="20" t="n">
        <v>0</v>
      </c>
      <c r="D119" s="20" t="n">
        <v>18564.27</v>
      </c>
    </row>
    <row r="120">
      <c r="A120" t="inlineStr">
        <is>
          <t>2026-07-27</t>
        </is>
      </c>
      <c r="B120" s="20" t="n">
        <v>18799.89</v>
      </c>
      <c r="C120" s="20" t="n">
        <v>0</v>
      </c>
      <c r="D120" s="20" t="n">
        <v>18799.89</v>
      </c>
    </row>
    <row r="121">
      <c r="A121" t="inlineStr">
        <is>
          <t>2026-08-03</t>
        </is>
      </c>
      <c r="B121" s="20" t="n">
        <v>18891.6</v>
      </c>
      <c r="C121" s="20" t="n">
        <v>0</v>
      </c>
      <c r="D121" s="20" t="n">
        <v>18891.6</v>
      </c>
    </row>
    <row r="122">
      <c r="A122" t="inlineStr">
        <is>
          <t>2026-08-10</t>
        </is>
      </c>
      <c r="B122" s="20" t="n">
        <v>19235.48</v>
      </c>
      <c r="C122" s="20" t="n">
        <v>0</v>
      </c>
      <c r="D122" s="20" t="n">
        <v>19235.48</v>
      </c>
    </row>
    <row r="123">
      <c r="A123" t="inlineStr">
        <is>
          <t>2026-08-17</t>
        </is>
      </c>
      <c r="B123" s="20" t="n">
        <v>19256.66</v>
      </c>
      <c r="C123" s="20" t="n">
        <v>0</v>
      </c>
      <c r="D123" s="20" t="n">
        <v>19256.66</v>
      </c>
    </row>
    <row r="124">
      <c r="A124" t="inlineStr">
        <is>
          <t>2026-08-24</t>
        </is>
      </c>
      <c r="B124" s="20" t="n">
        <v>18703.6</v>
      </c>
      <c r="C124" s="20" t="n">
        <v>0</v>
      </c>
      <c r="D124" s="20" t="n">
        <v>18703.6</v>
      </c>
    </row>
    <row r="125">
      <c r="A125" t="inlineStr">
        <is>
          <t>2026-08-31</t>
        </is>
      </c>
      <c r="B125" s="20" t="n">
        <v>18820.13</v>
      </c>
      <c r="C125" s="20" t="n">
        <v>0</v>
      </c>
      <c r="D125" s="20" t="n">
        <v>18820.13</v>
      </c>
    </row>
    <row r="126">
      <c r="A126" t="inlineStr">
        <is>
          <t>2026-09-07</t>
        </is>
      </c>
      <c r="B126" s="20" t="n">
        <v>19343.01</v>
      </c>
      <c r="C126" s="20" t="n">
        <v>0</v>
      </c>
      <c r="D126" s="20" t="n">
        <v>19343.01</v>
      </c>
    </row>
    <row r="127">
      <c r="A127" t="inlineStr">
        <is>
          <t>2026-09-14</t>
        </is>
      </c>
      <c r="B127" s="20" t="n">
        <v>20739.62</v>
      </c>
      <c r="C127" s="20" t="n">
        <v>0</v>
      </c>
      <c r="D127" s="20" t="n">
        <v>20739.62</v>
      </c>
    </row>
    <row r="128">
      <c r="A128" t="inlineStr">
        <is>
          <t>2026-09-21</t>
        </is>
      </c>
      <c r="B128" s="20" t="n">
        <v>19014.68</v>
      </c>
      <c r="C128" s="20" t="n">
        <v>0</v>
      </c>
      <c r="D128" s="20" t="n">
        <v>19014.68</v>
      </c>
    </row>
    <row r="129">
      <c r="A129" t="inlineStr">
        <is>
          <t>2026-09-28</t>
        </is>
      </c>
      <c r="B129" s="20" t="n">
        <v>19628.51</v>
      </c>
      <c r="C129" s="20" t="n">
        <v>0</v>
      </c>
      <c r="D129" s="20" t="n">
        <v>19628.51</v>
      </c>
    </row>
    <row r="130">
      <c r="A130" t="inlineStr">
        <is>
          <t>2026-10-05</t>
        </is>
      </c>
      <c r="B130" s="20" t="n">
        <v>18766.97</v>
      </c>
      <c r="C130" s="20" t="n">
        <v>0</v>
      </c>
      <c r="D130" s="20" t="n">
        <v>18766.97</v>
      </c>
    </row>
    <row r="131">
      <c r="A131" t="inlineStr">
        <is>
          <t>2026-10-12</t>
        </is>
      </c>
      <c r="B131" s="20" t="n">
        <v>0</v>
      </c>
      <c r="C131" s="20" t="n">
        <v>20091.79</v>
      </c>
      <c r="D131" s="20" t="n">
        <v>20091.79</v>
      </c>
    </row>
    <row r="132">
      <c r="A132" t="inlineStr">
        <is>
          <t>2026-10-19</t>
        </is>
      </c>
      <c r="B132" s="20" t="n">
        <v>0</v>
      </c>
      <c r="C132" s="20" t="n">
        <v>20879.38</v>
      </c>
      <c r="D132" s="20" t="n">
        <v>20879.38</v>
      </c>
    </row>
    <row r="133">
      <c r="A133" t="inlineStr">
        <is>
          <t>2026-10-26</t>
        </is>
      </c>
      <c r="B133" s="20" t="n">
        <v>0</v>
      </c>
      <c r="C133" s="20" t="n">
        <v>19819.66</v>
      </c>
      <c r="D133" s="20" t="n">
        <v>19819.66</v>
      </c>
    </row>
    <row r="134">
      <c r="A134" t="inlineStr">
        <is>
          <t>2026-11-02</t>
        </is>
      </c>
      <c r="B134" s="20" t="n">
        <v>0</v>
      </c>
      <c r="C134" s="20" t="n">
        <v>21739.04</v>
      </c>
      <c r="D134" s="20" t="n">
        <v>21739.04</v>
      </c>
    </row>
    <row r="135">
      <c r="A135" t="inlineStr">
        <is>
          <t>2026-11-09</t>
        </is>
      </c>
      <c r="B135" s="20" t="n">
        <v>0</v>
      </c>
      <c r="C135" s="20" t="n">
        <v>20952.55</v>
      </c>
      <c r="D135" s="20" t="n">
        <v>20952.55</v>
      </c>
    </row>
    <row r="136">
      <c r="A136" t="inlineStr">
        <is>
          <t>2026-11-16</t>
        </is>
      </c>
      <c r="B136" s="20" t="n">
        <v>0</v>
      </c>
      <c r="C136" s="20" t="n">
        <v>21464.6</v>
      </c>
      <c r="D136" s="20" t="n">
        <v>21464.6</v>
      </c>
    </row>
    <row r="137">
      <c r="A137" t="inlineStr">
        <is>
          <t>2026-11-23</t>
        </is>
      </c>
      <c r="B137" s="20" t="n">
        <v>0</v>
      </c>
      <c r="C137" s="20" t="n">
        <v>20629.8</v>
      </c>
      <c r="D137" s="20" t="n">
        <v>20629.8</v>
      </c>
    </row>
    <row r="138">
      <c r="A138" t="inlineStr">
        <is>
          <t>2026-11-30</t>
        </is>
      </c>
      <c r="B138" s="20" t="n">
        <v>0</v>
      </c>
      <c r="C138" s="20" t="n">
        <v>23790.27</v>
      </c>
      <c r="D138" s="20" t="n">
        <v>23790.27</v>
      </c>
    </row>
    <row r="139">
      <c r="A139" t="inlineStr">
        <is>
          <t>2026-12-07</t>
        </is>
      </c>
      <c r="B139" s="20" t="n">
        <v>0</v>
      </c>
      <c r="C139" s="20" t="n">
        <v>23214.98</v>
      </c>
      <c r="D139" s="20" t="n">
        <v>23214.98</v>
      </c>
    </row>
    <row r="140">
      <c r="A140" t="inlineStr">
        <is>
          <t>2026-12-14</t>
        </is>
      </c>
      <c r="B140" s="20" t="n">
        <v>0</v>
      </c>
      <c r="C140" s="20" t="n">
        <v>23268.04</v>
      </c>
      <c r="D140" s="20" t="n">
        <v>23268.04</v>
      </c>
    </row>
    <row r="141">
      <c r="A141" t="inlineStr">
        <is>
          <t>2026-12-21</t>
        </is>
      </c>
      <c r="B141" s="20" t="n">
        <v>0</v>
      </c>
      <c r="C141" s="20" t="n">
        <v>20933.69</v>
      </c>
      <c r="D141" s="20" t="n">
        <v>20933.69</v>
      </c>
    </row>
    <row r="142">
      <c r="A142" t="inlineStr">
        <is>
          <t>2026-12-28</t>
        </is>
      </c>
      <c r="B142" s="20" t="n">
        <v>0</v>
      </c>
      <c r="C142" s="20" t="n">
        <v>20028.25</v>
      </c>
      <c r="D142" s="20" t="n">
        <v>20028.25</v>
      </c>
    </row>
    <row r="143">
      <c r="A143" t="inlineStr">
        <is>
          <t>2027-01-04</t>
        </is>
      </c>
      <c r="B143" s="20" t="n">
        <v>0</v>
      </c>
      <c r="C143" s="20" t="n">
        <v>18936.57</v>
      </c>
      <c r="D143" s="20" t="n">
        <v>18936.57</v>
      </c>
    </row>
    <row r="144">
      <c r="A144" t="inlineStr">
        <is>
          <t>Grand Total</t>
        </is>
      </c>
      <c r="B144" s="20" t="n">
        <v>2004510.83</v>
      </c>
      <c r="C144" s="20" t="n">
        <v>275748.62</v>
      </c>
      <c r="D144" s="20" t="n">
        <v>2280259.45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F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1" t="inlineStr">
        <is>
          <t>Week start</t>
        </is>
      </c>
      <c r="B1" s="21" t="inlineStr">
        <is>
          <t>Category</t>
        </is>
      </c>
      <c r="C1" s="21" t="inlineStr">
        <is>
          <t>Type</t>
        </is>
      </c>
      <c r="D1" s="21" t="inlineStr">
        <is>
          <t>Sales</t>
        </is>
      </c>
      <c r="E1" s="21" t="inlineStr">
        <is>
          <t>Low</t>
        </is>
      </c>
      <c r="F1" s="21" t="inlineStr">
        <is>
          <t>High</t>
        </is>
      </c>
    </row>
    <row r="2">
      <c r="A2" s="22" t="n">
        <v>45579</v>
      </c>
      <c r="B2" s="23" t="inlineStr">
        <is>
          <t>Bakery</t>
        </is>
      </c>
      <c r="C2" s="23" t="inlineStr">
        <is>
          <t>Actual</t>
        </is>
      </c>
      <c r="D2" s="24" t="n">
        <v>1017.77</v>
      </c>
      <c r="E2" s="24" t="n"/>
      <c r="F2" s="24" t="n"/>
    </row>
    <row r="3">
      <c r="A3" s="22" t="n">
        <v>45579</v>
      </c>
      <c r="B3" s="23" t="inlineStr">
        <is>
          <t>Beer &amp; Wine</t>
        </is>
      </c>
      <c r="C3" s="23" t="inlineStr">
        <is>
          <t>Actual</t>
        </is>
      </c>
      <c r="D3" s="24" t="n">
        <v>2209.85</v>
      </c>
      <c r="E3" s="24" t="n"/>
      <c r="F3" s="24" t="n"/>
    </row>
    <row r="4">
      <c r="A4" s="22" t="n">
        <v>45579</v>
      </c>
      <c r="B4" s="23" t="inlineStr">
        <is>
          <t>Beverages</t>
        </is>
      </c>
      <c r="C4" s="23" t="inlineStr">
        <is>
          <t>Actual</t>
        </is>
      </c>
      <c r="D4" s="24" t="n">
        <v>2765.74</v>
      </c>
      <c r="E4" s="24" t="n"/>
      <c r="F4" s="24" t="n"/>
    </row>
    <row r="5">
      <c r="A5" s="22" t="n">
        <v>45579</v>
      </c>
      <c r="B5" s="23" t="inlineStr">
        <is>
          <t>Dairy</t>
        </is>
      </c>
      <c r="C5" s="23" t="inlineStr">
        <is>
          <t>Actual</t>
        </is>
      </c>
      <c r="D5" s="24" t="n">
        <v>3073.88</v>
      </c>
      <c r="E5" s="24" t="n"/>
      <c r="F5" s="24" t="n"/>
    </row>
    <row r="6">
      <c r="A6" s="22" t="n">
        <v>45579</v>
      </c>
      <c r="B6" s="23" t="inlineStr">
        <is>
          <t>Food To Go</t>
        </is>
      </c>
      <c r="C6" s="23" t="inlineStr">
        <is>
          <t>Actual</t>
        </is>
      </c>
      <c r="D6" s="24" t="n">
        <v>3263.28</v>
      </c>
      <c r="E6" s="24" t="n"/>
      <c r="F6" s="24" t="n"/>
    </row>
    <row r="7">
      <c r="A7" s="22" t="n">
        <v>45579</v>
      </c>
      <c r="B7" s="23" t="inlineStr">
        <is>
          <t>Frozen</t>
        </is>
      </c>
      <c r="C7" s="23" t="inlineStr">
        <is>
          <t>Actual</t>
        </is>
      </c>
      <c r="D7" s="24" t="n">
        <v>1146.41</v>
      </c>
      <c r="E7" s="24" t="n"/>
      <c r="F7" s="24" t="n"/>
    </row>
    <row r="8">
      <c r="A8" s="22" t="n">
        <v>45579</v>
      </c>
      <c r="B8" s="23" t="inlineStr">
        <is>
          <t>Grocery</t>
        </is>
      </c>
      <c r="C8" s="23" t="inlineStr">
        <is>
          <t>Actual</t>
        </is>
      </c>
      <c r="D8" s="24" t="n">
        <v>1748.45</v>
      </c>
      <c r="E8" s="24" t="n"/>
      <c r="F8" s="24" t="n"/>
    </row>
    <row r="9">
      <c r="A9" s="22" t="n">
        <v>45579</v>
      </c>
      <c r="B9" s="23" t="inlineStr">
        <is>
          <t>Health &amp; Beauty</t>
        </is>
      </c>
      <c r="C9" s="23" t="inlineStr">
        <is>
          <t>Actual</t>
        </is>
      </c>
      <c r="D9" s="24" t="n">
        <v>222.69</v>
      </c>
      <c r="E9" s="24" t="n"/>
      <c r="F9" s="24" t="n"/>
    </row>
    <row r="10">
      <c r="A10" s="22" t="n">
        <v>45579</v>
      </c>
      <c r="B10" s="23" t="inlineStr">
        <is>
          <t>Household</t>
        </is>
      </c>
      <c r="C10" s="23" t="inlineStr">
        <is>
          <t>Actual</t>
        </is>
      </c>
      <c r="D10" s="24" t="n">
        <v>499.36</v>
      </c>
      <c r="E10" s="24" t="n"/>
      <c r="F10" s="24" t="n"/>
    </row>
    <row r="11">
      <c r="A11" s="22" t="n">
        <v>45579</v>
      </c>
      <c r="B11" s="23" t="inlineStr">
        <is>
          <t>Produce</t>
        </is>
      </c>
      <c r="C11" s="23" t="inlineStr">
        <is>
          <t>Actual</t>
        </is>
      </c>
      <c r="D11" s="24" t="n">
        <v>410.24</v>
      </c>
      <c r="E11" s="24" t="n"/>
      <c r="F11" s="24" t="n"/>
    </row>
    <row r="12">
      <c r="A12" s="22" t="n">
        <v>45579</v>
      </c>
      <c r="B12" s="23" t="inlineStr">
        <is>
          <t>Snacks &amp; Confectionery</t>
        </is>
      </c>
      <c r="C12" s="23" t="inlineStr">
        <is>
          <t>Actual</t>
        </is>
      </c>
      <c r="D12" s="24" t="n">
        <v>1714.85</v>
      </c>
      <c r="E12" s="24" t="n"/>
      <c r="F12" s="24" t="n"/>
    </row>
    <row r="13">
      <c r="A13" s="22" t="n">
        <v>45586</v>
      </c>
      <c r="B13" s="23" t="inlineStr">
        <is>
          <t>Bakery</t>
        </is>
      </c>
      <c r="C13" s="23" t="inlineStr">
        <is>
          <t>Actual</t>
        </is>
      </c>
      <c r="D13" s="24" t="n">
        <v>1066.01</v>
      </c>
      <c r="E13" s="24" t="n"/>
      <c r="F13" s="24" t="n"/>
    </row>
    <row r="14">
      <c r="A14" s="22" t="n">
        <v>45586</v>
      </c>
      <c r="B14" s="23" t="inlineStr">
        <is>
          <t>Beer &amp; Wine</t>
        </is>
      </c>
      <c r="C14" s="23" t="inlineStr">
        <is>
          <t>Actual</t>
        </is>
      </c>
      <c r="D14" s="24" t="n">
        <v>2436.73</v>
      </c>
      <c r="E14" s="24" t="n"/>
      <c r="F14" s="24" t="n"/>
    </row>
    <row r="15">
      <c r="A15" s="22" t="n">
        <v>45586</v>
      </c>
      <c r="B15" s="23" t="inlineStr">
        <is>
          <t>Beverages</t>
        </is>
      </c>
      <c r="C15" s="23" t="inlineStr">
        <is>
          <t>Actual</t>
        </is>
      </c>
      <c r="D15" s="24" t="n">
        <v>3015.46</v>
      </c>
      <c r="E15" s="24" t="n"/>
      <c r="F15" s="24" t="n"/>
    </row>
    <row r="16">
      <c r="A16" s="22" t="n">
        <v>45586</v>
      </c>
      <c r="B16" s="23" t="inlineStr">
        <is>
          <t>Dairy</t>
        </is>
      </c>
      <c r="C16" s="23" t="inlineStr">
        <is>
          <t>Actual</t>
        </is>
      </c>
      <c r="D16" s="24" t="n">
        <v>3367.84</v>
      </c>
      <c r="E16" s="24" t="n"/>
      <c r="F16" s="24" t="n"/>
    </row>
    <row r="17">
      <c r="A17" s="22" t="n">
        <v>45586</v>
      </c>
      <c r="B17" s="23" t="inlineStr">
        <is>
          <t>Food To Go</t>
        </is>
      </c>
      <c r="C17" s="23" t="inlineStr">
        <is>
          <t>Actual</t>
        </is>
      </c>
      <c r="D17" s="24" t="n">
        <v>3322.29</v>
      </c>
      <c r="E17" s="24" t="n"/>
      <c r="F17" s="24" t="n"/>
    </row>
    <row r="18">
      <c r="A18" s="22" t="n">
        <v>45586</v>
      </c>
      <c r="B18" s="23" t="inlineStr">
        <is>
          <t>Frozen</t>
        </is>
      </c>
      <c r="C18" s="23" t="inlineStr">
        <is>
          <t>Actual</t>
        </is>
      </c>
      <c r="D18" s="24" t="n">
        <v>1268.01</v>
      </c>
      <c r="E18" s="24" t="n"/>
      <c r="F18" s="24" t="n"/>
    </row>
    <row r="19">
      <c r="A19" s="22" t="n">
        <v>45586</v>
      </c>
      <c r="B19" s="23" t="inlineStr">
        <is>
          <t>Grocery</t>
        </is>
      </c>
      <c r="C19" s="23" t="inlineStr">
        <is>
          <t>Actual</t>
        </is>
      </c>
      <c r="D19" s="24" t="n">
        <v>1818.63</v>
      </c>
      <c r="E19" s="24" t="n"/>
      <c r="F19" s="24" t="n"/>
    </row>
    <row r="20">
      <c r="A20" s="22" t="n">
        <v>45586</v>
      </c>
      <c r="B20" s="23" t="inlineStr">
        <is>
          <t>Health &amp; Beauty</t>
        </is>
      </c>
      <c r="C20" s="23" t="inlineStr">
        <is>
          <t>Actual</t>
        </is>
      </c>
      <c r="D20" s="24" t="n">
        <v>283.62</v>
      </c>
      <c r="E20" s="24" t="n"/>
      <c r="F20" s="24" t="n"/>
    </row>
    <row r="21">
      <c r="A21" s="22" t="n">
        <v>45586</v>
      </c>
      <c r="B21" s="23" t="inlineStr">
        <is>
          <t>Household</t>
        </is>
      </c>
      <c r="C21" s="23" t="inlineStr">
        <is>
          <t>Actual</t>
        </is>
      </c>
      <c r="D21" s="24" t="n">
        <v>499.34</v>
      </c>
      <c r="E21" s="24" t="n"/>
      <c r="F21" s="24" t="n"/>
    </row>
    <row r="22">
      <c r="A22" s="22" t="n">
        <v>45586</v>
      </c>
      <c r="B22" s="23" t="inlineStr">
        <is>
          <t>Produce</t>
        </is>
      </c>
      <c r="C22" s="23" t="inlineStr">
        <is>
          <t>Actual</t>
        </is>
      </c>
      <c r="D22" s="24" t="n">
        <v>387.89</v>
      </c>
      <c r="E22" s="24" t="n"/>
      <c r="F22" s="24" t="n"/>
    </row>
    <row r="23">
      <c r="A23" s="22" t="n">
        <v>45586</v>
      </c>
      <c r="B23" s="23" t="inlineStr">
        <is>
          <t>Snacks &amp; Confectionery</t>
        </is>
      </c>
      <c r="C23" s="23" t="inlineStr">
        <is>
          <t>Actual</t>
        </is>
      </c>
      <c r="D23" s="24" t="n">
        <v>1688.13</v>
      </c>
      <c r="E23" s="24" t="n"/>
      <c r="F23" s="24" t="n"/>
    </row>
    <row r="24">
      <c r="A24" s="22" t="n">
        <v>45593</v>
      </c>
      <c r="B24" s="23" t="inlineStr">
        <is>
          <t>Bakery</t>
        </is>
      </c>
      <c r="C24" s="23" t="inlineStr">
        <is>
          <t>Actual</t>
        </is>
      </c>
      <c r="D24" s="24" t="n">
        <v>932.3099999999999</v>
      </c>
      <c r="E24" s="24" t="n"/>
      <c r="F24" s="24" t="n"/>
    </row>
    <row r="25">
      <c r="A25" s="22" t="n">
        <v>45593</v>
      </c>
      <c r="B25" s="23" t="inlineStr">
        <is>
          <t>Beer &amp; Wine</t>
        </is>
      </c>
      <c r="C25" s="23" t="inlineStr">
        <is>
          <t>Actual</t>
        </is>
      </c>
      <c r="D25" s="24" t="n">
        <v>2131.84</v>
      </c>
      <c r="E25" s="24" t="n"/>
      <c r="F25" s="24" t="n"/>
    </row>
    <row r="26">
      <c r="A26" s="22" t="n">
        <v>45593</v>
      </c>
      <c r="B26" s="23" t="inlineStr">
        <is>
          <t>Beverages</t>
        </is>
      </c>
      <c r="C26" s="23" t="inlineStr">
        <is>
          <t>Actual</t>
        </is>
      </c>
      <c r="D26" s="24" t="n">
        <v>2906.65</v>
      </c>
      <c r="E26" s="24" t="n"/>
      <c r="F26" s="24" t="n"/>
    </row>
    <row r="27">
      <c r="A27" s="22" t="n">
        <v>45593</v>
      </c>
      <c r="B27" s="23" t="inlineStr">
        <is>
          <t>Dairy</t>
        </is>
      </c>
      <c r="C27" s="23" t="inlineStr">
        <is>
          <t>Actual</t>
        </is>
      </c>
      <c r="D27" s="24" t="n">
        <v>2730.71</v>
      </c>
      <c r="E27" s="24" t="n"/>
      <c r="F27" s="24" t="n"/>
    </row>
    <row r="28">
      <c r="A28" s="22" t="n">
        <v>45593</v>
      </c>
      <c r="B28" s="23" t="inlineStr">
        <is>
          <t>Food To Go</t>
        </is>
      </c>
      <c r="C28" s="23" t="inlineStr">
        <is>
          <t>Actual</t>
        </is>
      </c>
      <c r="D28" s="24" t="n">
        <v>3234.85</v>
      </c>
      <c r="E28" s="24" t="n"/>
      <c r="F28" s="24" t="n"/>
    </row>
    <row r="29">
      <c r="A29" s="22" t="n">
        <v>45593</v>
      </c>
      <c r="B29" s="23" t="inlineStr">
        <is>
          <t>Frozen</t>
        </is>
      </c>
      <c r="C29" s="23" t="inlineStr">
        <is>
          <t>Actual</t>
        </is>
      </c>
      <c r="D29" s="24" t="n">
        <v>974.4299999999999</v>
      </c>
      <c r="E29" s="24" t="n"/>
      <c r="F29" s="24" t="n"/>
    </row>
    <row r="30">
      <c r="A30" s="22" t="n">
        <v>45593</v>
      </c>
      <c r="B30" s="23" t="inlineStr">
        <is>
          <t>Grocery</t>
        </is>
      </c>
      <c r="C30" s="23" t="inlineStr">
        <is>
          <t>Actual</t>
        </is>
      </c>
      <c r="D30" s="24" t="n">
        <v>1688.75</v>
      </c>
      <c r="E30" s="24" t="n"/>
      <c r="F30" s="24" t="n"/>
    </row>
    <row r="31">
      <c r="A31" s="22" t="n">
        <v>45593</v>
      </c>
      <c r="B31" s="23" t="inlineStr">
        <is>
          <t>Health &amp; Beauty</t>
        </is>
      </c>
      <c r="C31" s="23" t="inlineStr">
        <is>
          <t>Actual</t>
        </is>
      </c>
      <c r="D31" s="24" t="n">
        <v>288.69</v>
      </c>
      <c r="E31" s="24" t="n"/>
      <c r="F31" s="24" t="n"/>
    </row>
    <row r="32">
      <c r="A32" s="22" t="n">
        <v>45593</v>
      </c>
      <c r="B32" s="23" t="inlineStr">
        <is>
          <t>Household</t>
        </is>
      </c>
      <c r="C32" s="23" t="inlineStr">
        <is>
          <t>Actual</t>
        </is>
      </c>
      <c r="D32" s="24" t="n">
        <v>464.41</v>
      </c>
      <c r="E32" s="24" t="n"/>
      <c r="F32" s="24" t="n"/>
    </row>
    <row r="33">
      <c r="A33" s="22" t="n">
        <v>45593</v>
      </c>
      <c r="B33" s="23" t="inlineStr">
        <is>
          <t>Produce</t>
        </is>
      </c>
      <c r="C33" s="23" t="inlineStr">
        <is>
          <t>Actual</t>
        </is>
      </c>
      <c r="D33" s="24" t="n">
        <v>427.54</v>
      </c>
      <c r="E33" s="24" t="n"/>
      <c r="F33" s="24" t="n"/>
    </row>
    <row r="34">
      <c r="A34" s="22" t="n">
        <v>45593</v>
      </c>
      <c r="B34" s="23" t="inlineStr">
        <is>
          <t>Snacks &amp; Confectionery</t>
        </is>
      </c>
      <c r="C34" s="23" t="inlineStr">
        <is>
          <t>Actual</t>
        </is>
      </c>
      <c r="D34" s="24" t="n">
        <v>1675.55</v>
      </c>
      <c r="E34" s="24" t="n"/>
      <c r="F34" s="24" t="n"/>
    </row>
    <row r="35">
      <c r="A35" s="22" t="n">
        <v>45600</v>
      </c>
      <c r="B35" s="23" t="inlineStr">
        <is>
          <t>Bakery</t>
        </is>
      </c>
      <c r="C35" s="23" t="inlineStr">
        <is>
          <t>Actual</t>
        </is>
      </c>
      <c r="D35" s="24" t="n">
        <v>952.47</v>
      </c>
      <c r="E35" s="24" t="n"/>
      <c r="F35" s="24" t="n"/>
    </row>
    <row r="36">
      <c r="A36" s="22" t="n">
        <v>45600</v>
      </c>
      <c r="B36" s="23" t="inlineStr">
        <is>
          <t>Beer &amp; Wine</t>
        </is>
      </c>
      <c r="C36" s="23" t="inlineStr">
        <is>
          <t>Actual</t>
        </is>
      </c>
      <c r="D36" s="24" t="n">
        <v>2464.73</v>
      </c>
      <c r="E36" s="24" t="n"/>
      <c r="F36" s="24" t="n"/>
    </row>
    <row r="37">
      <c r="A37" s="22" t="n">
        <v>45600</v>
      </c>
      <c r="B37" s="23" t="inlineStr">
        <is>
          <t>Beverages</t>
        </is>
      </c>
      <c r="C37" s="23" t="inlineStr">
        <is>
          <t>Actual</t>
        </is>
      </c>
      <c r="D37" s="24" t="n">
        <v>3104.98</v>
      </c>
      <c r="E37" s="24" t="n"/>
      <c r="F37" s="24" t="n"/>
    </row>
    <row r="38">
      <c r="A38" s="22" t="n">
        <v>45600</v>
      </c>
      <c r="B38" s="23" t="inlineStr">
        <is>
          <t>Dairy</t>
        </is>
      </c>
      <c r="C38" s="23" t="inlineStr">
        <is>
          <t>Actual</t>
        </is>
      </c>
      <c r="D38" s="24" t="n">
        <v>3238.65</v>
      </c>
      <c r="E38" s="24" t="n"/>
      <c r="F38" s="24" t="n"/>
    </row>
    <row r="39">
      <c r="A39" s="22" t="n">
        <v>45600</v>
      </c>
      <c r="B39" s="23" t="inlineStr">
        <is>
          <t>Food To Go</t>
        </is>
      </c>
      <c r="C39" s="23" t="inlineStr">
        <is>
          <t>Actual</t>
        </is>
      </c>
      <c r="D39" s="24" t="n">
        <v>3230.12</v>
      </c>
      <c r="E39" s="24" t="n"/>
      <c r="F39" s="24" t="n"/>
    </row>
    <row r="40">
      <c r="A40" s="22" t="n">
        <v>45600</v>
      </c>
      <c r="B40" s="23" t="inlineStr">
        <is>
          <t>Frozen</t>
        </is>
      </c>
      <c r="C40" s="23" t="inlineStr">
        <is>
          <t>Actual</t>
        </is>
      </c>
      <c r="D40" s="24" t="n">
        <v>1281.8</v>
      </c>
      <c r="E40" s="24" t="n"/>
      <c r="F40" s="24" t="n"/>
    </row>
    <row r="41">
      <c r="A41" s="22" t="n">
        <v>45600</v>
      </c>
      <c r="B41" s="23" t="inlineStr">
        <is>
          <t>Grocery</t>
        </is>
      </c>
      <c r="C41" s="23" t="inlineStr">
        <is>
          <t>Actual</t>
        </is>
      </c>
      <c r="D41" s="24" t="n">
        <v>1976.97</v>
      </c>
      <c r="E41" s="24" t="n"/>
      <c r="F41" s="24" t="n"/>
    </row>
    <row r="42">
      <c r="A42" s="22" t="n">
        <v>45600</v>
      </c>
      <c r="B42" s="23" t="inlineStr">
        <is>
          <t>Health &amp; Beauty</t>
        </is>
      </c>
      <c r="C42" s="23" t="inlineStr">
        <is>
          <t>Actual</t>
        </is>
      </c>
      <c r="D42" s="24" t="n">
        <v>288.67</v>
      </c>
      <c r="E42" s="24" t="n"/>
      <c r="F42" s="24" t="n"/>
    </row>
    <row r="43">
      <c r="A43" s="22" t="n">
        <v>45600</v>
      </c>
      <c r="B43" s="23" t="inlineStr">
        <is>
          <t>Household</t>
        </is>
      </c>
      <c r="C43" s="23" t="inlineStr">
        <is>
          <t>Actual</t>
        </is>
      </c>
      <c r="D43" s="24" t="n">
        <v>582.33</v>
      </c>
      <c r="E43" s="24" t="n"/>
      <c r="F43" s="24" t="n"/>
    </row>
    <row r="44">
      <c r="A44" s="22" t="n">
        <v>45600</v>
      </c>
      <c r="B44" s="23" t="inlineStr">
        <is>
          <t>Produce</t>
        </is>
      </c>
      <c r="C44" s="23" t="inlineStr">
        <is>
          <t>Actual</t>
        </is>
      </c>
      <c r="D44" s="24" t="n">
        <v>449.53</v>
      </c>
      <c r="E44" s="24" t="n"/>
      <c r="F44" s="24" t="n"/>
    </row>
    <row r="45">
      <c r="A45" s="22" t="n">
        <v>45600</v>
      </c>
      <c r="B45" s="23" t="inlineStr">
        <is>
          <t>Snacks &amp; Confectionery</t>
        </is>
      </c>
      <c r="C45" s="23" t="inlineStr">
        <is>
          <t>Actual</t>
        </is>
      </c>
      <c r="D45" s="24" t="n">
        <v>1942.52</v>
      </c>
      <c r="E45" s="24" t="n"/>
      <c r="F45" s="24" t="n"/>
    </row>
    <row r="46">
      <c r="A46" s="22" t="n">
        <v>45607</v>
      </c>
      <c r="B46" s="23" t="inlineStr">
        <is>
          <t>Bakery</t>
        </is>
      </c>
      <c r="C46" s="23" t="inlineStr">
        <is>
          <t>Actual</t>
        </is>
      </c>
      <c r="D46" s="24" t="n">
        <v>963.3200000000001</v>
      </c>
      <c r="E46" s="24" t="n"/>
      <c r="F46" s="24" t="n"/>
    </row>
    <row r="47">
      <c r="A47" s="22" t="n">
        <v>45607</v>
      </c>
      <c r="B47" s="23" t="inlineStr">
        <is>
          <t>Beer &amp; Wine</t>
        </is>
      </c>
      <c r="C47" s="23" t="inlineStr">
        <is>
          <t>Actual</t>
        </is>
      </c>
      <c r="D47" s="24" t="n">
        <v>2211.85</v>
      </c>
      <c r="E47" s="24" t="n"/>
      <c r="F47" s="24" t="n"/>
    </row>
    <row r="48">
      <c r="A48" s="22" t="n">
        <v>45607</v>
      </c>
      <c r="B48" s="23" t="inlineStr">
        <is>
          <t>Beverages</t>
        </is>
      </c>
      <c r="C48" s="23" t="inlineStr">
        <is>
          <t>Actual</t>
        </is>
      </c>
      <c r="D48" s="24" t="n">
        <v>3342.44</v>
      </c>
      <c r="E48" s="24" t="n"/>
      <c r="F48" s="24" t="n"/>
    </row>
    <row r="49">
      <c r="A49" s="22" t="n">
        <v>45607</v>
      </c>
      <c r="B49" s="23" t="inlineStr">
        <is>
          <t>Dairy</t>
        </is>
      </c>
      <c r="C49" s="23" t="inlineStr">
        <is>
          <t>Actual</t>
        </is>
      </c>
      <c r="D49" s="24" t="n">
        <v>2947.88</v>
      </c>
      <c r="E49" s="24" t="n"/>
      <c r="F49" s="24" t="n"/>
    </row>
    <row r="50">
      <c r="A50" s="22" t="n">
        <v>45607</v>
      </c>
      <c r="B50" s="23" t="inlineStr">
        <is>
          <t>Food To Go</t>
        </is>
      </c>
      <c r="C50" s="23" t="inlineStr">
        <is>
          <t>Actual</t>
        </is>
      </c>
      <c r="D50" s="24" t="n">
        <v>3604.49</v>
      </c>
      <c r="E50" s="24" t="n"/>
      <c r="F50" s="24" t="n"/>
    </row>
    <row r="51">
      <c r="A51" s="22" t="n">
        <v>45607</v>
      </c>
      <c r="B51" s="23" t="inlineStr">
        <is>
          <t>Frozen</t>
        </is>
      </c>
      <c r="C51" s="23" t="inlineStr">
        <is>
          <t>Actual</t>
        </is>
      </c>
      <c r="D51" s="24" t="n">
        <v>1241.01</v>
      </c>
      <c r="E51" s="24" t="n"/>
      <c r="F51" s="24" t="n"/>
    </row>
    <row r="52">
      <c r="A52" s="22" t="n">
        <v>45607</v>
      </c>
      <c r="B52" s="23" t="inlineStr">
        <is>
          <t>Grocery</t>
        </is>
      </c>
      <c r="C52" s="23" t="inlineStr">
        <is>
          <t>Actual</t>
        </is>
      </c>
      <c r="D52" s="24" t="n">
        <v>2209.39</v>
      </c>
      <c r="E52" s="24" t="n"/>
      <c r="F52" s="24" t="n"/>
    </row>
    <row r="53">
      <c r="A53" s="22" t="n">
        <v>45607</v>
      </c>
      <c r="B53" s="23" t="inlineStr">
        <is>
          <t>Health &amp; Beauty</t>
        </is>
      </c>
      <c r="C53" s="23" t="inlineStr">
        <is>
          <t>Actual</t>
        </is>
      </c>
      <c r="D53" s="24" t="n">
        <v>258.6</v>
      </c>
      <c r="E53" s="24" t="n"/>
      <c r="F53" s="24" t="n"/>
    </row>
    <row r="54">
      <c r="A54" s="22" t="n">
        <v>45607</v>
      </c>
      <c r="B54" s="23" t="inlineStr">
        <is>
          <t>Household</t>
        </is>
      </c>
      <c r="C54" s="23" t="inlineStr">
        <is>
          <t>Actual</t>
        </is>
      </c>
      <c r="D54" s="24" t="n">
        <v>392.55</v>
      </c>
      <c r="E54" s="24" t="n"/>
      <c r="F54" s="24" t="n"/>
    </row>
    <row r="55">
      <c r="A55" s="22" t="n">
        <v>45607</v>
      </c>
      <c r="B55" s="23" t="inlineStr">
        <is>
          <t>Produce</t>
        </is>
      </c>
      <c r="C55" s="23" t="inlineStr">
        <is>
          <t>Actual</t>
        </is>
      </c>
      <c r="D55" s="24" t="n">
        <v>491.07</v>
      </c>
      <c r="E55" s="24" t="n"/>
      <c r="F55" s="24" t="n"/>
    </row>
    <row r="56">
      <c r="A56" s="22" t="n">
        <v>45607</v>
      </c>
      <c r="B56" s="23" t="inlineStr">
        <is>
          <t>Snacks &amp; Confectionery</t>
        </is>
      </c>
      <c r="C56" s="23" t="inlineStr">
        <is>
          <t>Actual</t>
        </is>
      </c>
      <c r="D56" s="24" t="n">
        <v>1820.06</v>
      </c>
      <c r="E56" s="24" t="n"/>
      <c r="F56" s="24" t="n"/>
    </row>
    <row r="57">
      <c r="A57" s="22" t="n">
        <v>45614</v>
      </c>
      <c r="B57" s="23" t="inlineStr">
        <is>
          <t>Bakery</t>
        </is>
      </c>
      <c r="C57" s="23" t="inlineStr">
        <is>
          <t>Actual</t>
        </is>
      </c>
      <c r="D57" s="24" t="n">
        <v>957.5</v>
      </c>
      <c r="E57" s="24" t="n"/>
      <c r="F57" s="24" t="n"/>
    </row>
    <row r="58">
      <c r="A58" s="22" t="n">
        <v>45614</v>
      </c>
      <c r="B58" s="23" t="inlineStr">
        <is>
          <t>Beer &amp; Wine</t>
        </is>
      </c>
      <c r="C58" s="23" t="inlineStr">
        <is>
          <t>Actual</t>
        </is>
      </c>
      <c r="D58" s="24" t="n">
        <v>2682.61</v>
      </c>
      <c r="E58" s="24" t="n"/>
      <c r="F58" s="24" t="n"/>
    </row>
    <row r="59">
      <c r="A59" s="22" t="n">
        <v>45614</v>
      </c>
      <c r="B59" s="23" t="inlineStr">
        <is>
          <t>Beverages</t>
        </is>
      </c>
      <c r="C59" s="23" t="inlineStr">
        <is>
          <t>Actual</t>
        </is>
      </c>
      <c r="D59" s="24" t="n">
        <v>3264.83</v>
      </c>
      <c r="E59" s="24" t="n"/>
      <c r="F59" s="24" t="n"/>
    </row>
    <row r="60">
      <c r="A60" s="22" t="n">
        <v>45614</v>
      </c>
      <c r="B60" s="23" t="inlineStr">
        <is>
          <t>Dairy</t>
        </is>
      </c>
      <c r="C60" s="23" t="inlineStr">
        <is>
          <t>Actual</t>
        </is>
      </c>
      <c r="D60" s="24" t="n">
        <v>3031.24</v>
      </c>
      <c r="E60" s="24" t="n"/>
      <c r="F60" s="24" t="n"/>
    </row>
    <row r="61">
      <c r="A61" s="22" t="n">
        <v>45614</v>
      </c>
      <c r="B61" s="23" t="inlineStr">
        <is>
          <t>Food To Go</t>
        </is>
      </c>
      <c r="C61" s="23" t="inlineStr">
        <is>
          <t>Actual</t>
        </is>
      </c>
      <c r="D61" s="24" t="n">
        <v>3201.34</v>
      </c>
      <c r="E61" s="24" t="n"/>
      <c r="F61" s="24" t="n"/>
    </row>
    <row r="62">
      <c r="A62" s="22" t="n">
        <v>45614</v>
      </c>
      <c r="B62" s="23" t="inlineStr">
        <is>
          <t>Frozen</t>
        </is>
      </c>
      <c r="C62" s="23" t="inlineStr">
        <is>
          <t>Actual</t>
        </is>
      </c>
      <c r="D62" s="24" t="n">
        <v>1198.15</v>
      </c>
      <c r="E62" s="24" t="n"/>
      <c r="F62" s="24" t="n"/>
    </row>
    <row r="63">
      <c r="A63" s="22" t="n">
        <v>45614</v>
      </c>
      <c r="B63" s="23" t="inlineStr">
        <is>
          <t>Grocery</t>
        </is>
      </c>
      <c r="C63" s="23" t="inlineStr">
        <is>
          <t>Actual</t>
        </is>
      </c>
      <c r="D63" s="24" t="n">
        <v>1689.65</v>
      </c>
      <c r="E63" s="24" t="n"/>
      <c r="F63" s="24" t="n"/>
    </row>
    <row r="64">
      <c r="A64" s="22" t="n">
        <v>45614</v>
      </c>
      <c r="B64" s="23" t="inlineStr">
        <is>
          <t>Health &amp; Beauty</t>
        </is>
      </c>
      <c r="C64" s="23" t="inlineStr">
        <is>
          <t>Actual</t>
        </is>
      </c>
      <c r="D64" s="24" t="n">
        <v>360.62</v>
      </c>
      <c r="E64" s="24" t="n"/>
      <c r="F64" s="24" t="n"/>
    </row>
    <row r="65">
      <c r="A65" s="22" t="n">
        <v>45614</v>
      </c>
      <c r="B65" s="23" t="inlineStr">
        <is>
          <t>Household</t>
        </is>
      </c>
      <c r="C65" s="23" t="inlineStr">
        <is>
          <t>Actual</t>
        </is>
      </c>
      <c r="D65" s="24" t="n">
        <v>455.44</v>
      </c>
      <c r="E65" s="24" t="n"/>
      <c r="F65" s="24" t="n"/>
    </row>
    <row r="66">
      <c r="A66" s="22" t="n">
        <v>45614</v>
      </c>
      <c r="B66" s="23" t="inlineStr">
        <is>
          <t>Produce</t>
        </is>
      </c>
      <c r="C66" s="23" t="inlineStr">
        <is>
          <t>Actual</t>
        </is>
      </c>
      <c r="D66" s="24" t="n">
        <v>494.99</v>
      </c>
      <c r="E66" s="24" t="n"/>
      <c r="F66" s="24" t="n"/>
    </row>
    <row r="67">
      <c r="A67" s="22" t="n">
        <v>45614</v>
      </c>
      <c r="B67" s="23" t="inlineStr">
        <is>
          <t>Snacks &amp; Confectionery</t>
        </is>
      </c>
      <c r="C67" s="23" t="inlineStr">
        <is>
          <t>Actual</t>
        </is>
      </c>
      <c r="D67" s="24" t="n">
        <v>2024.64</v>
      </c>
      <c r="E67" s="24" t="n"/>
      <c r="F67" s="24" t="n"/>
    </row>
    <row r="68">
      <c r="A68" s="22" t="n">
        <v>45621</v>
      </c>
      <c r="B68" s="23" t="inlineStr">
        <is>
          <t>Bakery</t>
        </is>
      </c>
      <c r="C68" s="23" t="inlineStr">
        <is>
          <t>Actual</t>
        </is>
      </c>
      <c r="D68" s="24" t="n">
        <v>1138.8</v>
      </c>
      <c r="E68" s="24" t="n"/>
      <c r="F68" s="24" t="n"/>
    </row>
    <row r="69">
      <c r="A69" s="22" t="n">
        <v>45621</v>
      </c>
      <c r="B69" s="23" t="inlineStr">
        <is>
          <t>Beer &amp; Wine</t>
        </is>
      </c>
      <c r="C69" s="23" t="inlineStr">
        <is>
          <t>Actual</t>
        </is>
      </c>
      <c r="D69" s="24" t="n">
        <v>2476.5</v>
      </c>
      <c r="E69" s="24" t="n"/>
      <c r="F69" s="24" t="n"/>
    </row>
    <row r="70">
      <c r="A70" s="22" t="n">
        <v>45621</v>
      </c>
      <c r="B70" s="23" t="inlineStr">
        <is>
          <t>Beverages</t>
        </is>
      </c>
      <c r="C70" s="23" t="inlineStr">
        <is>
          <t>Actual</t>
        </is>
      </c>
      <c r="D70" s="24" t="n">
        <v>3376.88</v>
      </c>
      <c r="E70" s="24" t="n"/>
      <c r="F70" s="24" t="n"/>
    </row>
    <row r="71">
      <c r="A71" s="22" t="n">
        <v>45621</v>
      </c>
      <c r="B71" s="23" t="inlineStr">
        <is>
          <t>Dairy</t>
        </is>
      </c>
      <c r="C71" s="23" t="inlineStr">
        <is>
          <t>Actual</t>
        </is>
      </c>
      <c r="D71" s="24" t="n">
        <v>3074.05</v>
      </c>
      <c r="E71" s="24" t="n"/>
      <c r="F71" s="24" t="n"/>
    </row>
    <row r="72">
      <c r="A72" s="22" t="n">
        <v>45621</v>
      </c>
      <c r="B72" s="23" t="inlineStr">
        <is>
          <t>Food To Go</t>
        </is>
      </c>
      <c r="C72" s="23" t="inlineStr">
        <is>
          <t>Actual</t>
        </is>
      </c>
      <c r="D72" s="24" t="n">
        <v>3608.91</v>
      </c>
      <c r="E72" s="24" t="n"/>
      <c r="F72" s="24" t="n"/>
    </row>
    <row r="73">
      <c r="A73" s="22" t="n">
        <v>45621</v>
      </c>
      <c r="B73" s="23" t="inlineStr">
        <is>
          <t>Frozen</t>
        </is>
      </c>
      <c r="C73" s="23" t="inlineStr">
        <is>
          <t>Actual</t>
        </is>
      </c>
      <c r="D73" s="24" t="n">
        <v>1294.02</v>
      </c>
      <c r="E73" s="24" t="n"/>
      <c r="F73" s="24" t="n"/>
    </row>
    <row r="74">
      <c r="A74" s="22" t="n">
        <v>45621</v>
      </c>
      <c r="B74" s="23" t="inlineStr">
        <is>
          <t>Grocery</t>
        </is>
      </c>
      <c r="C74" s="23" t="inlineStr">
        <is>
          <t>Actual</t>
        </is>
      </c>
      <c r="D74" s="24" t="n">
        <v>1533.59</v>
      </c>
      <c r="E74" s="24" t="n"/>
      <c r="F74" s="24" t="n"/>
    </row>
    <row r="75">
      <c r="A75" s="22" t="n">
        <v>45621</v>
      </c>
      <c r="B75" s="23" t="inlineStr">
        <is>
          <t>Health &amp; Beauty</t>
        </is>
      </c>
      <c r="C75" s="23" t="inlineStr">
        <is>
          <t>Actual</t>
        </is>
      </c>
      <c r="D75" s="24" t="n">
        <v>398.58</v>
      </c>
      <c r="E75" s="24" t="n"/>
      <c r="F75" s="24" t="n"/>
    </row>
    <row r="76">
      <c r="A76" s="22" t="n">
        <v>45621</v>
      </c>
      <c r="B76" s="23" t="inlineStr">
        <is>
          <t>Household</t>
        </is>
      </c>
      <c r="C76" s="23" t="inlineStr">
        <is>
          <t>Actual</t>
        </is>
      </c>
      <c r="D76" s="24" t="n">
        <v>523.36</v>
      </c>
      <c r="E76" s="24" t="n"/>
      <c r="F76" s="24" t="n"/>
    </row>
    <row r="77">
      <c r="A77" s="22" t="n">
        <v>45621</v>
      </c>
      <c r="B77" s="23" t="inlineStr">
        <is>
          <t>Produce</t>
        </is>
      </c>
      <c r="C77" s="23" t="inlineStr">
        <is>
          <t>Actual</t>
        </is>
      </c>
      <c r="D77" s="24" t="n">
        <v>563.77</v>
      </c>
      <c r="E77" s="24" t="n"/>
      <c r="F77" s="24" t="n"/>
    </row>
    <row r="78">
      <c r="A78" s="22" t="n">
        <v>45621</v>
      </c>
      <c r="B78" s="23" t="inlineStr">
        <is>
          <t>Snacks &amp; Confectionery</t>
        </is>
      </c>
      <c r="C78" s="23" t="inlineStr">
        <is>
          <t>Actual</t>
        </is>
      </c>
      <c r="D78" s="24" t="n">
        <v>2068.59</v>
      </c>
      <c r="E78" s="24" t="n"/>
      <c r="F78" s="24" t="n"/>
    </row>
    <row r="79">
      <c r="A79" s="22" t="n">
        <v>45628</v>
      </c>
      <c r="B79" s="23" t="inlineStr">
        <is>
          <t>Bakery</t>
        </is>
      </c>
      <c r="C79" s="23" t="inlineStr">
        <is>
          <t>Actual</t>
        </is>
      </c>
      <c r="D79" s="24" t="n">
        <v>1158.78</v>
      </c>
      <c r="E79" s="24" t="n"/>
      <c r="F79" s="24" t="n"/>
    </row>
    <row r="80">
      <c r="A80" s="22" t="n">
        <v>45628</v>
      </c>
      <c r="B80" s="23" t="inlineStr">
        <is>
          <t>Beer &amp; Wine</t>
        </is>
      </c>
      <c r="C80" s="23" t="inlineStr">
        <is>
          <t>Actual</t>
        </is>
      </c>
      <c r="D80" s="24" t="n">
        <v>2821.56</v>
      </c>
      <c r="E80" s="24" t="n"/>
      <c r="F80" s="24" t="n"/>
    </row>
    <row r="81">
      <c r="A81" s="22" t="n">
        <v>45628</v>
      </c>
      <c r="B81" s="23" t="inlineStr">
        <is>
          <t>Beverages</t>
        </is>
      </c>
      <c r="C81" s="23" t="inlineStr">
        <is>
          <t>Actual</t>
        </is>
      </c>
      <c r="D81" s="24" t="n">
        <v>3763.36</v>
      </c>
      <c r="E81" s="24" t="n"/>
      <c r="F81" s="24" t="n"/>
    </row>
    <row r="82">
      <c r="A82" s="22" t="n">
        <v>45628</v>
      </c>
      <c r="B82" s="23" t="inlineStr">
        <is>
          <t>Dairy</t>
        </is>
      </c>
      <c r="C82" s="23" t="inlineStr">
        <is>
          <t>Actual</t>
        </is>
      </c>
      <c r="D82" s="24" t="n">
        <v>3555.06</v>
      </c>
      <c r="E82" s="24" t="n"/>
      <c r="F82" s="24" t="n"/>
    </row>
    <row r="83">
      <c r="A83" s="22" t="n">
        <v>45628</v>
      </c>
      <c r="B83" s="23" t="inlineStr">
        <is>
          <t>Food To Go</t>
        </is>
      </c>
      <c r="C83" s="23" t="inlineStr">
        <is>
          <t>Actual</t>
        </is>
      </c>
      <c r="D83" s="24" t="n">
        <v>4192.22</v>
      </c>
      <c r="E83" s="24" t="n"/>
      <c r="F83" s="24" t="n"/>
    </row>
    <row r="84">
      <c r="A84" s="22" t="n">
        <v>45628</v>
      </c>
      <c r="B84" s="23" t="inlineStr">
        <is>
          <t>Frozen</t>
        </is>
      </c>
      <c r="C84" s="23" t="inlineStr">
        <is>
          <t>Actual</t>
        </is>
      </c>
      <c r="D84" s="24" t="n">
        <v>1541.63</v>
      </c>
      <c r="E84" s="24" t="n"/>
      <c r="F84" s="24" t="n"/>
    </row>
    <row r="85">
      <c r="A85" s="22" t="n">
        <v>45628</v>
      </c>
      <c r="B85" s="23" t="inlineStr">
        <is>
          <t>Grocery</t>
        </is>
      </c>
      <c r="C85" s="23" t="inlineStr">
        <is>
          <t>Actual</t>
        </is>
      </c>
      <c r="D85" s="24" t="n">
        <v>1868.56</v>
      </c>
      <c r="E85" s="24" t="n"/>
      <c r="F85" s="24" t="n"/>
    </row>
    <row r="86">
      <c r="A86" s="22" t="n">
        <v>45628</v>
      </c>
      <c r="B86" s="23" t="inlineStr">
        <is>
          <t>Health &amp; Beauty</t>
        </is>
      </c>
      <c r="C86" s="23" t="inlineStr">
        <is>
          <t>Actual</t>
        </is>
      </c>
      <c r="D86" s="24" t="n">
        <v>371.62</v>
      </c>
      <c r="E86" s="24" t="n"/>
      <c r="F86" s="24" t="n"/>
    </row>
    <row r="87">
      <c r="A87" s="22" t="n">
        <v>45628</v>
      </c>
      <c r="B87" s="23" t="inlineStr">
        <is>
          <t>Household</t>
        </is>
      </c>
      <c r="C87" s="23" t="inlineStr">
        <is>
          <t>Actual</t>
        </is>
      </c>
      <c r="D87" s="24" t="n">
        <v>623.26</v>
      </c>
      <c r="E87" s="24" t="n"/>
      <c r="F87" s="24" t="n"/>
    </row>
    <row r="88">
      <c r="A88" s="22" t="n">
        <v>45628</v>
      </c>
      <c r="B88" s="23" t="inlineStr">
        <is>
          <t>Produce</t>
        </is>
      </c>
      <c r="C88" s="23" t="inlineStr">
        <is>
          <t>Actual</t>
        </is>
      </c>
      <c r="D88" s="24" t="n">
        <v>529.54</v>
      </c>
      <c r="E88" s="24" t="n"/>
      <c r="F88" s="24" t="n"/>
    </row>
    <row r="89">
      <c r="A89" s="22" t="n">
        <v>45628</v>
      </c>
      <c r="B89" s="23" t="inlineStr">
        <is>
          <t>Snacks &amp; Confectionery</t>
        </is>
      </c>
      <c r="C89" s="23" t="inlineStr">
        <is>
          <t>Actual</t>
        </is>
      </c>
      <c r="D89" s="24" t="n">
        <v>2077</v>
      </c>
      <c r="E89" s="24" t="n"/>
      <c r="F89" s="24" t="n"/>
    </row>
    <row r="90">
      <c r="A90" s="22" t="n">
        <v>45635</v>
      </c>
      <c r="B90" s="23" t="inlineStr">
        <is>
          <t>Bakery</t>
        </is>
      </c>
      <c r="C90" s="23" t="inlineStr">
        <is>
          <t>Actual</t>
        </is>
      </c>
      <c r="D90" s="24" t="n">
        <v>1051.12</v>
      </c>
      <c r="E90" s="24" t="n"/>
      <c r="F90" s="24" t="n"/>
    </row>
    <row r="91">
      <c r="A91" s="22" t="n">
        <v>45635</v>
      </c>
      <c r="B91" s="23" t="inlineStr">
        <is>
          <t>Beer &amp; Wine</t>
        </is>
      </c>
      <c r="C91" s="23" t="inlineStr">
        <is>
          <t>Actual</t>
        </is>
      </c>
      <c r="D91" s="24" t="n">
        <v>2959.45</v>
      </c>
      <c r="E91" s="24" t="n"/>
      <c r="F91" s="24" t="n"/>
    </row>
    <row r="92">
      <c r="A92" s="22" t="n">
        <v>45635</v>
      </c>
      <c r="B92" s="23" t="inlineStr">
        <is>
          <t>Beverages</t>
        </is>
      </c>
      <c r="C92" s="23" t="inlineStr">
        <is>
          <t>Actual</t>
        </is>
      </c>
      <c r="D92" s="24" t="n">
        <v>3564.63</v>
      </c>
      <c r="E92" s="24" t="n"/>
      <c r="F92" s="24" t="n"/>
    </row>
    <row r="93">
      <c r="A93" s="22" t="n">
        <v>45635</v>
      </c>
      <c r="B93" s="23" t="inlineStr">
        <is>
          <t>Dairy</t>
        </is>
      </c>
      <c r="C93" s="23" t="inlineStr">
        <is>
          <t>Actual</t>
        </is>
      </c>
      <c r="D93" s="24" t="n">
        <v>3244.26</v>
      </c>
      <c r="E93" s="24" t="n"/>
      <c r="F93" s="24" t="n"/>
    </row>
    <row r="94">
      <c r="A94" s="22" t="n">
        <v>45635</v>
      </c>
      <c r="B94" s="23" t="inlineStr">
        <is>
          <t>Food To Go</t>
        </is>
      </c>
      <c r="C94" s="23" t="inlineStr">
        <is>
          <t>Actual</t>
        </is>
      </c>
      <c r="D94" s="24" t="n">
        <v>3820.72</v>
      </c>
      <c r="E94" s="24" t="n"/>
      <c r="F94" s="24" t="n"/>
    </row>
    <row r="95">
      <c r="A95" s="22" t="n">
        <v>45635</v>
      </c>
      <c r="B95" s="23" t="inlineStr">
        <is>
          <t>Frozen</t>
        </is>
      </c>
      <c r="C95" s="23" t="inlineStr">
        <is>
          <t>Actual</t>
        </is>
      </c>
      <c r="D95" s="24" t="n">
        <v>1711.39</v>
      </c>
      <c r="E95" s="24" t="n"/>
      <c r="F95" s="24" t="n"/>
    </row>
    <row r="96">
      <c r="A96" s="22" t="n">
        <v>45635</v>
      </c>
      <c r="B96" s="23" t="inlineStr">
        <is>
          <t>Grocery</t>
        </is>
      </c>
      <c r="C96" s="23" t="inlineStr">
        <is>
          <t>Actual</t>
        </is>
      </c>
      <c r="D96" s="24" t="n">
        <v>1701.42</v>
      </c>
      <c r="E96" s="24" t="n"/>
      <c r="F96" s="24" t="n"/>
    </row>
    <row r="97">
      <c r="A97" s="22" t="n">
        <v>45635</v>
      </c>
      <c r="B97" s="23" t="inlineStr">
        <is>
          <t>Health &amp; Beauty</t>
        </is>
      </c>
      <c r="C97" s="23" t="inlineStr">
        <is>
          <t>Actual</t>
        </is>
      </c>
      <c r="D97" s="24" t="n">
        <v>382.51</v>
      </c>
      <c r="E97" s="24" t="n"/>
      <c r="F97" s="24" t="n"/>
    </row>
    <row r="98">
      <c r="A98" s="22" t="n">
        <v>45635</v>
      </c>
      <c r="B98" s="23" t="inlineStr">
        <is>
          <t>Household</t>
        </is>
      </c>
      <c r="C98" s="23" t="inlineStr">
        <is>
          <t>Actual</t>
        </is>
      </c>
      <c r="D98" s="24" t="n">
        <v>670.17</v>
      </c>
      <c r="E98" s="24" t="n"/>
      <c r="F98" s="24" t="n"/>
    </row>
    <row r="99">
      <c r="A99" s="22" t="n">
        <v>45635</v>
      </c>
      <c r="B99" s="23" t="inlineStr">
        <is>
          <t>Produce</t>
        </is>
      </c>
      <c r="C99" s="23" t="inlineStr">
        <is>
          <t>Actual</t>
        </is>
      </c>
      <c r="D99" s="24" t="n">
        <v>509.65</v>
      </c>
      <c r="E99" s="24" t="n"/>
      <c r="F99" s="24" t="n"/>
    </row>
    <row r="100">
      <c r="A100" s="22" t="n">
        <v>45635</v>
      </c>
      <c r="B100" s="23" t="inlineStr">
        <is>
          <t>Snacks &amp; Confectionery</t>
        </is>
      </c>
      <c r="C100" s="23" t="inlineStr">
        <is>
          <t>Actual</t>
        </is>
      </c>
      <c r="D100" s="24" t="n">
        <v>2138.36</v>
      </c>
      <c r="E100" s="24" t="n"/>
      <c r="F100" s="24" t="n"/>
    </row>
    <row r="101">
      <c r="A101" s="22" t="n">
        <v>45642</v>
      </c>
      <c r="B101" s="23" t="inlineStr">
        <is>
          <t>Bakery</t>
        </is>
      </c>
      <c r="C101" s="23" t="inlineStr">
        <is>
          <t>Actual</t>
        </is>
      </c>
      <c r="D101" s="24" t="n">
        <v>1084.36</v>
      </c>
      <c r="E101" s="24" t="n"/>
      <c r="F101" s="24" t="n"/>
    </row>
    <row r="102">
      <c r="A102" s="22" t="n">
        <v>45642</v>
      </c>
      <c r="B102" s="23" t="inlineStr">
        <is>
          <t>Beer &amp; Wine</t>
        </is>
      </c>
      <c r="C102" s="23" t="inlineStr">
        <is>
          <t>Actual</t>
        </is>
      </c>
      <c r="D102" s="24" t="n">
        <v>2658.62</v>
      </c>
      <c r="E102" s="24" t="n"/>
      <c r="F102" s="24" t="n"/>
    </row>
    <row r="103">
      <c r="A103" s="22" t="n">
        <v>45642</v>
      </c>
      <c r="B103" s="23" t="inlineStr">
        <is>
          <t>Beverages</t>
        </is>
      </c>
      <c r="C103" s="23" t="inlineStr">
        <is>
          <t>Actual</t>
        </is>
      </c>
      <c r="D103" s="24" t="n">
        <v>3576.19</v>
      </c>
      <c r="E103" s="24" t="n"/>
      <c r="F103" s="24" t="n"/>
    </row>
    <row r="104">
      <c r="A104" s="22" t="n">
        <v>45642</v>
      </c>
      <c r="B104" s="23" t="inlineStr">
        <is>
          <t>Dairy</t>
        </is>
      </c>
      <c r="C104" s="23" t="inlineStr">
        <is>
          <t>Actual</t>
        </is>
      </c>
      <c r="D104" s="24" t="n">
        <v>3029.79</v>
      </c>
      <c r="E104" s="24" t="n"/>
      <c r="F104" s="24" t="n"/>
    </row>
    <row r="105">
      <c r="A105" s="22" t="n">
        <v>45642</v>
      </c>
      <c r="B105" s="23" t="inlineStr">
        <is>
          <t>Food To Go</t>
        </is>
      </c>
      <c r="C105" s="23" t="inlineStr">
        <is>
          <t>Actual</t>
        </is>
      </c>
      <c r="D105" s="24" t="n">
        <v>3759.78</v>
      </c>
      <c r="E105" s="24" t="n"/>
      <c r="F105" s="24" t="n"/>
    </row>
    <row r="106">
      <c r="A106" s="22" t="n">
        <v>45642</v>
      </c>
      <c r="B106" s="23" t="inlineStr">
        <is>
          <t>Frozen</t>
        </is>
      </c>
      <c r="C106" s="23" t="inlineStr">
        <is>
          <t>Actual</t>
        </is>
      </c>
      <c r="D106" s="24" t="n">
        <v>1500.61</v>
      </c>
      <c r="E106" s="24" t="n"/>
      <c r="F106" s="24" t="n"/>
    </row>
    <row r="107">
      <c r="A107" s="22" t="n">
        <v>45642</v>
      </c>
      <c r="B107" s="23" t="inlineStr">
        <is>
          <t>Grocery</t>
        </is>
      </c>
      <c r="C107" s="23" t="inlineStr">
        <is>
          <t>Actual</t>
        </is>
      </c>
      <c r="D107" s="24" t="n">
        <v>2031.87</v>
      </c>
      <c r="E107" s="24" t="n"/>
      <c r="F107" s="24" t="n"/>
    </row>
    <row r="108">
      <c r="A108" s="22" t="n">
        <v>45642</v>
      </c>
      <c r="B108" s="23" t="inlineStr">
        <is>
          <t>Health &amp; Beauty</t>
        </is>
      </c>
      <c r="C108" s="23" t="inlineStr">
        <is>
          <t>Actual</t>
        </is>
      </c>
      <c r="D108" s="24" t="n">
        <v>475.45</v>
      </c>
      <c r="E108" s="24" t="n"/>
      <c r="F108" s="24" t="n"/>
    </row>
    <row r="109">
      <c r="A109" s="22" t="n">
        <v>45642</v>
      </c>
      <c r="B109" s="23" t="inlineStr">
        <is>
          <t>Household</t>
        </is>
      </c>
      <c r="C109" s="23" t="inlineStr">
        <is>
          <t>Actual</t>
        </is>
      </c>
      <c r="D109" s="24" t="n">
        <v>626.25</v>
      </c>
      <c r="E109" s="24" t="n"/>
      <c r="F109" s="24" t="n"/>
    </row>
    <row r="110">
      <c r="A110" s="22" t="n">
        <v>45642</v>
      </c>
      <c r="B110" s="23" t="inlineStr">
        <is>
          <t>Produce</t>
        </is>
      </c>
      <c r="C110" s="23" t="inlineStr">
        <is>
          <t>Actual</t>
        </is>
      </c>
      <c r="D110" s="24" t="n">
        <v>558.39</v>
      </c>
      <c r="E110" s="24" t="n"/>
      <c r="F110" s="24" t="n"/>
    </row>
    <row r="111">
      <c r="A111" s="22" t="n">
        <v>45642</v>
      </c>
      <c r="B111" s="23" t="inlineStr">
        <is>
          <t>Snacks &amp; Confectionery</t>
        </is>
      </c>
      <c r="C111" s="23" t="inlineStr">
        <is>
          <t>Actual</t>
        </is>
      </c>
      <c r="D111" s="24" t="n">
        <v>2028</v>
      </c>
      <c r="E111" s="24" t="n"/>
      <c r="F111" s="24" t="n"/>
    </row>
    <row r="112">
      <c r="A112" s="22" t="n">
        <v>45649</v>
      </c>
      <c r="B112" s="23" t="inlineStr">
        <is>
          <t>Bakery</t>
        </is>
      </c>
      <c r="C112" s="23" t="inlineStr">
        <is>
          <t>Actual</t>
        </is>
      </c>
      <c r="D112" s="24" t="n">
        <v>1106.53</v>
      </c>
      <c r="E112" s="24" t="n"/>
      <c r="F112" s="24" t="n"/>
    </row>
    <row r="113">
      <c r="A113" s="22" t="n">
        <v>45649</v>
      </c>
      <c r="B113" s="23" t="inlineStr">
        <is>
          <t>Beer &amp; Wine</t>
        </is>
      </c>
      <c r="C113" s="23" t="inlineStr">
        <is>
          <t>Actual</t>
        </is>
      </c>
      <c r="D113" s="24" t="n">
        <v>2843.51</v>
      </c>
      <c r="E113" s="24" t="n"/>
      <c r="F113" s="24" t="n"/>
    </row>
    <row r="114">
      <c r="A114" s="22" t="n">
        <v>45649</v>
      </c>
      <c r="B114" s="23" t="inlineStr">
        <is>
          <t>Beverages</t>
        </is>
      </c>
      <c r="C114" s="23" t="inlineStr">
        <is>
          <t>Actual</t>
        </is>
      </c>
      <c r="D114" s="24" t="n">
        <v>3447.39</v>
      </c>
      <c r="E114" s="24" t="n"/>
      <c r="F114" s="24" t="n"/>
    </row>
    <row r="115">
      <c r="A115" s="22" t="n">
        <v>45649</v>
      </c>
      <c r="B115" s="23" t="inlineStr">
        <is>
          <t>Dairy</t>
        </is>
      </c>
      <c r="C115" s="23" t="inlineStr">
        <is>
          <t>Actual</t>
        </is>
      </c>
      <c r="D115" s="24" t="n">
        <v>3012.76</v>
      </c>
      <c r="E115" s="24" t="n"/>
      <c r="F115" s="24" t="n"/>
    </row>
    <row r="116">
      <c r="A116" s="22" t="n">
        <v>45649</v>
      </c>
      <c r="B116" s="23" t="inlineStr">
        <is>
          <t>Food To Go</t>
        </is>
      </c>
      <c r="C116" s="23" t="inlineStr">
        <is>
          <t>Actual</t>
        </is>
      </c>
      <c r="D116" s="24" t="n">
        <v>3612.11</v>
      </c>
      <c r="E116" s="24" t="n"/>
      <c r="F116" s="24" t="n"/>
    </row>
    <row r="117">
      <c r="A117" s="22" t="n">
        <v>45649</v>
      </c>
      <c r="B117" s="23" t="inlineStr">
        <is>
          <t>Frozen</t>
        </is>
      </c>
      <c r="C117" s="23" t="inlineStr">
        <is>
          <t>Actual</t>
        </is>
      </c>
      <c r="D117" s="24" t="n">
        <v>1311.05</v>
      </c>
      <c r="E117" s="24" t="n"/>
      <c r="F117" s="24" t="n"/>
    </row>
    <row r="118">
      <c r="A118" s="22" t="n">
        <v>45649</v>
      </c>
      <c r="B118" s="23" t="inlineStr">
        <is>
          <t>Grocery</t>
        </is>
      </c>
      <c r="C118" s="23" t="inlineStr">
        <is>
          <t>Actual</t>
        </is>
      </c>
      <c r="D118" s="24" t="n">
        <v>1649.8</v>
      </c>
      <c r="E118" s="24" t="n"/>
      <c r="F118" s="24" t="n"/>
    </row>
    <row r="119">
      <c r="A119" s="22" t="n">
        <v>45649</v>
      </c>
      <c r="B119" s="23" t="inlineStr">
        <is>
          <t>Health &amp; Beauty</t>
        </is>
      </c>
      <c r="C119" s="23" t="inlineStr">
        <is>
          <t>Actual</t>
        </is>
      </c>
      <c r="D119" s="24" t="n">
        <v>271.76</v>
      </c>
      <c r="E119" s="24" t="n"/>
      <c r="F119" s="24" t="n"/>
    </row>
    <row r="120">
      <c r="A120" s="22" t="n">
        <v>45649</v>
      </c>
      <c r="B120" s="23" t="inlineStr">
        <is>
          <t>Household</t>
        </is>
      </c>
      <c r="C120" s="23" t="inlineStr">
        <is>
          <t>Actual</t>
        </is>
      </c>
      <c r="D120" s="24" t="n">
        <v>368.55</v>
      </c>
      <c r="E120" s="24" t="n"/>
      <c r="F120" s="24" t="n"/>
    </row>
    <row r="121">
      <c r="A121" s="22" t="n">
        <v>45649</v>
      </c>
      <c r="B121" s="23" t="inlineStr">
        <is>
          <t>Produce</t>
        </is>
      </c>
      <c r="C121" s="23" t="inlineStr">
        <is>
          <t>Actual</t>
        </is>
      </c>
      <c r="D121" s="24" t="n">
        <v>530.91</v>
      </c>
      <c r="E121" s="24" t="n"/>
      <c r="F121" s="24" t="n"/>
    </row>
    <row r="122">
      <c r="A122" s="22" t="n">
        <v>45649</v>
      </c>
      <c r="B122" s="23" t="inlineStr">
        <is>
          <t>Snacks &amp; Confectionery</t>
        </is>
      </c>
      <c r="C122" s="23" t="inlineStr">
        <is>
          <t>Actual</t>
        </is>
      </c>
      <c r="D122" s="24" t="n">
        <v>1959.85</v>
      </c>
      <c r="E122" s="24" t="n"/>
      <c r="F122" s="24" t="n"/>
    </row>
    <row r="123">
      <c r="A123" s="22" t="n">
        <v>45656</v>
      </c>
      <c r="B123" s="23" t="inlineStr">
        <is>
          <t>Bakery</t>
        </is>
      </c>
      <c r="C123" s="23" t="inlineStr">
        <is>
          <t>Actual</t>
        </is>
      </c>
      <c r="D123" s="24" t="n">
        <v>947.9299999999999</v>
      </c>
      <c r="E123" s="24" t="n"/>
      <c r="F123" s="24" t="n"/>
    </row>
    <row r="124">
      <c r="A124" s="22" t="n">
        <v>45656</v>
      </c>
      <c r="B124" s="23" t="inlineStr">
        <is>
          <t>Beer &amp; Wine</t>
        </is>
      </c>
      <c r="C124" s="23" t="inlineStr">
        <is>
          <t>Actual</t>
        </is>
      </c>
      <c r="D124" s="24" t="n">
        <v>2243.22</v>
      </c>
      <c r="E124" s="24" t="n"/>
      <c r="F124" s="24" t="n"/>
    </row>
    <row r="125">
      <c r="A125" s="22" t="n">
        <v>45656</v>
      </c>
      <c r="B125" s="23" t="inlineStr">
        <is>
          <t>Beverages</t>
        </is>
      </c>
      <c r="C125" s="23" t="inlineStr">
        <is>
          <t>Actual</t>
        </is>
      </c>
      <c r="D125" s="24" t="n">
        <v>3169.86</v>
      </c>
      <c r="E125" s="24" t="n"/>
      <c r="F125" s="24" t="n"/>
    </row>
    <row r="126">
      <c r="A126" s="22" t="n">
        <v>45656</v>
      </c>
      <c r="B126" s="23" t="inlineStr">
        <is>
          <t>Dairy</t>
        </is>
      </c>
      <c r="C126" s="23" t="inlineStr">
        <is>
          <t>Actual</t>
        </is>
      </c>
      <c r="D126" s="24" t="n">
        <v>2953.58</v>
      </c>
      <c r="E126" s="24" t="n"/>
      <c r="F126" s="24" t="n"/>
    </row>
    <row r="127">
      <c r="A127" s="22" t="n">
        <v>45656</v>
      </c>
      <c r="B127" s="23" t="inlineStr">
        <is>
          <t>Food To Go</t>
        </is>
      </c>
      <c r="C127" s="23" t="inlineStr">
        <is>
          <t>Actual</t>
        </is>
      </c>
      <c r="D127" s="24" t="n">
        <v>3028.16</v>
      </c>
      <c r="E127" s="24" t="n"/>
      <c r="F127" s="24" t="n"/>
    </row>
    <row r="128">
      <c r="A128" s="22" t="n">
        <v>45656</v>
      </c>
      <c r="B128" s="23" t="inlineStr">
        <is>
          <t>Frozen</t>
        </is>
      </c>
      <c r="C128" s="23" t="inlineStr">
        <is>
          <t>Actual</t>
        </is>
      </c>
      <c r="D128" s="24" t="n">
        <v>930.4299999999999</v>
      </c>
      <c r="E128" s="24" t="n"/>
      <c r="F128" s="24" t="n"/>
    </row>
    <row r="129">
      <c r="A129" s="22" t="n">
        <v>45656</v>
      </c>
      <c r="B129" s="23" t="inlineStr">
        <is>
          <t>Grocery</t>
        </is>
      </c>
      <c r="C129" s="23" t="inlineStr">
        <is>
          <t>Actual</t>
        </is>
      </c>
      <c r="D129" s="24" t="n">
        <v>1597.97</v>
      </c>
      <c r="E129" s="24" t="n"/>
      <c r="F129" s="24" t="n"/>
    </row>
    <row r="130">
      <c r="A130" s="22" t="n">
        <v>45656</v>
      </c>
      <c r="B130" s="23" t="inlineStr">
        <is>
          <t>Health &amp; Beauty</t>
        </is>
      </c>
      <c r="C130" s="23" t="inlineStr">
        <is>
          <t>Actual</t>
        </is>
      </c>
      <c r="D130" s="24" t="n">
        <v>246.74</v>
      </c>
      <c r="E130" s="24" t="n"/>
      <c r="F130" s="24" t="n"/>
    </row>
    <row r="131">
      <c r="A131" s="22" t="n">
        <v>45656</v>
      </c>
      <c r="B131" s="23" t="inlineStr">
        <is>
          <t>Household</t>
        </is>
      </c>
      <c r="C131" s="23" t="inlineStr">
        <is>
          <t>Actual</t>
        </is>
      </c>
      <c r="D131" s="24" t="n">
        <v>428.51</v>
      </c>
      <c r="E131" s="24" t="n"/>
      <c r="F131" s="24" t="n"/>
    </row>
    <row r="132">
      <c r="A132" s="22" t="n">
        <v>45656</v>
      </c>
      <c r="B132" s="23" t="inlineStr">
        <is>
          <t>Produce</t>
        </is>
      </c>
      <c r="C132" s="23" t="inlineStr">
        <is>
          <t>Actual</t>
        </is>
      </c>
      <c r="D132" s="24" t="n">
        <v>418.58</v>
      </c>
      <c r="E132" s="24" t="n"/>
      <c r="F132" s="24" t="n"/>
    </row>
    <row r="133">
      <c r="A133" s="22" t="n">
        <v>45656</v>
      </c>
      <c r="B133" s="23" t="inlineStr">
        <is>
          <t>Snacks &amp; Confectionery</t>
        </is>
      </c>
      <c r="C133" s="23" t="inlineStr">
        <is>
          <t>Actual</t>
        </is>
      </c>
      <c r="D133" s="24" t="n">
        <v>1622.14</v>
      </c>
      <c r="E133" s="24" t="n"/>
      <c r="F133" s="24" t="n"/>
    </row>
    <row r="134">
      <c r="A134" s="22" t="n">
        <v>45663</v>
      </c>
      <c r="B134" s="23" t="inlineStr">
        <is>
          <t>Bakery</t>
        </is>
      </c>
      <c r="C134" s="23" t="inlineStr">
        <is>
          <t>Actual</t>
        </is>
      </c>
      <c r="D134" s="24" t="n">
        <v>847.27</v>
      </c>
      <c r="E134" s="24" t="n"/>
      <c r="F134" s="24" t="n"/>
    </row>
    <row r="135">
      <c r="A135" s="22" t="n">
        <v>45663</v>
      </c>
      <c r="B135" s="23" t="inlineStr">
        <is>
          <t>Beer &amp; Wine</t>
        </is>
      </c>
      <c r="C135" s="23" t="inlineStr">
        <is>
          <t>Actual</t>
        </is>
      </c>
      <c r="D135" s="24" t="n">
        <v>2314.83</v>
      </c>
      <c r="E135" s="24" t="n"/>
      <c r="F135" s="24" t="n"/>
    </row>
    <row r="136">
      <c r="A136" s="22" t="n">
        <v>45663</v>
      </c>
      <c r="B136" s="23" t="inlineStr">
        <is>
          <t>Beverages</t>
        </is>
      </c>
      <c r="C136" s="23" t="inlineStr">
        <is>
          <t>Actual</t>
        </is>
      </c>
      <c r="D136" s="24" t="n">
        <v>2938.25</v>
      </c>
      <c r="E136" s="24" t="n"/>
      <c r="F136" s="24" t="n"/>
    </row>
    <row r="137">
      <c r="A137" s="22" t="n">
        <v>45663</v>
      </c>
      <c r="B137" s="23" t="inlineStr">
        <is>
          <t>Dairy</t>
        </is>
      </c>
      <c r="C137" s="23" t="inlineStr">
        <is>
          <t>Actual</t>
        </is>
      </c>
      <c r="D137" s="24" t="n">
        <v>2589.75</v>
      </c>
      <c r="E137" s="24" t="n"/>
      <c r="F137" s="24" t="n"/>
    </row>
    <row r="138">
      <c r="A138" s="22" t="n">
        <v>45663</v>
      </c>
      <c r="B138" s="23" t="inlineStr">
        <is>
          <t>Food To Go</t>
        </is>
      </c>
      <c r="C138" s="23" t="inlineStr">
        <is>
          <t>Actual</t>
        </is>
      </c>
      <c r="D138" s="24" t="n">
        <v>3416.32</v>
      </c>
      <c r="E138" s="24" t="n"/>
      <c r="F138" s="24" t="n"/>
    </row>
    <row r="139">
      <c r="A139" s="22" t="n">
        <v>45663</v>
      </c>
      <c r="B139" s="23" t="inlineStr">
        <is>
          <t>Frozen</t>
        </is>
      </c>
      <c r="C139" s="23" t="inlineStr">
        <is>
          <t>Actual</t>
        </is>
      </c>
      <c r="D139" s="24" t="n">
        <v>1079.74</v>
      </c>
      <c r="E139" s="24" t="n"/>
      <c r="F139" s="24" t="n"/>
    </row>
    <row r="140">
      <c r="A140" s="22" t="n">
        <v>45663</v>
      </c>
      <c r="B140" s="23" t="inlineStr">
        <is>
          <t>Grocery</t>
        </is>
      </c>
      <c r="C140" s="23" t="inlineStr">
        <is>
          <t>Actual</t>
        </is>
      </c>
      <c r="D140" s="24" t="n">
        <v>1256.03</v>
      </c>
      <c r="E140" s="24" t="n"/>
      <c r="F140" s="24" t="n"/>
    </row>
    <row r="141">
      <c r="A141" s="22" t="n">
        <v>45663</v>
      </c>
      <c r="B141" s="23" t="inlineStr">
        <is>
          <t>Health &amp; Beauty</t>
        </is>
      </c>
      <c r="C141" s="23" t="inlineStr">
        <is>
          <t>Actual</t>
        </is>
      </c>
      <c r="D141" s="24" t="n">
        <v>290.63</v>
      </c>
      <c r="E141" s="24" t="n"/>
      <c r="F141" s="24" t="n"/>
    </row>
    <row r="142">
      <c r="A142" s="22" t="n">
        <v>45663</v>
      </c>
      <c r="B142" s="23" t="inlineStr">
        <is>
          <t>Household</t>
        </is>
      </c>
      <c r="C142" s="23" t="inlineStr">
        <is>
          <t>Actual</t>
        </is>
      </c>
      <c r="D142" s="24" t="n">
        <v>500.41</v>
      </c>
      <c r="E142" s="24" t="n"/>
      <c r="F142" s="24" t="n"/>
    </row>
    <row r="143">
      <c r="A143" s="22" t="n">
        <v>45663</v>
      </c>
      <c r="B143" s="23" t="inlineStr">
        <is>
          <t>Produce</t>
        </is>
      </c>
      <c r="C143" s="23" t="inlineStr">
        <is>
          <t>Actual</t>
        </is>
      </c>
      <c r="D143" s="24" t="n">
        <v>448.25</v>
      </c>
      <c r="E143" s="24" t="n"/>
      <c r="F143" s="24" t="n"/>
    </row>
    <row r="144">
      <c r="A144" s="22" t="n">
        <v>45663</v>
      </c>
      <c r="B144" s="23" t="inlineStr">
        <is>
          <t>Snacks &amp; Confectionery</t>
        </is>
      </c>
      <c r="C144" s="23" t="inlineStr">
        <is>
          <t>Actual</t>
        </is>
      </c>
      <c r="D144" s="24" t="n">
        <v>1467.19</v>
      </c>
      <c r="E144" s="24" t="n"/>
      <c r="F144" s="24" t="n"/>
    </row>
    <row r="145">
      <c r="A145" s="22" t="n">
        <v>45670</v>
      </c>
      <c r="B145" s="23" t="inlineStr">
        <is>
          <t>Bakery</t>
        </is>
      </c>
      <c r="C145" s="23" t="inlineStr">
        <is>
          <t>Actual</t>
        </is>
      </c>
      <c r="D145" s="24" t="n">
        <v>915.46</v>
      </c>
      <c r="E145" s="24" t="n"/>
      <c r="F145" s="24" t="n"/>
    </row>
    <row r="146">
      <c r="A146" s="22" t="n">
        <v>45670</v>
      </c>
      <c r="B146" s="23" t="inlineStr">
        <is>
          <t>Beer &amp; Wine</t>
        </is>
      </c>
      <c r="C146" s="23" t="inlineStr">
        <is>
          <t>Actual</t>
        </is>
      </c>
      <c r="D146" s="24" t="n">
        <v>2586.69</v>
      </c>
      <c r="E146" s="24" t="n"/>
      <c r="F146" s="24" t="n"/>
    </row>
    <row r="147">
      <c r="A147" s="22" t="n">
        <v>45670</v>
      </c>
      <c r="B147" s="23" t="inlineStr">
        <is>
          <t>Beverages</t>
        </is>
      </c>
      <c r="C147" s="23" t="inlineStr">
        <is>
          <t>Actual</t>
        </is>
      </c>
      <c r="D147" s="24" t="n">
        <v>3184.82</v>
      </c>
      <c r="E147" s="24" t="n"/>
      <c r="F147" s="24" t="n"/>
    </row>
    <row r="148">
      <c r="A148" s="22" t="n">
        <v>45670</v>
      </c>
      <c r="B148" s="23" t="inlineStr">
        <is>
          <t>Dairy</t>
        </is>
      </c>
      <c r="C148" s="23" t="inlineStr">
        <is>
          <t>Actual</t>
        </is>
      </c>
      <c r="D148" s="24" t="n">
        <v>2409.62</v>
      </c>
      <c r="E148" s="24" t="n"/>
      <c r="F148" s="24" t="n"/>
    </row>
    <row r="149">
      <c r="A149" s="22" t="n">
        <v>45670</v>
      </c>
      <c r="B149" s="23" t="inlineStr">
        <is>
          <t>Food To Go</t>
        </is>
      </c>
      <c r="C149" s="23" t="inlineStr">
        <is>
          <t>Actual</t>
        </is>
      </c>
      <c r="D149" s="24" t="n">
        <v>2992.9</v>
      </c>
      <c r="E149" s="24" t="n"/>
      <c r="F149" s="24" t="n"/>
    </row>
    <row r="150">
      <c r="A150" s="22" t="n">
        <v>45670</v>
      </c>
      <c r="B150" s="23" t="inlineStr">
        <is>
          <t>Frozen</t>
        </is>
      </c>
      <c r="C150" s="23" t="inlineStr">
        <is>
          <t>Actual</t>
        </is>
      </c>
      <c r="D150" s="24" t="n">
        <v>1117.28</v>
      </c>
      <c r="E150" s="24" t="n"/>
      <c r="F150" s="24" t="n"/>
    </row>
    <row r="151">
      <c r="A151" s="22" t="n">
        <v>45670</v>
      </c>
      <c r="B151" s="23" t="inlineStr">
        <is>
          <t>Grocery</t>
        </is>
      </c>
      <c r="C151" s="23" t="inlineStr">
        <is>
          <t>Actual</t>
        </is>
      </c>
      <c r="D151" s="24" t="n">
        <v>1391.41</v>
      </c>
      <c r="E151" s="24" t="n"/>
      <c r="F151" s="24" t="n"/>
    </row>
    <row r="152">
      <c r="A152" s="22" t="n">
        <v>45670</v>
      </c>
      <c r="B152" s="23" t="inlineStr">
        <is>
          <t>Health &amp; Beauty</t>
        </is>
      </c>
      <c r="C152" s="23" t="inlineStr">
        <is>
          <t>Actual</t>
        </is>
      </c>
      <c r="D152" s="24" t="n">
        <v>203.71</v>
      </c>
      <c r="E152" s="24" t="n"/>
      <c r="F152" s="24" t="n"/>
    </row>
    <row r="153">
      <c r="A153" s="22" t="n">
        <v>45670</v>
      </c>
      <c r="B153" s="23" t="inlineStr">
        <is>
          <t>Household</t>
        </is>
      </c>
      <c r="C153" s="23" t="inlineStr">
        <is>
          <t>Actual</t>
        </is>
      </c>
      <c r="D153" s="24" t="n">
        <v>383.5</v>
      </c>
      <c r="E153" s="24" t="n"/>
      <c r="F153" s="24" t="n"/>
    </row>
    <row r="154">
      <c r="A154" s="22" t="n">
        <v>45670</v>
      </c>
      <c r="B154" s="23" t="inlineStr">
        <is>
          <t>Produce</t>
        </is>
      </c>
      <c r="C154" s="23" t="inlineStr">
        <is>
          <t>Actual</t>
        </is>
      </c>
      <c r="D154" s="24" t="n">
        <v>468.45</v>
      </c>
      <c r="E154" s="24" t="n"/>
      <c r="F154" s="24" t="n"/>
    </row>
    <row r="155">
      <c r="A155" s="22" t="n">
        <v>45670</v>
      </c>
      <c r="B155" s="23" t="inlineStr">
        <is>
          <t>Snacks &amp; Confectionery</t>
        </is>
      </c>
      <c r="C155" s="23" t="inlineStr">
        <is>
          <t>Actual</t>
        </is>
      </c>
      <c r="D155" s="24" t="n">
        <v>1694.74</v>
      </c>
      <c r="E155" s="24" t="n"/>
      <c r="F155" s="24" t="n"/>
    </row>
    <row r="156">
      <c r="A156" s="22" t="n">
        <v>45677</v>
      </c>
      <c r="B156" s="23" t="inlineStr">
        <is>
          <t>Bakery</t>
        </is>
      </c>
      <c r="C156" s="23" t="inlineStr">
        <is>
          <t>Actual</t>
        </is>
      </c>
      <c r="D156" s="24" t="n">
        <v>1122.32</v>
      </c>
      <c r="E156" s="24" t="n"/>
      <c r="F156" s="24" t="n"/>
    </row>
    <row r="157">
      <c r="A157" s="22" t="n">
        <v>45677</v>
      </c>
      <c r="B157" s="23" t="inlineStr">
        <is>
          <t>Beer &amp; Wine</t>
        </is>
      </c>
      <c r="C157" s="23" t="inlineStr">
        <is>
          <t>Actual</t>
        </is>
      </c>
      <c r="D157" s="24" t="n">
        <v>2796.58</v>
      </c>
      <c r="E157" s="24" t="n"/>
      <c r="F157" s="24" t="n"/>
    </row>
    <row r="158">
      <c r="A158" s="22" t="n">
        <v>45677</v>
      </c>
      <c r="B158" s="23" t="inlineStr">
        <is>
          <t>Beverages</t>
        </is>
      </c>
      <c r="C158" s="23" t="inlineStr">
        <is>
          <t>Actual</t>
        </is>
      </c>
      <c r="D158" s="24" t="n">
        <v>3439.97</v>
      </c>
      <c r="E158" s="24" t="n"/>
      <c r="F158" s="24" t="n"/>
    </row>
    <row r="159">
      <c r="A159" s="22" t="n">
        <v>45677</v>
      </c>
      <c r="B159" s="23" t="inlineStr">
        <is>
          <t>Dairy</t>
        </is>
      </c>
      <c r="C159" s="23" t="inlineStr">
        <is>
          <t>Actual</t>
        </is>
      </c>
      <c r="D159" s="24" t="n">
        <v>3427</v>
      </c>
      <c r="E159" s="24" t="n"/>
      <c r="F159" s="24" t="n"/>
    </row>
    <row r="160">
      <c r="A160" s="22" t="n">
        <v>45677</v>
      </c>
      <c r="B160" s="23" t="inlineStr">
        <is>
          <t>Food To Go</t>
        </is>
      </c>
      <c r="C160" s="23" t="inlineStr">
        <is>
          <t>Actual</t>
        </is>
      </c>
      <c r="D160" s="24" t="n">
        <v>3532.47</v>
      </c>
      <c r="E160" s="24" t="n"/>
      <c r="F160" s="24" t="n"/>
    </row>
    <row r="161">
      <c r="A161" s="22" t="n">
        <v>45677</v>
      </c>
      <c r="B161" s="23" t="inlineStr">
        <is>
          <t>Frozen</t>
        </is>
      </c>
      <c r="C161" s="23" t="inlineStr">
        <is>
          <t>Actual</t>
        </is>
      </c>
      <c r="D161" s="24" t="n">
        <v>1303.97</v>
      </c>
      <c r="E161" s="24" t="n"/>
      <c r="F161" s="24" t="n"/>
    </row>
    <row r="162">
      <c r="A162" s="22" t="n">
        <v>45677</v>
      </c>
      <c r="B162" s="23" t="inlineStr">
        <is>
          <t>Grocery</t>
        </is>
      </c>
      <c r="C162" s="23" t="inlineStr">
        <is>
          <t>Actual</t>
        </is>
      </c>
      <c r="D162" s="24" t="n">
        <v>1787.8</v>
      </c>
      <c r="E162" s="24" t="n"/>
      <c r="F162" s="24" t="n"/>
    </row>
    <row r="163">
      <c r="A163" s="22" t="n">
        <v>45677</v>
      </c>
      <c r="B163" s="23" t="inlineStr">
        <is>
          <t>Health &amp; Beauty</t>
        </is>
      </c>
      <c r="C163" s="23" t="inlineStr">
        <is>
          <t>Actual</t>
        </is>
      </c>
      <c r="D163" s="24" t="n">
        <v>312.63</v>
      </c>
      <c r="E163" s="24" t="n"/>
      <c r="F163" s="24" t="n"/>
    </row>
    <row r="164">
      <c r="A164" s="22" t="n">
        <v>45677</v>
      </c>
      <c r="B164" s="23" t="inlineStr">
        <is>
          <t>Household</t>
        </is>
      </c>
      <c r="C164" s="23" t="inlineStr">
        <is>
          <t>Actual</t>
        </is>
      </c>
      <c r="D164" s="24" t="n">
        <v>490.41</v>
      </c>
      <c r="E164" s="24" t="n"/>
      <c r="F164" s="24" t="n"/>
    </row>
    <row r="165">
      <c r="A165" s="22" t="n">
        <v>45677</v>
      </c>
      <c r="B165" s="23" t="inlineStr">
        <is>
          <t>Produce</t>
        </is>
      </c>
      <c r="C165" s="23" t="inlineStr">
        <is>
          <t>Actual</t>
        </is>
      </c>
      <c r="D165" s="24" t="n">
        <v>524.23</v>
      </c>
      <c r="E165" s="24" t="n"/>
      <c r="F165" s="24" t="n"/>
    </row>
    <row r="166">
      <c r="A166" s="22" t="n">
        <v>45677</v>
      </c>
      <c r="B166" s="23" t="inlineStr">
        <is>
          <t>Snacks &amp; Confectionery</t>
        </is>
      </c>
      <c r="C166" s="23" t="inlineStr">
        <is>
          <t>Actual</t>
        </is>
      </c>
      <c r="D166" s="24" t="n">
        <v>1769.5</v>
      </c>
      <c r="E166" s="24" t="n"/>
      <c r="F166" s="24" t="n"/>
    </row>
    <row r="167">
      <c r="A167" s="22" t="n">
        <v>45684</v>
      </c>
      <c r="B167" s="23" t="inlineStr">
        <is>
          <t>Bakery</t>
        </is>
      </c>
      <c r="C167" s="23" t="inlineStr">
        <is>
          <t>Actual</t>
        </is>
      </c>
      <c r="D167" s="24" t="n">
        <v>994.4299999999999</v>
      </c>
      <c r="E167" s="24" t="n"/>
      <c r="F167" s="24" t="n"/>
    </row>
    <row r="168">
      <c r="A168" s="22" t="n">
        <v>45684</v>
      </c>
      <c r="B168" s="23" t="inlineStr">
        <is>
          <t>Beer &amp; Wine</t>
        </is>
      </c>
      <c r="C168" s="23" t="inlineStr">
        <is>
          <t>Actual</t>
        </is>
      </c>
      <c r="D168" s="24" t="n">
        <v>2659.65</v>
      </c>
      <c r="E168" s="24" t="n"/>
      <c r="F168" s="24" t="n"/>
    </row>
    <row r="169">
      <c r="A169" s="22" t="n">
        <v>45684</v>
      </c>
      <c r="B169" s="23" t="inlineStr">
        <is>
          <t>Beverages</t>
        </is>
      </c>
      <c r="C169" s="23" t="inlineStr">
        <is>
          <t>Actual</t>
        </is>
      </c>
      <c r="D169" s="24" t="n">
        <v>3272.58</v>
      </c>
      <c r="E169" s="24" t="n"/>
      <c r="F169" s="24" t="n"/>
    </row>
    <row r="170">
      <c r="A170" s="22" t="n">
        <v>45684</v>
      </c>
      <c r="B170" s="23" t="inlineStr">
        <is>
          <t>Dairy</t>
        </is>
      </c>
      <c r="C170" s="23" t="inlineStr">
        <is>
          <t>Actual</t>
        </is>
      </c>
      <c r="D170" s="24" t="n">
        <v>3081.01</v>
      </c>
      <c r="E170" s="24" t="n"/>
      <c r="F170" s="24" t="n"/>
    </row>
    <row r="171">
      <c r="A171" s="22" t="n">
        <v>45684</v>
      </c>
      <c r="B171" s="23" t="inlineStr">
        <is>
          <t>Food To Go</t>
        </is>
      </c>
      <c r="C171" s="23" t="inlineStr">
        <is>
          <t>Actual</t>
        </is>
      </c>
      <c r="D171" s="24" t="n">
        <v>3540.94</v>
      </c>
      <c r="E171" s="24" t="n"/>
      <c r="F171" s="24" t="n"/>
    </row>
    <row r="172">
      <c r="A172" s="22" t="n">
        <v>45684</v>
      </c>
      <c r="B172" s="23" t="inlineStr">
        <is>
          <t>Frozen</t>
        </is>
      </c>
      <c r="C172" s="23" t="inlineStr">
        <is>
          <t>Actual</t>
        </is>
      </c>
      <c r="D172" s="24" t="n">
        <v>1133.19</v>
      </c>
      <c r="E172" s="24" t="n"/>
      <c r="F172" s="24" t="n"/>
    </row>
    <row r="173">
      <c r="A173" s="22" t="n">
        <v>45684</v>
      </c>
      <c r="B173" s="23" t="inlineStr">
        <is>
          <t>Grocery</t>
        </is>
      </c>
      <c r="C173" s="23" t="inlineStr">
        <is>
          <t>Actual</t>
        </is>
      </c>
      <c r="D173" s="24" t="n">
        <v>1668.02</v>
      </c>
      <c r="E173" s="24" t="n"/>
      <c r="F173" s="24" t="n"/>
    </row>
    <row r="174">
      <c r="A174" s="22" t="n">
        <v>45684</v>
      </c>
      <c r="B174" s="23" t="inlineStr">
        <is>
          <t>Health &amp; Beauty</t>
        </is>
      </c>
      <c r="C174" s="23" t="inlineStr">
        <is>
          <t>Actual</t>
        </is>
      </c>
      <c r="D174" s="24" t="n">
        <v>280.71</v>
      </c>
      <c r="E174" s="24" t="n"/>
      <c r="F174" s="24" t="n"/>
    </row>
    <row r="175">
      <c r="A175" s="22" t="n">
        <v>45684</v>
      </c>
      <c r="B175" s="23" t="inlineStr">
        <is>
          <t>Household</t>
        </is>
      </c>
      <c r="C175" s="23" t="inlineStr">
        <is>
          <t>Actual</t>
        </is>
      </c>
      <c r="D175" s="24" t="n">
        <v>543.12</v>
      </c>
      <c r="E175" s="24" t="n"/>
      <c r="F175" s="24" t="n"/>
    </row>
    <row r="176">
      <c r="A176" s="22" t="n">
        <v>45684</v>
      </c>
      <c r="B176" s="23" t="inlineStr">
        <is>
          <t>Produce</t>
        </is>
      </c>
      <c r="C176" s="23" t="inlineStr">
        <is>
          <t>Actual</t>
        </is>
      </c>
      <c r="D176" s="24" t="n">
        <v>450.11</v>
      </c>
      <c r="E176" s="24" t="n"/>
      <c r="F176" s="24" t="n"/>
    </row>
    <row r="177">
      <c r="A177" s="22" t="n">
        <v>45684</v>
      </c>
      <c r="B177" s="23" t="inlineStr">
        <is>
          <t>Snacks &amp; Confectionery</t>
        </is>
      </c>
      <c r="C177" s="23" t="inlineStr">
        <is>
          <t>Actual</t>
        </is>
      </c>
      <c r="D177" s="24" t="n">
        <v>1678.29</v>
      </c>
      <c r="E177" s="24" t="n"/>
      <c r="F177" s="24" t="n"/>
    </row>
    <row r="178">
      <c r="A178" s="22" t="n">
        <v>45691</v>
      </c>
      <c r="B178" s="23" t="inlineStr">
        <is>
          <t>Bakery</t>
        </is>
      </c>
      <c r="C178" s="23" t="inlineStr">
        <is>
          <t>Actual</t>
        </is>
      </c>
      <c r="D178" s="24" t="n">
        <v>1072.69</v>
      </c>
      <c r="E178" s="24" t="n"/>
      <c r="F178" s="24" t="n"/>
    </row>
    <row r="179">
      <c r="A179" s="22" t="n">
        <v>45691</v>
      </c>
      <c r="B179" s="23" t="inlineStr">
        <is>
          <t>Beer &amp; Wine</t>
        </is>
      </c>
      <c r="C179" s="23" t="inlineStr">
        <is>
          <t>Actual</t>
        </is>
      </c>
      <c r="D179" s="24" t="n">
        <v>2412.75</v>
      </c>
      <c r="E179" s="24" t="n"/>
      <c r="F179" s="24" t="n"/>
    </row>
    <row r="180">
      <c r="A180" s="22" t="n">
        <v>45691</v>
      </c>
      <c r="B180" s="23" t="inlineStr">
        <is>
          <t>Beverages</t>
        </is>
      </c>
      <c r="C180" s="23" t="inlineStr">
        <is>
          <t>Actual</t>
        </is>
      </c>
      <c r="D180" s="24" t="n">
        <v>3354.85</v>
      </c>
      <c r="E180" s="24" t="n"/>
      <c r="F180" s="24" t="n"/>
    </row>
    <row r="181">
      <c r="A181" s="22" t="n">
        <v>45691</v>
      </c>
      <c r="B181" s="23" t="inlineStr">
        <is>
          <t>Dairy</t>
        </is>
      </c>
      <c r="C181" s="23" t="inlineStr">
        <is>
          <t>Actual</t>
        </is>
      </c>
      <c r="D181" s="24" t="n">
        <v>3254.01</v>
      </c>
      <c r="E181" s="24" t="n"/>
      <c r="F181" s="24" t="n"/>
    </row>
    <row r="182">
      <c r="A182" s="22" t="n">
        <v>45691</v>
      </c>
      <c r="B182" s="23" t="inlineStr">
        <is>
          <t>Food To Go</t>
        </is>
      </c>
      <c r="C182" s="23" t="inlineStr">
        <is>
          <t>Actual</t>
        </is>
      </c>
      <c r="D182" s="24" t="n">
        <v>3659.52</v>
      </c>
      <c r="E182" s="24" t="n"/>
      <c r="F182" s="24" t="n"/>
    </row>
    <row r="183">
      <c r="A183" s="22" t="n">
        <v>45691</v>
      </c>
      <c r="B183" s="23" t="inlineStr">
        <is>
          <t>Frozen</t>
        </is>
      </c>
      <c r="C183" s="23" t="inlineStr">
        <is>
          <t>Actual</t>
        </is>
      </c>
      <c r="D183" s="24" t="n">
        <v>1271.05</v>
      </c>
      <c r="E183" s="24" t="n"/>
      <c r="F183" s="24" t="n"/>
    </row>
    <row r="184">
      <c r="A184" s="22" t="n">
        <v>45691</v>
      </c>
      <c r="B184" s="23" t="inlineStr">
        <is>
          <t>Grocery</t>
        </is>
      </c>
      <c r="C184" s="23" t="inlineStr">
        <is>
          <t>Actual</t>
        </is>
      </c>
      <c r="D184" s="24" t="n">
        <v>1603.76</v>
      </c>
      <c r="E184" s="24" t="n"/>
      <c r="F184" s="24" t="n"/>
    </row>
    <row r="185">
      <c r="A185" s="22" t="n">
        <v>45691</v>
      </c>
      <c r="B185" s="23" t="inlineStr">
        <is>
          <t>Health &amp; Beauty</t>
        </is>
      </c>
      <c r="C185" s="23" t="inlineStr">
        <is>
          <t>Actual</t>
        </is>
      </c>
      <c r="D185" s="24" t="n">
        <v>266.69</v>
      </c>
      <c r="E185" s="24" t="n"/>
      <c r="F185" s="24" t="n"/>
    </row>
    <row r="186">
      <c r="A186" s="22" t="n">
        <v>45691</v>
      </c>
      <c r="B186" s="23" t="inlineStr">
        <is>
          <t>Household</t>
        </is>
      </c>
      <c r="C186" s="23" t="inlineStr">
        <is>
          <t>Actual</t>
        </is>
      </c>
      <c r="D186" s="24" t="n">
        <v>630.24</v>
      </c>
      <c r="E186" s="24" t="n"/>
      <c r="F186" s="24" t="n"/>
    </row>
    <row r="187">
      <c r="A187" s="22" t="n">
        <v>45691</v>
      </c>
      <c r="B187" s="23" t="inlineStr">
        <is>
          <t>Produce</t>
        </is>
      </c>
      <c r="C187" s="23" t="inlineStr">
        <is>
          <t>Actual</t>
        </is>
      </c>
      <c r="D187" s="24" t="n">
        <v>530.95</v>
      </c>
      <c r="E187" s="24" t="n"/>
      <c r="F187" s="24" t="n"/>
    </row>
    <row r="188">
      <c r="A188" s="22" t="n">
        <v>45691</v>
      </c>
      <c r="B188" s="23" t="inlineStr">
        <is>
          <t>Snacks &amp; Confectionery</t>
        </is>
      </c>
      <c r="C188" s="23" t="inlineStr">
        <is>
          <t>Actual</t>
        </is>
      </c>
      <c r="D188" s="24" t="n">
        <v>1896.86</v>
      </c>
      <c r="E188" s="24" t="n"/>
      <c r="F188" s="24" t="n"/>
    </row>
    <row r="189">
      <c r="A189" s="22" t="n">
        <v>45698</v>
      </c>
      <c r="B189" s="23" t="inlineStr">
        <is>
          <t>Bakery</t>
        </is>
      </c>
      <c r="C189" s="23" t="inlineStr">
        <is>
          <t>Actual</t>
        </is>
      </c>
      <c r="D189" s="24" t="n">
        <v>972.92</v>
      </c>
      <c r="E189" s="24" t="n"/>
      <c r="F189" s="24" t="n"/>
    </row>
    <row r="190">
      <c r="A190" s="22" t="n">
        <v>45698</v>
      </c>
      <c r="B190" s="23" t="inlineStr">
        <is>
          <t>Beer &amp; Wine</t>
        </is>
      </c>
      <c r="C190" s="23" t="inlineStr">
        <is>
          <t>Actual</t>
        </is>
      </c>
      <c r="D190" s="24" t="n">
        <v>3044.43</v>
      </c>
      <c r="E190" s="24" t="n"/>
      <c r="F190" s="24" t="n"/>
    </row>
    <row r="191">
      <c r="A191" s="22" t="n">
        <v>45698</v>
      </c>
      <c r="B191" s="23" t="inlineStr">
        <is>
          <t>Beverages</t>
        </is>
      </c>
      <c r="C191" s="23" t="inlineStr">
        <is>
          <t>Actual</t>
        </is>
      </c>
      <c r="D191" s="24" t="n">
        <v>3554.28</v>
      </c>
      <c r="E191" s="24" t="n"/>
      <c r="F191" s="24" t="n"/>
    </row>
    <row r="192">
      <c r="A192" s="22" t="n">
        <v>45698</v>
      </c>
      <c r="B192" s="23" t="inlineStr">
        <is>
          <t>Dairy</t>
        </is>
      </c>
      <c r="C192" s="23" t="inlineStr">
        <is>
          <t>Actual</t>
        </is>
      </c>
      <c r="D192" s="24" t="n">
        <v>3187.47</v>
      </c>
      <c r="E192" s="24" t="n"/>
      <c r="F192" s="24" t="n"/>
    </row>
    <row r="193">
      <c r="A193" s="22" t="n">
        <v>45698</v>
      </c>
      <c r="B193" s="23" t="inlineStr">
        <is>
          <t>Food To Go</t>
        </is>
      </c>
      <c r="C193" s="23" t="inlineStr">
        <is>
          <t>Actual</t>
        </is>
      </c>
      <c r="D193" s="24" t="n">
        <v>3735.33</v>
      </c>
      <c r="E193" s="24" t="n"/>
      <c r="F193" s="24" t="n"/>
    </row>
    <row r="194">
      <c r="A194" s="22" t="n">
        <v>45698</v>
      </c>
      <c r="B194" s="23" t="inlineStr">
        <is>
          <t>Frozen</t>
        </is>
      </c>
      <c r="C194" s="23" t="inlineStr">
        <is>
          <t>Actual</t>
        </is>
      </c>
      <c r="D194" s="24" t="n">
        <v>1385.52</v>
      </c>
      <c r="E194" s="24" t="n"/>
      <c r="F194" s="24" t="n"/>
    </row>
    <row r="195">
      <c r="A195" s="22" t="n">
        <v>45698</v>
      </c>
      <c r="B195" s="23" t="inlineStr">
        <is>
          <t>Grocery</t>
        </is>
      </c>
      <c r="C195" s="23" t="inlineStr">
        <is>
          <t>Actual</t>
        </is>
      </c>
      <c r="D195" s="24" t="n">
        <v>1887.73</v>
      </c>
      <c r="E195" s="24" t="n"/>
      <c r="F195" s="24" t="n"/>
    </row>
    <row r="196">
      <c r="A196" s="22" t="n">
        <v>45698</v>
      </c>
      <c r="B196" s="23" t="inlineStr">
        <is>
          <t>Health &amp; Beauty</t>
        </is>
      </c>
      <c r="C196" s="23" t="inlineStr">
        <is>
          <t>Actual</t>
        </is>
      </c>
      <c r="D196" s="24" t="n">
        <v>412.6</v>
      </c>
      <c r="E196" s="24" t="n"/>
      <c r="F196" s="24" t="n"/>
    </row>
    <row r="197">
      <c r="A197" s="22" t="n">
        <v>45698</v>
      </c>
      <c r="B197" s="23" t="inlineStr">
        <is>
          <t>Household</t>
        </is>
      </c>
      <c r="C197" s="23" t="inlineStr">
        <is>
          <t>Actual</t>
        </is>
      </c>
      <c r="D197" s="24" t="n">
        <v>517.34</v>
      </c>
      <c r="E197" s="24" t="n"/>
      <c r="F197" s="24" t="n"/>
    </row>
    <row r="198">
      <c r="A198" s="22" t="n">
        <v>45698</v>
      </c>
      <c r="B198" s="23" t="inlineStr">
        <is>
          <t>Produce</t>
        </is>
      </c>
      <c r="C198" s="23" t="inlineStr">
        <is>
          <t>Actual</t>
        </is>
      </c>
      <c r="D198" s="24" t="n">
        <v>483.9</v>
      </c>
      <c r="E198" s="24" t="n"/>
      <c r="F198" s="24" t="n"/>
    </row>
    <row r="199">
      <c r="A199" s="22" t="n">
        <v>45698</v>
      </c>
      <c r="B199" s="23" t="inlineStr">
        <is>
          <t>Snacks &amp; Confectionery</t>
        </is>
      </c>
      <c r="C199" s="23" t="inlineStr">
        <is>
          <t>Actual</t>
        </is>
      </c>
      <c r="D199" s="24" t="n">
        <v>1820.26</v>
      </c>
      <c r="E199" s="24" t="n"/>
      <c r="F199" s="24" t="n"/>
    </row>
    <row r="200">
      <c r="A200" s="22" t="n">
        <v>45705</v>
      </c>
      <c r="B200" s="23" t="inlineStr">
        <is>
          <t>Bakery</t>
        </is>
      </c>
      <c r="C200" s="23" t="inlineStr">
        <is>
          <t>Actual</t>
        </is>
      </c>
      <c r="D200" s="24" t="n">
        <v>1086.69</v>
      </c>
      <c r="E200" s="24" t="n"/>
      <c r="F200" s="24" t="n"/>
    </row>
    <row r="201">
      <c r="A201" s="22" t="n">
        <v>45705</v>
      </c>
      <c r="B201" s="23" t="inlineStr">
        <is>
          <t>Beer &amp; Wine</t>
        </is>
      </c>
      <c r="C201" s="23" t="inlineStr">
        <is>
          <t>Actual</t>
        </is>
      </c>
      <c r="D201" s="24" t="n">
        <v>2729.57</v>
      </c>
      <c r="E201" s="24" t="n"/>
      <c r="F201" s="24" t="n"/>
    </row>
    <row r="202">
      <c r="A202" s="22" t="n">
        <v>45705</v>
      </c>
      <c r="B202" s="23" t="inlineStr">
        <is>
          <t>Beverages</t>
        </is>
      </c>
      <c r="C202" s="23" t="inlineStr">
        <is>
          <t>Actual</t>
        </is>
      </c>
      <c r="D202" s="24" t="n">
        <v>3599.5</v>
      </c>
      <c r="E202" s="24" t="n"/>
      <c r="F202" s="24" t="n"/>
    </row>
    <row r="203">
      <c r="A203" s="22" t="n">
        <v>45705</v>
      </c>
      <c r="B203" s="23" t="inlineStr">
        <is>
          <t>Dairy</t>
        </is>
      </c>
      <c r="C203" s="23" t="inlineStr">
        <is>
          <t>Actual</t>
        </is>
      </c>
      <c r="D203" s="24" t="n">
        <v>3098.36</v>
      </c>
      <c r="E203" s="24" t="n"/>
      <c r="F203" s="24" t="n"/>
    </row>
    <row r="204">
      <c r="A204" s="22" t="n">
        <v>45705</v>
      </c>
      <c r="B204" s="23" t="inlineStr">
        <is>
          <t>Food To Go</t>
        </is>
      </c>
      <c r="C204" s="23" t="inlineStr">
        <is>
          <t>Actual</t>
        </is>
      </c>
      <c r="D204" s="24" t="n">
        <v>3352.78</v>
      </c>
      <c r="E204" s="24" t="n"/>
      <c r="F204" s="24" t="n"/>
    </row>
    <row r="205">
      <c r="A205" s="22" t="n">
        <v>45705</v>
      </c>
      <c r="B205" s="23" t="inlineStr">
        <is>
          <t>Frozen</t>
        </is>
      </c>
      <c r="C205" s="23" t="inlineStr">
        <is>
          <t>Actual</t>
        </is>
      </c>
      <c r="D205" s="24" t="n">
        <v>1275</v>
      </c>
      <c r="E205" s="24" t="n"/>
      <c r="F205" s="24" t="n"/>
    </row>
    <row r="206">
      <c r="A206" s="22" t="n">
        <v>45705</v>
      </c>
      <c r="B206" s="23" t="inlineStr">
        <is>
          <t>Grocery</t>
        </is>
      </c>
      <c r="C206" s="23" t="inlineStr">
        <is>
          <t>Actual</t>
        </is>
      </c>
      <c r="D206" s="24" t="n">
        <v>1777.59</v>
      </c>
      <c r="E206" s="24" t="n"/>
      <c r="F206" s="24" t="n"/>
    </row>
    <row r="207">
      <c r="A207" s="22" t="n">
        <v>45705</v>
      </c>
      <c r="B207" s="23" t="inlineStr">
        <is>
          <t>Health &amp; Beauty</t>
        </is>
      </c>
      <c r="C207" s="23" t="inlineStr">
        <is>
          <t>Actual</t>
        </is>
      </c>
      <c r="D207" s="24" t="n">
        <v>374.64</v>
      </c>
      <c r="E207" s="24" t="n"/>
      <c r="F207" s="24" t="n"/>
    </row>
    <row r="208">
      <c r="A208" s="22" t="n">
        <v>45705</v>
      </c>
      <c r="B208" s="23" t="inlineStr">
        <is>
          <t>Household</t>
        </is>
      </c>
      <c r="C208" s="23" t="inlineStr">
        <is>
          <t>Actual</t>
        </is>
      </c>
      <c r="D208" s="24" t="n">
        <v>572.25</v>
      </c>
      <c r="E208" s="24" t="n"/>
      <c r="F208" s="24" t="n"/>
    </row>
    <row r="209">
      <c r="A209" s="22" t="n">
        <v>45705</v>
      </c>
      <c r="B209" s="23" t="inlineStr">
        <is>
          <t>Produce</t>
        </is>
      </c>
      <c r="C209" s="23" t="inlineStr">
        <is>
          <t>Actual</t>
        </is>
      </c>
      <c r="D209" s="24" t="n">
        <v>570.02</v>
      </c>
      <c r="E209" s="24" t="n"/>
      <c r="F209" s="24" t="n"/>
    </row>
    <row r="210">
      <c r="A210" s="22" t="n">
        <v>45705</v>
      </c>
      <c r="B210" s="23" t="inlineStr">
        <is>
          <t>Snacks &amp; Confectionery</t>
        </is>
      </c>
      <c r="C210" s="23" t="inlineStr">
        <is>
          <t>Actual</t>
        </is>
      </c>
      <c r="D210" s="24" t="n">
        <v>1863.48</v>
      </c>
      <c r="E210" s="24" t="n"/>
      <c r="F210" s="24" t="n"/>
    </row>
    <row r="211">
      <c r="A211" s="22" t="n">
        <v>45712</v>
      </c>
      <c r="B211" s="23" t="inlineStr">
        <is>
          <t>Bakery</t>
        </is>
      </c>
      <c r="C211" s="23" t="inlineStr">
        <is>
          <t>Actual</t>
        </is>
      </c>
      <c r="D211" s="24" t="n">
        <v>1046.49</v>
      </c>
      <c r="E211" s="24" t="n"/>
      <c r="F211" s="24" t="n"/>
    </row>
    <row r="212">
      <c r="A212" s="22" t="n">
        <v>45712</v>
      </c>
      <c r="B212" s="23" t="inlineStr">
        <is>
          <t>Beer &amp; Wine</t>
        </is>
      </c>
      <c r="C212" s="23" t="inlineStr">
        <is>
          <t>Actual</t>
        </is>
      </c>
      <c r="D212" s="24" t="n">
        <v>2505.71</v>
      </c>
      <c r="E212" s="24" t="n"/>
      <c r="F212" s="24" t="n"/>
    </row>
    <row r="213">
      <c r="A213" s="22" t="n">
        <v>45712</v>
      </c>
      <c r="B213" s="23" t="inlineStr">
        <is>
          <t>Beverages</t>
        </is>
      </c>
      <c r="C213" s="23" t="inlineStr">
        <is>
          <t>Actual</t>
        </is>
      </c>
      <c r="D213" s="24" t="n">
        <v>3223.1</v>
      </c>
      <c r="E213" s="24" t="n"/>
      <c r="F213" s="24" t="n"/>
    </row>
    <row r="214">
      <c r="A214" s="22" t="n">
        <v>45712</v>
      </c>
      <c r="B214" s="23" t="inlineStr">
        <is>
          <t>Dairy</t>
        </is>
      </c>
      <c r="C214" s="23" t="inlineStr">
        <is>
          <t>Actual</t>
        </is>
      </c>
      <c r="D214" s="24" t="n">
        <v>3202.11</v>
      </c>
      <c r="E214" s="24" t="n"/>
      <c r="F214" s="24" t="n"/>
    </row>
    <row r="215">
      <c r="A215" s="22" t="n">
        <v>45712</v>
      </c>
      <c r="B215" s="23" t="inlineStr">
        <is>
          <t>Food To Go</t>
        </is>
      </c>
      <c r="C215" s="23" t="inlineStr">
        <is>
          <t>Actual</t>
        </is>
      </c>
      <c r="D215" s="24" t="n">
        <v>3717.85</v>
      </c>
      <c r="E215" s="24" t="n"/>
      <c r="F215" s="24" t="n"/>
    </row>
    <row r="216">
      <c r="A216" s="22" t="n">
        <v>45712</v>
      </c>
      <c r="B216" s="23" t="inlineStr">
        <is>
          <t>Frozen</t>
        </is>
      </c>
      <c r="C216" s="23" t="inlineStr">
        <is>
          <t>Actual</t>
        </is>
      </c>
      <c r="D216" s="24" t="n">
        <v>1343.77</v>
      </c>
      <c r="E216" s="24" t="n"/>
      <c r="F216" s="24" t="n"/>
    </row>
    <row r="217">
      <c r="A217" s="22" t="n">
        <v>45712</v>
      </c>
      <c r="B217" s="23" t="inlineStr">
        <is>
          <t>Grocery</t>
        </is>
      </c>
      <c r="C217" s="23" t="inlineStr">
        <is>
          <t>Actual</t>
        </is>
      </c>
      <c r="D217" s="24" t="n">
        <v>1694.8</v>
      </c>
      <c r="E217" s="24" t="n"/>
      <c r="F217" s="24" t="n"/>
    </row>
    <row r="218">
      <c r="A218" s="22" t="n">
        <v>45712</v>
      </c>
      <c r="B218" s="23" t="inlineStr">
        <is>
          <t>Health &amp; Beauty</t>
        </is>
      </c>
      <c r="C218" s="23" t="inlineStr">
        <is>
          <t>Actual</t>
        </is>
      </c>
      <c r="D218" s="24" t="n">
        <v>471.27</v>
      </c>
      <c r="E218" s="24" t="n"/>
      <c r="F218" s="24" t="n"/>
    </row>
    <row r="219">
      <c r="A219" s="22" t="n">
        <v>45712</v>
      </c>
      <c r="B219" s="23" t="inlineStr">
        <is>
          <t>Household</t>
        </is>
      </c>
      <c r="C219" s="23" t="inlineStr">
        <is>
          <t>Actual</t>
        </is>
      </c>
      <c r="D219" s="24" t="n">
        <v>507.38</v>
      </c>
      <c r="E219" s="24" t="n"/>
      <c r="F219" s="24" t="n"/>
    </row>
    <row r="220">
      <c r="A220" s="22" t="n">
        <v>45712</v>
      </c>
      <c r="B220" s="23" t="inlineStr">
        <is>
          <t>Produce</t>
        </is>
      </c>
      <c r="C220" s="23" t="inlineStr">
        <is>
          <t>Actual</t>
        </is>
      </c>
      <c r="D220" s="24" t="n">
        <v>482.28</v>
      </c>
      <c r="E220" s="24" t="n"/>
      <c r="F220" s="24" t="n"/>
    </row>
    <row r="221">
      <c r="A221" s="22" t="n">
        <v>45712</v>
      </c>
      <c r="B221" s="23" t="inlineStr">
        <is>
          <t>Snacks &amp; Confectionery</t>
        </is>
      </c>
      <c r="C221" s="23" t="inlineStr">
        <is>
          <t>Actual</t>
        </is>
      </c>
      <c r="D221" s="24" t="n">
        <v>1871.96</v>
      </c>
      <c r="E221" s="24" t="n"/>
      <c r="F221" s="24" t="n"/>
    </row>
    <row r="222">
      <c r="A222" s="22" t="n">
        <v>45719</v>
      </c>
      <c r="B222" s="23" t="inlineStr">
        <is>
          <t>Bakery</t>
        </is>
      </c>
      <c r="C222" s="23" t="inlineStr">
        <is>
          <t>Actual</t>
        </is>
      </c>
      <c r="D222" s="24" t="n">
        <v>1112.99</v>
      </c>
      <c r="E222" s="24" t="n"/>
      <c r="F222" s="24" t="n"/>
    </row>
    <row r="223">
      <c r="A223" s="22" t="n">
        <v>45719</v>
      </c>
      <c r="B223" s="23" t="inlineStr">
        <is>
          <t>Beer &amp; Wine</t>
        </is>
      </c>
      <c r="C223" s="23" t="inlineStr">
        <is>
          <t>Actual</t>
        </is>
      </c>
      <c r="D223" s="24" t="n">
        <v>1761.08</v>
      </c>
      <c r="E223" s="24" t="n"/>
      <c r="F223" s="24" t="n"/>
    </row>
    <row r="224">
      <c r="A224" s="22" t="n">
        <v>45719</v>
      </c>
      <c r="B224" s="23" t="inlineStr">
        <is>
          <t>Beverages</t>
        </is>
      </c>
      <c r="C224" s="23" t="inlineStr">
        <is>
          <t>Actual</t>
        </is>
      </c>
      <c r="D224" s="24" t="n">
        <v>3553.94</v>
      </c>
      <c r="E224" s="24" t="n"/>
      <c r="F224" s="24" t="n"/>
    </row>
    <row r="225">
      <c r="A225" s="22" t="n">
        <v>45719</v>
      </c>
      <c r="B225" s="23" t="inlineStr">
        <is>
          <t>Dairy</t>
        </is>
      </c>
      <c r="C225" s="23" t="inlineStr">
        <is>
          <t>Actual</t>
        </is>
      </c>
      <c r="D225" s="24" t="n">
        <v>3221.04</v>
      </c>
      <c r="E225" s="24" t="n"/>
      <c r="F225" s="24" t="n"/>
    </row>
    <row r="226">
      <c r="A226" s="22" t="n">
        <v>45719</v>
      </c>
      <c r="B226" s="23" t="inlineStr">
        <is>
          <t>Food To Go</t>
        </is>
      </c>
      <c r="C226" s="23" t="inlineStr">
        <is>
          <t>Actual</t>
        </is>
      </c>
      <c r="D226" s="24" t="n">
        <v>3563.48</v>
      </c>
      <c r="E226" s="24" t="n"/>
      <c r="F226" s="24" t="n"/>
    </row>
    <row r="227">
      <c r="A227" s="22" t="n">
        <v>45719</v>
      </c>
      <c r="B227" s="23" t="inlineStr">
        <is>
          <t>Frozen</t>
        </is>
      </c>
      <c r="C227" s="23" t="inlineStr">
        <is>
          <t>Actual</t>
        </is>
      </c>
      <c r="D227" s="24" t="n">
        <v>1068.28</v>
      </c>
      <c r="E227" s="24" t="n"/>
      <c r="F227" s="24" t="n"/>
    </row>
    <row r="228">
      <c r="A228" s="22" t="n">
        <v>45719</v>
      </c>
      <c r="B228" s="23" t="inlineStr">
        <is>
          <t>Grocery</t>
        </is>
      </c>
      <c r="C228" s="23" t="inlineStr">
        <is>
          <t>Actual</t>
        </is>
      </c>
      <c r="D228" s="24" t="n">
        <v>1767.17</v>
      </c>
      <c r="E228" s="24" t="n"/>
      <c r="F228" s="24" t="n"/>
    </row>
    <row r="229">
      <c r="A229" s="22" t="n">
        <v>45719</v>
      </c>
      <c r="B229" s="23" t="inlineStr">
        <is>
          <t>Health &amp; Beauty</t>
        </is>
      </c>
      <c r="C229" s="23" t="inlineStr">
        <is>
          <t>Actual</t>
        </is>
      </c>
      <c r="D229" s="24" t="n">
        <v>310.58</v>
      </c>
      <c r="E229" s="24" t="n"/>
      <c r="F229" s="24" t="n"/>
    </row>
    <row r="230">
      <c r="A230" s="22" t="n">
        <v>45719</v>
      </c>
      <c r="B230" s="23" t="inlineStr">
        <is>
          <t>Household</t>
        </is>
      </c>
      <c r="C230" s="23" t="inlineStr">
        <is>
          <t>Actual</t>
        </is>
      </c>
      <c r="D230" s="24" t="n">
        <v>586.27</v>
      </c>
      <c r="E230" s="24" t="n"/>
      <c r="F230" s="24" t="n"/>
    </row>
    <row r="231">
      <c r="A231" s="22" t="n">
        <v>45719</v>
      </c>
      <c r="B231" s="23" t="inlineStr">
        <is>
          <t>Produce</t>
        </is>
      </c>
      <c r="C231" s="23" t="inlineStr">
        <is>
          <t>Actual</t>
        </is>
      </c>
      <c r="D231" s="24" t="n">
        <v>504.29</v>
      </c>
      <c r="E231" s="24" t="n"/>
      <c r="F231" s="24" t="n"/>
    </row>
    <row r="232">
      <c r="A232" s="22" t="n">
        <v>45719</v>
      </c>
      <c r="B232" s="23" t="inlineStr">
        <is>
          <t>Snacks &amp; Confectionery</t>
        </is>
      </c>
      <c r="C232" s="23" t="inlineStr">
        <is>
          <t>Actual</t>
        </is>
      </c>
      <c r="D232" s="24" t="n">
        <v>1847.39</v>
      </c>
      <c r="E232" s="24" t="n"/>
      <c r="F232" s="24" t="n"/>
    </row>
    <row r="233">
      <c r="A233" s="22" t="n">
        <v>45726</v>
      </c>
      <c r="B233" s="23" t="inlineStr">
        <is>
          <t>Bakery</t>
        </is>
      </c>
      <c r="C233" s="23" t="inlineStr">
        <is>
          <t>Actual</t>
        </is>
      </c>
      <c r="D233" s="24" t="n">
        <v>1080.08</v>
      </c>
      <c r="E233" s="24" t="n"/>
      <c r="F233" s="24" t="n"/>
    </row>
    <row r="234">
      <c r="A234" s="22" t="n">
        <v>45726</v>
      </c>
      <c r="B234" s="23" t="inlineStr">
        <is>
          <t>Beer &amp; Wine</t>
        </is>
      </c>
      <c r="C234" s="23" t="inlineStr">
        <is>
          <t>Actual</t>
        </is>
      </c>
      <c r="D234" s="24" t="n">
        <v>2181.85</v>
      </c>
      <c r="E234" s="24" t="n"/>
      <c r="F234" s="24" t="n"/>
    </row>
    <row r="235">
      <c r="A235" s="22" t="n">
        <v>45726</v>
      </c>
      <c r="B235" s="23" t="inlineStr">
        <is>
          <t>Beverages</t>
        </is>
      </c>
      <c r="C235" s="23" t="inlineStr">
        <is>
          <t>Actual</t>
        </is>
      </c>
      <c r="D235" s="24" t="n">
        <v>3158.74</v>
      </c>
      <c r="E235" s="24" t="n"/>
      <c r="F235" s="24" t="n"/>
    </row>
    <row r="236">
      <c r="A236" s="22" t="n">
        <v>45726</v>
      </c>
      <c r="B236" s="23" t="inlineStr">
        <is>
          <t>Dairy</t>
        </is>
      </c>
      <c r="C236" s="23" t="inlineStr">
        <is>
          <t>Actual</t>
        </is>
      </c>
      <c r="D236" s="24" t="n">
        <v>3062.32</v>
      </c>
      <c r="E236" s="24" t="n"/>
      <c r="F236" s="24" t="n"/>
    </row>
    <row r="237">
      <c r="A237" s="22" t="n">
        <v>45726</v>
      </c>
      <c r="B237" s="23" t="inlineStr">
        <is>
          <t>Food To Go</t>
        </is>
      </c>
      <c r="C237" s="23" t="inlineStr">
        <is>
          <t>Actual</t>
        </is>
      </c>
      <c r="D237" s="24" t="n">
        <v>3947.58</v>
      </c>
      <c r="E237" s="24" t="n"/>
      <c r="F237" s="24" t="n"/>
    </row>
    <row r="238">
      <c r="A238" s="22" t="n">
        <v>45726</v>
      </c>
      <c r="B238" s="23" t="inlineStr">
        <is>
          <t>Frozen</t>
        </is>
      </c>
      <c r="C238" s="23" t="inlineStr">
        <is>
          <t>Actual</t>
        </is>
      </c>
      <c r="D238" s="24" t="n">
        <v>1366.97</v>
      </c>
      <c r="E238" s="24" t="n"/>
      <c r="F238" s="24" t="n"/>
    </row>
    <row r="239">
      <c r="A239" s="22" t="n">
        <v>45726</v>
      </c>
      <c r="B239" s="23" t="inlineStr">
        <is>
          <t>Grocery</t>
        </is>
      </c>
      <c r="C239" s="23" t="inlineStr">
        <is>
          <t>Actual</t>
        </is>
      </c>
      <c r="D239" s="24" t="n">
        <v>1647.44</v>
      </c>
      <c r="E239" s="24" t="n"/>
      <c r="F239" s="24" t="n"/>
    </row>
    <row r="240">
      <c r="A240" s="22" t="n">
        <v>45726</v>
      </c>
      <c r="B240" s="23" t="inlineStr">
        <is>
          <t>Health &amp; Beauty</t>
        </is>
      </c>
      <c r="C240" s="23" t="inlineStr">
        <is>
          <t>Actual</t>
        </is>
      </c>
      <c r="D240" s="24" t="n">
        <v>460.48</v>
      </c>
      <c r="E240" s="24" t="n"/>
      <c r="F240" s="24" t="n"/>
    </row>
    <row r="241">
      <c r="A241" s="22" t="n">
        <v>45726</v>
      </c>
      <c r="B241" s="23" t="inlineStr">
        <is>
          <t>Household</t>
        </is>
      </c>
      <c r="C241" s="23" t="inlineStr">
        <is>
          <t>Actual</t>
        </is>
      </c>
      <c r="D241" s="24" t="n">
        <v>508.39</v>
      </c>
      <c r="E241" s="24" t="n"/>
      <c r="F241" s="24" t="n"/>
    </row>
    <row r="242">
      <c r="A242" s="22" t="n">
        <v>45726</v>
      </c>
      <c r="B242" s="23" t="inlineStr">
        <is>
          <t>Produce</t>
        </is>
      </c>
      <c r="C242" s="23" t="inlineStr">
        <is>
          <t>Actual</t>
        </is>
      </c>
      <c r="D242" s="24" t="n">
        <v>500.82</v>
      </c>
      <c r="E242" s="24" t="n"/>
      <c r="F242" s="24" t="n"/>
    </row>
    <row r="243">
      <c r="A243" s="22" t="n">
        <v>45726</v>
      </c>
      <c r="B243" s="23" t="inlineStr">
        <is>
          <t>Snacks &amp; Confectionery</t>
        </is>
      </c>
      <c r="C243" s="23" t="inlineStr">
        <is>
          <t>Actual</t>
        </is>
      </c>
      <c r="D243" s="24" t="n">
        <v>1996.92</v>
      </c>
      <c r="E243" s="24" t="n"/>
      <c r="F243" s="24" t="n"/>
    </row>
    <row r="244">
      <c r="A244" s="22" t="n">
        <v>45733</v>
      </c>
      <c r="B244" s="23" t="inlineStr">
        <is>
          <t>Bakery</t>
        </is>
      </c>
      <c r="C244" s="23" t="inlineStr">
        <is>
          <t>Actual</t>
        </is>
      </c>
      <c r="D244" s="24" t="n">
        <v>1123.6</v>
      </c>
      <c r="E244" s="24" t="n"/>
      <c r="F244" s="24" t="n"/>
    </row>
    <row r="245">
      <c r="A245" s="22" t="n">
        <v>45733</v>
      </c>
      <c r="B245" s="23" t="inlineStr">
        <is>
          <t>Beer &amp; Wine</t>
        </is>
      </c>
      <c r="C245" s="23" t="inlineStr">
        <is>
          <t>Actual</t>
        </is>
      </c>
      <c r="D245" s="24" t="n">
        <v>2371.79</v>
      </c>
      <c r="E245" s="24" t="n"/>
      <c r="F245" s="24" t="n"/>
    </row>
    <row r="246">
      <c r="A246" s="22" t="n">
        <v>45733</v>
      </c>
      <c r="B246" s="23" t="inlineStr">
        <is>
          <t>Beverages</t>
        </is>
      </c>
      <c r="C246" s="23" t="inlineStr">
        <is>
          <t>Actual</t>
        </is>
      </c>
      <c r="D246" s="24" t="n">
        <v>3268.14</v>
      </c>
      <c r="E246" s="24" t="n"/>
      <c r="F246" s="24" t="n"/>
    </row>
    <row r="247">
      <c r="A247" s="22" t="n">
        <v>45733</v>
      </c>
      <c r="B247" s="23" t="inlineStr">
        <is>
          <t>Dairy</t>
        </is>
      </c>
      <c r="C247" s="23" t="inlineStr">
        <is>
          <t>Actual</t>
        </is>
      </c>
      <c r="D247" s="24" t="n">
        <v>3168.94</v>
      </c>
      <c r="E247" s="24" t="n"/>
      <c r="F247" s="24" t="n"/>
    </row>
    <row r="248">
      <c r="A248" s="22" t="n">
        <v>45733</v>
      </c>
      <c r="B248" s="23" t="inlineStr">
        <is>
          <t>Food To Go</t>
        </is>
      </c>
      <c r="C248" s="23" t="inlineStr">
        <is>
          <t>Actual</t>
        </is>
      </c>
      <c r="D248" s="24" t="n">
        <v>3649.88</v>
      </c>
      <c r="E248" s="24" t="n"/>
      <c r="F248" s="24" t="n"/>
    </row>
    <row r="249">
      <c r="A249" s="22" t="n">
        <v>45733</v>
      </c>
      <c r="B249" s="23" t="inlineStr">
        <is>
          <t>Frozen</t>
        </is>
      </c>
      <c r="C249" s="23" t="inlineStr">
        <is>
          <t>Actual</t>
        </is>
      </c>
      <c r="D249" s="24" t="n">
        <v>1270.03</v>
      </c>
      <c r="E249" s="24" t="n"/>
      <c r="F249" s="24" t="n"/>
    </row>
    <row r="250">
      <c r="A250" s="22" t="n">
        <v>45733</v>
      </c>
      <c r="B250" s="23" t="inlineStr">
        <is>
          <t>Grocery</t>
        </is>
      </c>
      <c r="C250" s="23" t="inlineStr">
        <is>
          <t>Actual</t>
        </is>
      </c>
      <c r="D250" s="24" t="n">
        <v>1996.51</v>
      </c>
      <c r="E250" s="24" t="n"/>
      <c r="F250" s="24" t="n"/>
    </row>
    <row r="251">
      <c r="A251" s="22" t="n">
        <v>45733</v>
      </c>
      <c r="B251" s="23" t="inlineStr">
        <is>
          <t>Health &amp; Beauty</t>
        </is>
      </c>
      <c r="C251" s="23" t="inlineStr">
        <is>
          <t>Actual</t>
        </is>
      </c>
      <c r="D251" s="24" t="n">
        <v>314.37</v>
      </c>
      <c r="E251" s="24" t="n"/>
      <c r="F251" s="24" t="n"/>
    </row>
    <row r="252">
      <c r="A252" s="22" t="n">
        <v>45733</v>
      </c>
      <c r="B252" s="23" t="inlineStr">
        <is>
          <t>Household</t>
        </is>
      </c>
      <c r="C252" s="23" t="inlineStr">
        <is>
          <t>Actual</t>
        </is>
      </c>
      <c r="D252" s="24" t="n">
        <v>496.37</v>
      </c>
      <c r="E252" s="24" t="n"/>
      <c r="F252" s="24" t="n"/>
    </row>
    <row r="253">
      <c r="A253" s="22" t="n">
        <v>45733</v>
      </c>
      <c r="B253" s="23" t="inlineStr">
        <is>
          <t>Produce</t>
        </is>
      </c>
      <c r="C253" s="23" t="inlineStr">
        <is>
          <t>Actual</t>
        </is>
      </c>
      <c r="D253" s="24" t="n">
        <v>526.13</v>
      </c>
      <c r="E253" s="24" t="n"/>
      <c r="F253" s="24" t="n"/>
    </row>
    <row r="254">
      <c r="A254" s="22" t="n">
        <v>45733</v>
      </c>
      <c r="B254" s="23" t="inlineStr">
        <is>
          <t>Snacks &amp; Confectionery</t>
        </is>
      </c>
      <c r="C254" s="23" t="inlineStr">
        <is>
          <t>Actual</t>
        </is>
      </c>
      <c r="D254" s="24" t="n">
        <v>1971.54</v>
      </c>
      <c r="E254" s="24" t="n"/>
      <c r="F254" s="24" t="n"/>
    </row>
    <row r="255">
      <c r="A255" s="22" t="n">
        <v>45740</v>
      </c>
      <c r="B255" s="23" t="inlineStr">
        <is>
          <t>Bakery</t>
        </is>
      </c>
      <c r="C255" s="23" t="inlineStr">
        <is>
          <t>Actual</t>
        </is>
      </c>
      <c r="D255" s="24" t="n">
        <v>811.96</v>
      </c>
      <c r="E255" s="24" t="n"/>
      <c r="F255" s="24" t="n"/>
    </row>
    <row r="256">
      <c r="A256" s="22" t="n">
        <v>45740</v>
      </c>
      <c r="B256" s="23" t="inlineStr">
        <is>
          <t>Beer &amp; Wine</t>
        </is>
      </c>
      <c r="C256" s="23" t="inlineStr">
        <is>
          <t>Actual</t>
        </is>
      </c>
      <c r="D256" s="24" t="n">
        <v>2094.89</v>
      </c>
      <c r="E256" s="24" t="n"/>
      <c r="F256" s="24" t="n"/>
    </row>
    <row r="257">
      <c r="A257" s="22" t="n">
        <v>45740</v>
      </c>
      <c r="B257" s="23" t="inlineStr">
        <is>
          <t>Beverages</t>
        </is>
      </c>
      <c r="C257" s="23" t="inlineStr">
        <is>
          <t>Actual</t>
        </is>
      </c>
      <c r="D257" s="24" t="n">
        <v>3255.58</v>
      </c>
      <c r="E257" s="24" t="n"/>
      <c r="F257" s="24" t="n"/>
    </row>
    <row r="258">
      <c r="A258" s="22" t="n">
        <v>45740</v>
      </c>
      <c r="B258" s="23" t="inlineStr">
        <is>
          <t>Dairy</t>
        </is>
      </c>
      <c r="C258" s="23" t="inlineStr">
        <is>
          <t>Actual</t>
        </is>
      </c>
      <c r="D258" s="24" t="n">
        <v>2962.16</v>
      </c>
      <c r="E258" s="24" t="n"/>
      <c r="F258" s="24" t="n"/>
    </row>
    <row r="259">
      <c r="A259" s="22" t="n">
        <v>45740</v>
      </c>
      <c r="B259" s="23" t="inlineStr">
        <is>
          <t>Food To Go</t>
        </is>
      </c>
      <c r="C259" s="23" t="inlineStr">
        <is>
          <t>Actual</t>
        </is>
      </c>
      <c r="D259" s="24" t="n">
        <v>3350.1</v>
      </c>
      <c r="E259" s="24" t="n"/>
      <c r="F259" s="24" t="n"/>
    </row>
    <row r="260">
      <c r="A260" s="22" t="n">
        <v>45740</v>
      </c>
      <c r="B260" s="23" t="inlineStr">
        <is>
          <t>Frozen</t>
        </is>
      </c>
      <c r="C260" s="23" t="inlineStr">
        <is>
          <t>Actual</t>
        </is>
      </c>
      <c r="D260" s="24" t="n">
        <v>1273.11</v>
      </c>
      <c r="E260" s="24" t="n"/>
      <c r="F260" s="24" t="n"/>
    </row>
    <row r="261">
      <c r="A261" s="22" t="n">
        <v>45740</v>
      </c>
      <c r="B261" s="23" t="inlineStr">
        <is>
          <t>Grocery</t>
        </is>
      </c>
      <c r="C261" s="23" t="inlineStr">
        <is>
          <t>Actual</t>
        </is>
      </c>
      <c r="D261" s="24" t="n">
        <v>1957.97</v>
      </c>
      <c r="E261" s="24" t="n"/>
      <c r="F261" s="24" t="n"/>
    </row>
    <row r="262">
      <c r="A262" s="22" t="n">
        <v>45740</v>
      </c>
      <c r="B262" s="23" t="inlineStr">
        <is>
          <t>Health &amp; Beauty</t>
        </is>
      </c>
      <c r="C262" s="23" t="inlineStr">
        <is>
          <t>Actual</t>
        </is>
      </c>
      <c r="D262" s="24" t="n">
        <v>448.4</v>
      </c>
      <c r="E262" s="24" t="n"/>
      <c r="F262" s="24" t="n"/>
    </row>
    <row r="263">
      <c r="A263" s="22" t="n">
        <v>45740</v>
      </c>
      <c r="B263" s="23" t="inlineStr">
        <is>
          <t>Household</t>
        </is>
      </c>
      <c r="C263" s="23" t="inlineStr">
        <is>
          <t>Actual</t>
        </is>
      </c>
      <c r="D263" s="24" t="n">
        <v>463.46</v>
      </c>
      <c r="E263" s="24" t="n"/>
      <c r="F263" s="24" t="n"/>
    </row>
    <row r="264">
      <c r="A264" s="22" t="n">
        <v>45740</v>
      </c>
      <c r="B264" s="23" t="inlineStr">
        <is>
          <t>Produce</t>
        </is>
      </c>
      <c r="C264" s="23" t="inlineStr">
        <is>
          <t>Actual</t>
        </is>
      </c>
      <c r="D264" s="24" t="n">
        <v>444.99</v>
      </c>
      <c r="E264" s="24" t="n"/>
      <c r="F264" s="24" t="n"/>
    </row>
    <row r="265">
      <c r="A265" s="22" t="n">
        <v>45740</v>
      </c>
      <c r="B265" s="23" t="inlineStr">
        <is>
          <t>Snacks &amp; Confectionery</t>
        </is>
      </c>
      <c r="C265" s="23" t="inlineStr">
        <is>
          <t>Actual</t>
        </is>
      </c>
      <c r="D265" s="24" t="n">
        <v>1901.52</v>
      </c>
      <c r="E265" s="24" t="n"/>
      <c r="F265" s="24" t="n"/>
    </row>
    <row r="266">
      <c r="A266" s="22" t="n">
        <v>45747</v>
      </c>
      <c r="B266" s="23" t="inlineStr">
        <is>
          <t>Bakery</t>
        </is>
      </c>
      <c r="C266" s="23" t="inlineStr">
        <is>
          <t>Actual</t>
        </is>
      </c>
      <c r="D266" s="24" t="n">
        <v>1114.64</v>
      </c>
      <c r="E266" s="24" t="n"/>
      <c r="F266" s="24" t="n"/>
    </row>
    <row r="267">
      <c r="A267" s="22" t="n">
        <v>45747</v>
      </c>
      <c r="B267" s="23" t="inlineStr">
        <is>
          <t>Beer &amp; Wine</t>
        </is>
      </c>
      <c r="C267" s="23" t="inlineStr">
        <is>
          <t>Actual</t>
        </is>
      </c>
      <c r="D267" s="24" t="n">
        <v>2544.7</v>
      </c>
      <c r="E267" s="24" t="n"/>
      <c r="F267" s="24" t="n"/>
    </row>
    <row r="268">
      <c r="A268" s="22" t="n">
        <v>45747</v>
      </c>
      <c r="B268" s="23" t="inlineStr">
        <is>
          <t>Beverages</t>
        </is>
      </c>
      <c r="C268" s="23" t="inlineStr">
        <is>
          <t>Actual</t>
        </is>
      </c>
      <c r="D268" s="24" t="n">
        <v>2849.21</v>
      </c>
      <c r="E268" s="24" t="n"/>
      <c r="F268" s="24" t="n"/>
    </row>
    <row r="269">
      <c r="A269" s="22" t="n">
        <v>45747</v>
      </c>
      <c r="B269" s="23" t="inlineStr">
        <is>
          <t>Dairy</t>
        </is>
      </c>
      <c r="C269" s="23" t="inlineStr">
        <is>
          <t>Actual</t>
        </is>
      </c>
      <c r="D269" s="24" t="n">
        <v>3070.13</v>
      </c>
      <c r="E269" s="24" t="n"/>
      <c r="F269" s="24" t="n"/>
    </row>
    <row r="270">
      <c r="A270" s="22" t="n">
        <v>45747</v>
      </c>
      <c r="B270" s="23" t="inlineStr">
        <is>
          <t>Food To Go</t>
        </is>
      </c>
      <c r="C270" s="23" t="inlineStr">
        <is>
          <t>Actual</t>
        </is>
      </c>
      <c r="D270" s="24" t="n">
        <v>3311.62</v>
      </c>
      <c r="E270" s="24" t="n"/>
      <c r="F270" s="24" t="n"/>
    </row>
    <row r="271">
      <c r="A271" s="22" t="n">
        <v>45747</v>
      </c>
      <c r="B271" s="23" t="inlineStr">
        <is>
          <t>Frozen</t>
        </is>
      </c>
      <c r="C271" s="23" t="inlineStr">
        <is>
          <t>Actual</t>
        </is>
      </c>
      <c r="D271" s="24" t="n">
        <v>1482.92</v>
      </c>
      <c r="E271" s="24" t="n"/>
      <c r="F271" s="24" t="n"/>
    </row>
    <row r="272">
      <c r="A272" s="22" t="n">
        <v>45747</v>
      </c>
      <c r="B272" s="23" t="inlineStr">
        <is>
          <t>Grocery</t>
        </is>
      </c>
      <c r="C272" s="23" t="inlineStr">
        <is>
          <t>Actual</t>
        </is>
      </c>
      <c r="D272" s="24" t="n">
        <v>1808.72</v>
      </c>
      <c r="E272" s="24" t="n"/>
      <c r="F272" s="24" t="n"/>
    </row>
    <row r="273">
      <c r="A273" s="22" t="n">
        <v>45747</v>
      </c>
      <c r="B273" s="23" t="inlineStr">
        <is>
          <t>Health &amp; Beauty</t>
        </is>
      </c>
      <c r="C273" s="23" t="inlineStr">
        <is>
          <t>Actual</t>
        </is>
      </c>
      <c r="D273" s="24" t="n">
        <v>339.59</v>
      </c>
      <c r="E273" s="24" t="n"/>
      <c r="F273" s="24" t="n"/>
    </row>
    <row r="274">
      <c r="A274" s="22" t="n">
        <v>45747</v>
      </c>
      <c r="B274" s="23" t="inlineStr">
        <is>
          <t>Household</t>
        </is>
      </c>
      <c r="C274" s="23" t="inlineStr">
        <is>
          <t>Actual</t>
        </is>
      </c>
      <c r="D274" s="24" t="n">
        <v>480.41</v>
      </c>
      <c r="E274" s="24" t="n"/>
      <c r="F274" s="24" t="n"/>
    </row>
    <row r="275">
      <c r="A275" s="22" t="n">
        <v>45747</v>
      </c>
      <c r="B275" s="23" t="inlineStr">
        <is>
          <t>Produce</t>
        </is>
      </c>
      <c r="C275" s="23" t="inlineStr">
        <is>
          <t>Actual</t>
        </is>
      </c>
      <c r="D275" s="24" t="n">
        <v>424.03</v>
      </c>
      <c r="E275" s="24" t="n"/>
      <c r="F275" s="24" t="n"/>
    </row>
    <row r="276">
      <c r="A276" s="22" t="n">
        <v>45747</v>
      </c>
      <c r="B276" s="23" t="inlineStr">
        <is>
          <t>Snacks &amp; Confectionery</t>
        </is>
      </c>
      <c r="C276" s="23" t="inlineStr">
        <is>
          <t>Actual</t>
        </is>
      </c>
      <c r="D276" s="24" t="n">
        <v>1965.98</v>
      </c>
      <c r="E276" s="24" t="n"/>
      <c r="F276" s="24" t="n"/>
    </row>
    <row r="277">
      <c r="A277" s="22" t="n">
        <v>45754</v>
      </c>
      <c r="B277" s="23" t="inlineStr">
        <is>
          <t>Bakery</t>
        </is>
      </c>
      <c r="C277" s="23" t="inlineStr">
        <is>
          <t>Actual</t>
        </is>
      </c>
      <c r="D277" s="24" t="n">
        <v>1116.5</v>
      </c>
      <c r="E277" s="24" t="n"/>
      <c r="F277" s="24" t="n"/>
    </row>
    <row r="278">
      <c r="A278" s="22" t="n">
        <v>45754</v>
      </c>
      <c r="B278" s="23" t="inlineStr">
        <is>
          <t>Beer &amp; Wine</t>
        </is>
      </c>
      <c r="C278" s="23" t="inlineStr">
        <is>
          <t>Actual</t>
        </is>
      </c>
      <c r="D278" s="24" t="n">
        <v>2327.79</v>
      </c>
      <c r="E278" s="24" t="n"/>
      <c r="F278" s="24" t="n"/>
    </row>
    <row r="279">
      <c r="A279" s="22" t="n">
        <v>45754</v>
      </c>
      <c r="B279" s="23" t="inlineStr">
        <is>
          <t>Beverages</t>
        </is>
      </c>
      <c r="C279" s="23" t="inlineStr">
        <is>
          <t>Actual</t>
        </is>
      </c>
      <c r="D279" s="24" t="n">
        <v>2832.74</v>
      </c>
      <c r="E279" s="24" t="n"/>
      <c r="F279" s="24" t="n"/>
    </row>
    <row r="280">
      <c r="A280" s="22" t="n">
        <v>45754</v>
      </c>
      <c r="B280" s="23" t="inlineStr">
        <is>
          <t>Dairy</t>
        </is>
      </c>
      <c r="C280" s="23" t="inlineStr">
        <is>
          <t>Actual</t>
        </is>
      </c>
      <c r="D280" s="24" t="n">
        <v>3143.71</v>
      </c>
      <c r="E280" s="24" t="n"/>
      <c r="F280" s="24" t="n"/>
    </row>
    <row r="281">
      <c r="A281" s="22" t="n">
        <v>45754</v>
      </c>
      <c r="B281" s="23" t="inlineStr">
        <is>
          <t>Food To Go</t>
        </is>
      </c>
      <c r="C281" s="23" t="inlineStr">
        <is>
          <t>Actual</t>
        </is>
      </c>
      <c r="D281" s="24" t="n">
        <v>3315.49</v>
      </c>
      <c r="E281" s="24" t="n"/>
      <c r="F281" s="24" t="n"/>
    </row>
    <row r="282">
      <c r="A282" s="22" t="n">
        <v>45754</v>
      </c>
      <c r="B282" s="23" t="inlineStr">
        <is>
          <t>Frozen</t>
        </is>
      </c>
      <c r="C282" s="23" t="inlineStr">
        <is>
          <t>Actual</t>
        </is>
      </c>
      <c r="D282" s="24" t="n">
        <v>1286.17</v>
      </c>
      <c r="E282" s="24" t="n"/>
      <c r="F282" s="24" t="n"/>
    </row>
    <row r="283">
      <c r="A283" s="22" t="n">
        <v>45754</v>
      </c>
      <c r="B283" s="23" t="inlineStr">
        <is>
          <t>Grocery</t>
        </is>
      </c>
      <c r="C283" s="23" t="inlineStr">
        <is>
          <t>Actual</t>
        </is>
      </c>
      <c r="D283" s="24" t="n">
        <v>1769.49</v>
      </c>
      <c r="E283" s="24" t="n"/>
      <c r="F283" s="24" t="n"/>
    </row>
    <row r="284">
      <c r="A284" s="22" t="n">
        <v>45754</v>
      </c>
      <c r="B284" s="23" t="inlineStr">
        <is>
          <t>Health &amp; Beauty</t>
        </is>
      </c>
      <c r="C284" s="23" t="inlineStr">
        <is>
          <t>Actual</t>
        </is>
      </c>
      <c r="D284" s="24" t="n">
        <v>384.56</v>
      </c>
      <c r="E284" s="24" t="n"/>
      <c r="F284" s="24" t="n"/>
    </row>
    <row r="285">
      <c r="A285" s="22" t="n">
        <v>45754</v>
      </c>
      <c r="B285" s="23" t="inlineStr">
        <is>
          <t>Household</t>
        </is>
      </c>
      <c r="C285" s="23" t="inlineStr">
        <is>
          <t>Actual</t>
        </is>
      </c>
      <c r="D285" s="24" t="n">
        <v>553.3200000000001</v>
      </c>
      <c r="E285" s="24" t="n"/>
      <c r="F285" s="24" t="n"/>
    </row>
    <row r="286">
      <c r="A286" s="22" t="n">
        <v>45754</v>
      </c>
      <c r="B286" s="23" t="inlineStr">
        <is>
          <t>Produce</t>
        </is>
      </c>
      <c r="C286" s="23" t="inlineStr">
        <is>
          <t>Actual</t>
        </is>
      </c>
      <c r="D286" s="24" t="n">
        <v>483.09</v>
      </c>
      <c r="E286" s="24" t="n"/>
      <c r="F286" s="24" t="n"/>
    </row>
    <row r="287">
      <c r="A287" s="22" t="n">
        <v>45754</v>
      </c>
      <c r="B287" s="23" t="inlineStr">
        <is>
          <t>Snacks &amp; Confectionery</t>
        </is>
      </c>
      <c r="C287" s="23" t="inlineStr">
        <is>
          <t>Actual</t>
        </is>
      </c>
      <c r="D287" s="24" t="n">
        <v>1998.24</v>
      </c>
      <c r="E287" s="24" t="n"/>
      <c r="F287" s="24" t="n"/>
    </row>
    <row r="288">
      <c r="A288" s="22" t="n">
        <v>45761</v>
      </c>
      <c r="B288" s="23" t="inlineStr">
        <is>
          <t>Bakery</t>
        </is>
      </c>
      <c r="C288" s="23" t="inlineStr">
        <is>
          <t>Actual</t>
        </is>
      </c>
      <c r="D288" s="24" t="n">
        <v>988.3200000000001</v>
      </c>
      <c r="E288" s="24" t="n"/>
      <c r="F288" s="24" t="n"/>
    </row>
    <row r="289">
      <c r="A289" s="22" t="n">
        <v>45761</v>
      </c>
      <c r="B289" s="23" t="inlineStr">
        <is>
          <t>Beer &amp; Wine</t>
        </is>
      </c>
      <c r="C289" s="23" t="inlineStr">
        <is>
          <t>Actual</t>
        </is>
      </c>
      <c r="D289" s="24" t="n">
        <v>1810.21</v>
      </c>
      <c r="E289" s="24" t="n"/>
      <c r="F289" s="24" t="n"/>
    </row>
    <row r="290">
      <c r="A290" s="22" t="n">
        <v>45761</v>
      </c>
      <c r="B290" s="23" t="inlineStr">
        <is>
          <t>Beverages</t>
        </is>
      </c>
      <c r="C290" s="23" t="inlineStr">
        <is>
          <t>Actual</t>
        </is>
      </c>
      <c r="D290" s="24" t="n">
        <v>2568.12</v>
      </c>
      <c r="E290" s="24" t="n"/>
      <c r="F290" s="24" t="n"/>
    </row>
    <row r="291">
      <c r="A291" s="22" t="n">
        <v>45761</v>
      </c>
      <c r="B291" s="23" t="inlineStr">
        <is>
          <t>Dairy</t>
        </is>
      </c>
      <c r="C291" s="23" t="inlineStr">
        <is>
          <t>Actual</t>
        </is>
      </c>
      <c r="D291" s="24" t="n">
        <v>2933.55</v>
      </c>
      <c r="E291" s="24" t="n"/>
      <c r="F291" s="24" t="n"/>
    </row>
    <row r="292">
      <c r="A292" s="22" t="n">
        <v>45761</v>
      </c>
      <c r="B292" s="23" t="inlineStr">
        <is>
          <t>Food To Go</t>
        </is>
      </c>
      <c r="C292" s="23" t="inlineStr">
        <is>
          <t>Actual</t>
        </is>
      </c>
      <c r="D292" s="24" t="n">
        <v>3400.61</v>
      </c>
      <c r="E292" s="24" t="n"/>
      <c r="F292" s="24" t="n"/>
    </row>
    <row r="293">
      <c r="A293" s="22" t="n">
        <v>45761</v>
      </c>
      <c r="B293" s="23" t="inlineStr">
        <is>
          <t>Frozen</t>
        </is>
      </c>
      <c r="C293" s="23" t="inlineStr">
        <is>
          <t>Actual</t>
        </is>
      </c>
      <c r="D293" s="24" t="n">
        <v>1316.22</v>
      </c>
      <c r="E293" s="24" t="n"/>
      <c r="F293" s="24" t="n"/>
    </row>
    <row r="294">
      <c r="A294" s="22" t="n">
        <v>45761</v>
      </c>
      <c r="B294" s="23" t="inlineStr">
        <is>
          <t>Grocery</t>
        </is>
      </c>
      <c r="C294" s="23" t="inlineStr">
        <is>
          <t>Actual</t>
        </is>
      </c>
      <c r="D294" s="24" t="n">
        <v>1540.78</v>
      </c>
      <c r="E294" s="24" t="n"/>
      <c r="F294" s="24" t="n"/>
    </row>
    <row r="295">
      <c r="A295" s="22" t="n">
        <v>45761</v>
      </c>
      <c r="B295" s="23" t="inlineStr">
        <is>
          <t>Health &amp; Beauty</t>
        </is>
      </c>
      <c r="C295" s="23" t="inlineStr">
        <is>
          <t>Actual</t>
        </is>
      </c>
      <c r="D295" s="24" t="n">
        <v>427.48</v>
      </c>
      <c r="E295" s="24" t="n"/>
      <c r="F295" s="24" t="n"/>
    </row>
    <row r="296">
      <c r="A296" s="22" t="n">
        <v>45761</v>
      </c>
      <c r="B296" s="23" t="inlineStr">
        <is>
          <t>Household</t>
        </is>
      </c>
      <c r="C296" s="23" t="inlineStr">
        <is>
          <t>Actual</t>
        </is>
      </c>
      <c r="D296" s="24" t="n">
        <v>480.39</v>
      </c>
      <c r="E296" s="24" t="n"/>
      <c r="F296" s="24" t="n"/>
    </row>
    <row r="297">
      <c r="A297" s="22" t="n">
        <v>45761</v>
      </c>
      <c r="B297" s="23" t="inlineStr">
        <is>
          <t>Produce</t>
        </is>
      </c>
      <c r="C297" s="23" t="inlineStr">
        <is>
          <t>Actual</t>
        </is>
      </c>
      <c r="D297" s="24" t="n">
        <v>405.24</v>
      </c>
      <c r="E297" s="24" t="n"/>
      <c r="F297" s="24" t="n"/>
    </row>
    <row r="298">
      <c r="A298" s="22" t="n">
        <v>45761</v>
      </c>
      <c r="B298" s="23" t="inlineStr">
        <is>
          <t>Snacks &amp; Confectionery</t>
        </is>
      </c>
      <c r="C298" s="23" t="inlineStr">
        <is>
          <t>Actual</t>
        </is>
      </c>
      <c r="D298" s="24" t="n">
        <v>1560.26</v>
      </c>
      <c r="E298" s="24" t="n"/>
      <c r="F298" s="24" t="n"/>
    </row>
    <row r="299">
      <c r="A299" s="22" t="n">
        <v>45768</v>
      </c>
      <c r="B299" s="23" t="inlineStr">
        <is>
          <t>Bakery</t>
        </is>
      </c>
      <c r="C299" s="23" t="inlineStr">
        <is>
          <t>Actual</t>
        </is>
      </c>
      <c r="D299" s="24" t="n">
        <v>995.8200000000001</v>
      </c>
      <c r="E299" s="24" t="n"/>
      <c r="F299" s="24" t="n"/>
    </row>
    <row r="300">
      <c r="A300" s="22" t="n">
        <v>45768</v>
      </c>
      <c r="B300" s="23" t="inlineStr">
        <is>
          <t>Beer &amp; Wine</t>
        </is>
      </c>
      <c r="C300" s="23" t="inlineStr">
        <is>
          <t>Actual</t>
        </is>
      </c>
      <c r="D300" s="24" t="n">
        <v>2078.9</v>
      </c>
      <c r="E300" s="24" t="n"/>
      <c r="F300" s="24" t="n"/>
    </row>
    <row r="301">
      <c r="A301" s="22" t="n">
        <v>45768</v>
      </c>
      <c r="B301" s="23" t="inlineStr">
        <is>
          <t>Beverages</t>
        </is>
      </c>
      <c r="C301" s="23" t="inlineStr">
        <is>
          <t>Actual</t>
        </is>
      </c>
      <c r="D301" s="24" t="n">
        <v>2299.37</v>
      </c>
      <c r="E301" s="24" t="n"/>
      <c r="F301" s="24" t="n"/>
    </row>
    <row r="302">
      <c r="A302" s="22" t="n">
        <v>45768</v>
      </c>
      <c r="B302" s="23" t="inlineStr">
        <is>
          <t>Dairy</t>
        </is>
      </c>
      <c r="C302" s="23" t="inlineStr">
        <is>
          <t>Actual</t>
        </is>
      </c>
      <c r="D302" s="24" t="n">
        <v>2908.48</v>
      </c>
      <c r="E302" s="24" t="n"/>
      <c r="F302" s="24" t="n"/>
    </row>
    <row r="303">
      <c r="A303" s="22" t="n">
        <v>45768</v>
      </c>
      <c r="B303" s="23" t="inlineStr">
        <is>
          <t>Food To Go</t>
        </is>
      </c>
      <c r="C303" s="23" t="inlineStr">
        <is>
          <t>Actual</t>
        </is>
      </c>
      <c r="D303" s="24" t="n">
        <v>3447.49</v>
      </c>
      <c r="E303" s="24" t="n"/>
      <c r="F303" s="24" t="n"/>
    </row>
    <row r="304">
      <c r="A304" s="22" t="n">
        <v>45768</v>
      </c>
      <c r="B304" s="23" t="inlineStr">
        <is>
          <t>Frozen</t>
        </is>
      </c>
      <c r="C304" s="23" t="inlineStr">
        <is>
          <t>Actual</t>
        </is>
      </c>
      <c r="D304" s="24" t="n">
        <v>1127.33</v>
      </c>
      <c r="E304" s="24" t="n"/>
      <c r="F304" s="24" t="n"/>
    </row>
    <row r="305">
      <c r="A305" s="22" t="n">
        <v>45768</v>
      </c>
      <c r="B305" s="23" t="inlineStr">
        <is>
          <t>Grocery</t>
        </is>
      </c>
      <c r="C305" s="23" t="inlineStr">
        <is>
          <t>Actual</t>
        </is>
      </c>
      <c r="D305" s="24" t="n">
        <v>1665.01</v>
      </c>
      <c r="E305" s="24" t="n"/>
      <c r="F305" s="24" t="n"/>
    </row>
    <row r="306">
      <c r="A306" s="22" t="n">
        <v>45768</v>
      </c>
      <c r="B306" s="23" t="inlineStr">
        <is>
          <t>Health &amp; Beauty</t>
        </is>
      </c>
      <c r="C306" s="23" t="inlineStr">
        <is>
          <t>Actual</t>
        </is>
      </c>
      <c r="D306" s="24" t="n">
        <v>338.62</v>
      </c>
      <c r="E306" s="24" t="n"/>
      <c r="F306" s="24" t="n"/>
    </row>
    <row r="307">
      <c r="A307" s="22" t="n">
        <v>45768</v>
      </c>
      <c r="B307" s="23" t="inlineStr">
        <is>
          <t>Household</t>
        </is>
      </c>
      <c r="C307" s="23" t="inlineStr">
        <is>
          <t>Actual</t>
        </is>
      </c>
      <c r="D307" s="24" t="n">
        <v>430.47</v>
      </c>
      <c r="E307" s="24" t="n"/>
      <c r="F307" s="24" t="n"/>
    </row>
    <row r="308">
      <c r="A308" s="22" t="n">
        <v>45768</v>
      </c>
      <c r="B308" s="23" t="inlineStr">
        <is>
          <t>Produce</t>
        </is>
      </c>
      <c r="C308" s="23" t="inlineStr">
        <is>
          <t>Actual</t>
        </is>
      </c>
      <c r="D308" s="24" t="n">
        <v>382.98</v>
      </c>
      <c r="E308" s="24" t="n"/>
      <c r="F308" s="24" t="n"/>
    </row>
    <row r="309">
      <c r="A309" s="22" t="n">
        <v>45768</v>
      </c>
      <c r="B309" s="23" t="inlineStr">
        <is>
          <t>Snacks &amp; Confectionery</t>
        </is>
      </c>
      <c r="C309" s="23" t="inlineStr">
        <is>
          <t>Actual</t>
        </is>
      </c>
      <c r="D309" s="24" t="n">
        <v>1726.97</v>
      </c>
      <c r="E309" s="24" t="n"/>
      <c r="F309" s="24" t="n"/>
    </row>
    <row r="310">
      <c r="A310" s="22" t="n">
        <v>45775</v>
      </c>
      <c r="B310" s="23" t="inlineStr">
        <is>
          <t>Bakery</t>
        </is>
      </c>
      <c r="C310" s="23" t="inlineStr">
        <is>
          <t>Actual</t>
        </is>
      </c>
      <c r="D310" s="24" t="n">
        <v>1035.13</v>
      </c>
      <c r="E310" s="24" t="n"/>
      <c r="F310" s="24" t="n"/>
    </row>
    <row r="311">
      <c r="A311" s="22" t="n">
        <v>45775</v>
      </c>
      <c r="B311" s="23" t="inlineStr">
        <is>
          <t>Beer &amp; Wine</t>
        </is>
      </c>
      <c r="C311" s="23" t="inlineStr">
        <is>
          <t>Actual</t>
        </is>
      </c>
      <c r="D311" s="24" t="n">
        <v>2067.94</v>
      </c>
      <c r="E311" s="24" t="n"/>
      <c r="F311" s="24" t="n"/>
    </row>
    <row r="312">
      <c r="A312" s="22" t="n">
        <v>45775</v>
      </c>
      <c r="B312" s="23" t="inlineStr">
        <is>
          <t>Beverages</t>
        </is>
      </c>
      <c r="C312" s="23" t="inlineStr">
        <is>
          <t>Actual</t>
        </is>
      </c>
      <c r="D312" s="24" t="n">
        <v>2914.6</v>
      </c>
      <c r="E312" s="24" t="n"/>
      <c r="F312" s="24" t="n"/>
    </row>
    <row r="313">
      <c r="A313" s="22" t="n">
        <v>45775</v>
      </c>
      <c r="B313" s="23" t="inlineStr">
        <is>
          <t>Dairy</t>
        </is>
      </c>
      <c r="C313" s="23" t="inlineStr">
        <is>
          <t>Actual</t>
        </is>
      </c>
      <c r="D313" s="24" t="n">
        <v>3285.54</v>
      </c>
      <c r="E313" s="24" t="n"/>
      <c r="F313" s="24" t="n"/>
    </row>
    <row r="314">
      <c r="A314" s="22" t="n">
        <v>45775</v>
      </c>
      <c r="B314" s="23" t="inlineStr">
        <is>
          <t>Food To Go</t>
        </is>
      </c>
      <c r="C314" s="23" t="inlineStr">
        <is>
          <t>Actual</t>
        </is>
      </c>
      <c r="D314" s="24" t="n">
        <v>3461.93</v>
      </c>
      <c r="E314" s="24" t="n"/>
      <c r="F314" s="24" t="n"/>
    </row>
    <row r="315">
      <c r="A315" s="22" t="n">
        <v>45775</v>
      </c>
      <c r="B315" s="23" t="inlineStr">
        <is>
          <t>Frozen</t>
        </is>
      </c>
      <c r="C315" s="23" t="inlineStr">
        <is>
          <t>Actual</t>
        </is>
      </c>
      <c r="D315" s="24" t="n">
        <v>1435.01</v>
      </c>
      <c r="E315" s="24" t="n"/>
      <c r="F315" s="24" t="n"/>
    </row>
    <row r="316">
      <c r="A316" s="22" t="n">
        <v>45775</v>
      </c>
      <c r="B316" s="23" t="inlineStr">
        <is>
          <t>Grocery</t>
        </is>
      </c>
      <c r="C316" s="23" t="inlineStr">
        <is>
          <t>Actual</t>
        </is>
      </c>
      <c r="D316" s="24" t="n">
        <v>1972.57</v>
      </c>
      <c r="E316" s="24" t="n"/>
      <c r="F316" s="24" t="n"/>
    </row>
    <row r="317">
      <c r="A317" s="22" t="n">
        <v>45775</v>
      </c>
      <c r="B317" s="23" t="inlineStr">
        <is>
          <t>Health &amp; Beauty</t>
        </is>
      </c>
      <c r="C317" s="23" t="inlineStr">
        <is>
          <t>Actual</t>
        </is>
      </c>
      <c r="D317" s="24" t="n">
        <v>286.53</v>
      </c>
      <c r="E317" s="24" t="n"/>
      <c r="F317" s="24" t="n"/>
    </row>
    <row r="318">
      <c r="A318" s="22" t="n">
        <v>45775</v>
      </c>
      <c r="B318" s="23" t="inlineStr">
        <is>
          <t>Household</t>
        </is>
      </c>
      <c r="C318" s="23" t="inlineStr">
        <is>
          <t>Actual</t>
        </is>
      </c>
      <c r="D318" s="24" t="n">
        <v>609.3</v>
      </c>
      <c r="E318" s="24" t="n"/>
      <c r="F318" s="24" t="n"/>
    </row>
    <row r="319">
      <c r="A319" s="22" t="n">
        <v>45775</v>
      </c>
      <c r="B319" s="23" t="inlineStr">
        <is>
          <t>Produce</t>
        </is>
      </c>
      <c r="C319" s="23" t="inlineStr">
        <is>
          <t>Actual</t>
        </is>
      </c>
      <c r="D319" s="24" t="n">
        <v>371.12</v>
      </c>
      <c r="E319" s="24" t="n"/>
      <c r="F319" s="24" t="n"/>
    </row>
    <row r="320">
      <c r="A320" s="22" t="n">
        <v>45775</v>
      </c>
      <c r="B320" s="23" t="inlineStr">
        <is>
          <t>Snacks &amp; Confectionery</t>
        </is>
      </c>
      <c r="C320" s="23" t="inlineStr">
        <is>
          <t>Actual</t>
        </is>
      </c>
      <c r="D320" s="24" t="n">
        <v>1971.56</v>
      </c>
      <c r="E320" s="24" t="n"/>
      <c r="F320" s="24" t="n"/>
    </row>
    <row r="321">
      <c r="A321" s="22" t="n">
        <v>45782</v>
      </c>
      <c r="B321" s="23" t="inlineStr">
        <is>
          <t>Bakery</t>
        </is>
      </c>
      <c r="C321" s="23" t="inlineStr">
        <is>
          <t>Actual</t>
        </is>
      </c>
      <c r="D321" s="24" t="n">
        <v>985.36</v>
      </c>
      <c r="E321" s="24" t="n"/>
      <c r="F321" s="24" t="n"/>
    </row>
    <row r="322">
      <c r="A322" s="22" t="n">
        <v>45782</v>
      </c>
      <c r="B322" s="23" t="inlineStr">
        <is>
          <t>Beer &amp; Wine</t>
        </is>
      </c>
      <c r="C322" s="23" t="inlineStr">
        <is>
          <t>Actual</t>
        </is>
      </c>
      <c r="D322" s="24" t="n">
        <v>2293.8</v>
      </c>
      <c r="E322" s="24" t="n"/>
      <c r="F322" s="24" t="n"/>
    </row>
    <row r="323">
      <c r="A323" s="22" t="n">
        <v>45782</v>
      </c>
      <c r="B323" s="23" t="inlineStr">
        <is>
          <t>Beverages</t>
        </is>
      </c>
      <c r="C323" s="23" t="inlineStr">
        <is>
          <t>Actual</t>
        </is>
      </c>
      <c r="D323" s="24" t="n">
        <v>2586.92</v>
      </c>
      <c r="E323" s="24" t="n"/>
      <c r="F323" s="24" t="n"/>
    </row>
    <row r="324">
      <c r="A324" s="22" t="n">
        <v>45782</v>
      </c>
      <c r="B324" s="23" t="inlineStr">
        <is>
          <t>Dairy</t>
        </is>
      </c>
      <c r="C324" s="23" t="inlineStr">
        <is>
          <t>Actual</t>
        </is>
      </c>
      <c r="D324" s="24" t="n">
        <v>3185.67</v>
      </c>
      <c r="E324" s="24" t="n"/>
      <c r="F324" s="24" t="n"/>
    </row>
    <row r="325">
      <c r="A325" s="22" t="n">
        <v>45782</v>
      </c>
      <c r="B325" s="23" t="inlineStr">
        <is>
          <t>Food To Go</t>
        </is>
      </c>
      <c r="C325" s="23" t="inlineStr">
        <is>
          <t>Actual</t>
        </is>
      </c>
      <c r="D325" s="24" t="n">
        <v>3529.4</v>
      </c>
      <c r="E325" s="24" t="n"/>
      <c r="F325" s="24" t="n"/>
    </row>
    <row r="326">
      <c r="A326" s="22" t="n">
        <v>45782</v>
      </c>
      <c r="B326" s="23" t="inlineStr">
        <is>
          <t>Frozen</t>
        </is>
      </c>
      <c r="C326" s="23" t="inlineStr">
        <is>
          <t>Actual</t>
        </is>
      </c>
      <c r="D326" s="24" t="n">
        <v>1308.74</v>
      </c>
      <c r="E326" s="24" t="n"/>
      <c r="F326" s="24" t="n"/>
    </row>
    <row r="327">
      <c r="A327" s="22" t="n">
        <v>45782</v>
      </c>
      <c r="B327" s="23" t="inlineStr">
        <is>
          <t>Grocery</t>
        </is>
      </c>
      <c r="C327" s="23" t="inlineStr">
        <is>
          <t>Actual</t>
        </is>
      </c>
      <c r="D327" s="24" t="n">
        <v>2017.53</v>
      </c>
      <c r="E327" s="24" t="n"/>
      <c r="F327" s="24" t="n"/>
    </row>
    <row r="328">
      <c r="A328" s="22" t="n">
        <v>45782</v>
      </c>
      <c r="B328" s="23" t="inlineStr">
        <is>
          <t>Health &amp; Beauty</t>
        </is>
      </c>
      <c r="C328" s="23" t="inlineStr">
        <is>
          <t>Actual</t>
        </is>
      </c>
      <c r="D328" s="24" t="n">
        <v>313.6</v>
      </c>
      <c r="E328" s="24" t="n"/>
      <c r="F328" s="24" t="n"/>
    </row>
    <row r="329">
      <c r="A329" s="22" t="n">
        <v>45782</v>
      </c>
      <c r="B329" s="23" t="inlineStr">
        <is>
          <t>Household</t>
        </is>
      </c>
      <c r="C329" s="23" t="inlineStr">
        <is>
          <t>Actual</t>
        </is>
      </c>
      <c r="D329" s="24" t="n">
        <v>504.41</v>
      </c>
      <c r="E329" s="24" t="n"/>
      <c r="F329" s="24" t="n"/>
    </row>
    <row r="330">
      <c r="A330" s="22" t="n">
        <v>45782</v>
      </c>
      <c r="B330" s="23" t="inlineStr">
        <is>
          <t>Produce</t>
        </is>
      </c>
      <c r="C330" s="23" t="inlineStr">
        <is>
          <t>Actual</t>
        </is>
      </c>
      <c r="D330" s="24" t="n">
        <v>425.62</v>
      </c>
      <c r="E330" s="24" t="n"/>
      <c r="F330" s="24" t="n"/>
    </row>
    <row r="331">
      <c r="A331" s="22" t="n">
        <v>45782</v>
      </c>
      <c r="B331" s="23" t="inlineStr">
        <is>
          <t>Snacks &amp; Confectionery</t>
        </is>
      </c>
      <c r="C331" s="23" t="inlineStr">
        <is>
          <t>Actual</t>
        </is>
      </c>
      <c r="D331" s="24" t="n">
        <v>1817.86</v>
      </c>
      <c r="E331" s="24" t="n"/>
      <c r="F331" s="24" t="n"/>
    </row>
    <row r="332">
      <c r="A332" s="22" t="n">
        <v>45789</v>
      </c>
      <c r="B332" s="23" t="inlineStr">
        <is>
          <t>Bakery</t>
        </is>
      </c>
      <c r="C332" s="23" t="inlineStr">
        <is>
          <t>Actual</t>
        </is>
      </c>
      <c r="D332" s="24" t="n">
        <v>1208.29</v>
      </c>
      <c r="E332" s="24" t="n"/>
      <c r="F332" s="24" t="n"/>
    </row>
    <row r="333">
      <c r="A333" s="22" t="n">
        <v>45789</v>
      </c>
      <c r="B333" s="23" t="inlineStr">
        <is>
          <t>Beer &amp; Wine</t>
        </is>
      </c>
      <c r="C333" s="23" t="inlineStr">
        <is>
          <t>Actual</t>
        </is>
      </c>
      <c r="D333" s="24" t="n">
        <v>1993.69</v>
      </c>
      <c r="E333" s="24" t="n"/>
      <c r="F333" s="24" t="n"/>
    </row>
    <row r="334">
      <c r="A334" s="22" t="n">
        <v>45789</v>
      </c>
      <c r="B334" s="23" t="inlineStr">
        <is>
          <t>Beverages</t>
        </is>
      </c>
      <c r="C334" s="23" t="inlineStr">
        <is>
          <t>Actual</t>
        </is>
      </c>
      <c r="D334" s="24" t="n">
        <v>2485.78</v>
      </c>
      <c r="E334" s="24" t="n"/>
      <c r="F334" s="24" t="n"/>
    </row>
    <row r="335">
      <c r="A335" s="22" t="n">
        <v>45789</v>
      </c>
      <c r="B335" s="23" t="inlineStr">
        <is>
          <t>Dairy</t>
        </is>
      </c>
      <c r="C335" s="23" t="inlineStr">
        <is>
          <t>Actual</t>
        </is>
      </c>
      <c r="D335" s="24" t="n">
        <v>3032.95</v>
      </c>
      <c r="E335" s="24" t="n"/>
      <c r="F335" s="24" t="n"/>
    </row>
    <row r="336">
      <c r="A336" s="22" t="n">
        <v>45789</v>
      </c>
      <c r="B336" s="23" t="inlineStr">
        <is>
          <t>Food To Go</t>
        </is>
      </c>
      <c r="C336" s="23" t="inlineStr">
        <is>
          <t>Actual</t>
        </is>
      </c>
      <c r="D336" s="24" t="n">
        <v>3302.58</v>
      </c>
      <c r="E336" s="24" t="n"/>
      <c r="F336" s="24" t="n"/>
    </row>
    <row r="337">
      <c r="A337" s="22" t="n">
        <v>45789</v>
      </c>
      <c r="B337" s="23" t="inlineStr">
        <is>
          <t>Frozen</t>
        </is>
      </c>
      <c r="C337" s="23" t="inlineStr">
        <is>
          <t>Actual</t>
        </is>
      </c>
      <c r="D337" s="24" t="n">
        <v>1465.09</v>
      </c>
      <c r="E337" s="24" t="n"/>
      <c r="F337" s="24" t="n"/>
    </row>
    <row r="338">
      <c r="A338" s="22" t="n">
        <v>45789</v>
      </c>
      <c r="B338" s="23" t="inlineStr">
        <is>
          <t>Grocery</t>
        </is>
      </c>
      <c r="C338" s="23" t="inlineStr">
        <is>
          <t>Actual</t>
        </is>
      </c>
      <c r="D338" s="24" t="n">
        <v>1737.05</v>
      </c>
      <c r="E338" s="24" t="n"/>
      <c r="F338" s="24" t="n"/>
    </row>
    <row r="339">
      <c r="A339" s="22" t="n">
        <v>45789</v>
      </c>
      <c r="B339" s="23" t="inlineStr">
        <is>
          <t>Health &amp; Beauty</t>
        </is>
      </c>
      <c r="C339" s="23" t="inlineStr">
        <is>
          <t>Actual</t>
        </is>
      </c>
      <c r="D339" s="24" t="n">
        <v>351.56</v>
      </c>
      <c r="E339" s="24" t="n"/>
      <c r="F339" s="24" t="n"/>
    </row>
    <row r="340">
      <c r="A340" s="22" t="n">
        <v>45789</v>
      </c>
      <c r="B340" s="23" t="inlineStr">
        <is>
          <t>Household</t>
        </is>
      </c>
      <c r="C340" s="23" t="inlineStr">
        <is>
          <t>Actual</t>
        </is>
      </c>
      <c r="D340" s="24" t="n">
        <v>501.46</v>
      </c>
      <c r="E340" s="24" t="n"/>
      <c r="F340" s="24" t="n"/>
    </row>
    <row r="341">
      <c r="A341" s="22" t="n">
        <v>45789</v>
      </c>
      <c r="B341" s="23" t="inlineStr">
        <is>
          <t>Produce</t>
        </is>
      </c>
      <c r="C341" s="23" t="inlineStr">
        <is>
          <t>Actual</t>
        </is>
      </c>
      <c r="D341" s="24" t="n">
        <v>372.06</v>
      </c>
      <c r="E341" s="24" t="n"/>
      <c r="F341" s="24" t="n"/>
    </row>
    <row r="342">
      <c r="A342" s="22" t="n">
        <v>45789</v>
      </c>
      <c r="B342" s="23" t="inlineStr">
        <is>
          <t>Snacks &amp; Confectionery</t>
        </is>
      </c>
      <c r="C342" s="23" t="inlineStr">
        <is>
          <t>Actual</t>
        </is>
      </c>
      <c r="D342" s="24" t="n">
        <v>1883.2</v>
      </c>
      <c r="E342" s="24" t="n"/>
      <c r="F342" s="24" t="n"/>
    </row>
    <row r="343">
      <c r="A343" s="22" t="n">
        <v>45796</v>
      </c>
      <c r="B343" s="23" t="inlineStr">
        <is>
          <t>Bakery</t>
        </is>
      </c>
      <c r="C343" s="23" t="inlineStr">
        <is>
          <t>Actual</t>
        </is>
      </c>
      <c r="D343" s="24" t="n">
        <v>988.9</v>
      </c>
      <c r="E343" s="24" t="n"/>
      <c r="F343" s="24" t="n"/>
    </row>
    <row r="344">
      <c r="A344" s="22" t="n">
        <v>45796</v>
      </c>
      <c r="B344" s="23" t="inlineStr">
        <is>
          <t>Beer &amp; Wine</t>
        </is>
      </c>
      <c r="C344" s="23" t="inlineStr">
        <is>
          <t>Actual</t>
        </is>
      </c>
      <c r="D344" s="24" t="n">
        <v>1984.98</v>
      </c>
      <c r="E344" s="24" t="n"/>
      <c r="F344" s="24" t="n"/>
    </row>
    <row r="345">
      <c r="A345" s="22" t="n">
        <v>45796</v>
      </c>
      <c r="B345" s="23" t="inlineStr">
        <is>
          <t>Beverages</t>
        </is>
      </c>
      <c r="C345" s="23" t="inlineStr">
        <is>
          <t>Actual</t>
        </is>
      </c>
      <c r="D345" s="24" t="n">
        <v>2330.47</v>
      </c>
      <c r="E345" s="24" t="n"/>
      <c r="F345" s="24" t="n"/>
    </row>
    <row r="346">
      <c r="A346" s="22" t="n">
        <v>45796</v>
      </c>
      <c r="B346" s="23" t="inlineStr">
        <is>
          <t>Dairy</t>
        </is>
      </c>
      <c r="C346" s="23" t="inlineStr">
        <is>
          <t>Actual</t>
        </is>
      </c>
      <c r="D346" s="24" t="n">
        <v>3212.43</v>
      </c>
      <c r="E346" s="24" t="n"/>
      <c r="F346" s="24" t="n"/>
    </row>
    <row r="347">
      <c r="A347" s="22" t="n">
        <v>45796</v>
      </c>
      <c r="B347" s="23" t="inlineStr">
        <is>
          <t>Food To Go</t>
        </is>
      </c>
      <c r="C347" s="23" t="inlineStr">
        <is>
          <t>Actual</t>
        </is>
      </c>
      <c r="D347" s="24" t="n">
        <v>3509.55</v>
      </c>
      <c r="E347" s="24" t="n"/>
      <c r="F347" s="24" t="n"/>
    </row>
    <row r="348">
      <c r="A348" s="22" t="n">
        <v>45796</v>
      </c>
      <c r="B348" s="23" t="inlineStr">
        <is>
          <t>Frozen</t>
        </is>
      </c>
      <c r="C348" s="23" t="inlineStr">
        <is>
          <t>Actual</t>
        </is>
      </c>
      <c r="D348" s="24" t="n">
        <v>1450.85</v>
      </c>
      <c r="E348" s="24" t="n"/>
      <c r="F348" s="24" t="n"/>
    </row>
    <row r="349">
      <c r="A349" s="22" t="n">
        <v>45796</v>
      </c>
      <c r="B349" s="23" t="inlineStr">
        <is>
          <t>Grocery</t>
        </is>
      </c>
      <c r="C349" s="23" t="inlineStr">
        <is>
          <t>Actual</t>
        </is>
      </c>
      <c r="D349" s="24" t="n">
        <v>1940.48</v>
      </c>
      <c r="E349" s="24" t="n"/>
      <c r="F349" s="24" t="n"/>
    </row>
    <row r="350">
      <c r="A350" s="22" t="n">
        <v>45796</v>
      </c>
      <c r="B350" s="23" t="inlineStr">
        <is>
          <t>Health &amp; Beauty</t>
        </is>
      </c>
      <c r="C350" s="23" t="inlineStr">
        <is>
          <t>Actual</t>
        </is>
      </c>
      <c r="D350" s="24" t="n">
        <v>203.71</v>
      </c>
      <c r="E350" s="24" t="n"/>
      <c r="F350" s="24" t="n"/>
    </row>
    <row r="351">
      <c r="A351" s="22" t="n">
        <v>45796</v>
      </c>
      <c r="B351" s="23" t="inlineStr">
        <is>
          <t>Household</t>
        </is>
      </c>
      <c r="C351" s="23" t="inlineStr">
        <is>
          <t>Actual</t>
        </is>
      </c>
      <c r="D351" s="24" t="n">
        <v>410.45</v>
      </c>
      <c r="E351" s="24" t="n"/>
      <c r="F351" s="24" t="n"/>
    </row>
    <row r="352">
      <c r="A352" s="22" t="n">
        <v>45796</v>
      </c>
      <c r="B352" s="23" t="inlineStr">
        <is>
          <t>Produce</t>
        </is>
      </c>
      <c r="C352" s="23" t="inlineStr">
        <is>
          <t>Actual</t>
        </is>
      </c>
      <c r="D352" s="24" t="n">
        <v>417.26</v>
      </c>
      <c r="E352" s="24" t="n"/>
      <c r="F352" s="24" t="n"/>
    </row>
    <row r="353">
      <c r="A353" s="22" t="n">
        <v>45796</v>
      </c>
      <c r="B353" s="23" t="inlineStr">
        <is>
          <t>Snacks &amp; Confectionery</t>
        </is>
      </c>
      <c r="C353" s="23" t="inlineStr">
        <is>
          <t>Actual</t>
        </is>
      </c>
      <c r="D353" s="24" t="n">
        <v>1869.91</v>
      </c>
      <c r="E353" s="24" t="n"/>
      <c r="F353" s="24" t="n"/>
    </row>
    <row r="354">
      <c r="A354" s="22" t="n">
        <v>45803</v>
      </c>
      <c r="B354" s="23" t="inlineStr">
        <is>
          <t>Bakery</t>
        </is>
      </c>
      <c r="C354" s="23" t="inlineStr">
        <is>
          <t>Actual</t>
        </is>
      </c>
      <c r="D354" s="24" t="n">
        <v>1038.45</v>
      </c>
      <c r="E354" s="24" t="n"/>
      <c r="F354" s="24" t="n"/>
    </row>
    <row r="355">
      <c r="A355" s="22" t="n">
        <v>45803</v>
      </c>
      <c r="B355" s="23" t="inlineStr">
        <is>
          <t>Beer &amp; Wine</t>
        </is>
      </c>
      <c r="C355" s="23" t="inlineStr">
        <is>
          <t>Actual</t>
        </is>
      </c>
      <c r="D355" s="24" t="n">
        <v>2219.89</v>
      </c>
      <c r="E355" s="24" t="n"/>
      <c r="F355" s="24" t="n"/>
    </row>
    <row r="356">
      <c r="A356" s="22" t="n">
        <v>45803</v>
      </c>
      <c r="B356" s="23" t="inlineStr">
        <is>
          <t>Beverages</t>
        </is>
      </c>
      <c r="C356" s="23" t="inlineStr">
        <is>
          <t>Actual</t>
        </is>
      </c>
      <c r="D356" s="24" t="n">
        <v>2358.43</v>
      </c>
      <c r="E356" s="24" t="n"/>
      <c r="F356" s="24" t="n"/>
    </row>
    <row r="357">
      <c r="A357" s="22" t="n">
        <v>45803</v>
      </c>
      <c r="B357" s="23" t="inlineStr">
        <is>
          <t>Dairy</t>
        </is>
      </c>
      <c r="C357" s="23" t="inlineStr">
        <is>
          <t>Actual</t>
        </is>
      </c>
      <c r="D357" s="24" t="n">
        <v>2843.06</v>
      </c>
      <c r="E357" s="24" t="n"/>
      <c r="F357" s="24" t="n"/>
    </row>
    <row r="358">
      <c r="A358" s="22" t="n">
        <v>45803</v>
      </c>
      <c r="B358" s="23" t="inlineStr">
        <is>
          <t>Food To Go</t>
        </is>
      </c>
      <c r="C358" s="23" t="inlineStr">
        <is>
          <t>Actual</t>
        </is>
      </c>
      <c r="D358" s="24" t="n">
        <v>3314.52</v>
      </c>
      <c r="E358" s="24" t="n"/>
      <c r="F358" s="24" t="n"/>
    </row>
    <row r="359">
      <c r="A359" s="22" t="n">
        <v>45803</v>
      </c>
      <c r="B359" s="23" t="inlineStr">
        <is>
          <t>Frozen</t>
        </is>
      </c>
      <c r="C359" s="23" t="inlineStr">
        <is>
          <t>Actual</t>
        </is>
      </c>
      <c r="D359" s="24" t="n">
        <v>1461.9</v>
      </c>
      <c r="E359" s="24" t="n"/>
      <c r="F359" s="24" t="n"/>
    </row>
    <row r="360">
      <c r="A360" s="22" t="n">
        <v>45803</v>
      </c>
      <c r="B360" s="23" t="inlineStr">
        <is>
          <t>Grocery</t>
        </is>
      </c>
      <c r="C360" s="23" t="inlineStr">
        <is>
          <t>Actual</t>
        </is>
      </c>
      <c r="D360" s="24" t="n">
        <v>1958.18</v>
      </c>
      <c r="E360" s="24" t="n"/>
      <c r="F360" s="24" t="n"/>
    </row>
    <row r="361">
      <c r="A361" s="22" t="n">
        <v>45803</v>
      </c>
      <c r="B361" s="23" t="inlineStr">
        <is>
          <t>Health &amp; Beauty</t>
        </is>
      </c>
      <c r="C361" s="23" t="inlineStr">
        <is>
          <t>Actual</t>
        </is>
      </c>
      <c r="D361" s="24" t="n">
        <v>306.59</v>
      </c>
      <c r="E361" s="24" t="n"/>
      <c r="F361" s="24" t="n"/>
    </row>
    <row r="362">
      <c r="A362" s="22" t="n">
        <v>45803</v>
      </c>
      <c r="B362" s="23" t="inlineStr">
        <is>
          <t>Household</t>
        </is>
      </c>
      <c r="C362" s="23" t="inlineStr">
        <is>
          <t>Actual</t>
        </is>
      </c>
      <c r="D362" s="24" t="n">
        <v>509.4</v>
      </c>
      <c r="E362" s="24" t="n"/>
      <c r="F362" s="24" t="n"/>
    </row>
    <row r="363">
      <c r="A363" s="22" t="n">
        <v>45803</v>
      </c>
      <c r="B363" s="23" t="inlineStr">
        <is>
          <t>Produce</t>
        </is>
      </c>
      <c r="C363" s="23" t="inlineStr">
        <is>
          <t>Actual</t>
        </is>
      </c>
      <c r="D363" s="24" t="n">
        <v>364.46</v>
      </c>
      <c r="E363" s="24" t="n"/>
      <c r="F363" s="24" t="n"/>
    </row>
    <row r="364">
      <c r="A364" s="22" t="n">
        <v>45803</v>
      </c>
      <c r="B364" s="23" t="inlineStr">
        <is>
          <t>Snacks &amp; Confectionery</t>
        </is>
      </c>
      <c r="C364" s="23" t="inlineStr">
        <is>
          <t>Actual</t>
        </is>
      </c>
      <c r="D364" s="24" t="n">
        <v>1956.22</v>
      </c>
      <c r="E364" s="24" t="n"/>
      <c r="F364" s="24" t="n"/>
    </row>
    <row r="365">
      <c r="A365" s="22" t="n">
        <v>45810</v>
      </c>
      <c r="B365" s="23" t="inlineStr">
        <is>
          <t>Bakery</t>
        </is>
      </c>
      <c r="C365" s="23" t="inlineStr">
        <is>
          <t>Actual</t>
        </is>
      </c>
      <c r="D365" s="24" t="n">
        <v>1011.46</v>
      </c>
      <c r="E365" s="24" t="n"/>
      <c r="F365" s="24" t="n"/>
    </row>
    <row r="366">
      <c r="A366" s="22" t="n">
        <v>45810</v>
      </c>
      <c r="B366" s="23" t="inlineStr">
        <is>
          <t>Beer &amp; Wine</t>
        </is>
      </c>
      <c r="C366" s="23" t="inlineStr">
        <is>
          <t>Actual</t>
        </is>
      </c>
      <c r="D366" s="24" t="n">
        <v>2349.16</v>
      </c>
      <c r="E366" s="24" t="n"/>
      <c r="F366" s="24" t="n"/>
    </row>
    <row r="367">
      <c r="A367" s="22" t="n">
        <v>45810</v>
      </c>
      <c r="B367" s="23" t="inlineStr">
        <is>
          <t>Beverages</t>
        </is>
      </c>
      <c r="C367" s="23" t="inlineStr">
        <is>
          <t>Actual</t>
        </is>
      </c>
      <c r="D367" s="24" t="n">
        <v>2072.96</v>
      </c>
      <c r="E367" s="24" t="n"/>
      <c r="F367" s="24" t="n"/>
    </row>
    <row r="368">
      <c r="A368" s="22" t="n">
        <v>45810</v>
      </c>
      <c r="B368" s="23" t="inlineStr">
        <is>
          <t>Dairy</t>
        </is>
      </c>
      <c r="C368" s="23" t="inlineStr">
        <is>
          <t>Actual</t>
        </is>
      </c>
      <c r="D368" s="24" t="n">
        <v>2587.44</v>
      </c>
      <c r="E368" s="24" t="n"/>
      <c r="F368" s="24" t="n"/>
    </row>
    <row r="369">
      <c r="A369" s="22" t="n">
        <v>45810</v>
      </c>
      <c r="B369" s="23" t="inlineStr">
        <is>
          <t>Food To Go</t>
        </is>
      </c>
      <c r="C369" s="23" t="inlineStr">
        <is>
          <t>Actual</t>
        </is>
      </c>
      <c r="D369" s="24" t="n">
        <v>3165.66</v>
      </c>
      <c r="E369" s="24" t="n"/>
      <c r="F369" s="24" t="n"/>
    </row>
    <row r="370">
      <c r="A370" s="22" t="n">
        <v>45810</v>
      </c>
      <c r="B370" s="23" t="inlineStr">
        <is>
          <t>Frozen</t>
        </is>
      </c>
      <c r="C370" s="23" t="inlineStr">
        <is>
          <t>Actual</t>
        </is>
      </c>
      <c r="D370" s="24" t="n">
        <v>1473.05</v>
      </c>
      <c r="E370" s="24" t="n"/>
      <c r="F370" s="24" t="n"/>
    </row>
    <row r="371">
      <c r="A371" s="22" t="n">
        <v>45810</v>
      </c>
      <c r="B371" s="23" t="inlineStr">
        <is>
          <t>Grocery</t>
        </is>
      </c>
      <c r="C371" s="23" t="inlineStr">
        <is>
          <t>Actual</t>
        </is>
      </c>
      <c r="D371" s="24" t="n">
        <v>1794.54</v>
      </c>
      <c r="E371" s="24" t="n"/>
      <c r="F371" s="24" t="n"/>
    </row>
    <row r="372">
      <c r="A372" s="22" t="n">
        <v>45810</v>
      </c>
      <c r="B372" s="23" t="inlineStr">
        <is>
          <t>Health &amp; Beauty</t>
        </is>
      </c>
      <c r="C372" s="23" t="inlineStr">
        <is>
          <t>Actual</t>
        </is>
      </c>
      <c r="D372" s="24" t="n">
        <v>332.58</v>
      </c>
      <c r="E372" s="24" t="n"/>
      <c r="F372" s="24" t="n"/>
    </row>
    <row r="373">
      <c r="A373" s="22" t="n">
        <v>45810</v>
      </c>
      <c r="B373" s="23" t="inlineStr">
        <is>
          <t>Household</t>
        </is>
      </c>
      <c r="C373" s="23" t="inlineStr">
        <is>
          <t>Actual</t>
        </is>
      </c>
      <c r="D373" s="24" t="n">
        <v>449.46</v>
      </c>
      <c r="E373" s="24" t="n"/>
      <c r="F373" s="24" t="n"/>
    </row>
    <row r="374">
      <c r="A374" s="22" t="n">
        <v>45810</v>
      </c>
      <c r="B374" s="23" t="inlineStr">
        <is>
          <t>Produce</t>
        </is>
      </c>
      <c r="C374" s="23" t="inlineStr">
        <is>
          <t>Actual</t>
        </is>
      </c>
      <c r="D374" s="24" t="n">
        <v>316.79</v>
      </c>
      <c r="E374" s="24" t="n"/>
      <c r="F374" s="24" t="n"/>
    </row>
    <row r="375">
      <c r="A375" s="22" t="n">
        <v>45810</v>
      </c>
      <c r="B375" s="23" t="inlineStr">
        <is>
          <t>Snacks &amp; Confectionery</t>
        </is>
      </c>
      <c r="C375" s="23" t="inlineStr">
        <is>
          <t>Actual</t>
        </is>
      </c>
      <c r="D375" s="24" t="n">
        <v>1776.73</v>
      </c>
      <c r="E375" s="24" t="n"/>
      <c r="F375" s="24" t="n"/>
    </row>
    <row r="376">
      <c r="A376" s="22" t="n">
        <v>45817</v>
      </c>
      <c r="B376" s="23" t="inlineStr">
        <is>
          <t>Bakery</t>
        </is>
      </c>
      <c r="C376" s="23" t="inlineStr">
        <is>
          <t>Actual</t>
        </is>
      </c>
      <c r="D376" s="24" t="n">
        <v>1159.32</v>
      </c>
      <c r="E376" s="24" t="n"/>
      <c r="F376" s="24" t="n"/>
    </row>
    <row r="377">
      <c r="A377" s="22" t="n">
        <v>45817</v>
      </c>
      <c r="B377" s="23" t="inlineStr">
        <is>
          <t>Beer &amp; Wine</t>
        </is>
      </c>
      <c r="C377" s="23" t="inlineStr">
        <is>
          <t>Actual</t>
        </is>
      </c>
      <c r="D377" s="24" t="n">
        <v>2128.88</v>
      </c>
      <c r="E377" s="24" t="n"/>
      <c r="F377" s="24" t="n"/>
    </row>
    <row r="378">
      <c r="A378" s="22" t="n">
        <v>45817</v>
      </c>
      <c r="B378" s="23" t="inlineStr">
        <is>
          <t>Beverages</t>
        </is>
      </c>
      <c r="C378" s="23" t="inlineStr">
        <is>
          <t>Actual</t>
        </is>
      </c>
      <c r="D378" s="24" t="n">
        <v>2394.61</v>
      </c>
      <c r="E378" s="24" t="n"/>
      <c r="F378" s="24" t="n"/>
    </row>
    <row r="379">
      <c r="A379" s="22" t="n">
        <v>45817</v>
      </c>
      <c r="B379" s="23" t="inlineStr">
        <is>
          <t>Dairy</t>
        </is>
      </c>
      <c r="C379" s="23" t="inlineStr">
        <is>
          <t>Actual</t>
        </is>
      </c>
      <c r="D379" s="24" t="n">
        <v>3215.42</v>
      </c>
      <c r="E379" s="24" t="n"/>
      <c r="F379" s="24" t="n"/>
    </row>
    <row r="380">
      <c r="A380" s="22" t="n">
        <v>45817</v>
      </c>
      <c r="B380" s="23" t="inlineStr">
        <is>
          <t>Food To Go</t>
        </is>
      </c>
      <c r="C380" s="23" t="inlineStr">
        <is>
          <t>Actual</t>
        </is>
      </c>
      <c r="D380" s="24" t="n">
        <v>3071.83</v>
      </c>
      <c r="E380" s="24" t="n"/>
      <c r="F380" s="24" t="n"/>
    </row>
    <row r="381">
      <c r="A381" s="22" t="n">
        <v>45817</v>
      </c>
      <c r="B381" s="23" t="inlineStr">
        <is>
          <t>Frozen</t>
        </is>
      </c>
      <c r="C381" s="23" t="inlineStr">
        <is>
          <t>Actual</t>
        </is>
      </c>
      <c r="D381" s="24" t="n">
        <v>1175.4</v>
      </c>
      <c r="E381" s="24" t="n"/>
      <c r="F381" s="24" t="n"/>
    </row>
    <row r="382">
      <c r="A382" s="22" t="n">
        <v>45817</v>
      </c>
      <c r="B382" s="23" t="inlineStr">
        <is>
          <t>Grocery</t>
        </is>
      </c>
      <c r="C382" s="23" t="inlineStr">
        <is>
          <t>Actual</t>
        </is>
      </c>
      <c r="D382" s="24" t="n">
        <v>2089.15</v>
      </c>
      <c r="E382" s="24" t="n"/>
      <c r="F382" s="24" t="n"/>
    </row>
    <row r="383">
      <c r="A383" s="22" t="n">
        <v>45817</v>
      </c>
      <c r="B383" s="23" t="inlineStr">
        <is>
          <t>Health &amp; Beauty</t>
        </is>
      </c>
      <c r="C383" s="23" t="inlineStr">
        <is>
          <t>Actual</t>
        </is>
      </c>
      <c r="D383" s="24" t="n">
        <v>272.62</v>
      </c>
      <c r="E383" s="24" t="n"/>
      <c r="F383" s="24" t="n"/>
    </row>
    <row r="384">
      <c r="A384" s="22" t="n">
        <v>45817</v>
      </c>
      <c r="B384" s="23" t="inlineStr">
        <is>
          <t>Household</t>
        </is>
      </c>
      <c r="C384" s="23" t="inlineStr">
        <is>
          <t>Actual</t>
        </is>
      </c>
      <c r="D384" s="24" t="n">
        <v>696.15</v>
      </c>
      <c r="E384" s="24" t="n"/>
      <c r="F384" s="24" t="n"/>
    </row>
    <row r="385">
      <c r="A385" s="22" t="n">
        <v>45817</v>
      </c>
      <c r="B385" s="23" t="inlineStr">
        <is>
          <t>Produce</t>
        </is>
      </c>
      <c r="C385" s="23" t="inlineStr">
        <is>
          <t>Actual</t>
        </is>
      </c>
      <c r="D385" s="24" t="n">
        <v>307.62</v>
      </c>
      <c r="E385" s="24" t="n"/>
      <c r="F385" s="24" t="n"/>
    </row>
    <row r="386">
      <c r="A386" s="22" t="n">
        <v>45817</v>
      </c>
      <c r="B386" s="23" t="inlineStr">
        <is>
          <t>Snacks &amp; Confectionery</t>
        </is>
      </c>
      <c r="C386" s="23" t="inlineStr">
        <is>
          <t>Actual</t>
        </is>
      </c>
      <c r="D386" s="24" t="n">
        <v>1771.78</v>
      </c>
      <c r="E386" s="24" t="n"/>
      <c r="F386" s="24" t="n"/>
    </row>
    <row r="387">
      <c r="A387" s="22" t="n">
        <v>45824</v>
      </c>
      <c r="B387" s="23" t="inlineStr">
        <is>
          <t>Bakery</t>
        </is>
      </c>
      <c r="C387" s="23" t="inlineStr">
        <is>
          <t>Actual</t>
        </is>
      </c>
      <c r="D387" s="24" t="n">
        <v>1045.64</v>
      </c>
      <c r="E387" s="24" t="n"/>
      <c r="F387" s="24" t="n"/>
    </row>
    <row r="388">
      <c r="A388" s="22" t="n">
        <v>45824</v>
      </c>
      <c r="B388" s="23" t="inlineStr">
        <is>
          <t>Beer &amp; Wine</t>
        </is>
      </c>
      <c r="C388" s="23" t="inlineStr">
        <is>
          <t>Actual</t>
        </is>
      </c>
      <c r="D388" s="24" t="n">
        <v>1925.01</v>
      </c>
      <c r="E388" s="24" t="n"/>
      <c r="F388" s="24" t="n"/>
    </row>
    <row r="389">
      <c r="A389" s="22" t="n">
        <v>45824</v>
      </c>
      <c r="B389" s="23" t="inlineStr">
        <is>
          <t>Beverages</t>
        </is>
      </c>
      <c r="C389" s="23" t="inlineStr">
        <is>
          <t>Actual</t>
        </is>
      </c>
      <c r="D389" s="24" t="n">
        <v>1945.81</v>
      </c>
      <c r="E389" s="24" t="n"/>
      <c r="F389" s="24" t="n"/>
    </row>
    <row r="390">
      <c r="A390" s="22" t="n">
        <v>45824</v>
      </c>
      <c r="B390" s="23" t="inlineStr">
        <is>
          <t>Dairy</t>
        </is>
      </c>
      <c r="C390" s="23" t="inlineStr">
        <is>
          <t>Actual</t>
        </is>
      </c>
      <c r="D390" s="24" t="n">
        <v>3126.55</v>
      </c>
      <c r="E390" s="24" t="n"/>
      <c r="F390" s="24" t="n"/>
    </row>
    <row r="391">
      <c r="A391" s="22" t="n">
        <v>45824</v>
      </c>
      <c r="B391" s="23" t="inlineStr">
        <is>
          <t>Food To Go</t>
        </is>
      </c>
      <c r="C391" s="23" t="inlineStr">
        <is>
          <t>Actual</t>
        </is>
      </c>
      <c r="D391" s="24" t="n">
        <v>3039.24</v>
      </c>
      <c r="E391" s="24" t="n"/>
      <c r="F391" s="24" t="n"/>
    </row>
    <row r="392">
      <c r="A392" s="22" t="n">
        <v>45824</v>
      </c>
      <c r="B392" s="23" t="inlineStr">
        <is>
          <t>Frozen</t>
        </is>
      </c>
      <c r="C392" s="23" t="inlineStr">
        <is>
          <t>Actual</t>
        </is>
      </c>
      <c r="D392" s="24" t="n">
        <v>1276.68</v>
      </c>
      <c r="E392" s="24" t="n"/>
      <c r="F392" s="24" t="n"/>
    </row>
    <row r="393">
      <c r="A393" s="22" t="n">
        <v>45824</v>
      </c>
      <c r="B393" s="23" t="inlineStr">
        <is>
          <t>Grocery</t>
        </is>
      </c>
      <c r="C393" s="23" t="inlineStr">
        <is>
          <t>Actual</t>
        </is>
      </c>
      <c r="D393" s="24" t="n">
        <v>1936.94</v>
      </c>
      <c r="E393" s="24" t="n"/>
      <c r="F393" s="24" t="n"/>
    </row>
    <row r="394">
      <c r="A394" s="22" t="n">
        <v>45824</v>
      </c>
      <c r="B394" s="23" t="inlineStr">
        <is>
          <t>Health &amp; Beauty</t>
        </is>
      </c>
      <c r="C394" s="23" t="inlineStr">
        <is>
          <t>Actual</t>
        </is>
      </c>
      <c r="D394" s="24" t="n">
        <v>190.66</v>
      </c>
      <c r="E394" s="24" t="n"/>
      <c r="F394" s="24" t="n"/>
    </row>
    <row r="395">
      <c r="A395" s="22" t="n">
        <v>45824</v>
      </c>
      <c r="B395" s="23" t="inlineStr">
        <is>
          <t>Household</t>
        </is>
      </c>
      <c r="C395" s="23" t="inlineStr">
        <is>
          <t>Actual</t>
        </is>
      </c>
      <c r="D395" s="24" t="n">
        <v>555.45</v>
      </c>
      <c r="E395" s="24" t="n"/>
      <c r="F395" s="24" t="n"/>
    </row>
    <row r="396">
      <c r="A396" s="22" t="n">
        <v>45824</v>
      </c>
      <c r="B396" s="23" t="inlineStr">
        <is>
          <t>Produce</t>
        </is>
      </c>
      <c r="C396" s="23" t="inlineStr">
        <is>
          <t>Actual</t>
        </is>
      </c>
      <c r="D396" s="24" t="n">
        <v>284.2</v>
      </c>
      <c r="E396" s="24" t="n"/>
      <c r="F396" s="24" t="n"/>
    </row>
    <row r="397">
      <c r="A397" s="22" t="n">
        <v>45824</v>
      </c>
      <c r="B397" s="23" t="inlineStr">
        <is>
          <t>Snacks &amp; Confectionery</t>
        </is>
      </c>
      <c r="C397" s="23" t="inlineStr">
        <is>
          <t>Actual</t>
        </is>
      </c>
      <c r="D397" s="24" t="n">
        <v>1773.5</v>
      </c>
      <c r="E397" s="24" t="n"/>
      <c r="F397" s="24" t="n"/>
    </row>
    <row r="398">
      <c r="A398" s="22" t="n">
        <v>45831</v>
      </c>
      <c r="B398" s="23" t="inlineStr">
        <is>
          <t>Bakery</t>
        </is>
      </c>
      <c r="C398" s="23" t="inlineStr">
        <is>
          <t>Actual</t>
        </is>
      </c>
      <c r="D398" s="24" t="n">
        <v>1197.6</v>
      </c>
      <c r="E398" s="24" t="n"/>
      <c r="F398" s="24" t="n"/>
    </row>
    <row r="399">
      <c r="A399" s="22" t="n">
        <v>45831</v>
      </c>
      <c r="B399" s="23" t="inlineStr">
        <is>
          <t>Beer &amp; Wine</t>
        </is>
      </c>
      <c r="C399" s="23" t="inlineStr">
        <is>
          <t>Actual</t>
        </is>
      </c>
      <c r="D399" s="24" t="n">
        <v>1951.35</v>
      </c>
      <c r="E399" s="24" t="n"/>
      <c r="F399" s="24" t="n"/>
    </row>
    <row r="400">
      <c r="A400" s="22" t="n">
        <v>45831</v>
      </c>
      <c r="B400" s="23" t="inlineStr">
        <is>
          <t>Beverages</t>
        </is>
      </c>
      <c r="C400" s="23" t="inlineStr">
        <is>
          <t>Actual</t>
        </is>
      </c>
      <c r="D400" s="24" t="n">
        <v>2127.15</v>
      </c>
      <c r="E400" s="24" t="n"/>
      <c r="F400" s="24" t="n"/>
    </row>
    <row r="401">
      <c r="A401" s="22" t="n">
        <v>45831</v>
      </c>
      <c r="B401" s="23" t="inlineStr">
        <is>
          <t>Dairy</t>
        </is>
      </c>
      <c r="C401" s="23" t="inlineStr">
        <is>
          <t>Actual</t>
        </is>
      </c>
      <c r="D401" s="24" t="n">
        <v>2913.81</v>
      </c>
      <c r="E401" s="24" t="n"/>
      <c r="F401" s="24" t="n"/>
    </row>
    <row r="402">
      <c r="A402" s="22" t="n">
        <v>45831</v>
      </c>
      <c r="B402" s="23" t="inlineStr">
        <is>
          <t>Food To Go</t>
        </is>
      </c>
      <c r="C402" s="23" t="inlineStr">
        <is>
          <t>Actual</t>
        </is>
      </c>
      <c r="D402" s="24" t="n">
        <v>3484.34</v>
      </c>
      <c r="E402" s="24" t="n"/>
      <c r="F402" s="24" t="n"/>
    </row>
    <row r="403">
      <c r="A403" s="22" t="n">
        <v>45831</v>
      </c>
      <c r="B403" s="23" t="inlineStr">
        <is>
          <t>Frozen</t>
        </is>
      </c>
      <c r="C403" s="23" t="inlineStr">
        <is>
          <t>Actual</t>
        </is>
      </c>
      <c r="D403" s="24" t="n">
        <v>1412.11</v>
      </c>
      <c r="E403" s="24" t="n"/>
      <c r="F403" s="24" t="n"/>
    </row>
    <row r="404">
      <c r="A404" s="22" t="n">
        <v>45831</v>
      </c>
      <c r="B404" s="23" t="inlineStr">
        <is>
          <t>Grocery</t>
        </is>
      </c>
      <c r="C404" s="23" t="inlineStr">
        <is>
          <t>Actual</t>
        </is>
      </c>
      <c r="D404" s="24" t="n">
        <v>2211.16</v>
      </c>
      <c r="E404" s="24" t="n"/>
      <c r="F404" s="24" t="n"/>
    </row>
    <row r="405">
      <c r="A405" s="22" t="n">
        <v>45831</v>
      </c>
      <c r="B405" s="23" t="inlineStr">
        <is>
          <t>Health &amp; Beauty</t>
        </is>
      </c>
      <c r="C405" s="23" t="inlineStr">
        <is>
          <t>Actual</t>
        </is>
      </c>
      <c r="D405" s="24" t="n">
        <v>398.29</v>
      </c>
      <c r="E405" s="24" t="n"/>
      <c r="F405" s="24" t="n"/>
    </row>
    <row r="406">
      <c r="A406" s="22" t="n">
        <v>45831</v>
      </c>
      <c r="B406" s="23" t="inlineStr">
        <is>
          <t>Household</t>
        </is>
      </c>
      <c r="C406" s="23" t="inlineStr">
        <is>
          <t>Actual</t>
        </is>
      </c>
      <c r="D406" s="24" t="n">
        <v>463.42</v>
      </c>
      <c r="E406" s="24" t="n"/>
      <c r="F406" s="24" t="n"/>
    </row>
    <row r="407">
      <c r="A407" s="22" t="n">
        <v>45831</v>
      </c>
      <c r="B407" s="23" t="inlineStr">
        <is>
          <t>Produce</t>
        </is>
      </c>
      <c r="C407" s="23" t="inlineStr">
        <is>
          <t>Actual</t>
        </is>
      </c>
      <c r="D407" s="24" t="n">
        <v>337.32</v>
      </c>
      <c r="E407" s="24" t="n"/>
      <c r="F407" s="24" t="n"/>
    </row>
    <row r="408">
      <c r="A408" s="22" t="n">
        <v>45831</v>
      </c>
      <c r="B408" s="23" t="inlineStr">
        <is>
          <t>Snacks &amp; Confectionery</t>
        </is>
      </c>
      <c r="C408" s="23" t="inlineStr">
        <is>
          <t>Actual</t>
        </is>
      </c>
      <c r="D408" s="24" t="n">
        <v>1969.3</v>
      </c>
      <c r="E408" s="24" t="n"/>
      <c r="F408" s="24" t="n"/>
    </row>
    <row r="409">
      <c r="A409" s="22" t="n">
        <v>45838</v>
      </c>
      <c r="B409" s="23" t="inlineStr">
        <is>
          <t>Bakery</t>
        </is>
      </c>
      <c r="C409" s="23" t="inlineStr">
        <is>
          <t>Actual</t>
        </is>
      </c>
      <c r="D409" s="24" t="n">
        <v>1040.48</v>
      </c>
      <c r="E409" s="24" t="n"/>
      <c r="F409" s="24" t="n"/>
    </row>
    <row r="410">
      <c r="A410" s="22" t="n">
        <v>45838</v>
      </c>
      <c r="B410" s="23" t="inlineStr">
        <is>
          <t>Beer &amp; Wine</t>
        </is>
      </c>
      <c r="C410" s="23" t="inlineStr">
        <is>
          <t>Actual</t>
        </is>
      </c>
      <c r="D410" s="24" t="n">
        <v>1736.11</v>
      </c>
      <c r="E410" s="24" t="n"/>
      <c r="F410" s="24" t="n"/>
    </row>
    <row r="411">
      <c r="A411" s="22" t="n">
        <v>45838</v>
      </c>
      <c r="B411" s="23" t="inlineStr">
        <is>
          <t>Beverages</t>
        </is>
      </c>
      <c r="C411" s="23" t="inlineStr">
        <is>
          <t>Actual</t>
        </is>
      </c>
      <c r="D411" s="24" t="n">
        <v>2262.37</v>
      </c>
      <c r="E411" s="24" t="n"/>
      <c r="F411" s="24" t="n"/>
    </row>
    <row r="412">
      <c r="A412" s="22" t="n">
        <v>45838</v>
      </c>
      <c r="B412" s="23" t="inlineStr">
        <is>
          <t>Dairy</t>
        </is>
      </c>
      <c r="C412" s="23" t="inlineStr">
        <is>
          <t>Actual</t>
        </is>
      </c>
      <c r="D412" s="24" t="n">
        <v>2955.94</v>
      </c>
      <c r="E412" s="24" t="n"/>
      <c r="F412" s="24" t="n"/>
    </row>
    <row r="413">
      <c r="A413" s="22" t="n">
        <v>45838</v>
      </c>
      <c r="B413" s="23" t="inlineStr">
        <is>
          <t>Food To Go</t>
        </is>
      </c>
      <c r="C413" s="23" t="inlineStr">
        <is>
          <t>Actual</t>
        </is>
      </c>
      <c r="D413" s="24" t="n">
        <v>3131.69</v>
      </c>
      <c r="E413" s="24" t="n"/>
      <c r="F413" s="24" t="n"/>
    </row>
    <row r="414">
      <c r="A414" s="22" t="n">
        <v>45838</v>
      </c>
      <c r="B414" s="23" t="inlineStr">
        <is>
          <t>Frozen</t>
        </is>
      </c>
      <c r="C414" s="23" t="inlineStr">
        <is>
          <t>Actual</t>
        </is>
      </c>
      <c r="D414" s="24" t="n">
        <v>1410.07</v>
      </c>
      <c r="E414" s="24" t="n"/>
      <c r="F414" s="24" t="n"/>
    </row>
    <row r="415">
      <c r="A415" s="22" t="n">
        <v>45838</v>
      </c>
      <c r="B415" s="23" t="inlineStr">
        <is>
          <t>Grocery</t>
        </is>
      </c>
      <c r="C415" s="23" t="inlineStr">
        <is>
          <t>Actual</t>
        </is>
      </c>
      <c r="D415" s="24" t="n">
        <v>2033.17</v>
      </c>
      <c r="E415" s="24" t="n"/>
      <c r="F415" s="24" t="n"/>
    </row>
    <row r="416">
      <c r="A416" s="22" t="n">
        <v>45838</v>
      </c>
      <c r="B416" s="23" t="inlineStr">
        <is>
          <t>Health &amp; Beauty</t>
        </is>
      </c>
      <c r="C416" s="23" t="inlineStr">
        <is>
          <t>Actual</t>
        </is>
      </c>
      <c r="D416" s="24" t="n">
        <v>293.54</v>
      </c>
      <c r="E416" s="24" t="n"/>
      <c r="F416" s="24" t="n"/>
    </row>
    <row r="417">
      <c r="A417" s="22" t="n">
        <v>45838</v>
      </c>
      <c r="B417" s="23" t="inlineStr">
        <is>
          <t>Household</t>
        </is>
      </c>
      <c r="C417" s="23" t="inlineStr">
        <is>
          <t>Actual</t>
        </is>
      </c>
      <c r="D417" s="24" t="n">
        <v>516.54</v>
      </c>
      <c r="E417" s="24" t="n"/>
      <c r="F417" s="24" t="n"/>
    </row>
    <row r="418">
      <c r="A418" s="22" t="n">
        <v>45838</v>
      </c>
      <c r="B418" s="23" t="inlineStr">
        <is>
          <t>Produce</t>
        </is>
      </c>
      <c r="C418" s="23" t="inlineStr">
        <is>
          <t>Actual</t>
        </is>
      </c>
      <c r="D418" s="24" t="n">
        <v>358.23</v>
      </c>
      <c r="E418" s="24" t="n"/>
      <c r="F418" s="24" t="n"/>
    </row>
    <row r="419">
      <c r="A419" s="22" t="n">
        <v>45838</v>
      </c>
      <c r="B419" s="23" t="inlineStr">
        <is>
          <t>Snacks &amp; Confectionery</t>
        </is>
      </c>
      <c r="C419" s="23" t="inlineStr">
        <is>
          <t>Actual</t>
        </is>
      </c>
      <c r="D419" s="24" t="n">
        <v>1763.25</v>
      </c>
      <c r="E419" s="24" t="n"/>
      <c r="F419" s="24" t="n"/>
    </row>
    <row r="420">
      <c r="A420" s="22" t="n">
        <v>45845</v>
      </c>
      <c r="B420" s="23" t="inlineStr">
        <is>
          <t>Bakery</t>
        </is>
      </c>
      <c r="C420" s="23" t="inlineStr">
        <is>
          <t>Actual</t>
        </is>
      </c>
      <c r="D420" s="24" t="n">
        <v>953.5700000000001</v>
      </c>
      <c r="E420" s="24" t="n"/>
      <c r="F420" s="24" t="n"/>
    </row>
    <row r="421">
      <c r="A421" s="22" t="n">
        <v>45845</v>
      </c>
      <c r="B421" s="23" t="inlineStr">
        <is>
          <t>Beer &amp; Wine</t>
        </is>
      </c>
      <c r="C421" s="23" t="inlineStr">
        <is>
          <t>Actual</t>
        </is>
      </c>
      <c r="D421" s="24" t="n">
        <v>1937.03</v>
      </c>
      <c r="E421" s="24" t="n"/>
      <c r="F421" s="24" t="n"/>
    </row>
    <row r="422">
      <c r="A422" s="22" t="n">
        <v>45845</v>
      </c>
      <c r="B422" s="23" t="inlineStr">
        <is>
          <t>Beverages</t>
        </is>
      </c>
      <c r="C422" s="23" t="inlineStr">
        <is>
          <t>Actual</t>
        </is>
      </c>
      <c r="D422" s="24" t="n">
        <v>2026.14</v>
      </c>
      <c r="E422" s="24" t="n"/>
      <c r="F422" s="24" t="n"/>
    </row>
    <row r="423">
      <c r="A423" s="22" t="n">
        <v>45845</v>
      </c>
      <c r="B423" s="23" t="inlineStr">
        <is>
          <t>Dairy</t>
        </is>
      </c>
      <c r="C423" s="23" t="inlineStr">
        <is>
          <t>Actual</t>
        </is>
      </c>
      <c r="D423" s="24" t="n">
        <v>3016.64</v>
      </c>
      <c r="E423" s="24" t="n"/>
      <c r="F423" s="24" t="n"/>
    </row>
    <row r="424">
      <c r="A424" s="22" t="n">
        <v>45845</v>
      </c>
      <c r="B424" s="23" t="inlineStr">
        <is>
          <t>Food To Go</t>
        </is>
      </c>
      <c r="C424" s="23" t="inlineStr">
        <is>
          <t>Actual</t>
        </is>
      </c>
      <c r="D424" s="24" t="n">
        <v>3159.62</v>
      </c>
      <c r="E424" s="24" t="n"/>
      <c r="F424" s="24" t="n"/>
    </row>
    <row r="425">
      <c r="A425" s="22" t="n">
        <v>45845</v>
      </c>
      <c r="B425" s="23" t="inlineStr">
        <is>
          <t>Frozen</t>
        </is>
      </c>
      <c r="C425" s="23" t="inlineStr">
        <is>
          <t>Actual</t>
        </is>
      </c>
      <c r="D425" s="24" t="n">
        <v>1153.51</v>
      </c>
      <c r="E425" s="24" t="n"/>
      <c r="F425" s="24" t="n"/>
    </row>
    <row r="426">
      <c r="A426" s="22" t="n">
        <v>45845</v>
      </c>
      <c r="B426" s="23" t="inlineStr">
        <is>
          <t>Grocery</t>
        </is>
      </c>
      <c r="C426" s="23" t="inlineStr">
        <is>
          <t>Actual</t>
        </is>
      </c>
      <c r="D426" s="24" t="n">
        <v>1987.34</v>
      </c>
      <c r="E426" s="24" t="n"/>
      <c r="F426" s="24" t="n"/>
    </row>
    <row r="427">
      <c r="A427" s="22" t="n">
        <v>45845</v>
      </c>
      <c r="B427" s="23" t="inlineStr">
        <is>
          <t>Health &amp; Beauty</t>
        </is>
      </c>
      <c r="C427" s="23" t="inlineStr">
        <is>
          <t>Actual</t>
        </is>
      </c>
      <c r="D427" s="24" t="n">
        <v>345.52</v>
      </c>
      <c r="E427" s="24" t="n"/>
      <c r="F427" s="24" t="n"/>
    </row>
    <row r="428">
      <c r="A428" s="22" t="n">
        <v>45845</v>
      </c>
      <c r="B428" s="23" t="inlineStr">
        <is>
          <t>Household</t>
        </is>
      </c>
      <c r="C428" s="23" t="inlineStr">
        <is>
          <t>Actual</t>
        </is>
      </c>
      <c r="D428" s="24" t="n">
        <v>494.43</v>
      </c>
      <c r="E428" s="24" t="n"/>
      <c r="F428" s="24" t="n"/>
    </row>
    <row r="429">
      <c r="A429" s="22" t="n">
        <v>45845</v>
      </c>
      <c r="B429" s="23" t="inlineStr">
        <is>
          <t>Produce</t>
        </is>
      </c>
      <c r="C429" s="23" t="inlineStr">
        <is>
          <t>Actual</t>
        </is>
      </c>
      <c r="D429" s="24" t="n">
        <v>388.19</v>
      </c>
      <c r="E429" s="24" t="n"/>
      <c r="F429" s="24" t="n"/>
    </row>
    <row r="430">
      <c r="A430" s="22" t="n">
        <v>45845</v>
      </c>
      <c r="B430" s="23" t="inlineStr">
        <is>
          <t>Snacks &amp; Confectionery</t>
        </is>
      </c>
      <c r="C430" s="23" t="inlineStr">
        <is>
          <t>Actual</t>
        </is>
      </c>
      <c r="D430" s="24" t="n">
        <v>1953.71</v>
      </c>
      <c r="E430" s="24" t="n"/>
      <c r="F430" s="24" t="n"/>
    </row>
    <row r="431">
      <c r="A431" s="22" t="n">
        <v>45852</v>
      </c>
      <c r="B431" s="23" t="inlineStr">
        <is>
          <t>Bakery</t>
        </is>
      </c>
      <c r="C431" s="23" t="inlineStr">
        <is>
          <t>Actual</t>
        </is>
      </c>
      <c r="D431" s="24" t="n">
        <v>1066.58</v>
      </c>
      <c r="E431" s="24" t="n"/>
      <c r="F431" s="24" t="n"/>
    </row>
    <row r="432">
      <c r="A432" s="22" t="n">
        <v>45852</v>
      </c>
      <c r="B432" s="23" t="inlineStr">
        <is>
          <t>Beer &amp; Wine</t>
        </is>
      </c>
      <c r="C432" s="23" t="inlineStr">
        <is>
          <t>Actual</t>
        </is>
      </c>
      <c r="D432" s="24" t="n">
        <v>1807.06</v>
      </c>
      <c r="E432" s="24" t="n"/>
      <c r="F432" s="24" t="n"/>
    </row>
    <row r="433">
      <c r="A433" s="22" t="n">
        <v>45852</v>
      </c>
      <c r="B433" s="23" t="inlineStr">
        <is>
          <t>Beverages</t>
        </is>
      </c>
      <c r="C433" s="23" t="inlineStr">
        <is>
          <t>Actual</t>
        </is>
      </c>
      <c r="D433" s="24" t="n">
        <v>2133.84</v>
      </c>
      <c r="E433" s="24" t="n"/>
      <c r="F433" s="24" t="n"/>
    </row>
    <row r="434">
      <c r="A434" s="22" t="n">
        <v>45852</v>
      </c>
      <c r="B434" s="23" t="inlineStr">
        <is>
          <t>Dairy</t>
        </is>
      </c>
      <c r="C434" s="23" t="inlineStr">
        <is>
          <t>Actual</t>
        </is>
      </c>
      <c r="D434" s="24" t="n">
        <v>3106.63</v>
      </c>
      <c r="E434" s="24" t="n"/>
      <c r="F434" s="24" t="n"/>
    </row>
    <row r="435">
      <c r="A435" s="22" t="n">
        <v>45852</v>
      </c>
      <c r="B435" s="23" t="inlineStr">
        <is>
          <t>Food To Go</t>
        </is>
      </c>
      <c r="C435" s="23" t="inlineStr">
        <is>
          <t>Actual</t>
        </is>
      </c>
      <c r="D435" s="24" t="n">
        <v>3117.19</v>
      </c>
      <c r="E435" s="24" t="n"/>
      <c r="F435" s="24" t="n"/>
    </row>
    <row r="436">
      <c r="A436" s="22" t="n">
        <v>45852</v>
      </c>
      <c r="B436" s="23" t="inlineStr">
        <is>
          <t>Frozen</t>
        </is>
      </c>
      <c r="C436" s="23" t="inlineStr">
        <is>
          <t>Actual</t>
        </is>
      </c>
      <c r="D436" s="24" t="n">
        <v>1221.52</v>
      </c>
      <c r="E436" s="24" t="n"/>
      <c r="F436" s="24" t="n"/>
    </row>
    <row r="437">
      <c r="A437" s="22" t="n">
        <v>45852</v>
      </c>
      <c r="B437" s="23" t="inlineStr">
        <is>
          <t>Grocery</t>
        </is>
      </c>
      <c r="C437" s="23" t="inlineStr">
        <is>
          <t>Actual</t>
        </is>
      </c>
      <c r="D437" s="24" t="n">
        <v>2030.23</v>
      </c>
      <c r="E437" s="24" t="n"/>
      <c r="F437" s="24" t="n"/>
    </row>
    <row r="438">
      <c r="A438" s="22" t="n">
        <v>45852</v>
      </c>
      <c r="B438" s="23" t="inlineStr">
        <is>
          <t>Health &amp; Beauty</t>
        </is>
      </c>
      <c r="C438" s="23" t="inlineStr">
        <is>
          <t>Actual</t>
        </is>
      </c>
      <c r="D438" s="24" t="n">
        <v>370.43</v>
      </c>
      <c r="E438" s="24" t="n"/>
      <c r="F438" s="24" t="n"/>
    </row>
    <row r="439">
      <c r="A439" s="22" t="n">
        <v>45852</v>
      </c>
      <c r="B439" s="23" t="inlineStr">
        <is>
          <t>Household</t>
        </is>
      </c>
      <c r="C439" s="23" t="inlineStr">
        <is>
          <t>Actual</t>
        </is>
      </c>
      <c r="D439" s="24" t="n">
        <v>494.41</v>
      </c>
      <c r="E439" s="24" t="n"/>
      <c r="F439" s="24" t="n"/>
    </row>
    <row r="440">
      <c r="A440" s="22" t="n">
        <v>45852</v>
      </c>
      <c r="B440" s="23" t="inlineStr">
        <is>
          <t>Produce</t>
        </is>
      </c>
      <c r="C440" s="23" t="inlineStr">
        <is>
          <t>Actual</t>
        </is>
      </c>
      <c r="D440" s="24" t="n">
        <v>390.12</v>
      </c>
      <c r="E440" s="24" t="n"/>
      <c r="F440" s="24" t="n"/>
    </row>
    <row r="441">
      <c r="A441" s="22" t="n">
        <v>45852</v>
      </c>
      <c r="B441" s="23" t="inlineStr">
        <is>
          <t>Snacks &amp; Confectionery</t>
        </is>
      </c>
      <c r="C441" s="23" t="inlineStr">
        <is>
          <t>Actual</t>
        </is>
      </c>
      <c r="D441" s="24" t="n">
        <v>1745.51</v>
      </c>
      <c r="E441" s="24" t="n"/>
      <c r="F441" s="24" t="n"/>
    </row>
    <row r="442">
      <c r="A442" s="22" t="n">
        <v>45859</v>
      </c>
      <c r="B442" s="23" t="inlineStr">
        <is>
          <t>Bakery</t>
        </is>
      </c>
      <c r="C442" s="23" t="inlineStr">
        <is>
          <t>Actual</t>
        </is>
      </c>
      <c r="D442" s="24" t="n">
        <v>1191.01</v>
      </c>
      <c r="E442" s="24" t="n"/>
      <c r="F442" s="24" t="n"/>
    </row>
    <row r="443">
      <c r="A443" s="22" t="n">
        <v>45859</v>
      </c>
      <c r="B443" s="23" t="inlineStr">
        <is>
          <t>Beer &amp; Wine</t>
        </is>
      </c>
      <c r="C443" s="23" t="inlineStr">
        <is>
          <t>Actual</t>
        </is>
      </c>
      <c r="D443" s="24" t="n">
        <v>1967.97</v>
      </c>
      <c r="E443" s="24" t="n"/>
      <c r="F443" s="24" t="n"/>
    </row>
    <row r="444">
      <c r="A444" s="22" t="n">
        <v>45859</v>
      </c>
      <c r="B444" s="23" t="inlineStr">
        <is>
          <t>Beverages</t>
        </is>
      </c>
      <c r="C444" s="23" t="inlineStr">
        <is>
          <t>Actual</t>
        </is>
      </c>
      <c r="D444" s="24" t="n">
        <v>2165.07</v>
      </c>
      <c r="E444" s="24" t="n"/>
      <c r="F444" s="24" t="n"/>
    </row>
    <row r="445">
      <c r="A445" s="22" t="n">
        <v>45859</v>
      </c>
      <c r="B445" s="23" t="inlineStr">
        <is>
          <t>Dairy</t>
        </is>
      </c>
      <c r="C445" s="23" t="inlineStr">
        <is>
          <t>Actual</t>
        </is>
      </c>
      <c r="D445" s="24" t="n">
        <v>2961.32</v>
      </c>
      <c r="E445" s="24" t="n"/>
      <c r="F445" s="24" t="n"/>
    </row>
    <row r="446">
      <c r="A446" s="22" t="n">
        <v>45859</v>
      </c>
      <c r="B446" s="23" t="inlineStr">
        <is>
          <t>Food To Go</t>
        </is>
      </c>
      <c r="C446" s="23" t="inlineStr">
        <is>
          <t>Actual</t>
        </is>
      </c>
      <c r="D446" s="24" t="n">
        <v>3220.05</v>
      </c>
      <c r="E446" s="24" t="n"/>
      <c r="F446" s="24" t="n"/>
    </row>
    <row r="447">
      <c r="A447" s="22" t="n">
        <v>45859</v>
      </c>
      <c r="B447" s="23" t="inlineStr">
        <is>
          <t>Frozen</t>
        </is>
      </c>
      <c r="C447" s="23" t="inlineStr">
        <is>
          <t>Actual</t>
        </is>
      </c>
      <c r="D447" s="24" t="n">
        <v>1421.23</v>
      </c>
      <c r="E447" s="24" t="n"/>
      <c r="F447" s="24" t="n"/>
    </row>
    <row r="448">
      <c r="A448" s="22" t="n">
        <v>45859</v>
      </c>
      <c r="B448" s="23" t="inlineStr">
        <is>
          <t>Grocery</t>
        </is>
      </c>
      <c r="C448" s="23" t="inlineStr">
        <is>
          <t>Actual</t>
        </is>
      </c>
      <c r="D448" s="24" t="n">
        <v>2071.08</v>
      </c>
      <c r="E448" s="24" t="n"/>
      <c r="F448" s="24" t="n"/>
    </row>
    <row r="449">
      <c r="A449" s="22" t="n">
        <v>45859</v>
      </c>
      <c r="B449" s="23" t="inlineStr">
        <is>
          <t>Health &amp; Beauty</t>
        </is>
      </c>
      <c r="C449" s="23" t="inlineStr">
        <is>
          <t>Actual</t>
        </is>
      </c>
      <c r="D449" s="24" t="n">
        <v>300.55</v>
      </c>
      <c r="E449" s="24" t="n"/>
      <c r="F449" s="24" t="n"/>
    </row>
    <row r="450">
      <c r="A450" s="22" t="n">
        <v>45859</v>
      </c>
      <c r="B450" s="23" t="inlineStr">
        <is>
          <t>Household</t>
        </is>
      </c>
      <c r="C450" s="23" t="inlineStr">
        <is>
          <t>Actual</t>
        </is>
      </c>
      <c r="D450" s="24" t="n">
        <v>454.47</v>
      </c>
      <c r="E450" s="24" t="n"/>
      <c r="F450" s="24" t="n"/>
    </row>
    <row r="451">
      <c r="A451" s="22" t="n">
        <v>45859</v>
      </c>
      <c r="B451" s="23" t="inlineStr">
        <is>
          <t>Produce</t>
        </is>
      </c>
      <c r="C451" s="23" t="inlineStr">
        <is>
          <t>Actual</t>
        </is>
      </c>
      <c r="D451" s="24" t="n">
        <v>355.24</v>
      </c>
      <c r="E451" s="24" t="n"/>
      <c r="F451" s="24" t="n"/>
    </row>
    <row r="452">
      <c r="A452" s="22" t="n">
        <v>45859</v>
      </c>
      <c r="B452" s="23" t="inlineStr">
        <is>
          <t>Snacks &amp; Confectionery</t>
        </is>
      </c>
      <c r="C452" s="23" t="inlineStr">
        <is>
          <t>Actual</t>
        </is>
      </c>
      <c r="D452" s="24" t="n">
        <v>1910.41</v>
      </c>
      <c r="E452" s="24" t="n"/>
      <c r="F452" s="24" t="n"/>
    </row>
    <row r="453">
      <c r="A453" s="22" t="n">
        <v>45866</v>
      </c>
      <c r="B453" s="23" t="inlineStr">
        <is>
          <t>Bakery</t>
        </is>
      </c>
      <c r="C453" s="23" t="inlineStr">
        <is>
          <t>Actual</t>
        </is>
      </c>
      <c r="D453" s="24" t="n">
        <v>972.16</v>
      </c>
      <c r="E453" s="24" t="n"/>
      <c r="F453" s="24" t="n"/>
    </row>
    <row r="454">
      <c r="A454" s="22" t="n">
        <v>45866</v>
      </c>
      <c r="B454" s="23" t="inlineStr">
        <is>
          <t>Beer &amp; Wine</t>
        </is>
      </c>
      <c r="C454" s="23" t="inlineStr">
        <is>
          <t>Actual</t>
        </is>
      </c>
      <c r="D454" s="24" t="n">
        <v>2294.82</v>
      </c>
      <c r="E454" s="24" t="n"/>
      <c r="F454" s="24" t="n"/>
    </row>
    <row r="455">
      <c r="A455" s="22" t="n">
        <v>45866</v>
      </c>
      <c r="B455" s="23" t="inlineStr">
        <is>
          <t>Beverages</t>
        </is>
      </c>
      <c r="C455" s="23" t="inlineStr">
        <is>
          <t>Actual</t>
        </is>
      </c>
      <c r="D455" s="24" t="n">
        <v>2220.31</v>
      </c>
      <c r="E455" s="24" t="n"/>
      <c r="F455" s="24" t="n"/>
    </row>
    <row r="456">
      <c r="A456" s="22" t="n">
        <v>45866</v>
      </c>
      <c r="B456" s="23" t="inlineStr">
        <is>
          <t>Dairy</t>
        </is>
      </c>
      <c r="C456" s="23" t="inlineStr">
        <is>
          <t>Actual</t>
        </is>
      </c>
      <c r="D456" s="24" t="n">
        <v>3014.37</v>
      </c>
      <c r="E456" s="24" t="n"/>
      <c r="F456" s="24" t="n"/>
    </row>
    <row r="457">
      <c r="A457" s="22" t="n">
        <v>45866</v>
      </c>
      <c r="B457" s="23" t="inlineStr">
        <is>
          <t>Food To Go</t>
        </is>
      </c>
      <c r="C457" s="23" t="inlineStr">
        <is>
          <t>Actual</t>
        </is>
      </c>
      <c r="D457" s="24" t="n">
        <v>3108.3</v>
      </c>
      <c r="E457" s="24" t="n"/>
      <c r="F457" s="24" t="n"/>
    </row>
    <row r="458">
      <c r="A458" s="22" t="n">
        <v>45866</v>
      </c>
      <c r="B458" s="23" t="inlineStr">
        <is>
          <t>Frozen</t>
        </is>
      </c>
      <c r="C458" s="23" t="inlineStr">
        <is>
          <t>Actual</t>
        </is>
      </c>
      <c r="D458" s="24" t="n">
        <v>1258.85</v>
      </c>
      <c r="E458" s="24" t="n"/>
      <c r="F458" s="24" t="n"/>
    </row>
    <row r="459">
      <c r="A459" s="22" t="n">
        <v>45866</v>
      </c>
      <c r="B459" s="23" t="inlineStr">
        <is>
          <t>Grocery</t>
        </is>
      </c>
      <c r="C459" s="23" t="inlineStr">
        <is>
          <t>Actual</t>
        </is>
      </c>
      <c r="D459" s="24" t="n">
        <v>1824.58</v>
      </c>
      <c r="E459" s="24" t="n"/>
      <c r="F459" s="24" t="n"/>
    </row>
    <row r="460">
      <c r="A460" s="22" t="n">
        <v>45866</v>
      </c>
      <c r="B460" s="23" t="inlineStr">
        <is>
          <t>Health &amp; Beauty</t>
        </is>
      </c>
      <c r="C460" s="23" t="inlineStr">
        <is>
          <t>Actual</t>
        </is>
      </c>
      <c r="D460" s="24" t="n">
        <v>391.46</v>
      </c>
      <c r="E460" s="24" t="n"/>
      <c r="F460" s="24" t="n"/>
    </row>
    <row r="461">
      <c r="A461" s="22" t="n">
        <v>45866</v>
      </c>
      <c r="B461" s="23" t="inlineStr">
        <is>
          <t>Household</t>
        </is>
      </c>
      <c r="C461" s="23" t="inlineStr">
        <is>
          <t>Actual</t>
        </is>
      </c>
      <c r="D461" s="24" t="n">
        <v>546.41</v>
      </c>
      <c r="E461" s="24" t="n"/>
      <c r="F461" s="24" t="n"/>
    </row>
    <row r="462">
      <c r="A462" s="22" t="n">
        <v>45866</v>
      </c>
      <c r="B462" s="23" t="inlineStr">
        <is>
          <t>Produce</t>
        </is>
      </c>
      <c r="C462" s="23" t="inlineStr">
        <is>
          <t>Actual</t>
        </is>
      </c>
      <c r="D462" s="24" t="n">
        <v>365.84</v>
      </c>
      <c r="E462" s="24" t="n"/>
      <c r="F462" s="24" t="n"/>
    </row>
    <row r="463">
      <c r="A463" s="22" t="n">
        <v>45866</v>
      </c>
      <c r="B463" s="23" t="inlineStr">
        <is>
          <t>Snacks &amp; Confectionery</t>
        </is>
      </c>
      <c r="C463" s="23" t="inlineStr">
        <is>
          <t>Actual</t>
        </is>
      </c>
      <c r="D463" s="24" t="n">
        <v>1961.81</v>
      </c>
      <c r="E463" s="24" t="n"/>
      <c r="F463" s="24" t="n"/>
    </row>
    <row r="464">
      <c r="A464" s="22" t="n">
        <v>45873</v>
      </c>
      <c r="B464" s="23" t="inlineStr">
        <is>
          <t>Bakery</t>
        </is>
      </c>
      <c r="C464" s="23" t="inlineStr">
        <is>
          <t>Actual</t>
        </is>
      </c>
      <c r="D464" s="24" t="n">
        <v>1001.23</v>
      </c>
      <c r="E464" s="24" t="n"/>
      <c r="F464" s="24" t="n"/>
    </row>
    <row r="465">
      <c r="A465" s="22" t="n">
        <v>45873</v>
      </c>
      <c r="B465" s="23" t="inlineStr">
        <is>
          <t>Beer &amp; Wine</t>
        </is>
      </c>
      <c r="C465" s="23" t="inlineStr">
        <is>
          <t>Actual</t>
        </is>
      </c>
      <c r="D465" s="24" t="n">
        <v>1847.04</v>
      </c>
      <c r="E465" s="24" t="n"/>
      <c r="F465" s="24" t="n"/>
    </row>
    <row r="466">
      <c r="A466" s="22" t="n">
        <v>45873</v>
      </c>
      <c r="B466" s="23" t="inlineStr">
        <is>
          <t>Beverages</t>
        </is>
      </c>
      <c r="C466" s="23" t="inlineStr">
        <is>
          <t>Actual</t>
        </is>
      </c>
      <c r="D466" s="24" t="n">
        <v>2018.28</v>
      </c>
      <c r="E466" s="24" t="n"/>
      <c r="F466" s="24" t="n"/>
    </row>
    <row r="467">
      <c r="A467" s="22" t="n">
        <v>45873</v>
      </c>
      <c r="B467" s="23" t="inlineStr">
        <is>
          <t>Dairy</t>
        </is>
      </c>
      <c r="C467" s="23" t="inlineStr">
        <is>
          <t>Actual</t>
        </is>
      </c>
      <c r="D467" s="24" t="n">
        <v>3013.09</v>
      </c>
      <c r="E467" s="24" t="n"/>
      <c r="F467" s="24" t="n"/>
    </row>
    <row r="468">
      <c r="A468" s="22" t="n">
        <v>45873</v>
      </c>
      <c r="B468" s="23" t="inlineStr">
        <is>
          <t>Food To Go</t>
        </is>
      </c>
      <c r="C468" s="23" t="inlineStr">
        <is>
          <t>Actual</t>
        </is>
      </c>
      <c r="D468" s="24" t="n">
        <v>3465.38</v>
      </c>
      <c r="E468" s="24" t="n"/>
      <c r="F468" s="24" t="n"/>
    </row>
    <row r="469">
      <c r="A469" s="22" t="n">
        <v>45873</v>
      </c>
      <c r="B469" s="23" t="inlineStr">
        <is>
          <t>Frozen</t>
        </is>
      </c>
      <c r="C469" s="23" t="inlineStr">
        <is>
          <t>Actual</t>
        </is>
      </c>
      <c r="D469" s="24" t="n">
        <v>1439.25</v>
      </c>
      <c r="E469" s="24" t="n"/>
      <c r="F469" s="24" t="n"/>
    </row>
    <row r="470">
      <c r="A470" s="22" t="n">
        <v>45873</v>
      </c>
      <c r="B470" s="23" t="inlineStr">
        <is>
          <t>Grocery</t>
        </is>
      </c>
      <c r="C470" s="23" t="inlineStr">
        <is>
          <t>Actual</t>
        </is>
      </c>
      <c r="D470" s="24" t="n">
        <v>2137.42</v>
      </c>
      <c r="E470" s="24" t="n"/>
      <c r="F470" s="24" t="n"/>
    </row>
    <row r="471">
      <c r="A471" s="22" t="n">
        <v>45873</v>
      </c>
      <c r="B471" s="23" t="inlineStr">
        <is>
          <t>Health &amp; Beauty</t>
        </is>
      </c>
      <c r="C471" s="23" t="inlineStr">
        <is>
          <t>Actual</t>
        </is>
      </c>
      <c r="D471" s="24" t="n">
        <v>219.56</v>
      </c>
      <c r="E471" s="24" t="n"/>
      <c r="F471" s="24" t="n"/>
    </row>
    <row r="472">
      <c r="A472" s="22" t="n">
        <v>45873</v>
      </c>
      <c r="B472" s="23" t="inlineStr">
        <is>
          <t>Household</t>
        </is>
      </c>
      <c r="C472" s="23" t="inlineStr">
        <is>
          <t>Actual</t>
        </is>
      </c>
      <c r="D472" s="24" t="n">
        <v>592.84</v>
      </c>
      <c r="E472" s="24" t="n"/>
      <c r="F472" s="24" t="n"/>
    </row>
    <row r="473">
      <c r="A473" s="22" t="n">
        <v>45873</v>
      </c>
      <c r="B473" s="23" t="inlineStr">
        <is>
          <t>Produce</t>
        </is>
      </c>
      <c r="C473" s="23" t="inlineStr">
        <is>
          <t>Actual</t>
        </is>
      </c>
      <c r="D473" s="24" t="n">
        <v>334.92</v>
      </c>
      <c r="E473" s="24" t="n"/>
      <c r="F473" s="24" t="n"/>
    </row>
    <row r="474">
      <c r="A474" s="22" t="n">
        <v>45873</v>
      </c>
      <c r="B474" s="23" t="inlineStr">
        <is>
          <t>Snacks &amp; Confectionery</t>
        </is>
      </c>
      <c r="C474" s="23" t="inlineStr">
        <is>
          <t>Actual</t>
        </is>
      </c>
      <c r="D474" s="24" t="n">
        <v>1973.42</v>
      </c>
      <c r="E474" s="24" t="n"/>
      <c r="F474" s="24" t="n"/>
    </row>
    <row r="475">
      <c r="A475" s="22" t="n">
        <v>45880</v>
      </c>
      <c r="B475" s="23" t="inlineStr">
        <is>
          <t>Bakery</t>
        </is>
      </c>
      <c r="C475" s="23" t="inlineStr">
        <is>
          <t>Actual</t>
        </is>
      </c>
      <c r="D475" s="24" t="n">
        <v>1083.14</v>
      </c>
      <c r="E475" s="24" t="n"/>
      <c r="F475" s="24" t="n"/>
    </row>
    <row r="476">
      <c r="A476" s="22" t="n">
        <v>45880</v>
      </c>
      <c r="B476" s="23" t="inlineStr">
        <is>
          <t>Beer &amp; Wine</t>
        </is>
      </c>
      <c r="C476" s="23" t="inlineStr">
        <is>
          <t>Actual</t>
        </is>
      </c>
      <c r="D476" s="24" t="n">
        <v>1799.06</v>
      </c>
      <c r="E476" s="24" t="n"/>
      <c r="F476" s="24" t="n"/>
    </row>
    <row r="477">
      <c r="A477" s="22" t="n">
        <v>45880</v>
      </c>
      <c r="B477" s="23" t="inlineStr">
        <is>
          <t>Beverages</t>
        </is>
      </c>
      <c r="C477" s="23" t="inlineStr">
        <is>
          <t>Actual</t>
        </is>
      </c>
      <c r="D477" s="24" t="n">
        <v>2152.23</v>
      </c>
      <c r="E477" s="24" t="n"/>
      <c r="F477" s="24" t="n"/>
    </row>
    <row r="478">
      <c r="A478" s="22" t="n">
        <v>45880</v>
      </c>
      <c r="B478" s="23" t="inlineStr">
        <is>
          <t>Dairy</t>
        </is>
      </c>
      <c r="C478" s="23" t="inlineStr">
        <is>
          <t>Actual</t>
        </is>
      </c>
      <c r="D478" s="24" t="n">
        <v>3119.99</v>
      </c>
      <c r="E478" s="24" t="n"/>
      <c r="F478" s="24" t="n"/>
    </row>
    <row r="479">
      <c r="A479" s="22" t="n">
        <v>45880</v>
      </c>
      <c r="B479" s="23" t="inlineStr">
        <is>
          <t>Food To Go</t>
        </is>
      </c>
      <c r="C479" s="23" t="inlineStr">
        <is>
          <t>Actual</t>
        </is>
      </c>
      <c r="D479" s="24" t="n">
        <v>3660.54</v>
      </c>
      <c r="E479" s="24" t="n"/>
      <c r="F479" s="24" t="n"/>
    </row>
    <row r="480">
      <c r="A480" s="22" t="n">
        <v>45880</v>
      </c>
      <c r="B480" s="23" t="inlineStr">
        <is>
          <t>Frozen</t>
        </is>
      </c>
      <c r="C480" s="23" t="inlineStr">
        <is>
          <t>Actual</t>
        </is>
      </c>
      <c r="D480" s="24" t="n">
        <v>1318.63</v>
      </c>
      <c r="E480" s="24" t="n"/>
      <c r="F480" s="24" t="n"/>
    </row>
    <row r="481">
      <c r="A481" s="22" t="n">
        <v>45880</v>
      </c>
      <c r="B481" s="23" t="inlineStr">
        <is>
          <t>Grocery</t>
        </is>
      </c>
      <c r="C481" s="23" t="inlineStr">
        <is>
          <t>Actual</t>
        </is>
      </c>
      <c r="D481" s="24" t="n">
        <v>2087.02</v>
      </c>
      <c r="E481" s="24" t="n"/>
      <c r="F481" s="24" t="n"/>
    </row>
    <row r="482">
      <c r="A482" s="22" t="n">
        <v>45880</v>
      </c>
      <c r="B482" s="23" t="inlineStr">
        <is>
          <t>Health &amp; Beauty</t>
        </is>
      </c>
      <c r="C482" s="23" t="inlineStr">
        <is>
          <t>Actual</t>
        </is>
      </c>
      <c r="D482" s="24" t="n">
        <v>327.51</v>
      </c>
      <c r="E482" s="24" t="n"/>
      <c r="F482" s="24" t="n"/>
    </row>
    <row r="483">
      <c r="A483" s="22" t="n">
        <v>45880</v>
      </c>
      <c r="B483" s="23" t="inlineStr">
        <is>
          <t>Household</t>
        </is>
      </c>
      <c r="C483" s="23" t="inlineStr">
        <is>
          <t>Actual</t>
        </is>
      </c>
      <c r="D483" s="24" t="n">
        <v>584.27</v>
      </c>
      <c r="E483" s="24" t="n"/>
      <c r="F483" s="24" t="n"/>
    </row>
    <row r="484">
      <c r="A484" s="22" t="n">
        <v>45880</v>
      </c>
      <c r="B484" s="23" t="inlineStr">
        <is>
          <t>Produce</t>
        </is>
      </c>
      <c r="C484" s="23" t="inlineStr">
        <is>
          <t>Actual</t>
        </is>
      </c>
      <c r="D484" s="24" t="n">
        <v>407.65</v>
      </c>
      <c r="E484" s="24" t="n"/>
      <c r="F484" s="24" t="n"/>
    </row>
    <row r="485">
      <c r="A485" s="22" t="n">
        <v>45880</v>
      </c>
      <c r="B485" s="23" t="inlineStr">
        <is>
          <t>Snacks &amp; Confectionery</t>
        </is>
      </c>
      <c r="C485" s="23" t="inlineStr">
        <is>
          <t>Actual</t>
        </is>
      </c>
      <c r="D485" s="24" t="n">
        <v>1910.51</v>
      </c>
      <c r="E485" s="24" t="n"/>
      <c r="F485" s="24" t="n"/>
    </row>
    <row r="486">
      <c r="A486" s="22" t="n">
        <v>45887</v>
      </c>
      <c r="B486" s="23" t="inlineStr">
        <is>
          <t>Bakery</t>
        </is>
      </c>
      <c r="C486" s="23" t="inlineStr">
        <is>
          <t>Actual</t>
        </is>
      </c>
      <c r="D486" s="24" t="n">
        <v>1021.42</v>
      </c>
      <c r="E486" s="24" t="n"/>
      <c r="F486" s="24" t="n"/>
    </row>
    <row r="487">
      <c r="A487" s="22" t="n">
        <v>45887</v>
      </c>
      <c r="B487" s="23" t="inlineStr">
        <is>
          <t>Beer &amp; Wine</t>
        </is>
      </c>
      <c r="C487" s="23" t="inlineStr">
        <is>
          <t>Actual</t>
        </is>
      </c>
      <c r="D487" s="24" t="n">
        <v>1827.08</v>
      </c>
      <c r="E487" s="24" t="n"/>
      <c r="F487" s="24" t="n"/>
    </row>
    <row r="488">
      <c r="A488" s="22" t="n">
        <v>45887</v>
      </c>
      <c r="B488" s="23" t="inlineStr">
        <is>
          <t>Beverages</t>
        </is>
      </c>
      <c r="C488" s="23" t="inlineStr">
        <is>
          <t>Actual</t>
        </is>
      </c>
      <c r="D488" s="24" t="n">
        <v>2205.06</v>
      </c>
      <c r="E488" s="24" t="n"/>
      <c r="F488" s="24" t="n"/>
    </row>
    <row r="489">
      <c r="A489" s="22" t="n">
        <v>45887</v>
      </c>
      <c r="B489" s="23" t="inlineStr">
        <is>
          <t>Dairy</t>
        </is>
      </c>
      <c r="C489" s="23" t="inlineStr">
        <is>
          <t>Actual</t>
        </is>
      </c>
      <c r="D489" s="24" t="n">
        <v>2926.43</v>
      </c>
      <c r="E489" s="24" t="n"/>
      <c r="F489" s="24" t="n"/>
    </row>
    <row r="490">
      <c r="A490" s="22" t="n">
        <v>45887</v>
      </c>
      <c r="B490" s="23" t="inlineStr">
        <is>
          <t>Food To Go</t>
        </is>
      </c>
      <c r="C490" s="23" t="inlineStr">
        <is>
          <t>Actual</t>
        </is>
      </c>
      <c r="D490" s="24" t="n">
        <v>3381.49</v>
      </c>
      <c r="E490" s="24" t="n"/>
      <c r="F490" s="24" t="n"/>
    </row>
    <row r="491">
      <c r="A491" s="22" t="n">
        <v>45887</v>
      </c>
      <c r="B491" s="23" t="inlineStr">
        <is>
          <t>Frozen</t>
        </is>
      </c>
      <c r="C491" s="23" t="inlineStr">
        <is>
          <t>Actual</t>
        </is>
      </c>
      <c r="D491" s="24" t="n">
        <v>1198.41</v>
      </c>
      <c r="E491" s="24" t="n"/>
      <c r="F491" s="24" t="n"/>
    </row>
    <row r="492">
      <c r="A492" s="22" t="n">
        <v>45887</v>
      </c>
      <c r="B492" s="23" t="inlineStr">
        <is>
          <t>Grocery</t>
        </is>
      </c>
      <c r="C492" s="23" t="inlineStr">
        <is>
          <t>Actual</t>
        </is>
      </c>
      <c r="D492" s="24" t="n">
        <v>2205.57</v>
      </c>
      <c r="E492" s="24" t="n"/>
      <c r="F492" s="24" t="n"/>
    </row>
    <row r="493">
      <c r="A493" s="22" t="n">
        <v>45887</v>
      </c>
      <c r="B493" s="23" t="inlineStr">
        <is>
          <t>Health &amp; Beauty</t>
        </is>
      </c>
      <c r="C493" s="23" t="inlineStr">
        <is>
          <t>Actual</t>
        </is>
      </c>
      <c r="D493" s="24" t="n">
        <v>386.33</v>
      </c>
      <c r="E493" s="24" t="n"/>
      <c r="F493" s="24" t="n"/>
    </row>
    <row r="494">
      <c r="A494" s="22" t="n">
        <v>45887</v>
      </c>
      <c r="B494" s="23" t="inlineStr">
        <is>
          <t>Household</t>
        </is>
      </c>
      <c r="C494" s="23" t="inlineStr">
        <is>
          <t>Actual</t>
        </is>
      </c>
      <c r="D494" s="24" t="n">
        <v>496.39</v>
      </c>
      <c r="E494" s="24" t="n"/>
      <c r="F494" s="24" t="n"/>
    </row>
    <row r="495">
      <c r="A495" s="22" t="n">
        <v>45887</v>
      </c>
      <c r="B495" s="23" t="inlineStr">
        <is>
          <t>Produce</t>
        </is>
      </c>
      <c r="C495" s="23" t="inlineStr">
        <is>
          <t>Actual</t>
        </is>
      </c>
      <c r="D495" s="24" t="n">
        <v>345.77</v>
      </c>
      <c r="E495" s="24" t="n"/>
      <c r="F495" s="24" t="n"/>
    </row>
    <row r="496">
      <c r="A496" s="22" t="n">
        <v>45887</v>
      </c>
      <c r="B496" s="23" t="inlineStr">
        <is>
          <t>Snacks &amp; Confectionery</t>
        </is>
      </c>
      <c r="C496" s="23" t="inlineStr">
        <is>
          <t>Actual</t>
        </is>
      </c>
      <c r="D496" s="24" t="n">
        <v>2014.17</v>
      </c>
      <c r="E496" s="24" t="n"/>
      <c r="F496" s="24" t="n"/>
    </row>
    <row r="497">
      <c r="A497" s="22" t="n">
        <v>45894</v>
      </c>
      <c r="B497" s="23" t="inlineStr">
        <is>
          <t>Bakery</t>
        </is>
      </c>
      <c r="C497" s="23" t="inlineStr">
        <is>
          <t>Actual</t>
        </is>
      </c>
      <c r="D497" s="24" t="n">
        <v>1355.26</v>
      </c>
      <c r="E497" s="24" t="n"/>
      <c r="F497" s="24" t="n"/>
    </row>
    <row r="498">
      <c r="A498" s="22" t="n">
        <v>45894</v>
      </c>
      <c r="B498" s="23" t="inlineStr">
        <is>
          <t>Beer &amp; Wine</t>
        </is>
      </c>
      <c r="C498" s="23" t="inlineStr">
        <is>
          <t>Actual</t>
        </is>
      </c>
      <c r="D498" s="24" t="n">
        <v>2268.84</v>
      </c>
      <c r="E498" s="24" t="n"/>
      <c r="F498" s="24" t="n"/>
    </row>
    <row r="499">
      <c r="A499" s="22" t="n">
        <v>45894</v>
      </c>
      <c r="B499" s="23" t="inlineStr">
        <is>
          <t>Beverages</t>
        </is>
      </c>
      <c r="C499" s="23" t="inlineStr">
        <is>
          <t>Actual</t>
        </is>
      </c>
      <c r="D499" s="24" t="n">
        <v>2338.74</v>
      </c>
      <c r="E499" s="24" t="n"/>
      <c r="F499" s="24" t="n"/>
    </row>
    <row r="500">
      <c r="A500" s="22" t="n">
        <v>45894</v>
      </c>
      <c r="B500" s="23" t="inlineStr">
        <is>
          <t>Dairy</t>
        </is>
      </c>
      <c r="C500" s="23" t="inlineStr">
        <is>
          <t>Actual</t>
        </is>
      </c>
      <c r="D500" s="24" t="n">
        <v>2899.84</v>
      </c>
      <c r="E500" s="24" t="n"/>
      <c r="F500" s="24" t="n"/>
    </row>
    <row r="501">
      <c r="A501" s="22" t="n">
        <v>45894</v>
      </c>
      <c r="B501" s="23" t="inlineStr">
        <is>
          <t>Food To Go</t>
        </is>
      </c>
      <c r="C501" s="23" t="inlineStr">
        <is>
          <t>Actual</t>
        </is>
      </c>
      <c r="D501" s="24" t="n">
        <v>3403.9</v>
      </c>
      <c r="E501" s="24" t="n"/>
      <c r="F501" s="24" t="n"/>
    </row>
    <row r="502">
      <c r="A502" s="22" t="n">
        <v>45894</v>
      </c>
      <c r="B502" s="23" t="inlineStr">
        <is>
          <t>Frozen</t>
        </is>
      </c>
      <c r="C502" s="23" t="inlineStr">
        <is>
          <t>Actual</t>
        </is>
      </c>
      <c r="D502" s="24" t="n">
        <v>1066.51</v>
      </c>
      <c r="E502" s="24" t="n"/>
      <c r="F502" s="24" t="n"/>
    </row>
    <row r="503">
      <c r="A503" s="22" t="n">
        <v>45894</v>
      </c>
      <c r="B503" s="23" t="inlineStr">
        <is>
          <t>Grocery</t>
        </is>
      </c>
      <c r="C503" s="23" t="inlineStr">
        <is>
          <t>Actual</t>
        </is>
      </c>
      <c r="D503" s="24" t="n">
        <v>1923.77</v>
      </c>
      <c r="E503" s="24" t="n"/>
      <c r="F503" s="24" t="n"/>
    </row>
    <row r="504">
      <c r="A504" s="22" t="n">
        <v>45894</v>
      </c>
      <c r="B504" s="23" t="inlineStr">
        <is>
          <t>Health &amp; Beauty</t>
        </is>
      </c>
      <c r="C504" s="23" t="inlineStr">
        <is>
          <t>Actual</t>
        </is>
      </c>
      <c r="D504" s="24" t="n">
        <v>206.62</v>
      </c>
      <c r="E504" s="24" t="n"/>
      <c r="F504" s="24" t="n"/>
    </row>
    <row r="505">
      <c r="A505" s="22" t="n">
        <v>45894</v>
      </c>
      <c r="B505" s="23" t="inlineStr">
        <is>
          <t>Household</t>
        </is>
      </c>
      <c r="C505" s="23" t="inlineStr">
        <is>
          <t>Actual</t>
        </is>
      </c>
      <c r="D505" s="24" t="n">
        <v>515.54</v>
      </c>
      <c r="E505" s="24" t="n"/>
      <c r="F505" s="24" t="n"/>
    </row>
    <row r="506">
      <c r="A506" s="22" t="n">
        <v>45894</v>
      </c>
      <c r="B506" s="23" t="inlineStr">
        <is>
          <t>Produce</t>
        </is>
      </c>
      <c r="C506" s="23" t="inlineStr">
        <is>
          <t>Actual</t>
        </is>
      </c>
      <c r="D506" s="24" t="n">
        <v>327.79</v>
      </c>
      <c r="E506" s="24" t="n"/>
      <c r="F506" s="24" t="n"/>
    </row>
    <row r="507">
      <c r="A507" s="22" t="n">
        <v>45894</v>
      </c>
      <c r="B507" s="23" t="inlineStr">
        <is>
          <t>Snacks &amp; Confectionery</t>
        </is>
      </c>
      <c r="C507" s="23" t="inlineStr">
        <is>
          <t>Actual</t>
        </is>
      </c>
      <c r="D507" s="24" t="n">
        <v>1900.43</v>
      </c>
      <c r="E507" s="24" t="n"/>
      <c r="F507" s="24" t="n"/>
    </row>
    <row r="508">
      <c r="A508" s="22" t="n">
        <v>45901</v>
      </c>
      <c r="B508" s="23" t="inlineStr">
        <is>
          <t>Bakery</t>
        </is>
      </c>
      <c r="C508" s="23" t="inlineStr">
        <is>
          <t>Actual</t>
        </is>
      </c>
      <c r="D508" s="24" t="n">
        <v>1055.9</v>
      </c>
      <c r="E508" s="24" t="n"/>
      <c r="F508" s="24" t="n"/>
    </row>
    <row r="509">
      <c r="A509" s="22" t="n">
        <v>45901</v>
      </c>
      <c r="B509" s="23" t="inlineStr">
        <is>
          <t>Beer &amp; Wine</t>
        </is>
      </c>
      <c r="C509" s="23" t="inlineStr">
        <is>
          <t>Actual</t>
        </is>
      </c>
      <c r="D509" s="24" t="n">
        <v>1775.06</v>
      </c>
      <c r="E509" s="24" t="n"/>
      <c r="F509" s="24" t="n"/>
    </row>
    <row r="510">
      <c r="A510" s="22" t="n">
        <v>45901</v>
      </c>
      <c r="B510" s="23" t="inlineStr">
        <is>
          <t>Beverages</t>
        </is>
      </c>
      <c r="C510" s="23" t="inlineStr">
        <is>
          <t>Actual</t>
        </is>
      </c>
      <c r="D510" s="24" t="n">
        <v>2434.05</v>
      </c>
      <c r="E510" s="24" t="n"/>
      <c r="F510" s="24" t="n"/>
    </row>
    <row r="511">
      <c r="A511" s="22" t="n">
        <v>45901</v>
      </c>
      <c r="B511" s="23" t="inlineStr">
        <is>
          <t>Dairy</t>
        </is>
      </c>
      <c r="C511" s="23" t="inlineStr">
        <is>
          <t>Actual</t>
        </is>
      </c>
      <c r="D511" s="24" t="n">
        <v>2997.1</v>
      </c>
      <c r="E511" s="24" t="n"/>
      <c r="F511" s="24" t="n"/>
    </row>
    <row r="512">
      <c r="A512" s="22" t="n">
        <v>45901</v>
      </c>
      <c r="B512" s="23" t="inlineStr">
        <is>
          <t>Food To Go</t>
        </is>
      </c>
      <c r="C512" s="23" t="inlineStr">
        <is>
          <t>Actual</t>
        </is>
      </c>
      <c r="D512" s="24" t="n">
        <v>3355.6</v>
      </c>
      <c r="E512" s="24" t="n"/>
      <c r="F512" s="24" t="n"/>
    </row>
    <row r="513">
      <c r="A513" s="22" t="n">
        <v>45901</v>
      </c>
      <c r="B513" s="23" t="inlineStr">
        <is>
          <t>Frozen</t>
        </is>
      </c>
      <c r="C513" s="23" t="inlineStr">
        <is>
          <t>Actual</t>
        </is>
      </c>
      <c r="D513" s="24" t="n">
        <v>1401.48</v>
      </c>
      <c r="E513" s="24" t="n"/>
      <c r="F513" s="24" t="n"/>
    </row>
    <row r="514">
      <c r="A514" s="22" t="n">
        <v>45901</v>
      </c>
      <c r="B514" s="23" t="inlineStr">
        <is>
          <t>Grocery</t>
        </is>
      </c>
      <c r="C514" s="23" t="inlineStr">
        <is>
          <t>Actual</t>
        </is>
      </c>
      <c r="D514" s="24" t="n">
        <v>2026.35</v>
      </c>
      <c r="E514" s="24" t="n"/>
      <c r="F514" s="24" t="n"/>
    </row>
    <row r="515">
      <c r="A515" s="22" t="n">
        <v>45901</v>
      </c>
      <c r="B515" s="23" t="inlineStr">
        <is>
          <t>Health &amp; Beauty</t>
        </is>
      </c>
      <c r="C515" s="23" t="inlineStr">
        <is>
          <t>Actual</t>
        </is>
      </c>
      <c r="D515" s="24" t="n">
        <v>205.65</v>
      </c>
      <c r="E515" s="24" t="n"/>
      <c r="F515" s="24" t="n"/>
    </row>
    <row r="516">
      <c r="A516" s="22" t="n">
        <v>45901</v>
      </c>
      <c r="B516" s="23" t="inlineStr">
        <is>
          <t>Household</t>
        </is>
      </c>
      <c r="C516" s="23" t="inlineStr">
        <is>
          <t>Actual</t>
        </is>
      </c>
      <c r="D516" s="24" t="n">
        <v>464.83</v>
      </c>
      <c r="E516" s="24" t="n"/>
      <c r="F516" s="24" t="n"/>
    </row>
    <row r="517">
      <c r="A517" s="22" t="n">
        <v>45901</v>
      </c>
      <c r="B517" s="23" t="inlineStr">
        <is>
          <t>Produce</t>
        </is>
      </c>
      <c r="C517" s="23" t="inlineStr">
        <is>
          <t>Actual</t>
        </is>
      </c>
      <c r="D517" s="24" t="n">
        <v>358.08</v>
      </c>
      <c r="E517" s="24" t="n"/>
      <c r="F517" s="24" t="n"/>
    </row>
    <row r="518">
      <c r="A518" s="22" t="n">
        <v>45901</v>
      </c>
      <c r="B518" s="23" t="inlineStr">
        <is>
          <t>Snacks &amp; Confectionery</t>
        </is>
      </c>
      <c r="C518" s="23" t="inlineStr">
        <is>
          <t>Actual</t>
        </is>
      </c>
      <c r="D518" s="24" t="n">
        <v>2075.97</v>
      </c>
      <c r="E518" s="24" t="n"/>
      <c r="F518" s="24" t="n"/>
    </row>
    <row r="519">
      <c r="A519" s="22" t="n">
        <v>45908</v>
      </c>
      <c r="B519" s="23" t="inlineStr">
        <is>
          <t>Bakery</t>
        </is>
      </c>
      <c r="C519" s="23" t="inlineStr">
        <is>
          <t>Actual</t>
        </is>
      </c>
      <c r="D519" s="24" t="n">
        <v>1075.4</v>
      </c>
      <c r="E519" s="24" t="n"/>
      <c r="F519" s="24" t="n"/>
    </row>
    <row r="520">
      <c r="A520" s="22" t="n">
        <v>45908</v>
      </c>
      <c r="B520" s="23" t="inlineStr">
        <is>
          <t>Beer &amp; Wine</t>
        </is>
      </c>
      <c r="C520" s="23" t="inlineStr">
        <is>
          <t>Actual</t>
        </is>
      </c>
      <c r="D520" s="24" t="n">
        <v>2158.89</v>
      </c>
      <c r="E520" s="24" t="n"/>
      <c r="F520" s="24" t="n"/>
    </row>
    <row r="521">
      <c r="A521" s="22" t="n">
        <v>45908</v>
      </c>
      <c r="B521" s="23" t="inlineStr">
        <is>
          <t>Beverages</t>
        </is>
      </c>
      <c r="C521" s="23" t="inlineStr">
        <is>
          <t>Actual</t>
        </is>
      </c>
      <c r="D521" s="24" t="n">
        <v>2491.43</v>
      </c>
      <c r="E521" s="24" t="n"/>
      <c r="F521" s="24" t="n"/>
    </row>
    <row r="522">
      <c r="A522" s="22" t="n">
        <v>45908</v>
      </c>
      <c r="B522" s="23" t="inlineStr">
        <is>
          <t>Dairy</t>
        </is>
      </c>
      <c r="C522" s="23" t="inlineStr">
        <is>
          <t>Actual</t>
        </is>
      </c>
      <c r="D522" s="24" t="n">
        <v>3413.22</v>
      </c>
      <c r="E522" s="24" t="n"/>
      <c r="F522" s="24" t="n"/>
    </row>
    <row r="523">
      <c r="A523" s="22" t="n">
        <v>45908</v>
      </c>
      <c r="B523" s="23" t="inlineStr">
        <is>
          <t>Food To Go</t>
        </is>
      </c>
      <c r="C523" s="23" t="inlineStr">
        <is>
          <t>Actual</t>
        </is>
      </c>
      <c r="D523" s="24" t="n">
        <v>3283.03</v>
      </c>
      <c r="E523" s="24" t="n"/>
      <c r="F523" s="24" t="n"/>
    </row>
    <row r="524">
      <c r="A524" s="22" t="n">
        <v>45908</v>
      </c>
      <c r="B524" s="23" t="inlineStr">
        <is>
          <t>Frozen</t>
        </is>
      </c>
      <c r="C524" s="23" t="inlineStr">
        <is>
          <t>Actual</t>
        </is>
      </c>
      <c r="D524" s="24" t="n">
        <v>1073.9</v>
      </c>
      <c r="E524" s="24" t="n"/>
      <c r="F524" s="24" t="n"/>
    </row>
    <row r="525">
      <c r="A525" s="22" t="n">
        <v>45908</v>
      </c>
      <c r="B525" s="23" t="inlineStr">
        <is>
          <t>Grocery</t>
        </is>
      </c>
      <c r="C525" s="23" t="inlineStr">
        <is>
          <t>Actual</t>
        </is>
      </c>
      <c r="D525" s="24" t="n">
        <v>2058.71</v>
      </c>
      <c r="E525" s="24" t="n"/>
      <c r="F525" s="24" t="n"/>
    </row>
    <row r="526">
      <c r="A526" s="22" t="n">
        <v>45908</v>
      </c>
      <c r="B526" s="23" t="inlineStr">
        <is>
          <t>Health &amp; Beauty</t>
        </is>
      </c>
      <c r="C526" s="23" t="inlineStr">
        <is>
          <t>Actual</t>
        </is>
      </c>
      <c r="D526" s="24" t="n">
        <v>386.39</v>
      </c>
      <c r="E526" s="24" t="n"/>
      <c r="F526" s="24" t="n"/>
    </row>
    <row r="527">
      <c r="A527" s="22" t="n">
        <v>45908</v>
      </c>
      <c r="B527" s="23" t="inlineStr">
        <is>
          <t>Household</t>
        </is>
      </c>
      <c r="C527" s="23" t="inlineStr">
        <is>
          <t>Actual</t>
        </is>
      </c>
      <c r="D527" s="24" t="n">
        <v>490.41</v>
      </c>
      <c r="E527" s="24" t="n"/>
      <c r="F527" s="24" t="n"/>
    </row>
    <row r="528">
      <c r="A528" s="22" t="n">
        <v>45908</v>
      </c>
      <c r="B528" s="23" t="inlineStr">
        <is>
          <t>Produce</t>
        </is>
      </c>
      <c r="C528" s="23" t="inlineStr">
        <is>
          <t>Actual</t>
        </is>
      </c>
      <c r="D528" s="24" t="n">
        <v>310.58</v>
      </c>
      <c r="E528" s="24" t="n"/>
      <c r="F528" s="24" t="n"/>
    </row>
    <row r="529">
      <c r="A529" s="22" t="n">
        <v>45908</v>
      </c>
      <c r="B529" s="23" t="inlineStr">
        <is>
          <t>Snacks &amp; Confectionery</t>
        </is>
      </c>
      <c r="C529" s="23" t="inlineStr">
        <is>
          <t>Actual</t>
        </is>
      </c>
      <c r="D529" s="24" t="n">
        <v>1818.61</v>
      </c>
      <c r="E529" s="24" t="n"/>
      <c r="F529" s="24" t="n"/>
    </row>
    <row r="530">
      <c r="A530" s="22" t="n">
        <v>45915</v>
      </c>
      <c r="B530" s="23" t="inlineStr">
        <is>
          <t>Bakery</t>
        </is>
      </c>
      <c r="C530" s="23" t="inlineStr">
        <is>
          <t>Actual</t>
        </is>
      </c>
      <c r="D530" s="24" t="n">
        <v>1046.13</v>
      </c>
      <c r="E530" s="24" t="n"/>
      <c r="F530" s="24" t="n"/>
    </row>
    <row r="531">
      <c r="A531" s="22" t="n">
        <v>45915</v>
      </c>
      <c r="B531" s="23" t="inlineStr">
        <is>
          <t>Beer &amp; Wine</t>
        </is>
      </c>
      <c r="C531" s="23" t="inlineStr">
        <is>
          <t>Actual</t>
        </is>
      </c>
      <c r="D531" s="24" t="n">
        <v>2342.97</v>
      </c>
      <c r="E531" s="24" t="n"/>
      <c r="F531" s="24" t="n"/>
    </row>
    <row r="532">
      <c r="A532" s="22" t="n">
        <v>45915</v>
      </c>
      <c r="B532" s="23" t="inlineStr">
        <is>
          <t>Beverages</t>
        </is>
      </c>
      <c r="C532" s="23" t="inlineStr">
        <is>
          <t>Actual</t>
        </is>
      </c>
      <c r="D532" s="24" t="n">
        <v>2543.91</v>
      </c>
      <c r="E532" s="24" t="n"/>
      <c r="F532" s="24" t="n"/>
    </row>
    <row r="533">
      <c r="A533" s="22" t="n">
        <v>45915</v>
      </c>
      <c r="B533" s="23" t="inlineStr">
        <is>
          <t>Dairy</t>
        </is>
      </c>
      <c r="C533" s="23" t="inlineStr">
        <is>
          <t>Actual</t>
        </is>
      </c>
      <c r="D533" s="24" t="n">
        <v>3096.21</v>
      </c>
      <c r="E533" s="24" t="n"/>
      <c r="F533" s="24" t="n"/>
    </row>
    <row r="534">
      <c r="A534" s="22" t="n">
        <v>45915</v>
      </c>
      <c r="B534" s="23" t="inlineStr">
        <is>
          <t>Food To Go</t>
        </is>
      </c>
      <c r="C534" s="23" t="inlineStr">
        <is>
          <t>Actual</t>
        </is>
      </c>
      <c r="D534" s="24" t="n">
        <v>3178.8</v>
      </c>
      <c r="E534" s="24" t="n"/>
      <c r="F534" s="24" t="n"/>
    </row>
    <row r="535">
      <c r="A535" s="22" t="n">
        <v>45915</v>
      </c>
      <c r="B535" s="23" t="inlineStr">
        <is>
          <t>Frozen</t>
        </is>
      </c>
      <c r="C535" s="23" t="inlineStr">
        <is>
          <t>Actual</t>
        </is>
      </c>
      <c r="D535" s="24" t="n">
        <v>1375.18</v>
      </c>
      <c r="E535" s="24" t="n"/>
      <c r="F535" s="24" t="n"/>
    </row>
    <row r="536">
      <c r="A536" s="22" t="n">
        <v>45915</v>
      </c>
      <c r="B536" s="23" t="inlineStr">
        <is>
          <t>Grocery</t>
        </is>
      </c>
      <c r="C536" s="23" t="inlineStr">
        <is>
          <t>Actual</t>
        </is>
      </c>
      <c r="D536" s="24" t="n">
        <v>1926.73</v>
      </c>
      <c r="E536" s="24" t="n"/>
      <c r="F536" s="24" t="n"/>
    </row>
    <row r="537">
      <c r="A537" s="22" t="n">
        <v>45915</v>
      </c>
      <c r="B537" s="23" t="inlineStr">
        <is>
          <t>Health &amp; Beauty</t>
        </is>
      </c>
      <c r="C537" s="23" t="inlineStr">
        <is>
          <t>Actual</t>
        </is>
      </c>
      <c r="D537" s="24" t="n">
        <v>318.56</v>
      </c>
      <c r="E537" s="24" t="n"/>
      <c r="F537" s="24" t="n"/>
    </row>
    <row r="538">
      <c r="A538" s="22" t="n">
        <v>45915</v>
      </c>
      <c r="B538" s="23" t="inlineStr">
        <is>
          <t>Household</t>
        </is>
      </c>
      <c r="C538" s="23" t="inlineStr">
        <is>
          <t>Actual</t>
        </is>
      </c>
      <c r="D538" s="24" t="n">
        <v>401.48</v>
      </c>
      <c r="E538" s="24" t="n"/>
      <c r="F538" s="24" t="n"/>
    </row>
    <row r="539">
      <c r="A539" s="22" t="n">
        <v>45915</v>
      </c>
      <c r="B539" s="23" t="inlineStr">
        <is>
          <t>Produce</t>
        </is>
      </c>
      <c r="C539" s="23" t="inlineStr">
        <is>
          <t>Actual</t>
        </is>
      </c>
      <c r="D539" s="24" t="n">
        <v>396.92</v>
      </c>
      <c r="E539" s="24" t="n"/>
      <c r="F539" s="24" t="n"/>
    </row>
    <row r="540">
      <c r="A540" s="22" t="n">
        <v>45915</v>
      </c>
      <c r="B540" s="23" t="inlineStr">
        <is>
          <t>Snacks &amp; Confectionery</t>
        </is>
      </c>
      <c r="C540" s="23" t="inlineStr">
        <is>
          <t>Actual</t>
        </is>
      </c>
      <c r="D540" s="24" t="n">
        <v>1739.8</v>
      </c>
      <c r="E540" s="24" t="n"/>
      <c r="F540" s="24" t="n"/>
    </row>
    <row r="541">
      <c r="A541" s="22" t="n">
        <v>45922</v>
      </c>
      <c r="B541" s="23" t="inlineStr">
        <is>
          <t>Bakery</t>
        </is>
      </c>
      <c r="C541" s="23" t="inlineStr">
        <is>
          <t>Actual</t>
        </is>
      </c>
      <c r="D541" s="24" t="n">
        <v>1188.54</v>
      </c>
      <c r="E541" s="24" t="n"/>
      <c r="F541" s="24" t="n"/>
    </row>
    <row r="542">
      <c r="A542" s="22" t="n">
        <v>45922</v>
      </c>
      <c r="B542" s="23" t="inlineStr">
        <is>
          <t>Beer &amp; Wine</t>
        </is>
      </c>
      <c r="C542" s="23" t="inlineStr">
        <is>
          <t>Actual</t>
        </is>
      </c>
      <c r="D542" s="24" t="n">
        <v>2115.88</v>
      </c>
      <c r="E542" s="24" t="n"/>
      <c r="F542" s="24" t="n"/>
    </row>
    <row r="543">
      <c r="A543" s="22" t="n">
        <v>45922</v>
      </c>
      <c r="B543" s="23" t="inlineStr">
        <is>
          <t>Beverages</t>
        </is>
      </c>
      <c r="C543" s="23" t="inlineStr">
        <is>
          <t>Actual</t>
        </is>
      </c>
      <c r="D543" s="24" t="n">
        <v>2524</v>
      </c>
      <c r="E543" s="24" t="n"/>
      <c r="F543" s="24" t="n"/>
    </row>
    <row r="544">
      <c r="A544" s="22" t="n">
        <v>45922</v>
      </c>
      <c r="B544" s="23" t="inlineStr">
        <is>
          <t>Dairy</t>
        </is>
      </c>
      <c r="C544" s="23" t="inlineStr">
        <is>
          <t>Actual</t>
        </is>
      </c>
      <c r="D544" s="24" t="n">
        <v>3021.72</v>
      </c>
      <c r="E544" s="24" t="n"/>
      <c r="F544" s="24" t="n"/>
    </row>
    <row r="545">
      <c r="A545" s="22" t="n">
        <v>45922</v>
      </c>
      <c r="B545" s="23" t="inlineStr">
        <is>
          <t>Food To Go</t>
        </is>
      </c>
      <c r="C545" s="23" t="inlineStr">
        <is>
          <t>Actual</t>
        </is>
      </c>
      <c r="D545" s="24" t="n">
        <v>3243.24</v>
      </c>
      <c r="E545" s="24" t="n"/>
      <c r="F545" s="24" t="n"/>
    </row>
    <row r="546">
      <c r="A546" s="22" t="n">
        <v>45922</v>
      </c>
      <c r="B546" s="23" t="inlineStr">
        <is>
          <t>Frozen</t>
        </is>
      </c>
      <c r="C546" s="23" t="inlineStr">
        <is>
          <t>Actual</t>
        </is>
      </c>
      <c r="D546" s="24" t="n">
        <v>1223.22</v>
      </c>
      <c r="E546" s="24" t="n"/>
      <c r="F546" s="24" t="n"/>
    </row>
    <row r="547">
      <c r="A547" s="22" t="n">
        <v>45922</v>
      </c>
      <c r="B547" s="23" t="inlineStr">
        <is>
          <t>Grocery</t>
        </is>
      </c>
      <c r="C547" s="23" t="inlineStr">
        <is>
          <t>Actual</t>
        </is>
      </c>
      <c r="D547" s="24" t="n">
        <v>1805.01</v>
      </c>
      <c r="E547" s="24" t="n"/>
      <c r="F547" s="24" t="n"/>
    </row>
    <row r="548">
      <c r="A548" s="22" t="n">
        <v>45922</v>
      </c>
      <c r="B548" s="23" t="inlineStr">
        <is>
          <t>Health &amp; Beauty</t>
        </is>
      </c>
      <c r="C548" s="23" t="inlineStr">
        <is>
          <t>Actual</t>
        </is>
      </c>
      <c r="D548" s="24" t="n">
        <v>357.49</v>
      </c>
      <c r="E548" s="24" t="n"/>
      <c r="F548" s="24" t="n"/>
    </row>
    <row r="549">
      <c r="A549" s="22" t="n">
        <v>45922</v>
      </c>
      <c r="B549" s="23" t="inlineStr">
        <is>
          <t>Household</t>
        </is>
      </c>
      <c r="C549" s="23" t="inlineStr">
        <is>
          <t>Actual</t>
        </is>
      </c>
      <c r="D549" s="24" t="n">
        <v>504.39</v>
      </c>
      <c r="E549" s="24" t="n"/>
      <c r="F549" s="24" t="n"/>
    </row>
    <row r="550">
      <c r="A550" s="22" t="n">
        <v>45922</v>
      </c>
      <c r="B550" s="23" t="inlineStr">
        <is>
          <t>Produce</t>
        </is>
      </c>
      <c r="C550" s="23" t="inlineStr">
        <is>
          <t>Actual</t>
        </is>
      </c>
      <c r="D550" s="24" t="n">
        <v>403.64</v>
      </c>
      <c r="E550" s="24" t="n"/>
      <c r="F550" s="24" t="n"/>
    </row>
    <row r="551">
      <c r="A551" s="22" t="n">
        <v>45922</v>
      </c>
      <c r="B551" s="23" t="inlineStr">
        <is>
          <t>Snacks &amp; Confectionery</t>
        </is>
      </c>
      <c r="C551" s="23" t="inlineStr">
        <is>
          <t>Actual</t>
        </is>
      </c>
      <c r="D551" s="24" t="n">
        <v>1988.65</v>
      </c>
      <c r="E551" s="24" t="n"/>
      <c r="F551" s="24" t="n"/>
    </row>
    <row r="552">
      <c r="A552" s="22" t="n">
        <v>45929</v>
      </c>
      <c r="B552" s="23" t="inlineStr">
        <is>
          <t>Bakery</t>
        </is>
      </c>
      <c r="C552" s="23" t="inlineStr">
        <is>
          <t>Actual</t>
        </is>
      </c>
      <c r="D552" s="24" t="n">
        <v>1020.26</v>
      </c>
      <c r="E552" s="24" t="n"/>
      <c r="F552" s="24" t="n"/>
    </row>
    <row r="553">
      <c r="A553" s="22" t="n">
        <v>45929</v>
      </c>
      <c r="B553" s="23" t="inlineStr">
        <is>
          <t>Beer &amp; Wine</t>
        </is>
      </c>
      <c r="C553" s="23" t="inlineStr">
        <is>
          <t>Actual</t>
        </is>
      </c>
      <c r="D553" s="24" t="n">
        <v>2331.78</v>
      </c>
      <c r="E553" s="24" t="n"/>
      <c r="F553" s="24" t="n"/>
    </row>
    <row r="554">
      <c r="A554" s="22" t="n">
        <v>45929</v>
      </c>
      <c r="B554" s="23" t="inlineStr">
        <is>
          <t>Beverages</t>
        </is>
      </c>
      <c r="C554" s="23" t="inlineStr">
        <is>
          <t>Actual</t>
        </is>
      </c>
      <c r="D554" s="24" t="n">
        <v>2776.15</v>
      </c>
      <c r="E554" s="24" t="n"/>
      <c r="F554" s="24" t="n"/>
    </row>
    <row r="555">
      <c r="A555" s="22" t="n">
        <v>45929</v>
      </c>
      <c r="B555" s="23" t="inlineStr">
        <is>
          <t>Dairy</t>
        </is>
      </c>
      <c r="C555" s="23" t="inlineStr">
        <is>
          <t>Actual</t>
        </is>
      </c>
      <c r="D555" s="24" t="n">
        <v>3012.9</v>
      </c>
      <c r="E555" s="24" t="n"/>
      <c r="F555" s="24" t="n"/>
    </row>
    <row r="556">
      <c r="A556" s="22" t="n">
        <v>45929</v>
      </c>
      <c r="B556" s="23" t="inlineStr">
        <is>
          <t>Food To Go</t>
        </is>
      </c>
      <c r="C556" s="23" t="inlineStr">
        <is>
          <t>Actual</t>
        </is>
      </c>
      <c r="D556" s="24" t="n">
        <v>3381.02</v>
      </c>
      <c r="E556" s="24" t="n"/>
      <c r="F556" s="24" t="n"/>
    </row>
    <row r="557">
      <c r="A557" s="22" t="n">
        <v>45929</v>
      </c>
      <c r="B557" s="23" t="inlineStr">
        <is>
          <t>Frozen</t>
        </is>
      </c>
      <c r="C557" s="23" t="inlineStr">
        <is>
          <t>Actual</t>
        </is>
      </c>
      <c r="D557" s="24" t="n">
        <v>1242.09</v>
      </c>
      <c r="E557" s="24" t="n"/>
      <c r="F557" s="24" t="n"/>
    </row>
    <row r="558">
      <c r="A558" s="22" t="n">
        <v>45929</v>
      </c>
      <c r="B558" s="23" t="inlineStr">
        <is>
          <t>Grocery</t>
        </is>
      </c>
      <c r="C558" s="23" t="inlineStr">
        <is>
          <t>Actual</t>
        </is>
      </c>
      <c r="D558" s="24" t="n">
        <v>1902.88</v>
      </c>
      <c r="E558" s="24" t="n"/>
      <c r="F558" s="24" t="n"/>
    </row>
    <row r="559">
      <c r="A559" s="22" t="n">
        <v>45929</v>
      </c>
      <c r="B559" s="23" t="inlineStr">
        <is>
          <t>Health &amp; Beauty</t>
        </is>
      </c>
      <c r="C559" s="23" t="inlineStr">
        <is>
          <t>Actual</t>
        </is>
      </c>
      <c r="D559" s="24" t="n">
        <v>256.66</v>
      </c>
      <c r="E559" s="24" t="n"/>
      <c r="F559" s="24" t="n"/>
    </row>
    <row r="560">
      <c r="A560" s="22" t="n">
        <v>45929</v>
      </c>
      <c r="B560" s="23" t="inlineStr">
        <is>
          <t>Household</t>
        </is>
      </c>
      <c r="C560" s="23" t="inlineStr">
        <is>
          <t>Actual</t>
        </is>
      </c>
      <c r="D560" s="24" t="n">
        <v>558.27</v>
      </c>
      <c r="E560" s="24" t="n"/>
      <c r="F560" s="24" t="n"/>
    </row>
    <row r="561">
      <c r="A561" s="22" t="n">
        <v>45929</v>
      </c>
      <c r="B561" s="23" t="inlineStr">
        <is>
          <t>Produce</t>
        </is>
      </c>
      <c r="C561" s="23" t="inlineStr">
        <is>
          <t>Actual</t>
        </is>
      </c>
      <c r="D561" s="24" t="n">
        <v>379.88</v>
      </c>
      <c r="E561" s="24" t="n"/>
      <c r="F561" s="24" t="n"/>
    </row>
    <row r="562">
      <c r="A562" s="22" t="n">
        <v>45929</v>
      </c>
      <c r="B562" s="23" t="inlineStr">
        <is>
          <t>Snacks &amp; Confectionery</t>
        </is>
      </c>
      <c r="C562" s="23" t="inlineStr">
        <is>
          <t>Actual</t>
        </is>
      </c>
      <c r="D562" s="24" t="n">
        <v>2001.55</v>
      </c>
      <c r="E562" s="24" t="n"/>
      <c r="F562" s="24" t="n"/>
    </row>
    <row r="563">
      <c r="A563" s="22" t="n">
        <v>45936</v>
      </c>
      <c r="B563" s="23" t="inlineStr">
        <is>
          <t>Bakery</t>
        </is>
      </c>
      <c r="C563" s="23" t="inlineStr">
        <is>
          <t>Actual</t>
        </is>
      </c>
      <c r="D563" s="24" t="n">
        <v>1049.42</v>
      </c>
      <c r="E563" s="24" t="n"/>
      <c r="F563" s="24" t="n"/>
    </row>
    <row r="564">
      <c r="A564" s="22" t="n">
        <v>45936</v>
      </c>
      <c r="B564" s="23" t="inlineStr">
        <is>
          <t>Beer &amp; Wine</t>
        </is>
      </c>
      <c r="C564" s="23" t="inlineStr">
        <is>
          <t>Actual</t>
        </is>
      </c>
      <c r="D564" s="24" t="n">
        <v>2375.76</v>
      </c>
      <c r="E564" s="24" t="n"/>
      <c r="F564" s="24" t="n"/>
    </row>
    <row r="565">
      <c r="A565" s="22" t="n">
        <v>45936</v>
      </c>
      <c r="B565" s="23" t="inlineStr">
        <is>
          <t>Beverages</t>
        </is>
      </c>
      <c r="C565" s="23" t="inlineStr">
        <is>
          <t>Actual</t>
        </is>
      </c>
      <c r="D565" s="24" t="n">
        <v>2775.9</v>
      </c>
      <c r="E565" s="24" t="n"/>
      <c r="F565" s="24" t="n"/>
    </row>
    <row r="566">
      <c r="A566" s="22" t="n">
        <v>45936</v>
      </c>
      <c r="B566" s="23" t="inlineStr">
        <is>
          <t>Dairy</t>
        </is>
      </c>
      <c r="C566" s="23" t="inlineStr">
        <is>
          <t>Actual</t>
        </is>
      </c>
      <c r="D566" s="24" t="n">
        <v>3198.43</v>
      </c>
      <c r="E566" s="24" t="n"/>
      <c r="F566" s="24" t="n"/>
    </row>
    <row r="567">
      <c r="A567" s="22" t="n">
        <v>45936</v>
      </c>
      <c r="B567" s="23" t="inlineStr">
        <is>
          <t>Food To Go</t>
        </is>
      </c>
      <c r="C567" s="23" t="inlineStr">
        <is>
          <t>Actual</t>
        </is>
      </c>
      <c r="D567" s="24" t="n">
        <v>3603.72</v>
      </c>
      <c r="E567" s="24" t="n"/>
      <c r="F567" s="24" t="n"/>
    </row>
    <row r="568">
      <c r="A568" s="22" t="n">
        <v>45936</v>
      </c>
      <c r="B568" s="23" t="inlineStr">
        <is>
          <t>Frozen</t>
        </is>
      </c>
      <c r="C568" s="23" t="inlineStr">
        <is>
          <t>Actual</t>
        </is>
      </c>
      <c r="D568" s="24" t="n">
        <v>1342.1</v>
      </c>
      <c r="E568" s="24" t="n"/>
      <c r="F568" s="24" t="n"/>
    </row>
    <row r="569">
      <c r="A569" s="22" t="n">
        <v>45936</v>
      </c>
      <c r="B569" s="23" t="inlineStr">
        <is>
          <t>Grocery</t>
        </is>
      </c>
      <c r="C569" s="23" t="inlineStr">
        <is>
          <t>Actual</t>
        </is>
      </c>
      <c r="D569" s="24" t="n">
        <v>2092.79</v>
      </c>
      <c r="E569" s="24" t="n"/>
      <c r="F569" s="24" t="n"/>
    </row>
    <row r="570">
      <c r="A570" s="22" t="n">
        <v>45936</v>
      </c>
      <c r="B570" s="23" t="inlineStr">
        <is>
          <t>Health &amp; Beauty</t>
        </is>
      </c>
      <c r="C570" s="23" t="inlineStr">
        <is>
          <t>Actual</t>
        </is>
      </c>
      <c r="D570" s="24" t="n">
        <v>204.68</v>
      </c>
      <c r="E570" s="24" t="n"/>
      <c r="F570" s="24" t="n"/>
    </row>
    <row r="571">
      <c r="A571" s="22" t="n">
        <v>45936</v>
      </c>
      <c r="B571" s="23" t="inlineStr">
        <is>
          <t>Household</t>
        </is>
      </c>
      <c r="C571" s="23" t="inlineStr">
        <is>
          <t>Actual</t>
        </is>
      </c>
      <c r="D571" s="24" t="n">
        <v>570.33</v>
      </c>
      <c r="E571" s="24" t="n"/>
      <c r="F571" s="24" t="n"/>
    </row>
    <row r="572">
      <c r="A572" s="22" t="n">
        <v>45936</v>
      </c>
      <c r="B572" s="23" t="inlineStr">
        <is>
          <t>Produce</t>
        </is>
      </c>
      <c r="C572" s="23" t="inlineStr">
        <is>
          <t>Actual</t>
        </is>
      </c>
      <c r="D572" s="24" t="n">
        <v>440.81</v>
      </c>
      <c r="E572" s="24" t="n"/>
      <c r="F572" s="24" t="n"/>
    </row>
    <row r="573">
      <c r="A573" s="22" t="n">
        <v>45936</v>
      </c>
      <c r="B573" s="23" t="inlineStr">
        <is>
          <t>Snacks &amp; Confectionery</t>
        </is>
      </c>
      <c r="C573" s="23" t="inlineStr">
        <is>
          <t>Actual</t>
        </is>
      </c>
      <c r="D573" s="24" t="n">
        <v>1884.68</v>
      </c>
      <c r="E573" s="24" t="n"/>
      <c r="F573" s="24" t="n"/>
    </row>
    <row r="574">
      <c r="A574" s="22" t="n">
        <v>45943</v>
      </c>
      <c r="B574" s="23" t="inlineStr">
        <is>
          <t>Bakery</t>
        </is>
      </c>
      <c r="C574" s="23" t="inlineStr">
        <is>
          <t>Actual</t>
        </is>
      </c>
      <c r="D574" s="24" t="n">
        <v>1175.82</v>
      </c>
      <c r="E574" s="24" t="n"/>
      <c r="F574" s="24" t="n"/>
    </row>
    <row r="575">
      <c r="A575" s="22" t="n">
        <v>45943</v>
      </c>
      <c r="B575" s="23" t="inlineStr">
        <is>
          <t>Beer &amp; Wine</t>
        </is>
      </c>
      <c r="C575" s="23" t="inlineStr">
        <is>
          <t>Actual</t>
        </is>
      </c>
      <c r="D575" s="24" t="n">
        <v>2396.75</v>
      </c>
      <c r="E575" s="24" t="n"/>
      <c r="F575" s="24" t="n"/>
    </row>
    <row r="576">
      <c r="A576" s="22" t="n">
        <v>45943</v>
      </c>
      <c r="B576" s="23" t="inlineStr">
        <is>
          <t>Beverages</t>
        </is>
      </c>
      <c r="C576" s="23" t="inlineStr">
        <is>
          <t>Actual</t>
        </is>
      </c>
      <c r="D576" s="24" t="n">
        <v>2973.61</v>
      </c>
      <c r="E576" s="24" t="n"/>
      <c r="F576" s="24" t="n"/>
    </row>
    <row r="577">
      <c r="A577" s="22" t="n">
        <v>45943</v>
      </c>
      <c r="B577" s="23" t="inlineStr">
        <is>
          <t>Dairy</t>
        </is>
      </c>
      <c r="C577" s="23" t="inlineStr">
        <is>
          <t>Actual</t>
        </is>
      </c>
      <c r="D577" s="24" t="n">
        <v>3024.87</v>
      </c>
      <c r="E577" s="24" t="n"/>
      <c r="F577" s="24" t="n"/>
    </row>
    <row r="578">
      <c r="A578" s="22" t="n">
        <v>45943</v>
      </c>
      <c r="B578" s="23" t="inlineStr">
        <is>
          <t>Food To Go</t>
        </is>
      </c>
      <c r="C578" s="23" t="inlineStr">
        <is>
          <t>Actual</t>
        </is>
      </c>
      <c r="D578" s="24" t="n">
        <v>3575.88</v>
      </c>
      <c r="E578" s="24" t="n"/>
      <c r="F578" s="24" t="n"/>
    </row>
    <row r="579">
      <c r="A579" s="22" t="n">
        <v>45943</v>
      </c>
      <c r="B579" s="23" t="inlineStr">
        <is>
          <t>Frozen</t>
        </is>
      </c>
      <c r="C579" s="23" t="inlineStr">
        <is>
          <t>Actual</t>
        </is>
      </c>
      <c r="D579" s="24" t="n">
        <v>1489.69</v>
      </c>
      <c r="E579" s="24" t="n"/>
      <c r="F579" s="24" t="n"/>
    </row>
    <row r="580">
      <c r="A580" s="22" t="n">
        <v>45943</v>
      </c>
      <c r="B580" s="23" t="inlineStr">
        <is>
          <t>Grocery</t>
        </is>
      </c>
      <c r="C580" s="23" t="inlineStr">
        <is>
          <t>Actual</t>
        </is>
      </c>
      <c r="D580" s="24" t="n">
        <v>1705.09</v>
      </c>
      <c r="E580" s="24" t="n"/>
      <c r="F580" s="24" t="n"/>
    </row>
    <row r="581">
      <c r="A581" s="22" t="n">
        <v>45943</v>
      </c>
      <c r="B581" s="23" t="inlineStr">
        <is>
          <t>Health &amp; Beauty</t>
        </is>
      </c>
      <c r="C581" s="23" t="inlineStr">
        <is>
          <t>Actual</t>
        </is>
      </c>
      <c r="D581" s="24" t="n">
        <v>364.5</v>
      </c>
      <c r="E581" s="24" t="n"/>
      <c r="F581" s="24" t="n"/>
    </row>
    <row r="582">
      <c r="A582" s="22" t="n">
        <v>45943</v>
      </c>
      <c r="B582" s="23" t="inlineStr">
        <is>
          <t>Household</t>
        </is>
      </c>
      <c r="C582" s="23" t="inlineStr">
        <is>
          <t>Actual</t>
        </is>
      </c>
      <c r="D582" s="24" t="n">
        <v>571.36</v>
      </c>
      <c r="E582" s="24" t="n"/>
      <c r="F582" s="24" t="n"/>
    </row>
    <row r="583">
      <c r="A583" s="22" t="n">
        <v>45943</v>
      </c>
      <c r="B583" s="23" t="inlineStr">
        <is>
          <t>Produce</t>
        </is>
      </c>
      <c r="C583" s="23" t="inlineStr">
        <is>
          <t>Actual</t>
        </is>
      </c>
      <c r="D583" s="24" t="n">
        <v>467.06</v>
      </c>
      <c r="E583" s="24" t="n"/>
      <c r="F583" s="24" t="n"/>
    </row>
    <row r="584">
      <c r="A584" s="22" t="n">
        <v>45943</v>
      </c>
      <c r="B584" s="23" t="inlineStr">
        <is>
          <t>Snacks &amp; Confectionery</t>
        </is>
      </c>
      <c r="C584" s="23" t="inlineStr">
        <is>
          <t>Actual</t>
        </is>
      </c>
      <c r="D584" s="24" t="n">
        <v>1986.27</v>
      </c>
      <c r="E584" s="24" t="n"/>
      <c r="F584" s="24" t="n"/>
    </row>
    <row r="585">
      <c r="A585" s="22" t="n">
        <v>45950</v>
      </c>
      <c r="B585" s="23" t="inlineStr">
        <is>
          <t>Bakery</t>
        </is>
      </c>
      <c r="C585" s="23" t="inlineStr">
        <is>
          <t>Actual</t>
        </is>
      </c>
      <c r="D585" s="24" t="n">
        <v>1175.07</v>
      </c>
      <c r="E585" s="24" t="n"/>
      <c r="F585" s="24" t="n"/>
    </row>
    <row r="586">
      <c r="A586" s="22" t="n">
        <v>45950</v>
      </c>
      <c r="B586" s="23" t="inlineStr">
        <is>
          <t>Beer &amp; Wine</t>
        </is>
      </c>
      <c r="C586" s="23" t="inlineStr">
        <is>
          <t>Actual</t>
        </is>
      </c>
      <c r="D586" s="24" t="n">
        <v>2582.57</v>
      </c>
      <c r="E586" s="24" t="n"/>
      <c r="F586" s="24" t="n"/>
    </row>
    <row r="587">
      <c r="A587" s="22" t="n">
        <v>45950</v>
      </c>
      <c r="B587" s="23" t="inlineStr">
        <is>
          <t>Beverages</t>
        </is>
      </c>
      <c r="C587" s="23" t="inlineStr">
        <is>
          <t>Actual</t>
        </is>
      </c>
      <c r="D587" s="24" t="n">
        <v>2840.28</v>
      </c>
      <c r="E587" s="24" t="n"/>
      <c r="F587" s="24" t="n"/>
    </row>
    <row r="588">
      <c r="A588" s="22" t="n">
        <v>45950</v>
      </c>
      <c r="B588" s="23" t="inlineStr">
        <is>
          <t>Dairy</t>
        </is>
      </c>
      <c r="C588" s="23" t="inlineStr">
        <is>
          <t>Actual</t>
        </is>
      </c>
      <c r="D588" s="24" t="n">
        <v>3222.7</v>
      </c>
      <c r="E588" s="24" t="n"/>
      <c r="F588" s="24" t="n"/>
    </row>
    <row r="589">
      <c r="A589" s="22" t="n">
        <v>45950</v>
      </c>
      <c r="B589" s="23" t="inlineStr">
        <is>
          <t>Food To Go</t>
        </is>
      </c>
      <c r="C589" s="23" t="inlineStr">
        <is>
          <t>Actual</t>
        </is>
      </c>
      <c r="D589" s="24" t="n">
        <v>3760.73</v>
      </c>
      <c r="E589" s="24" t="n"/>
      <c r="F589" s="24" t="n"/>
    </row>
    <row r="590">
      <c r="A590" s="22" t="n">
        <v>45950</v>
      </c>
      <c r="B590" s="23" t="inlineStr">
        <is>
          <t>Frozen</t>
        </is>
      </c>
      <c r="C590" s="23" t="inlineStr">
        <is>
          <t>Actual</t>
        </is>
      </c>
      <c r="D590" s="24" t="n">
        <v>1584.78</v>
      </c>
      <c r="E590" s="24" t="n"/>
      <c r="F590" s="24" t="n"/>
    </row>
    <row r="591">
      <c r="A591" s="22" t="n">
        <v>45950</v>
      </c>
      <c r="B591" s="23" t="inlineStr">
        <is>
          <t>Grocery</t>
        </is>
      </c>
      <c r="C591" s="23" t="inlineStr">
        <is>
          <t>Actual</t>
        </is>
      </c>
      <c r="D591" s="24" t="n">
        <v>1804</v>
      </c>
      <c r="E591" s="24" t="n"/>
      <c r="F591" s="24" t="n"/>
    </row>
    <row r="592">
      <c r="A592" s="22" t="n">
        <v>45950</v>
      </c>
      <c r="B592" s="23" t="inlineStr">
        <is>
          <t>Health &amp; Beauty</t>
        </is>
      </c>
      <c r="C592" s="23" t="inlineStr">
        <is>
          <t>Actual</t>
        </is>
      </c>
      <c r="D592" s="24" t="n">
        <v>311.55</v>
      </c>
      <c r="E592" s="24" t="n"/>
      <c r="F592" s="24" t="n"/>
    </row>
    <row r="593">
      <c r="A593" s="22" t="n">
        <v>45950</v>
      </c>
      <c r="B593" s="23" t="inlineStr">
        <is>
          <t>Household</t>
        </is>
      </c>
      <c r="C593" s="23" t="inlineStr">
        <is>
          <t>Actual</t>
        </is>
      </c>
      <c r="D593" s="24" t="n">
        <v>633.3</v>
      </c>
      <c r="E593" s="24" t="n"/>
      <c r="F593" s="24" t="n"/>
    </row>
    <row r="594">
      <c r="A594" s="22" t="n">
        <v>45950</v>
      </c>
      <c r="B594" s="23" t="inlineStr">
        <is>
          <t>Produce</t>
        </is>
      </c>
      <c r="C594" s="23" t="inlineStr">
        <is>
          <t>Actual</t>
        </is>
      </c>
      <c r="D594" s="24" t="n">
        <v>439.96</v>
      </c>
      <c r="E594" s="24" t="n"/>
      <c r="F594" s="24" t="n"/>
    </row>
    <row r="595">
      <c r="A595" s="22" t="n">
        <v>45950</v>
      </c>
      <c r="B595" s="23" t="inlineStr">
        <is>
          <t>Snacks &amp; Confectionery</t>
        </is>
      </c>
      <c r="C595" s="23" t="inlineStr">
        <is>
          <t>Actual</t>
        </is>
      </c>
      <c r="D595" s="24" t="n">
        <v>1932.9</v>
      </c>
      <c r="E595" s="24" t="n"/>
      <c r="F595" s="24" t="n"/>
    </row>
    <row r="596">
      <c r="A596" s="22" t="n">
        <v>45957</v>
      </c>
      <c r="B596" s="23" t="inlineStr">
        <is>
          <t>Bakery</t>
        </is>
      </c>
      <c r="C596" s="23" t="inlineStr">
        <is>
          <t>Actual</t>
        </is>
      </c>
      <c r="D596" s="24" t="n">
        <v>1023.43</v>
      </c>
      <c r="E596" s="24" t="n"/>
      <c r="F596" s="24" t="n"/>
    </row>
    <row r="597">
      <c r="A597" s="22" t="n">
        <v>45957</v>
      </c>
      <c r="B597" s="23" t="inlineStr">
        <is>
          <t>Beer &amp; Wine</t>
        </is>
      </c>
      <c r="C597" s="23" t="inlineStr">
        <is>
          <t>Actual</t>
        </is>
      </c>
      <c r="D597" s="24" t="n">
        <v>2579.6</v>
      </c>
      <c r="E597" s="24" t="n"/>
      <c r="F597" s="24" t="n"/>
    </row>
    <row r="598">
      <c r="A598" s="22" t="n">
        <v>45957</v>
      </c>
      <c r="B598" s="23" t="inlineStr">
        <is>
          <t>Beverages</t>
        </is>
      </c>
      <c r="C598" s="23" t="inlineStr">
        <is>
          <t>Actual</t>
        </is>
      </c>
      <c r="D598" s="24" t="n">
        <v>2829.88</v>
      </c>
      <c r="E598" s="24" t="n"/>
      <c r="F598" s="24" t="n"/>
    </row>
    <row r="599">
      <c r="A599" s="22" t="n">
        <v>45957</v>
      </c>
      <c r="B599" s="23" t="inlineStr">
        <is>
          <t>Dairy</t>
        </is>
      </c>
      <c r="C599" s="23" t="inlineStr">
        <is>
          <t>Actual</t>
        </is>
      </c>
      <c r="D599" s="24" t="n">
        <v>3314.79</v>
      </c>
      <c r="E599" s="24" t="n"/>
      <c r="F599" s="24" t="n"/>
    </row>
    <row r="600">
      <c r="A600" s="22" t="n">
        <v>45957</v>
      </c>
      <c r="B600" s="23" t="inlineStr">
        <is>
          <t>Food To Go</t>
        </is>
      </c>
      <c r="C600" s="23" t="inlineStr">
        <is>
          <t>Actual</t>
        </is>
      </c>
      <c r="D600" s="24" t="n">
        <v>3409.13</v>
      </c>
      <c r="E600" s="24" t="n"/>
      <c r="F600" s="24" t="n"/>
    </row>
    <row r="601">
      <c r="A601" s="22" t="n">
        <v>45957</v>
      </c>
      <c r="B601" s="23" t="inlineStr">
        <is>
          <t>Frozen</t>
        </is>
      </c>
      <c r="C601" s="23" t="inlineStr">
        <is>
          <t>Actual</t>
        </is>
      </c>
      <c r="D601" s="24" t="n">
        <v>1166.24</v>
      </c>
      <c r="E601" s="24" t="n"/>
      <c r="F601" s="24" t="n"/>
    </row>
    <row r="602">
      <c r="A602" s="22" t="n">
        <v>45957</v>
      </c>
      <c r="B602" s="23" t="inlineStr">
        <is>
          <t>Grocery</t>
        </is>
      </c>
      <c r="C602" s="23" t="inlineStr">
        <is>
          <t>Actual</t>
        </is>
      </c>
      <c r="D602" s="24" t="n">
        <v>1792.58</v>
      </c>
      <c r="E602" s="24" t="n"/>
      <c r="F602" s="24" t="n"/>
    </row>
    <row r="603">
      <c r="A603" s="22" t="n">
        <v>45957</v>
      </c>
      <c r="B603" s="23" t="inlineStr">
        <is>
          <t>Health &amp; Beauty</t>
        </is>
      </c>
      <c r="C603" s="23" t="inlineStr">
        <is>
          <t>Actual</t>
        </is>
      </c>
      <c r="D603" s="24" t="n">
        <v>170.71</v>
      </c>
      <c r="E603" s="24" t="n"/>
      <c r="F603" s="24" t="n"/>
    </row>
    <row r="604">
      <c r="A604" s="22" t="n">
        <v>45957</v>
      </c>
      <c r="B604" s="23" t="inlineStr">
        <is>
          <t>Household</t>
        </is>
      </c>
      <c r="C604" s="23" t="inlineStr">
        <is>
          <t>Actual</t>
        </is>
      </c>
      <c r="D604" s="24" t="n">
        <v>509.46</v>
      </c>
      <c r="E604" s="24" t="n"/>
      <c r="F604" s="24" t="n"/>
    </row>
    <row r="605">
      <c r="A605" s="22" t="n">
        <v>45957</v>
      </c>
      <c r="B605" s="23" t="inlineStr">
        <is>
          <t>Produce</t>
        </is>
      </c>
      <c r="C605" s="23" t="inlineStr">
        <is>
          <t>Actual</t>
        </is>
      </c>
      <c r="D605" s="24" t="n">
        <v>437.7</v>
      </c>
      <c r="E605" s="24" t="n"/>
      <c r="F605" s="24" t="n"/>
    </row>
    <row r="606">
      <c r="A606" s="22" t="n">
        <v>45957</v>
      </c>
      <c r="B606" s="23" t="inlineStr">
        <is>
          <t>Snacks &amp; Confectionery</t>
        </is>
      </c>
      <c r="C606" s="23" t="inlineStr">
        <is>
          <t>Actual</t>
        </is>
      </c>
      <c r="D606" s="24" t="n">
        <v>1897.72</v>
      </c>
      <c r="E606" s="24" t="n"/>
      <c r="F606" s="24" t="n"/>
    </row>
    <row r="607">
      <c r="A607" s="22" t="n">
        <v>45964</v>
      </c>
      <c r="B607" s="23" t="inlineStr">
        <is>
          <t>Bakery</t>
        </is>
      </c>
      <c r="C607" s="23" t="inlineStr">
        <is>
          <t>Actual</t>
        </is>
      </c>
      <c r="D607" s="24" t="n">
        <v>1062.65</v>
      </c>
      <c r="E607" s="24" t="n"/>
      <c r="F607" s="24" t="n"/>
    </row>
    <row r="608">
      <c r="A608" s="22" t="n">
        <v>45964</v>
      </c>
      <c r="B608" s="23" t="inlineStr">
        <is>
          <t>Beer &amp; Wine</t>
        </is>
      </c>
      <c r="C608" s="23" t="inlineStr">
        <is>
          <t>Actual</t>
        </is>
      </c>
      <c r="D608" s="24" t="n">
        <v>2620.64</v>
      </c>
      <c r="E608" s="24" t="n"/>
      <c r="F608" s="24" t="n"/>
    </row>
    <row r="609">
      <c r="A609" s="22" t="n">
        <v>45964</v>
      </c>
      <c r="B609" s="23" t="inlineStr">
        <is>
          <t>Beverages</t>
        </is>
      </c>
      <c r="C609" s="23" t="inlineStr">
        <is>
          <t>Actual</t>
        </is>
      </c>
      <c r="D609" s="24" t="n">
        <v>3317</v>
      </c>
      <c r="E609" s="24" t="n"/>
      <c r="F609" s="24" t="n"/>
    </row>
    <row r="610">
      <c r="A610" s="22" t="n">
        <v>45964</v>
      </c>
      <c r="B610" s="23" t="inlineStr">
        <is>
          <t>Dairy</t>
        </is>
      </c>
      <c r="C610" s="23" t="inlineStr">
        <is>
          <t>Actual</t>
        </is>
      </c>
      <c r="D610" s="24" t="n">
        <v>3552.58</v>
      </c>
      <c r="E610" s="24" t="n"/>
      <c r="F610" s="24" t="n"/>
    </row>
    <row r="611">
      <c r="A611" s="22" t="n">
        <v>45964</v>
      </c>
      <c r="B611" s="23" t="inlineStr">
        <is>
          <t>Food To Go</t>
        </is>
      </c>
      <c r="C611" s="23" t="inlineStr">
        <is>
          <t>Actual</t>
        </is>
      </c>
      <c r="D611" s="24" t="n">
        <v>3801.11</v>
      </c>
      <c r="E611" s="24" t="n"/>
      <c r="F611" s="24" t="n"/>
    </row>
    <row r="612">
      <c r="A612" s="22" t="n">
        <v>45964</v>
      </c>
      <c r="B612" s="23" t="inlineStr">
        <is>
          <t>Frozen</t>
        </is>
      </c>
      <c r="C612" s="23" t="inlineStr">
        <is>
          <t>Actual</t>
        </is>
      </c>
      <c r="D612" s="24" t="n">
        <v>1432.93</v>
      </c>
      <c r="E612" s="24" t="n"/>
      <c r="F612" s="24" t="n"/>
    </row>
    <row r="613">
      <c r="A613" s="22" t="n">
        <v>45964</v>
      </c>
      <c r="B613" s="23" t="inlineStr">
        <is>
          <t>Grocery</t>
        </is>
      </c>
      <c r="C613" s="23" t="inlineStr">
        <is>
          <t>Actual</t>
        </is>
      </c>
      <c r="D613" s="24" t="n">
        <v>2004.68</v>
      </c>
      <c r="E613" s="24" t="n"/>
      <c r="F613" s="24" t="n"/>
    </row>
    <row r="614">
      <c r="A614" s="22" t="n">
        <v>45964</v>
      </c>
      <c r="B614" s="23" t="inlineStr">
        <is>
          <t>Health &amp; Beauty</t>
        </is>
      </c>
      <c r="C614" s="23" t="inlineStr">
        <is>
          <t>Actual</t>
        </is>
      </c>
      <c r="D614" s="24" t="n">
        <v>259.68</v>
      </c>
      <c r="E614" s="24" t="n"/>
      <c r="F614" s="24" t="n"/>
    </row>
    <row r="615">
      <c r="A615" s="22" t="n">
        <v>45964</v>
      </c>
      <c r="B615" s="23" t="inlineStr">
        <is>
          <t>Household</t>
        </is>
      </c>
      <c r="C615" s="23" t="inlineStr">
        <is>
          <t>Actual</t>
        </is>
      </c>
      <c r="D615" s="24" t="n">
        <v>494.41</v>
      </c>
      <c r="E615" s="24" t="n"/>
      <c r="F615" s="24" t="n"/>
    </row>
    <row r="616">
      <c r="A616" s="22" t="n">
        <v>45964</v>
      </c>
      <c r="B616" s="23" t="inlineStr">
        <is>
          <t>Produce</t>
        </is>
      </c>
      <c r="C616" s="23" t="inlineStr">
        <is>
          <t>Actual</t>
        </is>
      </c>
      <c r="D616" s="24" t="n">
        <v>406.3</v>
      </c>
      <c r="E616" s="24" t="n"/>
      <c r="F616" s="24" t="n"/>
    </row>
    <row r="617">
      <c r="A617" s="22" t="n">
        <v>45964</v>
      </c>
      <c r="B617" s="23" t="inlineStr">
        <is>
          <t>Snacks &amp; Confectionery</t>
        </is>
      </c>
      <c r="C617" s="23" t="inlineStr">
        <is>
          <t>Actual</t>
        </is>
      </c>
      <c r="D617" s="24" t="n">
        <v>1919.66</v>
      </c>
      <c r="E617" s="24" t="n"/>
      <c r="F617" s="24" t="n"/>
    </row>
    <row r="618">
      <c r="A618" s="22" t="n">
        <v>45971</v>
      </c>
      <c r="B618" s="23" t="inlineStr">
        <is>
          <t>Bakery</t>
        </is>
      </c>
      <c r="C618" s="23" t="inlineStr">
        <is>
          <t>Actual</t>
        </is>
      </c>
      <c r="D618" s="24" t="n">
        <v>1147.88</v>
      </c>
      <c r="E618" s="24" t="n"/>
      <c r="F618" s="24" t="n"/>
    </row>
    <row r="619">
      <c r="A619" s="22" t="n">
        <v>45971</v>
      </c>
      <c r="B619" s="23" t="inlineStr">
        <is>
          <t>Beer &amp; Wine</t>
        </is>
      </c>
      <c r="C619" s="23" t="inlineStr">
        <is>
          <t>Actual</t>
        </is>
      </c>
      <c r="D619" s="24" t="n">
        <v>2609.64</v>
      </c>
      <c r="E619" s="24" t="n"/>
      <c r="F619" s="24" t="n"/>
    </row>
    <row r="620">
      <c r="A620" s="22" t="n">
        <v>45971</v>
      </c>
      <c r="B620" s="23" t="inlineStr">
        <is>
          <t>Beverages</t>
        </is>
      </c>
      <c r="C620" s="23" t="inlineStr">
        <is>
          <t>Actual</t>
        </is>
      </c>
      <c r="D620" s="24" t="n">
        <v>3262.23</v>
      </c>
      <c r="E620" s="24" t="n"/>
      <c r="F620" s="24" t="n"/>
    </row>
    <row r="621">
      <c r="A621" s="22" t="n">
        <v>45971</v>
      </c>
      <c r="B621" s="23" t="inlineStr">
        <is>
          <t>Dairy</t>
        </is>
      </c>
      <c r="C621" s="23" t="inlineStr">
        <is>
          <t>Actual</t>
        </is>
      </c>
      <c r="D621" s="24" t="n">
        <v>3275.09</v>
      </c>
      <c r="E621" s="24" t="n"/>
      <c r="F621" s="24" t="n"/>
    </row>
    <row r="622">
      <c r="A622" s="22" t="n">
        <v>45971</v>
      </c>
      <c r="B622" s="23" t="inlineStr">
        <is>
          <t>Food To Go</t>
        </is>
      </c>
      <c r="C622" s="23" t="inlineStr">
        <is>
          <t>Actual</t>
        </is>
      </c>
      <c r="D622" s="24" t="n">
        <v>3446.6</v>
      </c>
      <c r="E622" s="24" t="n"/>
      <c r="F622" s="24" t="n"/>
    </row>
    <row r="623">
      <c r="A623" s="22" t="n">
        <v>45971</v>
      </c>
      <c r="B623" s="23" t="inlineStr">
        <is>
          <t>Frozen</t>
        </is>
      </c>
      <c r="C623" s="23" t="inlineStr">
        <is>
          <t>Actual</t>
        </is>
      </c>
      <c r="D623" s="24" t="n">
        <v>1308.06</v>
      </c>
      <c r="E623" s="24" t="n"/>
      <c r="F623" s="24" t="n"/>
    </row>
    <row r="624">
      <c r="A624" s="22" t="n">
        <v>45971</v>
      </c>
      <c r="B624" s="23" t="inlineStr">
        <is>
          <t>Grocery</t>
        </is>
      </c>
      <c r="C624" s="23" t="inlineStr">
        <is>
          <t>Actual</t>
        </is>
      </c>
      <c r="D624" s="24" t="n">
        <v>1741.2</v>
      </c>
      <c r="E624" s="24" t="n"/>
      <c r="F624" s="24" t="n"/>
    </row>
    <row r="625">
      <c r="A625" s="22" t="n">
        <v>45971</v>
      </c>
      <c r="B625" s="23" t="inlineStr">
        <is>
          <t>Health &amp; Beauty</t>
        </is>
      </c>
      <c r="C625" s="23" t="inlineStr">
        <is>
          <t>Actual</t>
        </is>
      </c>
      <c r="D625" s="24" t="n">
        <v>395.56</v>
      </c>
      <c r="E625" s="24" t="n"/>
      <c r="F625" s="24" t="n"/>
    </row>
    <row r="626">
      <c r="A626" s="22" t="n">
        <v>45971</v>
      </c>
      <c r="B626" s="23" t="inlineStr">
        <is>
          <t>Household</t>
        </is>
      </c>
      <c r="C626" s="23" t="inlineStr">
        <is>
          <t>Actual</t>
        </is>
      </c>
      <c r="D626" s="24" t="n">
        <v>475.38</v>
      </c>
      <c r="E626" s="24" t="n"/>
      <c r="F626" s="24" t="n"/>
    </row>
    <row r="627">
      <c r="A627" s="22" t="n">
        <v>45971</v>
      </c>
      <c r="B627" s="23" t="inlineStr">
        <is>
          <t>Produce</t>
        </is>
      </c>
      <c r="C627" s="23" t="inlineStr">
        <is>
          <t>Actual</t>
        </is>
      </c>
      <c r="D627" s="24" t="n">
        <v>491.9</v>
      </c>
      <c r="E627" s="24" t="n"/>
      <c r="F627" s="24" t="n"/>
    </row>
    <row r="628">
      <c r="A628" s="22" t="n">
        <v>45971</v>
      </c>
      <c r="B628" s="23" t="inlineStr">
        <is>
          <t>Snacks &amp; Confectionery</t>
        </is>
      </c>
      <c r="C628" s="23" t="inlineStr">
        <is>
          <t>Actual</t>
        </is>
      </c>
      <c r="D628" s="24" t="n">
        <v>1950.91</v>
      </c>
      <c r="E628" s="24" t="n"/>
      <c r="F628" s="24" t="n"/>
    </row>
    <row r="629">
      <c r="A629" s="22" t="n">
        <v>45978</v>
      </c>
      <c r="B629" s="23" t="inlineStr">
        <is>
          <t>Bakery</t>
        </is>
      </c>
      <c r="C629" s="23" t="inlineStr">
        <is>
          <t>Actual</t>
        </is>
      </c>
      <c r="D629" s="24" t="n">
        <v>1090.31</v>
      </c>
      <c r="E629" s="24" t="n"/>
      <c r="F629" s="24" t="n"/>
    </row>
    <row r="630">
      <c r="A630" s="22" t="n">
        <v>45978</v>
      </c>
      <c r="B630" s="23" t="inlineStr">
        <is>
          <t>Beer &amp; Wine</t>
        </is>
      </c>
      <c r="C630" s="23" t="inlineStr">
        <is>
          <t>Actual</t>
        </is>
      </c>
      <c r="D630" s="24" t="n">
        <v>2654.64</v>
      </c>
      <c r="E630" s="24" t="n"/>
      <c r="F630" s="24" t="n"/>
    </row>
    <row r="631">
      <c r="A631" s="22" t="n">
        <v>45978</v>
      </c>
      <c r="B631" s="23" t="inlineStr">
        <is>
          <t>Beverages</t>
        </is>
      </c>
      <c r="C631" s="23" t="inlineStr">
        <is>
          <t>Actual</t>
        </is>
      </c>
      <c r="D631" s="24" t="n">
        <v>3255.78</v>
      </c>
      <c r="E631" s="24" t="n"/>
      <c r="F631" s="24" t="n"/>
    </row>
    <row r="632">
      <c r="A632" s="22" t="n">
        <v>45978</v>
      </c>
      <c r="B632" s="23" t="inlineStr">
        <is>
          <t>Dairy</t>
        </is>
      </c>
      <c r="C632" s="23" t="inlineStr">
        <is>
          <t>Actual</t>
        </is>
      </c>
      <c r="D632" s="24" t="n">
        <v>3437.13</v>
      </c>
      <c r="E632" s="24" t="n"/>
      <c r="F632" s="24" t="n"/>
    </row>
    <row r="633">
      <c r="A633" s="22" t="n">
        <v>45978</v>
      </c>
      <c r="B633" s="23" t="inlineStr">
        <is>
          <t>Food To Go</t>
        </is>
      </c>
      <c r="C633" s="23" t="inlineStr">
        <is>
          <t>Actual</t>
        </is>
      </c>
      <c r="D633" s="24" t="n">
        <v>3916.11</v>
      </c>
      <c r="E633" s="24" t="n"/>
      <c r="F633" s="24" t="n"/>
    </row>
    <row r="634">
      <c r="A634" s="22" t="n">
        <v>45978</v>
      </c>
      <c r="B634" s="23" t="inlineStr">
        <is>
          <t>Frozen</t>
        </is>
      </c>
      <c r="C634" s="23" t="inlineStr">
        <is>
          <t>Actual</t>
        </is>
      </c>
      <c r="D634" s="24" t="n">
        <v>1165</v>
      </c>
      <c r="E634" s="24" t="n"/>
      <c r="F634" s="24" t="n"/>
    </row>
    <row r="635">
      <c r="A635" s="22" t="n">
        <v>45978</v>
      </c>
      <c r="B635" s="23" t="inlineStr">
        <is>
          <t>Grocery</t>
        </is>
      </c>
      <c r="C635" s="23" t="inlineStr">
        <is>
          <t>Actual</t>
        </is>
      </c>
      <c r="D635" s="24" t="n">
        <v>1778.71</v>
      </c>
      <c r="E635" s="24" t="n"/>
      <c r="F635" s="24" t="n"/>
    </row>
    <row r="636">
      <c r="A636" s="22" t="n">
        <v>45978</v>
      </c>
      <c r="B636" s="23" t="inlineStr">
        <is>
          <t>Health &amp; Beauty</t>
        </is>
      </c>
      <c r="C636" s="23" t="inlineStr">
        <is>
          <t>Actual</t>
        </is>
      </c>
      <c r="D636" s="24" t="n">
        <v>254.72</v>
      </c>
      <c r="E636" s="24" t="n"/>
      <c r="F636" s="24" t="n"/>
    </row>
    <row r="637">
      <c r="A637" s="22" t="n">
        <v>45978</v>
      </c>
      <c r="B637" s="23" t="inlineStr">
        <is>
          <t>Household</t>
        </is>
      </c>
      <c r="C637" s="23" t="inlineStr">
        <is>
          <t>Actual</t>
        </is>
      </c>
      <c r="D637" s="24" t="n">
        <v>635.26</v>
      </c>
      <c r="E637" s="24" t="n"/>
      <c r="F637" s="24" t="n"/>
    </row>
    <row r="638">
      <c r="A638" s="22" t="n">
        <v>45978</v>
      </c>
      <c r="B638" s="23" t="inlineStr">
        <is>
          <t>Produce</t>
        </is>
      </c>
      <c r="C638" s="23" t="inlineStr">
        <is>
          <t>Actual</t>
        </is>
      </c>
      <c r="D638" s="24" t="n">
        <v>484.12</v>
      </c>
      <c r="E638" s="24" t="n"/>
      <c r="F638" s="24" t="n"/>
    </row>
    <row r="639">
      <c r="A639" s="22" t="n">
        <v>45978</v>
      </c>
      <c r="B639" s="23" t="inlineStr">
        <is>
          <t>Snacks &amp; Confectionery</t>
        </is>
      </c>
      <c r="C639" s="23" t="inlineStr">
        <is>
          <t>Actual</t>
        </is>
      </c>
      <c r="D639" s="24" t="n">
        <v>1950.19</v>
      </c>
      <c r="E639" s="24" t="n"/>
      <c r="F639" s="24" t="n"/>
    </row>
    <row r="640">
      <c r="A640" s="22" t="n">
        <v>45985</v>
      </c>
      <c r="B640" s="23" t="inlineStr">
        <is>
          <t>Bakery</t>
        </is>
      </c>
      <c r="C640" s="23" t="inlineStr">
        <is>
          <t>Actual</t>
        </is>
      </c>
      <c r="D640" s="24" t="n">
        <v>1025.19</v>
      </c>
      <c r="E640" s="24" t="n"/>
      <c r="F640" s="24" t="n"/>
    </row>
    <row r="641">
      <c r="A641" s="22" t="n">
        <v>45985</v>
      </c>
      <c r="B641" s="23" t="inlineStr">
        <is>
          <t>Beer &amp; Wine</t>
        </is>
      </c>
      <c r="C641" s="23" t="inlineStr">
        <is>
          <t>Actual</t>
        </is>
      </c>
      <c r="D641" s="24" t="n">
        <v>2179.85</v>
      </c>
      <c r="E641" s="24" t="n"/>
      <c r="F641" s="24" t="n"/>
    </row>
    <row r="642">
      <c r="A642" s="22" t="n">
        <v>45985</v>
      </c>
      <c r="B642" s="23" t="inlineStr">
        <is>
          <t>Beverages</t>
        </is>
      </c>
      <c r="C642" s="23" t="inlineStr">
        <is>
          <t>Actual</t>
        </is>
      </c>
      <c r="D642" s="24" t="n">
        <v>3444.68</v>
      </c>
      <c r="E642" s="24" t="n"/>
      <c r="F642" s="24" t="n"/>
    </row>
    <row r="643">
      <c r="A643" s="22" t="n">
        <v>45985</v>
      </c>
      <c r="B643" s="23" t="inlineStr">
        <is>
          <t>Dairy</t>
        </is>
      </c>
      <c r="C643" s="23" t="inlineStr">
        <is>
          <t>Actual</t>
        </is>
      </c>
      <c r="D643" s="24" t="n">
        <v>3299.24</v>
      </c>
      <c r="E643" s="24" t="n"/>
      <c r="F643" s="24" t="n"/>
    </row>
    <row r="644">
      <c r="A644" s="22" t="n">
        <v>45985</v>
      </c>
      <c r="B644" s="23" t="inlineStr">
        <is>
          <t>Food To Go</t>
        </is>
      </c>
      <c r="C644" s="23" t="inlineStr">
        <is>
          <t>Actual</t>
        </is>
      </c>
      <c r="D644" s="24" t="n">
        <v>3375.31</v>
      </c>
      <c r="E644" s="24" t="n"/>
      <c r="F644" s="24" t="n"/>
    </row>
    <row r="645">
      <c r="A645" s="22" t="n">
        <v>45985</v>
      </c>
      <c r="B645" s="23" t="inlineStr">
        <is>
          <t>Frozen</t>
        </is>
      </c>
      <c r="C645" s="23" t="inlineStr">
        <is>
          <t>Actual</t>
        </is>
      </c>
      <c r="D645" s="24" t="n">
        <v>1231.08</v>
      </c>
      <c r="E645" s="24" t="n"/>
      <c r="F645" s="24" t="n"/>
    </row>
    <row r="646">
      <c r="A646" s="22" t="n">
        <v>45985</v>
      </c>
      <c r="B646" s="23" t="inlineStr">
        <is>
          <t>Grocery</t>
        </is>
      </c>
      <c r="C646" s="23" t="inlineStr">
        <is>
          <t>Actual</t>
        </is>
      </c>
      <c r="D646" s="24" t="n">
        <v>1871.12</v>
      </c>
      <c r="E646" s="24" t="n"/>
      <c r="F646" s="24" t="n"/>
    </row>
    <row r="647">
      <c r="A647" s="22" t="n">
        <v>45985</v>
      </c>
      <c r="B647" s="23" t="inlineStr">
        <is>
          <t>Health &amp; Beauty</t>
        </is>
      </c>
      <c r="C647" s="23" t="inlineStr">
        <is>
          <t>Actual</t>
        </is>
      </c>
      <c r="D647" s="24" t="n">
        <v>429.42</v>
      </c>
      <c r="E647" s="24" t="n"/>
      <c r="F647" s="24" t="n"/>
    </row>
    <row r="648">
      <c r="A648" s="22" t="n">
        <v>45985</v>
      </c>
      <c r="B648" s="23" t="inlineStr">
        <is>
          <t>Household</t>
        </is>
      </c>
      <c r="C648" s="23" t="inlineStr">
        <is>
          <t>Actual</t>
        </is>
      </c>
      <c r="D648" s="24" t="n">
        <v>531.38</v>
      </c>
      <c r="E648" s="24" t="n"/>
      <c r="F648" s="24" t="n"/>
    </row>
    <row r="649">
      <c r="A649" s="22" t="n">
        <v>45985</v>
      </c>
      <c r="B649" s="23" t="inlineStr">
        <is>
          <t>Produce</t>
        </is>
      </c>
      <c r="C649" s="23" t="inlineStr">
        <is>
          <t>Actual</t>
        </is>
      </c>
      <c r="D649" s="24" t="n">
        <v>532.4299999999999</v>
      </c>
      <c r="E649" s="24" t="n"/>
      <c r="F649" s="24" t="n"/>
    </row>
    <row r="650">
      <c r="A650" s="22" t="n">
        <v>45985</v>
      </c>
      <c r="B650" s="23" t="inlineStr">
        <is>
          <t>Snacks &amp; Confectionery</t>
        </is>
      </c>
      <c r="C650" s="23" t="inlineStr">
        <is>
          <t>Actual</t>
        </is>
      </c>
      <c r="D650" s="24" t="n">
        <v>1854.3</v>
      </c>
      <c r="E650" s="24" t="n"/>
      <c r="F650" s="24" t="n"/>
    </row>
    <row r="651">
      <c r="A651" s="22" t="n">
        <v>45992</v>
      </c>
      <c r="B651" s="23" t="inlineStr">
        <is>
          <t>Bakery</t>
        </is>
      </c>
      <c r="C651" s="23" t="inlineStr">
        <is>
          <t>Actual</t>
        </is>
      </c>
      <c r="D651" s="24" t="n">
        <v>1286.53</v>
      </c>
      <c r="E651" s="24" t="n"/>
      <c r="F651" s="24" t="n"/>
    </row>
    <row r="652">
      <c r="A652" s="22" t="n">
        <v>45992</v>
      </c>
      <c r="B652" s="23" t="inlineStr">
        <is>
          <t>Beer &amp; Wine</t>
        </is>
      </c>
      <c r="C652" s="23" t="inlineStr">
        <is>
          <t>Actual</t>
        </is>
      </c>
      <c r="D652" s="24" t="n">
        <v>3219.32</v>
      </c>
      <c r="E652" s="24" t="n"/>
      <c r="F652" s="24" t="n"/>
    </row>
    <row r="653">
      <c r="A653" s="22" t="n">
        <v>45992</v>
      </c>
      <c r="B653" s="23" t="inlineStr">
        <is>
          <t>Beverages</t>
        </is>
      </c>
      <c r="C653" s="23" t="inlineStr">
        <is>
          <t>Actual</t>
        </is>
      </c>
      <c r="D653" s="24" t="n">
        <v>3863.76</v>
      </c>
      <c r="E653" s="24" t="n"/>
      <c r="F653" s="24" t="n"/>
    </row>
    <row r="654">
      <c r="A654" s="22" t="n">
        <v>45992</v>
      </c>
      <c r="B654" s="23" t="inlineStr">
        <is>
          <t>Dairy</t>
        </is>
      </c>
      <c r="C654" s="23" t="inlineStr">
        <is>
          <t>Actual</t>
        </is>
      </c>
      <c r="D654" s="24" t="n">
        <v>3320.47</v>
      </c>
      <c r="E654" s="24" t="n"/>
      <c r="F654" s="24" t="n"/>
    </row>
    <row r="655">
      <c r="A655" s="22" t="n">
        <v>45992</v>
      </c>
      <c r="B655" s="23" t="inlineStr">
        <is>
          <t>Food To Go</t>
        </is>
      </c>
      <c r="C655" s="23" t="inlineStr">
        <is>
          <t>Actual</t>
        </is>
      </c>
      <c r="D655" s="24" t="n">
        <v>3866.67</v>
      </c>
      <c r="E655" s="24" t="n"/>
      <c r="F655" s="24" t="n"/>
    </row>
    <row r="656">
      <c r="A656" s="22" t="n">
        <v>45992</v>
      </c>
      <c r="B656" s="23" t="inlineStr">
        <is>
          <t>Frozen</t>
        </is>
      </c>
      <c r="C656" s="23" t="inlineStr">
        <is>
          <t>Actual</t>
        </is>
      </c>
      <c r="D656" s="24" t="n">
        <v>1454.71</v>
      </c>
      <c r="E656" s="24" t="n"/>
      <c r="F656" s="24" t="n"/>
    </row>
    <row r="657">
      <c r="A657" s="22" t="n">
        <v>45992</v>
      </c>
      <c r="B657" s="23" t="inlineStr">
        <is>
          <t>Grocery</t>
        </is>
      </c>
      <c r="C657" s="23" t="inlineStr">
        <is>
          <t>Actual</t>
        </is>
      </c>
      <c r="D657" s="24" t="n">
        <v>2048.91</v>
      </c>
      <c r="E657" s="24" t="n"/>
      <c r="F657" s="24" t="n"/>
    </row>
    <row r="658">
      <c r="A658" s="22" t="n">
        <v>45992</v>
      </c>
      <c r="B658" s="23" t="inlineStr">
        <is>
          <t>Health &amp; Beauty</t>
        </is>
      </c>
      <c r="C658" s="23" t="inlineStr">
        <is>
          <t>Actual</t>
        </is>
      </c>
      <c r="D658" s="24" t="n">
        <v>365.58</v>
      </c>
      <c r="E658" s="24" t="n"/>
      <c r="F658" s="24" t="n"/>
    </row>
    <row r="659">
      <c r="A659" s="22" t="n">
        <v>45992</v>
      </c>
      <c r="B659" s="23" t="inlineStr">
        <is>
          <t>Household</t>
        </is>
      </c>
      <c r="C659" s="23" t="inlineStr">
        <is>
          <t>Actual</t>
        </is>
      </c>
      <c r="D659" s="24" t="n">
        <v>705.16</v>
      </c>
      <c r="E659" s="24" t="n"/>
      <c r="F659" s="24" t="n"/>
    </row>
    <row r="660">
      <c r="A660" s="22" t="n">
        <v>45992</v>
      </c>
      <c r="B660" s="23" t="inlineStr">
        <is>
          <t>Produce</t>
        </is>
      </c>
      <c r="C660" s="23" t="inlineStr">
        <is>
          <t>Actual</t>
        </is>
      </c>
      <c r="D660" s="24" t="n">
        <v>532.87</v>
      </c>
      <c r="E660" s="24" t="n"/>
      <c r="F660" s="24" t="n"/>
    </row>
    <row r="661">
      <c r="A661" s="22" t="n">
        <v>45992</v>
      </c>
      <c r="B661" s="23" t="inlineStr">
        <is>
          <t>Snacks &amp; Confectionery</t>
        </is>
      </c>
      <c r="C661" s="23" t="inlineStr">
        <is>
          <t>Actual</t>
        </is>
      </c>
      <c r="D661" s="24" t="n">
        <v>2176.81</v>
      </c>
      <c r="E661" s="24" t="n"/>
      <c r="F661" s="24" t="n"/>
    </row>
    <row r="662">
      <c r="A662" s="22" t="n">
        <v>45999</v>
      </c>
      <c r="B662" s="23" t="inlineStr">
        <is>
          <t>Bakery</t>
        </is>
      </c>
      <c r="C662" s="23" t="inlineStr">
        <is>
          <t>Actual</t>
        </is>
      </c>
      <c r="D662" s="24" t="n">
        <v>1190.18</v>
      </c>
      <c r="E662" s="24" t="n"/>
      <c r="F662" s="24" t="n"/>
    </row>
    <row r="663">
      <c r="A663" s="22" t="n">
        <v>45999</v>
      </c>
      <c r="B663" s="23" t="inlineStr">
        <is>
          <t>Beer &amp; Wine</t>
        </is>
      </c>
      <c r="C663" s="23" t="inlineStr">
        <is>
          <t>Actual</t>
        </is>
      </c>
      <c r="D663" s="24" t="n">
        <v>2815.89</v>
      </c>
      <c r="E663" s="24" t="n"/>
      <c r="F663" s="24" t="n"/>
    </row>
    <row r="664">
      <c r="A664" s="22" t="n">
        <v>45999</v>
      </c>
      <c r="B664" s="23" t="inlineStr">
        <is>
          <t>Beverages</t>
        </is>
      </c>
      <c r="C664" s="23" t="inlineStr">
        <is>
          <t>Actual</t>
        </is>
      </c>
      <c r="D664" s="24" t="n">
        <v>3966.08</v>
      </c>
      <c r="E664" s="24" t="n"/>
      <c r="F664" s="24" t="n"/>
    </row>
    <row r="665">
      <c r="A665" s="22" t="n">
        <v>45999</v>
      </c>
      <c r="B665" s="23" t="inlineStr">
        <is>
          <t>Dairy</t>
        </is>
      </c>
      <c r="C665" s="23" t="inlineStr">
        <is>
          <t>Actual</t>
        </is>
      </c>
      <c r="D665" s="24" t="n">
        <v>3672.61</v>
      </c>
      <c r="E665" s="24" t="n"/>
      <c r="F665" s="24" t="n"/>
    </row>
    <row r="666">
      <c r="A666" s="22" t="n">
        <v>45999</v>
      </c>
      <c r="B666" s="23" t="inlineStr">
        <is>
          <t>Food To Go</t>
        </is>
      </c>
      <c r="C666" s="23" t="inlineStr">
        <is>
          <t>Actual</t>
        </is>
      </c>
      <c r="D666" s="24" t="n">
        <v>4185.73</v>
      </c>
      <c r="E666" s="24" t="n"/>
      <c r="F666" s="24" t="n"/>
    </row>
    <row r="667">
      <c r="A667" s="22" t="n">
        <v>45999</v>
      </c>
      <c r="B667" s="23" t="inlineStr">
        <is>
          <t>Frozen</t>
        </is>
      </c>
      <c r="C667" s="23" t="inlineStr">
        <is>
          <t>Actual</t>
        </is>
      </c>
      <c r="D667" s="24" t="n">
        <v>1092.29</v>
      </c>
      <c r="E667" s="24" t="n"/>
      <c r="F667" s="24" t="n"/>
    </row>
    <row r="668">
      <c r="A668" s="22" t="n">
        <v>45999</v>
      </c>
      <c r="B668" s="23" t="inlineStr">
        <is>
          <t>Grocery</t>
        </is>
      </c>
      <c r="C668" s="23" t="inlineStr">
        <is>
          <t>Actual</t>
        </is>
      </c>
      <c r="D668" s="24" t="n">
        <v>2042.49</v>
      </c>
      <c r="E668" s="24" t="n"/>
      <c r="F668" s="24" t="n"/>
    </row>
    <row r="669">
      <c r="A669" s="22" t="n">
        <v>45999</v>
      </c>
      <c r="B669" s="23" t="inlineStr">
        <is>
          <t>Health &amp; Beauty</t>
        </is>
      </c>
      <c r="C669" s="23" t="inlineStr">
        <is>
          <t>Actual</t>
        </is>
      </c>
      <c r="D669" s="24" t="n">
        <v>240.7</v>
      </c>
      <c r="E669" s="24" t="n"/>
      <c r="F669" s="24" t="n"/>
    </row>
    <row r="670">
      <c r="A670" s="22" t="n">
        <v>45999</v>
      </c>
      <c r="B670" s="23" t="inlineStr">
        <is>
          <t>Household</t>
        </is>
      </c>
      <c r="C670" s="23" t="inlineStr">
        <is>
          <t>Actual</t>
        </is>
      </c>
      <c r="D670" s="24" t="n">
        <v>492.37</v>
      </c>
      <c r="E670" s="24" t="n"/>
      <c r="F670" s="24" t="n"/>
    </row>
    <row r="671">
      <c r="A671" s="22" t="n">
        <v>45999</v>
      </c>
      <c r="B671" s="23" t="inlineStr">
        <is>
          <t>Produce</t>
        </is>
      </c>
      <c r="C671" s="23" t="inlineStr">
        <is>
          <t>Actual</t>
        </is>
      </c>
      <c r="D671" s="24" t="n">
        <v>511.38</v>
      </c>
      <c r="E671" s="24" t="n"/>
      <c r="F671" s="24" t="n"/>
    </row>
    <row r="672">
      <c r="A672" s="22" t="n">
        <v>45999</v>
      </c>
      <c r="B672" s="23" t="inlineStr">
        <is>
          <t>Snacks &amp; Confectionery</t>
        </is>
      </c>
      <c r="C672" s="23" t="inlineStr">
        <is>
          <t>Actual</t>
        </is>
      </c>
      <c r="D672" s="24" t="n">
        <v>2089.3</v>
      </c>
      <c r="E672" s="24" t="n"/>
      <c r="F672" s="24" t="n"/>
    </row>
    <row r="673">
      <c r="A673" s="22" t="n">
        <v>46006</v>
      </c>
      <c r="B673" s="23" t="inlineStr">
        <is>
          <t>Bakery</t>
        </is>
      </c>
      <c r="C673" s="23" t="inlineStr">
        <is>
          <t>Actual</t>
        </is>
      </c>
      <c r="D673" s="24" t="n">
        <v>1306.47</v>
      </c>
      <c r="E673" s="24" t="n"/>
      <c r="F673" s="24" t="n"/>
    </row>
    <row r="674">
      <c r="A674" s="22" t="n">
        <v>46006</v>
      </c>
      <c r="B674" s="23" t="inlineStr">
        <is>
          <t>Beer &amp; Wine</t>
        </is>
      </c>
      <c r="C674" s="23" t="inlineStr">
        <is>
          <t>Actual</t>
        </is>
      </c>
      <c r="D674" s="24" t="n">
        <v>3139.4</v>
      </c>
      <c r="E674" s="24" t="n"/>
      <c r="F674" s="24" t="n"/>
    </row>
    <row r="675">
      <c r="A675" s="22" t="n">
        <v>46006</v>
      </c>
      <c r="B675" s="23" t="inlineStr">
        <is>
          <t>Beverages</t>
        </is>
      </c>
      <c r="C675" s="23" t="inlineStr">
        <is>
          <t>Actual</t>
        </is>
      </c>
      <c r="D675" s="24" t="n">
        <v>3848.99</v>
      </c>
      <c r="E675" s="24" t="n"/>
      <c r="F675" s="24" t="n"/>
    </row>
    <row r="676">
      <c r="A676" s="22" t="n">
        <v>46006</v>
      </c>
      <c r="B676" s="23" t="inlineStr">
        <is>
          <t>Dairy</t>
        </is>
      </c>
      <c r="C676" s="23" t="inlineStr">
        <is>
          <t>Actual</t>
        </is>
      </c>
      <c r="D676" s="24" t="n">
        <v>3548.38</v>
      </c>
      <c r="E676" s="24" t="n"/>
      <c r="F676" s="24" t="n"/>
    </row>
    <row r="677">
      <c r="A677" s="22" t="n">
        <v>46006</v>
      </c>
      <c r="B677" s="23" t="inlineStr">
        <is>
          <t>Food To Go</t>
        </is>
      </c>
      <c r="C677" s="23" t="inlineStr">
        <is>
          <t>Actual</t>
        </is>
      </c>
      <c r="D677" s="24" t="n">
        <v>4139.33</v>
      </c>
      <c r="E677" s="24" t="n"/>
      <c r="F677" s="24" t="n"/>
    </row>
    <row r="678">
      <c r="A678" s="22" t="n">
        <v>46006</v>
      </c>
      <c r="B678" s="23" t="inlineStr">
        <is>
          <t>Frozen</t>
        </is>
      </c>
      <c r="C678" s="23" t="inlineStr">
        <is>
          <t>Actual</t>
        </is>
      </c>
      <c r="D678" s="24" t="n">
        <v>1427.71</v>
      </c>
      <c r="E678" s="24" t="n"/>
      <c r="F678" s="24" t="n"/>
    </row>
    <row r="679">
      <c r="A679" s="22" t="n">
        <v>46006</v>
      </c>
      <c r="B679" s="23" t="inlineStr">
        <is>
          <t>Grocery</t>
        </is>
      </c>
      <c r="C679" s="23" t="inlineStr">
        <is>
          <t>Actual</t>
        </is>
      </c>
      <c r="D679" s="24" t="n">
        <v>1766.76</v>
      </c>
      <c r="E679" s="24" t="n"/>
      <c r="F679" s="24" t="n"/>
    </row>
    <row r="680">
      <c r="A680" s="22" t="n">
        <v>46006</v>
      </c>
      <c r="B680" s="23" t="inlineStr">
        <is>
          <t>Health &amp; Beauty</t>
        </is>
      </c>
      <c r="C680" s="23" t="inlineStr">
        <is>
          <t>Actual</t>
        </is>
      </c>
      <c r="D680" s="24" t="n">
        <v>319.64</v>
      </c>
      <c r="E680" s="24" t="n"/>
      <c r="F680" s="24" t="n"/>
    </row>
    <row r="681">
      <c r="A681" s="22" t="n">
        <v>46006</v>
      </c>
      <c r="B681" s="23" t="inlineStr">
        <is>
          <t>Household</t>
        </is>
      </c>
      <c r="C681" s="23" t="inlineStr">
        <is>
          <t>Actual</t>
        </is>
      </c>
      <c r="D681" s="24" t="n">
        <v>484.41</v>
      </c>
      <c r="E681" s="24" t="n"/>
      <c r="F681" s="24" t="n"/>
    </row>
    <row r="682">
      <c r="A682" s="22" t="n">
        <v>46006</v>
      </c>
      <c r="B682" s="23" t="inlineStr">
        <is>
          <t>Produce</t>
        </is>
      </c>
      <c r="C682" s="23" t="inlineStr">
        <is>
          <t>Actual</t>
        </is>
      </c>
      <c r="D682" s="24" t="n">
        <v>557.8099999999999</v>
      </c>
      <c r="E682" s="24" t="n"/>
      <c r="F682" s="24" t="n"/>
    </row>
    <row r="683">
      <c r="A683" s="22" t="n">
        <v>46006</v>
      </c>
      <c r="B683" s="23" t="inlineStr">
        <is>
          <t>Snacks &amp; Confectionery</t>
        </is>
      </c>
      <c r="C683" s="23" t="inlineStr">
        <is>
          <t>Actual</t>
        </is>
      </c>
      <c r="D683" s="24" t="n">
        <v>1810.23</v>
      </c>
      <c r="E683" s="24" t="n"/>
      <c r="F683" s="24" t="n"/>
    </row>
    <row r="684">
      <c r="A684" s="22" t="n">
        <v>46013</v>
      </c>
      <c r="B684" s="23" t="inlineStr">
        <is>
          <t>Bakery</t>
        </is>
      </c>
      <c r="C684" s="23" t="inlineStr">
        <is>
          <t>Actual</t>
        </is>
      </c>
      <c r="D684" s="24" t="n">
        <v>1144.45</v>
      </c>
      <c r="E684" s="24" t="n"/>
      <c r="F684" s="24" t="n"/>
    </row>
    <row r="685">
      <c r="A685" s="22" t="n">
        <v>46013</v>
      </c>
      <c r="B685" s="23" t="inlineStr">
        <is>
          <t>Beer &amp; Wine</t>
        </is>
      </c>
      <c r="C685" s="23" t="inlineStr">
        <is>
          <t>Actual</t>
        </is>
      </c>
      <c r="D685" s="24" t="n">
        <v>2586.71</v>
      </c>
      <c r="E685" s="24" t="n"/>
      <c r="F685" s="24" t="n"/>
    </row>
    <row r="686">
      <c r="A686" s="22" t="n">
        <v>46013</v>
      </c>
      <c r="B686" s="23" t="inlineStr">
        <is>
          <t>Beverages</t>
        </is>
      </c>
      <c r="C686" s="23" t="inlineStr">
        <is>
          <t>Actual</t>
        </is>
      </c>
      <c r="D686" s="24" t="n">
        <v>3714.99</v>
      </c>
      <c r="E686" s="24" t="n"/>
      <c r="F686" s="24" t="n"/>
    </row>
    <row r="687">
      <c r="A687" s="22" t="n">
        <v>46013</v>
      </c>
      <c r="B687" s="23" t="inlineStr">
        <is>
          <t>Dairy</t>
        </is>
      </c>
      <c r="C687" s="23" t="inlineStr">
        <is>
          <t>Actual</t>
        </is>
      </c>
      <c r="D687" s="24" t="n">
        <v>2967.27</v>
      </c>
      <c r="E687" s="24" t="n"/>
      <c r="F687" s="24" t="n"/>
    </row>
    <row r="688">
      <c r="A688" s="22" t="n">
        <v>46013</v>
      </c>
      <c r="B688" s="23" t="inlineStr">
        <is>
          <t>Food To Go</t>
        </is>
      </c>
      <c r="C688" s="23" t="inlineStr">
        <is>
          <t>Actual</t>
        </is>
      </c>
      <c r="D688" s="24" t="n">
        <v>3627.48</v>
      </c>
      <c r="E688" s="24" t="n"/>
      <c r="F688" s="24" t="n"/>
    </row>
    <row r="689">
      <c r="A689" s="22" t="n">
        <v>46013</v>
      </c>
      <c r="B689" s="23" t="inlineStr">
        <is>
          <t>Frozen</t>
        </is>
      </c>
      <c r="C689" s="23" t="inlineStr">
        <is>
          <t>Actual</t>
        </is>
      </c>
      <c r="D689" s="24" t="n">
        <v>1303.92</v>
      </c>
      <c r="E689" s="24" t="n"/>
      <c r="F689" s="24" t="n"/>
    </row>
    <row r="690">
      <c r="A690" s="22" t="n">
        <v>46013</v>
      </c>
      <c r="B690" s="23" t="inlineStr">
        <is>
          <t>Grocery</t>
        </is>
      </c>
      <c r="C690" s="23" t="inlineStr">
        <is>
          <t>Actual</t>
        </is>
      </c>
      <c r="D690" s="24" t="n">
        <v>1718.3</v>
      </c>
      <c r="E690" s="24" t="n"/>
      <c r="F690" s="24" t="n"/>
    </row>
    <row r="691">
      <c r="A691" s="22" t="n">
        <v>46013</v>
      </c>
      <c r="B691" s="23" t="inlineStr">
        <is>
          <t>Health &amp; Beauty</t>
        </is>
      </c>
      <c r="C691" s="23" t="inlineStr">
        <is>
          <t>Actual</t>
        </is>
      </c>
      <c r="D691" s="24" t="n">
        <v>274.65</v>
      </c>
      <c r="E691" s="24" t="n"/>
      <c r="F691" s="24" t="n"/>
    </row>
    <row r="692">
      <c r="A692" s="22" t="n">
        <v>46013</v>
      </c>
      <c r="B692" s="23" t="inlineStr">
        <is>
          <t>Household</t>
        </is>
      </c>
      <c r="C692" s="23" t="inlineStr">
        <is>
          <t>Actual</t>
        </is>
      </c>
      <c r="D692" s="24" t="n">
        <v>519.42</v>
      </c>
      <c r="E692" s="24" t="n"/>
      <c r="F692" s="24" t="n"/>
    </row>
    <row r="693">
      <c r="A693" s="22" t="n">
        <v>46013</v>
      </c>
      <c r="B693" s="23" t="inlineStr">
        <is>
          <t>Produce</t>
        </is>
      </c>
      <c r="C693" s="23" t="inlineStr">
        <is>
          <t>Actual</t>
        </is>
      </c>
      <c r="D693" s="24" t="n">
        <v>489.33</v>
      </c>
      <c r="E693" s="24" t="n"/>
      <c r="F693" s="24" t="n"/>
    </row>
    <row r="694">
      <c r="A694" s="22" t="n">
        <v>46013</v>
      </c>
      <c r="B694" s="23" t="inlineStr">
        <is>
          <t>Snacks &amp; Confectionery</t>
        </is>
      </c>
      <c r="C694" s="23" t="inlineStr">
        <is>
          <t>Actual</t>
        </is>
      </c>
      <c r="D694" s="24" t="n">
        <v>1743.54</v>
      </c>
      <c r="E694" s="24" t="n"/>
      <c r="F694" s="24" t="n"/>
    </row>
    <row r="695">
      <c r="A695" s="22" t="n">
        <v>46020</v>
      </c>
      <c r="B695" s="23" t="inlineStr">
        <is>
          <t>Bakery</t>
        </is>
      </c>
      <c r="C695" s="23" t="inlineStr">
        <is>
          <t>Actual</t>
        </is>
      </c>
      <c r="D695" s="24" t="n">
        <v>973.0700000000001</v>
      </c>
      <c r="E695" s="24" t="n"/>
      <c r="F695" s="24" t="n"/>
    </row>
    <row r="696">
      <c r="A696" s="22" t="n">
        <v>46020</v>
      </c>
      <c r="B696" s="23" t="inlineStr">
        <is>
          <t>Beer &amp; Wine</t>
        </is>
      </c>
      <c r="C696" s="23" t="inlineStr">
        <is>
          <t>Actual</t>
        </is>
      </c>
      <c r="D696" s="24" t="n">
        <v>2631.41</v>
      </c>
      <c r="E696" s="24" t="n"/>
      <c r="F696" s="24" t="n"/>
    </row>
    <row r="697">
      <c r="A697" s="22" t="n">
        <v>46020</v>
      </c>
      <c r="B697" s="23" t="inlineStr">
        <is>
          <t>Beverages</t>
        </is>
      </c>
      <c r="C697" s="23" t="inlineStr">
        <is>
          <t>Actual</t>
        </is>
      </c>
      <c r="D697" s="24" t="n">
        <v>3445.34</v>
      </c>
      <c r="E697" s="24" t="n"/>
      <c r="F697" s="24" t="n"/>
    </row>
    <row r="698">
      <c r="A698" s="22" t="n">
        <v>46020</v>
      </c>
      <c r="B698" s="23" t="inlineStr">
        <is>
          <t>Dairy</t>
        </is>
      </c>
      <c r="C698" s="23" t="inlineStr">
        <is>
          <t>Actual</t>
        </is>
      </c>
      <c r="D698" s="24" t="n">
        <v>2828.91</v>
      </c>
      <c r="E698" s="24" t="n"/>
      <c r="F698" s="24" t="n"/>
    </row>
    <row r="699">
      <c r="A699" s="22" t="n">
        <v>46020</v>
      </c>
      <c r="B699" s="23" t="inlineStr">
        <is>
          <t>Food To Go</t>
        </is>
      </c>
      <c r="C699" s="23" t="inlineStr">
        <is>
          <t>Actual</t>
        </is>
      </c>
      <c r="D699" s="24" t="n">
        <v>3465.16</v>
      </c>
      <c r="E699" s="24" t="n"/>
      <c r="F699" s="24" t="n"/>
    </row>
    <row r="700">
      <c r="A700" s="22" t="n">
        <v>46020</v>
      </c>
      <c r="B700" s="23" t="inlineStr">
        <is>
          <t>Frozen</t>
        </is>
      </c>
      <c r="C700" s="23" t="inlineStr">
        <is>
          <t>Actual</t>
        </is>
      </c>
      <c r="D700" s="24" t="n">
        <v>1199.97</v>
      </c>
      <c r="E700" s="24" t="n"/>
      <c r="F700" s="24" t="n"/>
    </row>
    <row r="701">
      <c r="A701" s="22" t="n">
        <v>46020</v>
      </c>
      <c r="B701" s="23" t="inlineStr">
        <is>
          <t>Grocery</t>
        </is>
      </c>
      <c r="C701" s="23" t="inlineStr">
        <is>
          <t>Actual</t>
        </is>
      </c>
      <c r="D701" s="24" t="n">
        <v>1563.43</v>
      </c>
      <c r="E701" s="24" t="n"/>
      <c r="F701" s="24" t="n"/>
    </row>
    <row r="702">
      <c r="A702" s="22" t="n">
        <v>46020</v>
      </c>
      <c r="B702" s="23" t="inlineStr">
        <is>
          <t>Health &amp; Beauty</t>
        </is>
      </c>
      <c r="C702" s="23" t="inlineStr">
        <is>
          <t>Actual</t>
        </is>
      </c>
      <c r="D702" s="24" t="n">
        <v>247.71</v>
      </c>
      <c r="E702" s="24" t="n"/>
      <c r="F702" s="24" t="n"/>
    </row>
    <row r="703">
      <c r="A703" s="22" t="n">
        <v>46020</v>
      </c>
      <c r="B703" s="23" t="inlineStr">
        <is>
          <t>Household</t>
        </is>
      </c>
      <c r="C703" s="23" t="inlineStr">
        <is>
          <t>Actual</t>
        </is>
      </c>
      <c r="D703" s="24" t="n">
        <v>529.36</v>
      </c>
      <c r="E703" s="24" t="n"/>
      <c r="F703" s="24" t="n"/>
    </row>
    <row r="704">
      <c r="A704" s="22" t="n">
        <v>46020</v>
      </c>
      <c r="B704" s="23" t="inlineStr">
        <is>
          <t>Produce</t>
        </is>
      </c>
      <c r="C704" s="23" t="inlineStr">
        <is>
          <t>Actual</t>
        </is>
      </c>
      <c r="D704" s="24" t="n">
        <v>506.66</v>
      </c>
      <c r="E704" s="24" t="n"/>
      <c r="F704" s="24" t="n"/>
    </row>
    <row r="705">
      <c r="A705" s="22" t="n">
        <v>46020</v>
      </c>
      <c r="B705" s="23" t="inlineStr">
        <is>
          <t>Snacks &amp; Confectionery</t>
        </is>
      </c>
      <c r="C705" s="23" t="inlineStr">
        <is>
          <t>Actual</t>
        </is>
      </c>
      <c r="D705" s="24" t="n">
        <v>1833.82</v>
      </c>
      <c r="E705" s="24" t="n"/>
      <c r="F705" s="24" t="n"/>
    </row>
    <row r="706">
      <c r="A706" s="22" t="n">
        <v>46027</v>
      </c>
      <c r="B706" s="23" t="inlineStr">
        <is>
          <t>Bakery</t>
        </is>
      </c>
      <c r="C706" s="23" t="inlineStr">
        <is>
          <t>Actual</t>
        </is>
      </c>
      <c r="D706" s="24" t="n">
        <v>1025.22</v>
      </c>
      <c r="E706" s="24" t="n"/>
      <c r="F706" s="24" t="n"/>
    </row>
    <row r="707">
      <c r="A707" s="22" t="n">
        <v>46027</v>
      </c>
      <c r="B707" s="23" t="inlineStr">
        <is>
          <t>Beer &amp; Wine</t>
        </is>
      </c>
      <c r="C707" s="23" t="inlineStr">
        <is>
          <t>Actual</t>
        </is>
      </c>
      <c r="D707" s="24" t="n">
        <v>2802.54</v>
      </c>
      <c r="E707" s="24" t="n"/>
      <c r="F707" s="24" t="n"/>
    </row>
    <row r="708">
      <c r="A708" s="22" t="n">
        <v>46027</v>
      </c>
      <c r="B708" s="23" t="inlineStr">
        <is>
          <t>Beverages</t>
        </is>
      </c>
      <c r="C708" s="23" t="inlineStr">
        <is>
          <t>Actual</t>
        </is>
      </c>
      <c r="D708" s="24" t="n">
        <v>3158.73</v>
      </c>
      <c r="E708" s="24" t="n"/>
      <c r="F708" s="24" t="n"/>
    </row>
    <row r="709">
      <c r="A709" s="22" t="n">
        <v>46027</v>
      </c>
      <c r="B709" s="23" t="inlineStr">
        <is>
          <t>Dairy</t>
        </is>
      </c>
      <c r="C709" s="23" t="inlineStr">
        <is>
          <t>Actual</t>
        </is>
      </c>
      <c r="D709" s="24" t="n">
        <v>2480.45</v>
      </c>
      <c r="E709" s="24" t="n"/>
      <c r="F709" s="24" t="n"/>
    </row>
    <row r="710">
      <c r="A710" s="22" t="n">
        <v>46027</v>
      </c>
      <c r="B710" s="23" t="inlineStr">
        <is>
          <t>Food To Go</t>
        </is>
      </c>
      <c r="C710" s="23" t="inlineStr">
        <is>
          <t>Actual</t>
        </is>
      </c>
      <c r="D710" s="24" t="n">
        <v>3325.03</v>
      </c>
      <c r="E710" s="24" t="n"/>
      <c r="F710" s="24" t="n"/>
    </row>
    <row r="711">
      <c r="A711" s="22" t="n">
        <v>46027</v>
      </c>
      <c r="B711" s="23" t="inlineStr">
        <is>
          <t>Frozen</t>
        </is>
      </c>
      <c r="C711" s="23" t="inlineStr">
        <is>
          <t>Actual</t>
        </is>
      </c>
      <c r="D711" s="24" t="n">
        <v>1193.06</v>
      </c>
      <c r="E711" s="24" t="n"/>
      <c r="F711" s="24" t="n"/>
    </row>
    <row r="712">
      <c r="A712" s="22" t="n">
        <v>46027</v>
      </c>
      <c r="B712" s="23" t="inlineStr">
        <is>
          <t>Grocery</t>
        </is>
      </c>
      <c r="C712" s="23" t="inlineStr">
        <is>
          <t>Actual</t>
        </is>
      </c>
      <c r="D712" s="24" t="n">
        <v>1344.09</v>
      </c>
      <c r="E712" s="24" t="n"/>
      <c r="F712" s="24" t="n"/>
    </row>
    <row r="713">
      <c r="A713" s="22" t="n">
        <v>46027</v>
      </c>
      <c r="B713" s="23" t="inlineStr">
        <is>
          <t>Health &amp; Beauty</t>
        </is>
      </c>
      <c r="C713" s="23" t="inlineStr">
        <is>
          <t>Actual</t>
        </is>
      </c>
      <c r="D713" s="24" t="n">
        <v>388.66</v>
      </c>
      <c r="E713" s="24" t="n"/>
      <c r="F713" s="24" t="n"/>
    </row>
    <row r="714">
      <c r="A714" s="22" t="n">
        <v>46027</v>
      </c>
      <c r="B714" s="23" t="inlineStr">
        <is>
          <t>Household</t>
        </is>
      </c>
      <c r="C714" s="23" t="inlineStr">
        <is>
          <t>Actual</t>
        </is>
      </c>
      <c r="D714" s="24" t="n">
        <v>426.47</v>
      </c>
      <c r="E714" s="24" t="n"/>
      <c r="F714" s="24" t="n"/>
    </row>
    <row r="715">
      <c r="A715" s="22" t="n">
        <v>46027</v>
      </c>
      <c r="B715" s="23" t="inlineStr">
        <is>
          <t>Produce</t>
        </is>
      </c>
      <c r="C715" s="23" t="inlineStr">
        <is>
          <t>Actual</t>
        </is>
      </c>
      <c r="D715" s="24" t="n">
        <v>437.02</v>
      </c>
      <c r="E715" s="24" t="n"/>
      <c r="F715" s="24" t="n"/>
    </row>
    <row r="716">
      <c r="A716" s="22" t="n">
        <v>46027</v>
      </c>
      <c r="B716" s="23" t="inlineStr">
        <is>
          <t>Snacks &amp; Confectionery</t>
        </is>
      </c>
      <c r="C716" s="23" t="inlineStr">
        <is>
          <t>Actual</t>
        </is>
      </c>
      <c r="D716" s="24" t="n">
        <v>1605.45</v>
      </c>
      <c r="E716" s="24" t="n"/>
      <c r="F716" s="24" t="n"/>
    </row>
    <row r="717">
      <c r="A717" s="22" t="n">
        <v>46034</v>
      </c>
      <c r="B717" s="23" t="inlineStr">
        <is>
          <t>Bakery</t>
        </is>
      </c>
      <c r="C717" s="23" t="inlineStr">
        <is>
          <t>Actual</t>
        </is>
      </c>
      <c r="D717" s="24" t="n">
        <v>815.72</v>
      </c>
      <c r="E717" s="24" t="n"/>
      <c r="F717" s="24" t="n"/>
    </row>
    <row r="718">
      <c r="A718" s="22" t="n">
        <v>46034</v>
      </c>
      <c r="B718" s="23" t="inlineStr">
        <is>
          <t>Beer &amp; Wine</t>
        </is>
      </c>
      <c r="C718" s="23" t="inlineStr">
        <is>
          <t>Actual</t>
        </is>
      </c>
      <c r="D718" s="24" t="n">
        <v>2365.75</v>
      </c>
      <c r="E718" s="24" t="n"/>
      <c r="F718" s="24" t="n"/>
    </row>
    <row r="719">
      <c r="A719" s="22" t="n">
        <v>46034</v>
      </c>
      <c r="B719" s="23" t="inlineStr">
        <is>
          <t>Beverages</t>
        </is>
      </c>
      <c r="C719" s="23" t="inlineStr">
        <is>
          <t>Actual</t>
        </is>
      </c>
      <c r="D719" s="24" t="n">
        <v>2921.52</v>
      </c>
      <c r="E719" s="24" t="n"/>
      <c r="F719" s="24" t="n"/>
    </row>
    <row r="720">
      <c r="A720" s="22" t="n">
        <v>46034</v>
      </c>
      <c r="B720" s="23" t="inlineStr">
        <is>
          <t>Dairy</t>
        </is>
      </c>
      <c r="C720" s="23" t="inlineStr">
        <is>
          <t>Actual</t>
        </is>
      </c>
      <c r="D720" s="24" t="n">
        <v>2799.78</v>
      </c>
      <c r="E720" s="24" t="n"/>
      <c r="F720" s="24" t="n"/>
    </row>
    <row r="721">
      <c r="A721" s="22" t="n">
        <v>46034</v>
      </c>
      <c r="B721" s="23" t="inlineStr">
        <is>
          <t>Food To Go</t>
        </is>
      </c>
      <c r="C721" s="23" t="inlineStr">
        <is>
          <t>Actual</t>
        </is>
      </c>
      <c r="D721" s="24" t="n">
        <v>3277.88</v>
      </c>
      <c r="E721" s="24" t="n"/>
      <c r="F721" s="24" t="n"/>
    </row>
    <row r="722">
      <c r="A722" s="22" t="n">
        <v>46034</v>
      </c>
      <c r="B722" s="23" t="inlineStr">
        <is>
          <t>Frozen</t>
        </is>
      </c>
      <c r="C722" s="23" t="inlineStr">
        <is>
          <t>Actual</t>
        </is>
      </c>
      <c r="D722" s="24" t="n">
        <v>1022.41</v>
      </c>
      <c r="E722" s="24" t="n"/>
      <c r="F722" s="24" t="n"/>
    </row>
    <row r="723">
      <c r="A723" s="22" t="n">
        <v>46034</v>
      </c>
      <c r="B723" s="23" t="inlineStr">
        <is>
          <t>Grocery</t>
        </is>
      </c>
      <c r="C723" s="23" t="inlineStr">
        <is>
          <t>Actual</t>
        </is>
      </c>
      <c r="D723" s="24" t="n">
        <v>1437.2</v>
      </c>
      <c r="E723" s="24" t="n"/>
      <c r="F723" s="24" t="n"/>
    </row>
    <row r="724">
      <c r="A724" s="22" t="n">
        <v>46034</v>
      </c>
      <c r="B724" s="23" t="inlineStr">
        <is>
          <t>Health &amp; Beauty</t>
        </is>
      </c>
      <c r="C724" s="23" t="inlineStr">
        <is>
          <t>Actual</t>
        </is>
      </c>
      <c r="D724" s="24" t="n">
        <v>413.57</v>
      </c>
      <c r="E724" s="24" t="n"/>
      <c r="F724" s="24" t="n"/>
    </row>
    <row r="725">
      <c r="A725" s="22" t="n">
        <v>46034</v>
      </c>
      <c r="B725" s="23" t="inlineStr">
        <is>
          <t>Household</t>
        </is>
      </c>
      <c r="C725" s="23" t="inlineStr">
        <is>
          <t>Actual</t>
        </is>
      </c>
      <c r="D725" s="24" t="n">
        <v>544.29</v>
      </c>
      <c r="E725" s="24" t="n"/>
      <c r="F725" s="24" t="n"/>
    </row>
    <row r="726">
      <c r="A726" s="22" t="n">
        <v>46034</v>
      </c>
      <c r="B726" s="23" t="inlineStr">
        <is>
          <t>Produce</t>
        </is>
      </c>
      <c r="C726" s="23" t="inlineStr">
        <is>
          <t>Actual</t>
        </is>
      </c>
      <c r="D726" s="24" t="n">
        <v>503.65</v>
      </c>
      <c r="E726" s="24" t="n"/>
      <c r="F726" s="24" t="n"/>
    </row>
    <row r="727">
      <c r="A727" s="22" t="n">
        <v>46034</v>
      </c>
      <c r="B727" s="23" t="inlineStr">
        <is>
          <t>Snacks &amp; Confectionery</t>
        </is>
      </c>
      <c r="C727" s="23" t="inlineStr">
        <is>
          <t>Actual</t>
        </is>
      </c>
      <c r="D727" s="24" t="n">
        <v>1704.31</v>
      </c>
      <c r="E727" s="24" t="n"/>
      <c r="F727" s="24" t="n"/>
    </row>
    <row r="728">
      <c r="A728" s="22" t="n">
        <v>46041</v>
      </c>
      <c r="B728" s="23" t="inlineStr">
        <is>
          <t>Bakery</t>
        </is>
      </c>
      <c r="C728" s="23" t="inlineStr">
        <is>
          <t>Actual</t>
        </is>
      </c>
      <c r="D728" s="24" t="n">
        <v>1126.87</v>
      </c>
      <c r="E728" s="24" t="n"/>
      <c r="F728" s="24" t="n"/>
    </row>
    <row r="729">
      <c r="A729" s="22" t="n">
        <v>46041</v>
      </c>
      <c r="B729" s="23" t="inlineStr">
        <is>
          <t>Beer &amp; Wine</t>
        </is>
      </c>
      <c r="C729" s="23" t="inlineStr">
        <is>
          <t>Actual</t>
        </is>
      </c>
      <c r="D729" s="24" t="n">
        <v>2925.46</v>
      </c>
      <c r="E729" s="24" t="n"/>
      <c r="F729" s="24" t="n"/>
    </row>
    <row r="730">
      <c r="A730" s="22" t="n">
        <v>46041</v>
      </c>
      <c r="B730" s="23" t="inlineStr">
        <is>
          <t>Beverages</t>
        </is>
      </c>
      <c r="C730" s="23" t="inlineStr">
        <is>
          <t>Actual</t>
        </is>
      </c>
      <c r="D730" s="24" t="n">
        <v>3532.96</v>
      </c>
      <c r="E730" s="24" t="n"/>
      <c r="F730" s="24" t="n"/>
    </row>
    <row r="731">
      <c r="A731" s="22" t="n">
        <v>46041</v>
      </c>
      <c r="B731" s="23" t="inlineStr">
        <is>
          <t>Dairy</t>
        </is>
      </c>
      <c r="C731" s="23" t="inlineStr">
        <is>
          <t>Actual</t>
        </is>
      </c>
      <c r="D731" s="24" t="n">
        <v>3382.95</v>
      </c>
      <c r="E731" s="24" t="n"/>
      <c r="F731" s="24" t="n"/>
    </row>
    <row r="732">
      <c r="A732" s="22" t="n">
        <v>46041</v>
      </c>
      <c r="B732" s="23" t="inlineStr">
        <is>
          <t>Food To Go</t>
        </is>
      </c>
      <c r="C732" s="23" t="inlineStr">
        <is>
          <t>Actual</t>
        </is>
      </c>
      <c r="D732" s="24" t="n">
        <v>3779.27</v>
      </c>
      <c r="E732" s="24" t="n"/>
      <c r="F732" s="24" t="n"/>
    </row>
    <row r="733">
      <c r="A733" s="22" t="n">
        <v>46041</v>
      </c>
      <c r="B733" s="23" t="inlineStr">
        <is>
          <t>Frozen</t>
        </is>
      </c>
      <c r="C733" s="23" t="inlineStr">
        <is>
          <t>Actual</t>
        </is>
      </c>
      <c r="D733" s="24" t="n">
        <v>1346.9</v>
      </c>
      <c r="E733" s="24" t="n"/>
      <c r="F733" s="24" t="n"/>
    </row>
    <row r="734">
      <c r="A734" s="22" t="n">
        <v>46041</v>
      </c>
      <c r="B734" s="23" t="inlineStr">
        <is>
          <t>Grocery</t>
        </is>
      </c>
      <c r="C734" s="23" t="inlineStr">
        <is>
          <t>Actual</t>
        </is>
      </c>
      <c r="D734" s="24" t="n">
        <v>1706.42</v>
      </c>
      <c r="E734" s="24" t="n"/>
      <c r="F734" s="24" t="n"/>
    </row>
    <row r="735">
      <c r="A735" s="22" t="n">
        <v>46041</v>
      </c>
      <c r="B735" s="23" t="inlineStr">
        <is>
          <t>Health &amp; Beauty</t>
        </is>
      </c>
      <c r="C735" s="23" t="inlineStr">
        <is>
          <t>Actual</t>
        </is>
      </c>
      <c r="D735" s="24" t="n">
        <v>354.58</v>
      </c>
      <c r="E735" s="24" t="n"/>
      <c r="F735" s="24" t="n"/>
    </row>
    <row r="736">
      <c r="A736" s="22" t="n">
        <v>46041</v>
      </c>
      <c r="B736" s="23" t="inlineStr">
        <is>
          <t>Household</t>
        </is>
      </c>
      <c r="C736" s="23" t="inlineStr">
        <is>
          <t>Actual</t>
        </is>
      </c>
      <c r="D736" s="24" t="n">
        <v>558.28</v>
      </c>
      <c r="E736" s="24" t="n"/>
      <c r="F736" s="24" t="n"/>
    </row>
    <row r="737">
      <c r="A737" s="22" t="n">
        <v>46041</v>
      </c>
      <c r="B737" s="23" t="inlineStr">
        <is>
          <t>Produce</t>
        </is>
      </c>
      <c r="C737" s="23" t="inlineStr">
        <is>
          <t>Actual</t>
        </is>
      </c>
      <c r="D737" s="24" t="n">
        <v>572.6799999999999</v>
      </c>
      <c r="E737" s="24" t="n"/>
      <c r="F737" s="24" t="n"/>
    </row>
    <row r="738">
      <c r="A738" s="22" t="n">
        <v>46041</v>
      </c>
      <c r="B738" s="23" t="inlineStr">
        <is>
          <t>Snacks &amp; Confectionery</t>
        </is>
      </c>
      <c r="C738" s="23" t="inlineStr">
        <is>
          <t>Actual</t>
        </is>
      </c>
      <c r="D738" s="24" t="n">
        <v>1911.2</v>
      </c>
      <c r="E738" s="24" t="n"/>
      <c r="F738" s="24" t="n"/>
    </row>
    <row r="739">
      <c r="A739" s="22" t="n">
        <v>46048</v>
      </c>
      <c r="B739" s="23" t="inlineStr">
        <is>
          <t>Bakery</t>
        </is>
      </c>
      <c r="C739" s="23" t="inlineStr">
        <is>
          <t>Actual</t>
        </is>
      </c>
      <c r="D739" s="24" t="n">
        <v>1017.92</v>
      </c>
      <c r="E739" s="24" t="n"/>
      <c r="F739" s="24" t="n"/>
    </row>
    <row r="740">
      <c r="A740" s="22" t="n">
        <v>46048</v>
      </c>
      <c r="B740" s="23" t="inlineStr">
        <is>
          <t>Beer &amp; Wine</t>
        </is>
      </c>
      <c r="C740" s="23" t="inlineStr">
        <is>
          <t>Actual</t>
        </is>
      </c>
      <c r="D740" s="24" t="n">
        <v>3071.42</v>
      </c>
      <c r="E740" s="24" t="n"/>
      <c r="F740" s="24" t="n"/>
    </row>
    <row r="741">
      <c r="A741" s="22" t="n">
        <v>46048</v>
      </c>
      <c r="B741" s="23" t="inlineStr">
        <is>
          <t>Beverages</t>
        </is>
      </c>
      <c r="C741" s="23" t="inlineStr">
        <is>
          <t>Actual</t>
        </is>
      </c>
      <c r="D741" s="24" t="n">
        <v>3438.14</v>
      </c>
      <c r="E741" s="24" t="n"/>
      <c r="F741" s="24" t="n"/>
    </row>
    <row r="742">
      <c r="A742" s="22" t="n">
        <v>46048</v>
      </c>
      <c r="B742" s="23" t="inlineStr">
        <is>
          <t>Dairy</t>
        </is>
      </c>
      <c r="C742" s="23" t="inlineStr">
        <is>
          <t>Actual</t>
        </is>
      </c>
      <c r="D742" s="24" t="n">
        <v>2865.1</v>
      </c>
      <c r="E742" s="24" t="n"/>
      <c r="F742" s="24" t="n"/>
    </row>
    <row r="743">
      <c r="A743" s="22" t="n">
        <v>46048</v>
      </c>
      <c r="B743" s="23" t="inlineStr">
        <is>
          <t>Food To Go</t>
        </is>
      </c>
      <c r="C743" s="23" t="inlineStr">
        <is>
          <t>Actual</t>
        </is>
      </c>
      <c r="D743" s="24" t="n">
        <v>3814.4</v>
      </c>
      <c r="E743" s="24" t="n"/>
      <c r="F743" s="24" t="n"/>
    </row>
    <row r="744">
      <c r="A744" s="22" t="n">
        <v>46048</v>
      </c>
      <c r="B744" s="23" t="inlineStr">
        <is>
          <t>Frozen</t>
        </is>
      </c>
      <c r="C744" s="23" t="inlineStr">
        <is>
          <t>Actual</t>
        </is>
      </c>
      <c r="D744" s="24" t="n">
        <v>1394.86</v>
      </c>
      <c r="E744" s="24" t="n"/>
      <c r="F744" s="24" t="n"/>
    </row>
    <row r="745">
      <c r="A745" s="22" t="n">
        <v>46048</v>
      </c>
      <c r="B745" s="23" t="inlineStr">
        <is>
          <t>Grocery</t>
        </is>
      </c>
      <c r="C745" s="23" t="inlineStr">
        <is>
          <t>Actual</t>
        </is>
      </c>
      <c r="D745" s="24" t="n">
        <v>1578.6</v>
      </c>
      <c r="E745" s="24" t="n"/>
      <c r="F745" s="24" t="n"/>
    </row>
    <row r="746">
      <c r="A746" s="22" t="n">
        <v>46048</v>
      </c>
      <c r="B746" s="23" t="inlineStr">
        <is>
          <t>Health &amp; Beauty</t>
        </is>
      </c>
      <c r="C746" s="23" t="inlineStr">
        <is>
          <t>Actual</t>
        </is>
      </c>
      <c r="D746" s="24" t="n">
        <v>469.54</v>
      </c>
      <c r="E746" s="24" t="n"/>
      <c r="F746" s="24" t="n"/>
    </row>
    <row r="747">
      <c r="A747" s="22" t="n">
        <v>46048</v>
      </c>
      <c r="B747" s="23" t="inlineStr">
        <is>
          <t>Household</t>
        </is>
      </c>
      <c r="C747" s="23" t="inlineStr">
        <is>
          <t>Actual</t>
        </is>
      </c>
      <c r="D747" s="24" t="n">
        <v>637.24</v>
      </c>
      <c r="E747" s="24" t="n"/>
      <c r="F747" s="24" t="n"/>
    </row>
    <row r="748">
      <c r="A748" s="22" t="n">
        <v>46048</v>
      </c>
      <c r="B748" s="23" t="inlineStr">
        <is>
          <t>Produce</t>
        </is>
      </c>
      <c r="C748" s="23" t="inlineStr">
        <is>
          <t>Actual</t>
        </is>
      </c>
      <c r="D748" s="24" t="n">
        <v>547.16</v>
      </c>
      <c r="E748" s="24" t="n"/>
      <c r="F748" s="24" t="n"/>
    </row>
    <row r="749">
      <c r="A749" s="22" t="n">
        <v>46048</v>
      </c>
      <c r="B749" s="23" t="inlineStr">
        <is>
          <t>Snacks &amp; Confectionery</t>
        </is>
      </c>
      <c r="C749" s="23" t="inlineStr">
        <is>
          <t>Actual</t>
        </is>
      </c>
      <c r="D749" s="24" t="n">
        <v>2083.37</v>
      </c>
      <c r="E749" s="24" t="n"/>
      <c r="F749" s="24" t="n"/>
    </row>
    <row r="750">
      <c r="A750" s="22" t="n">
        <v>46055</v>
      </c>
      <c r="B750" s="23" t="inlineStr">
        <is>
          <t>Bakery</t>
        </is>
      </c>
      <c r="C750" s="23" t="inlineStr">
        <is>
          <t>Actual</t>
        </is>
      </c>
      <c r="D750" s="24" t="n">
        <v>1006.01</v>
      </c>
      <c r="E750" s="24" t="n"/>
      <c r="F750" s="24" t="n"/>
    </row>
    <row r="751">
      <c r="A751" s="22" t="n">
        <v>46055</v>
      </c>
      <c r="B751" s="23" t="inlineStr">
        <is>
          <t>Beer &amp; Wine</t>
        </is>
      </c>
      <c r="C751" s="23" t="inlineStr">
        <is>
          <t>Actual</t>
        </is>
      </c>
      <c r="D751" s="24" t="n">
        <v>2926.83</v>
      </c>
      <c r="E751" s="24" t="n"/>
      <c r="F751" s="24" t="n"/>
    </row>
    <row r="752">
      <c r="A752" s="22" t="n">
        <v>46055</v>
      </c>
      <c r="B752" s="23" t="inlineStr">
        <is>
          <t>Beverages</t>
        </is>
      </c>
      <c r="C752" s="23" t="inlineStr">
        <is>
          <t>Actual</t>
        </is>
      </c>
      <c r="D752" s="24" t="n">
        <v>3273.66</v>
      </c>
      <c r="E752" s="24" t="n"/>
      <c r="F752" s="24" t="n"/>
    </row>
    <row r="753">
      <c r="A753" s="22" t="n">
        <v>46055</v>
      </c>
      <c r="B753" s="23" t="inlineStr">
        <is>
          <t>Dairy</t>
        </is>
      </c>
      <c r="C753" s="23" t="inlineStr">
        <is>
          <t>Actual</t>
        </is>
      </c>
      <c r="D753" s="24" t="n">
        <v>3298.9</v>
      </c>
      <c r="E753" s="24" t="n"/>
      <c r="F753" s="24" t="n"/>
    </row>
    <row r="754">
      <c r="A754" s="22" t="n">
        <v>46055</v>
      </c>
      <c r="B754" s="23" t="inlineStr">
        <is>
          <t>Food To Go</t>
        </is>
      </c>
      <c r="C754" s="23" t="inlineStr">
        <is>
          <t>Actual</t>
        </is>
      </c>
      <c r="D754" s="24" t="n">
        <v>3667.21</v>
      </c>
      <c r="E754" s="24" t="n"/>
      <c r="F754" s="24" t="n"/>
    </row>
    <row r="755">
      <c r="A755" s="22" t="n">
        <v>46055</v>
      </c>
      <c r="B755" s="23" t="inlineStr">
        <is>
          <t>Frozen</t>
        </is>
      </c>
      <c r="C755" s="23" t="inlineStr">
        <is>
          <t>Actual</t>
        </is>
      </c>
      <c r="D755" s="24" t="n">
        <v>1308.01</v>
      </c>
      <c r="E755" s="24" t="n"/>
      <c r="F755" s="24" t="n"/>
    </row>
    <row r="756">
      <c r="A756" s="22" t="n">
        <v>46055</v>
      </c>
      <c r="B756" s="23" t="inlineStr">
        <is>
          <t>Grocery</t>
        </is>
      </c>
      <c r="C756" s="23" t="inlineStr">
        <is>
          <t>Actual</t>
        </is>
      </c>
      <c r="D756" s="24" t="n">
        <v>1566.45</v>
      </c>
      <c r="E756" s="24" t="n"/>
      <c r="F756" s="24" t="n"/>
    </row>
    <row r="757">
      <c r="A757" s="22" t="n">
        <v>46055</v>
      </c>
      <c r="B757" s="23" t="inlineStr">
        <is>
          <t>Health &amp; Beauty</t>
        </is>
      </c>
      <c r="C757" s="23" t="inlineStr">
        <is>
          <t>Actual</t>
        </is>
      </c>
      <c r="D757" s="24" t="n">
        <v>260.65</v>
      </c>
      <c r="E757" s="24" t="n"/>
      <c r="F757" s="24" t="n"/>
    </row>
    <row r="758">
      <c r="A758" s="22" t="n">
        <v>46055</v>
      </c>
      <c r="B758" s="23" t="inlineStr">
        <is>
          <t>Household</t>
        </is>
      </c>
      <c r="C758" s="23" t="inlineStr">
        <is>
          <t>Actual</t>
        </is>
      </c>
      <c r="D758" s="24" t="n">
        <v>414.49</v>
      </c>
      <c r="E758" s="24" t="n"/>
      <c r="F758" s="24" t="n"/>
    </row>
    <row r="759">
      <c r="A759" s="22" t="n">
        <v>46055</v>
      </c>
      <c r="B759" s="23" t="inlineStr">
        <is>
          <t>Produce</t>
        </is>
      </c>
      <c r="C759" s="23" t="inlineStr">
        <is>
          <t>Actual</t>
        </is>
      </c>
      <c r="D759" s="24" t="n">
        <v>483.66</v>
      </c>
      <c r="E759" s="24" t="n"/>
      <c r="F759" s="24" t="n"/>
    </row>
    <row r="760">
      <c r="A760" s="22" t="n">
        <v>46055</v>
      </c>
      <c r="B760" s="23" t="inlineStr">
        <is>
          <t>Snacks &amp; Confectionery</t>
        </is>
      </c>
      <c r="C760" s="23" t="inlineStr">
        <is>
          <t>Actual</t>
        </is>
      </c>
      <c r="D760" s="24" t="n">
        <v>1930.43</v>
      </c>
      <c r="E760" s="24" t="n"/>
      <c r="F760" s="24" t="n"/>
    </row>
    <row r="761">
      <c r="A761" s="22" t="n">
        <v>46062</v>
      </c>
      <c r="B761" s="23" t="inlineStr">
        <is>
          <t>Bakery</t>
        </is>
      </c>
      <c r="C761" s="23" t="inlineStr">
        <is>
          <t>Actual</t>
        </is>
      </c>
      <c r="D761" s="24" t="n">
        <v>1182.62</v>
      </c>
      <c r="E761" s="24" t="n"/>
      <c r="F761" s="24" t="n"/>
    </row>
    <row r="762">
      <c r="A762" s="22" t="n">
        <v>46062</v>
      </c>
      <c r="B762" s="23" t="inlineStr">
        <is>
          <t>Beer &amp; Wine</t>
        </is>
      </c>
      <c r="C762" s="23" t="inlineStr">
        <is>
          <t>Actual</t>
        </is>
      </c>
      <c r="D762" s="24" t="n">
        <v>3103.31</v>
      </c>
      <c r="E762" s="24" t="n"/>
      <c r="F762" s="24" t="n"/>
    </row>
    <row r="763">
      <c r="A763" s="22" t="n">
        <v>46062</v>
      </c>
      <c r="B763" s="23" t="inlineStr">
        <is>
          <t>Beverages</t>
        </is>
      </c>
      <c r="C763" s="23" t="inlineStr">
        <is>
          <t>Actual</t>
        </is>
      </c>
      <c r="D763" s="24" t="n">
        <v>3877.67</v>
      </c>
      <c r="E763" s="24" t="n"/>
      <c r="F763" s="24" t="n"/>
    </row>
    <row r="764">
      <c r="A764" s="22" t="n">
        <v>46062</v>
      </c>
      <c r="B764" s="23" t="inlineStr">
        <is>
          <t>Dairy</t>
        </is>
      </c>
      <c r="C764" s="23" t="inlineStr">
        <is>
          <t>Actual</t>
        </is>
      </c>
      <c r="D764" s="24" t="n">
        <v>3309.21</v>
      </c>
      <c r="E764" s="24" t="n"/>
      <c r="F764" s="24" t="n"/>
    </row>
    <row r="765">
      <c r="A765" s="22" t="n">
        <v>46062</v>
      </c>
      <c r="B765" s="23" t="inlineStr">
        <is>
          <t>Food To Go</t>
        </is>
      </c>
      <c r="C765" s="23" t="inlineStr">
        <is>
          <t>Actual</t>
        </is>
      </c>
      <c r="D765" s="24" t="n">
        <v>3654.45</v>
      </c>
      <c r="E765" s="24" t="n"/>
      <c r="F765" s="24" t="n"/>
    </row>
    <row r="766">
      <c r="A766" s="22" t="n">
        <v>46062</v>
      </c>
      <c r="B766" s="23" t="inlineStr">
        <is>
          <t>Frozen</t>
        </is>
      </c>
      <c r="C766" s="23" t="inlineStr">
        <is>
          <t>Actual</t>
        </is>
      </c>
      <c r="D766" s="24" t="n">
        <v>1506.8</v>
      </c>
      <c r="E766" s="24" t="n"/>
      <c r="F766" s="24" t="n"/>
    </row>
    <row r="767">
      <c r="A767" s="22" t="n">
        <v>46062</v>
      </c>
      <c r="B767" s="23" t="inlineStr">
        <is>
          <t>Grocery</t>
        </is>
      </c>
      <c r="C767" s="23" t="inlineStr">
        <is>
          <t>Actual</t>
        </is>
      </c>
      <c r="D767" s="24" t="n">
        <v>1751.13</v>
      </c>
      <c r="E767" s="24" t="n"/>
      <c r="F767" s="24" t="n"/>
    </row>
    <row r="768">
      <c r="A768" s="22" t="n">
        <v>46062</v>
      </c>
      <c r="B768" s="23" t="inlineStr">
        <is>
          <t>Health &amp; Beauty</t>
        </is>
      </c>
      <c r="C768" s="23" t="inlineStr">
        <is>
          <t>Actual</t>
        </is>
      </c>
      <c r="D768" s="24" t="n">
        <v>405.59</v>
      </c>
      <c r="E768" s="24" t="n"/>
      <c r="F768" s="24" t="n"/>
    </row>
    <row r="769">
      <c r="A769" s="22" t="n">
        <v>46062</v>
      </c>
      <c r="B769" s="23" t="inlineStr">
        <is>
          <t>Household</t>
        </is>
      </c>
      <c r="C769" s="23" t="inlineStr">
        <is>
          <t>Actual</t>
        </is>
      </c>
      <c r="D769" s="24" t="n">
        <v>519.36</v>
      </c>
      <c r="E769" s="24" t="n"/>
      <c r="F769" s="24" t="n"/>
    </row>
    <row r="770">
      <c r="A770" s="22" t="n">
        <v>46062</v>
      </c>
      <c r="B770" s="23" t="inlineStr">
        <is>
          <t>Produce</t>
        </is>
      </c>
      <c r="C770" s="23" t="inlineStr">
        <is>
          <t>Actual</t>
        </is>
      </c>
      <c r="D770" s="24" t="n">
        <v>495.15</v>
      </c>
      <c r="E770" s="24" t="n"/>
      <c r="F770" s="24" t="n"/>
    </row>
    <row r="771">
      <c r="A771" s="22" t="n">
        <v>46062</v>
      </c>
      <c r="B771" s="23" t="inlineStr">
        <is>
          <t>Snacks &amp; Confectionery</t>
        </is>
      </c>
      <c r="C771" s="23" t="inlineStr">
        <is>
          <t>Actual</t>
        </is>
      </c>
      <c r="D771" s="24" t="n">
        <v>1869.68</v>
      </c>
      <c r="E771" s="24" t="n"/>
      <c r="F771" s="24" t="n"/>
    </row>
    <row r="772">
      <c r="A772" s="22" t="n">
        <v>46069</v>
      </c>
      <c r="B772" s="23" t="inlineStr">
        <is>
          <t>Bakery</t>
        </is>
      </c>
      <c r="C772" s="23" t="inlineStr">
        <is>
          <t>Actual</t>
        </is>
      </c>
      <c r="D772" s="24" t="n">
        <v>1147.07</v>
      </c>
      <c r="E772" s="24" t="n"/>
      <c r="F772" s="24" t="n"/>
    </row>
    <row r="773">
      <c r="A773" s="22" t="n">
        <v>46069</v>
      </c>
      <c r="B773" s="23" t="inlineStr">
        <is>
          <t>Beer &amp; Wine</t>
        </is>
      </c>
      <c r="C773" s="23" t="inlineStr">
        <is>
          <t>Actual</t>
        </is>
      </c>
      <c r="D773" s="24" t="n">
        <v>2919.5</v>
      </c>
      <c r="E773" s="24" t="n"/>
      <c r="F773" s="24" t="n"/>
    </row>
    <row r="774">
      <c r="A774" s="22" t="n">
        <v>46069</v>
      </c>
      <c r="B774" s="23" t="inlineStr">
        <is>
          <t>Beverages</t>
        </is>
      </c>
      <c r="C774" s="23" t="inlineStr">
        <is>
          <t>Actual</t>
        </is>
      </c>
      <c r="D774" s="24" t="n">
        <v>3550.49</v>
      </c>
      <c r="E774" s="24" t="n"/>
      <c r="F774" s="24" t="n"/>
    </row>
    <row r="775">
      <c r="A775" s="22" t="n">
        <v>46069</v>
      </c>
      <c r="B775" s="23" t="inlineStr">
        <is>
          <t>Dairy</t>
        </is>
      </c>
      <c r="C775" s="23" t="inlineStr">
        <is>
          <t>Actual</t>
        </is>
      </c>
      <c r="D775" s="24" t="n">
        <v>3286.08</v>
      </c>
      <c r="E775" s="24" t="n"/>
      <c r="F775" s="24" t="n"/>
    </row>
    <row r="776">
      <c r="A776" s="22" t="n">
        <v>46069</v>
      </c>
      <c r="B776" s="23" t="inlineStr">
        <is>
          <t>Food To Go</t>
        </is>
      </c>
      <c r="C776" s="23" t="inlineStr">
        <is>
          <t>Actual</t>
        </is>
      </c>
      <c r="D776" s="24" t="n">
        <v>3560.11</v>
      </c>
      <c r="E776" s="24" t="n"/>
      <c r="F776" s="24" t="n"/>
    </row>
    <row r="777">
      <c r="A777" s="22" t="n">
        <v>46069</v>
      </c>
      <c r="B777" s="23" t="inlineStr">
        <is>
          <t>Frozen</t>
        </is>
      </c>
      <c r="C777" s="23" t="inlineStr">
        <is>
          <t>Actual</t>
        </is>
      </c>
      <c r="D777" s="24" t="n">
        <v>1426.86</v>
      </c>
      <c r="E777" s="24" t="n"/>
      <c r="F777" s="24" t="n"/>
    </row>
    <row r="778">
      <c r="A778" s="22" t="n">
        <v>46069</v>
      </c>
      <c r="B778" s="23" t="inlineStr">
        <is>
          <t>Grocery</t>
        </is>
      </c>
      <c r="C778" s="23" t="inlineStr">
        <is>
          <t>Actual</t>
        </is>
      </c>
      <c r="D778" s="24" t="n">
        <v>1729.14</v>
      </c>
      <c r="E778" s="24" t="n"/>
      <c r="F778" s="24" t="n"/>
    </row>
    <row r="779">
      <c r="A779" s="22" t="n">
        <v>46069</v>
      </c>
      <c r="B779" s="23" t="inlineStr">
        <is>
          <t>Health &amp; Beauty</t>
        </is>
      </c>
      <c r="C779" s="23" t="inlineStr">
        <is>
          <t>Actual</t>
        </is>
      </c>
      <c r="D779" s="24" t="n">
        <v>385.57</v>
      </c>
      <c r="E779" s="24" t="n"/>
      <c r="F779" s="24" t="n"/>
    </row>
    <row r="780">
      <c r="A780" s="22" t="n">
        <v>46069</v>
      </c>
      <c r="B780" s="23" t="inlineStr">
        <is>
          <t>Household</t>
        </is>
      </c>
      <c r="C780" s="23" t="inlineStr">
        <is>
          <t>Actual</t>
        </is>
      </c>
      <c r="D780" s="24" t="n">
        <v>499.37</v>
      </c>
      <c r="E780" s="24" t="n"/>
      <c r="F780" s="24" t="n"/>
    </row>
    <row r="781">
      <c r="A781" s="22" t="n">
        <v>46069</v>
      </c>
      <c r="B781" s="23" t="inlineStr">
        <is>
          <t>Produce</t>
        </is>
      </c>
      <c r="C781" s="23" t="inlineStr">
        <is>
          <t>Actual</t>
        </is>
      </c>
      <c r="D781" s="24" t="n">
        <v>496.95</v>
      </c>
      <c r="E781" s="24" t="n"/>
      <c r="F781" s="24" t="n"/>
    </row>
    <row r="782">
      <c r="A782" s="22" t="n">
        <v>46069</v>
      </c>
      <c r="B782" s="23" t="inlineStr">
        <is>
          <t>Snacks &amp; Confectionery</t>
        </is>
      </c>
      <c r="C782" s="23" t="inlineStr">
        <is>
          <t>Actual</t>
        </is>
      </c>
      <c r="D782" s="24" t="n">
        <v>1822.52</v>
      </c>
      <c r="E782" s="24" t="n"/>
      <c r="F782" s="24" t="n"/>
    </row>
    <row r="783">
      <c r="A783" s="22" t="n">
        <v>46076</v>
      </c>
      <c r="B783" s="23" t="inlineStr">
        <is>
          <t>Bakery</t>
        </is>
      </c>
      <c r="C783" s="23" t="inlineStr">
        <is>
          <t>Actual</t>
        </is>
      </c>
      <c r="D783" s="24" t="n">
        <v>1009.23</v>
      </c>
      <c r="E783" s="24" t="n"/>
      <c r="F783" s="24" t="n"/>
    </row>
    <row r="784">
      <c r="A784" s="22" t="n">
        <v>46076</v>
      </c>
      <c r="B784" s="23" t="inlineStr">
        <is>
          <t>Beer &amp; Wine</t>
        </is>
      </c>
      <c r="C784" s="23" t="inlineStr">
        <is>
          <t>Actual</t>
        </is>
      </c>
      <c r="D784" s="24" t="n">
        <v>2834.1</v>
      </c>
      <c r="E784" s="24" t="n"/>
      <c r="F784" s="24" t="n"/>
    </row>
    <row r="785">
      <c r="A785" s="22" t="n">
        <v>46076</v>
      </c>
      <c r="B785" s="23" t="inlineStr">
        <is>
          <t>Beverages</t>
        </is>
      </c>
      <c r="C785" s="23" t="inlineStr">
        <is>
          <t>Actual</t>
        </is>
      </c>
      <c r="D785" s="24" t="n">
        <v>3860.87</v>
      </c>
      <c r="E785" s="24" t="n"/>
      <c r="F785" s="24" t="n"/>
    </row>
    <row r="786">
      <c r="A786" s="22" t="n">
        <v>46076</v>
      </c>
      <c r="B786" s="23" t="inlineStr">
        <is>
          <t>Dairy</t>
        </is>
      </c>
      <c r="C786" s="23" t="inlineStr">
        <is>
          <t>Actual</t>
        </is>
      </c>
      <c r="D786" s="24" t="n">
        <v>3183.95</v>
      </c>
      <c r="E786" s="24" t="n"/>
      <c r="F786" s="24" t="n"/>
    </row>
    <row r="787">
      <c r="A787" s="22" t="n">
        <v>46076</v>
      </c>
      <c r="B787" s="23" t="inlineStr">
        <is>
          <t>Food To Go</t>
        </is>
      </c>
      <c r="C787" s="23" t="inlineStr">
        <is>
          <t>Actual</t>
        </is>
      </c>
      <c r="D787" s="24" t="n">
        <v>4035.37</v>
      </c>
      <c r="E787" s="24" t="n"/>
      <c r="F787" s="24" t="n"/>
    </row>
    <row r="788">
      <c r="A788" s="22" t="n">
        <v>46076</v>
      </c>
      <c r="B788" s="23" t="inlineStr">
        <is>
          <t>Frozen</t>
        </is>
      </c>
      <c r="C788" s="23" t="inlineStr">
        <is>
          <t>Actual</t>
        </is>
      </c>
      <c r="D788" s="24" t="n">
        <v>1399.83</v>
      </c>
      <c r="E788" s="24" t="n"/>
      <c r="F788" s="24" t="n"/>
    </row>
    <row r="789">
      <c r="A789" s="22" t="n">
        <v>46076</v>
      </c>
      <c r="B789" s="23" t="inlineStr">
        <is>
          <t>Grocery</t>
        </is>
      </c>
      <c r="C789" s="23" t="inlineStr">
        <is>
          <t>Actual</t>
        </is>
      </c>
      <c r="D789" s="24" t="n">
        <v>1707.83</v>
      </c>
      <c r="E789" s="24" t="n"/>
      <c r="F789" s="24" t="n"/>
    </row>
    <row r="790">
      <c r="A790" s="22" t="n">
        <v>46076</v>
      </c>
      <c r="B790" s="23" t="inlineStr">
        <is>
          <t>Health &amp; Beauty</t>
        </is>
      </c>
      <c r="C790" s="23" t="inlineStr">
        <is>
          <t>Actual</t>
        </is>
      </c>
      <c r="D790" s="24" t="n">
        <v>355.66</v>
      </c>
      <c r="E790" s="24" t="n"/>
      <c r="F790" s="24" t="n"/>
    </row>
    <row r="791">
      <c r="A791" s="22" t="n">
        <v>46076</v>
      </c>
      <c r="B791" s="23" t="inlineStr">
        <is>
          <t>Household</t>
        </is>
      </c>
      <c r="C791" s="23" t="inlineStr">
        <is>
          <t>Actual</t>
        </is>
      </c>
      <c r="D791" s="24" t="n">
        <v>593.3200000000001</v>
      </c>
      <c r="E791" s="24" t="n"/>
      <c r="F791" s="24" t="n"/>
    </row>
    <row r="792">
      <c r="A792" s="22" t="n">
        <v>46076</v>
      </c>
      <c r="B792" s="23" t="inlineStr">
        <is>
          <t>Produce</t>
        </is>
      </c>
      <c r="C792" s="23" t="inlineStr">
        <is>
          <t>Actual</t>
        </is>
      </c>
      <c r="D792" s="24" t="n">
        <v>527.38</v>
      </c>
      <c r="E792" s="24" t="n"/>
      <c r="F792" s="24" t="n"/>
    </row>
    <row r="793">
      <c r="A793" s="22" t="n">
        <v>46076</v>
      </c>
      <c r="B793" s="23" t="inlineStr">
        <is>
          <t>Snacks &amp; Confectionery</t>
        </is>
      </c>
      <c r="C793" s="23" t="inlineStr">
        <is>
          <t>Actual</t>
        </is>
      </c>
      <c r="D793" s="24" t="n">
        <v>2110.78</v>
      </c>
      <c r="E793" s="24" t="n"/>
      <c r="F793" s="24" t="n"/>
    </row>
    <row r="794">
      <c r="A794" s="22" t="n">
        <v>46083</v>
      </c>
      <c r="B794" s="23" t="inlineStr">
        <is>
          <t>Bakery</t>
        </is>
      </c>
      <c r="C794" s="23" t="inlineStr">
        <is>
          <t>Actual</t>
        </is>
      </c>
      <c r="D794" s="24" t="n">
        <v>1070.49</v>
      </c>
      <c r="E794" s="24" t="n"/>
      <c r="F794" s="24" t="n"/>
    </row>
    <row r="795">
      <c r="A795" s="22" t="n">
        <v>46083</v>
      </c>
      <c r="B795" s="23" t="inlineStr">
        <is>
          <t>Beer &amp; Wine</t>
        </is>
      </c>
      <c r="C795" s="23" t="inlineStr">
        <is>
          <t>Actual</t>
        </is>
      </c>
      <c r="D795" s="24" t="n">
        <v>2627.65</v>
      </c>
      <c r="E795" s="24" t="n"/>
      <c r="F795" s="24" t="n"/>
    </row>
    <row r="796">
      <c r="A796" s="22" t="n">
        <v>46083</v>
      </c>
      <c r="B796" s="23" t="inlineStr">
        <is>
          <t>Beverages</t>
        </is>
      </c>
      <c r="C796" s="23" t="inlineStr">
        <is>
          <t>Actual</t>
        </is>
      </c>
      <c r="D796" s="24" t="n">
        <v>3506.03</v>
      </c>
      <c r="E796" s="24" t="n"/>
      <c r="F796" s="24" t="n"/>
    </row>
    <row r="797">
      <c r="A797" s="22" t="n">
        <v>46083</v>
      </c>
      <c r="B797" s="23" t="inlineStr">
        <is>
          <t>Dairy</t>
        </is>
      </c>
      <c r="C797" s="23" t="inlineStr">
        <is>
          <t>Actual</t>
        </is>
      </c>
      <c r="D797" s="24" t="n">
        <v>3267.62</v>
      </c>
      <c r="E797" s="24" t="n"/>
      <c r="F797" s="24" t="n"/>
    </row>
    <row r="798">
      <c r="A798" s="22" t="n">
        <v>46083</v>
      </c>
      <c r="B798" s="23" t="inlineStr">
        <is>
          <t>Food To Go</t>
        </is>
      </c>
      <c r="C798" s="23" t="inlineStr">
        <is>
          <t>Actual</t>
        </is>
      </c>
      <c r="D798" s="24" t="n">
        <v>3673.85</v>
      </c>
      <c r="E798" s="24" t="n"/>
      <c r="F798" s="24" t="n"/>
    </row>
    <row r="799">
      <c r="A799" s="22" t="n">
        <v>46083</v>
      </c>
      <c r="B799" s="23" t="inlineStr">
        <is>
          <t>Frozen</t>
        </is>
      </c>
      <c r="C799" s="23" t="inlineStr">
        <is>
          <t>Actual</t>
        </is>
      </c>
      <c r="D799" s="24" t="n">
        <v>1077.21</v>
      </c>
      <c r="E799" s="24" t="n"/>
      <c r="F799" s="24" t="n"/>
    </row>
    <row r="800">
      <c r="A800" s="22" t="n">
        <v>46083</v>
      </c>
      <c r="B800" s="23" t="inlineStr">
        <is>
          <t>Grocery</t>
        </is>
      </c>
      <c r="C800" s="23" t="inlineStr">
        <is>
          <t>Actual</t>
        </is>
      </c>
      <c r="D800" s="24" t="n">
        <v>1764.31</v>
      </c>
      <c r="E800" s="24" t="n"/>
      <c r="F800" s="24" t="n"/>
    </row>
    <row r="801">
      <c r="A801" s="22" t="n">
        <v>46083</v>
      </c>
      <c r="B801" s="23" t="inlineStr">
        <is>
          <t>Health &amp; Beauty</t>
        </is>
      </c>
      <c r="C801" s="23" t="inlineStr">
        <is>
          <t>Actual</t>
        </is>
      </c>
      <c r="D801" s="24" t="n">
        <v>374.53</v>
      </c>
      <c r="E801" s="24" t="n"/>
      <c r="F801" s="24" t="n"/>
    </row>
    <row r="802">
      <c r="A802" s="22" t="n">
        <v>46083</v>
      </c>
      <c r="B802" s="23" t="inlineStr">
        <is>
          <t>Household</t>
        </is>
      </c>
      <c r="C802" s="23" t="inlineStr">
        <is>
          <t>Actual</t>
        </is>
      </c>
      <c r="D802" s="24" t="n">
        <v>503.38</v>
      </c>
      <c r="E802" s="24" t="n"/>
      <c r="F802" s="24" t="n"/>
    </row>
    <row r="803">
      <c r="A803" s="22" t="n">
        <v>46083</v>
      </c>
      <c r="B803" s="23" t="inlineStr">
        <is>
          <t>Produce</t>
        </is>
      </c>
      <c r="C803" s="23" t="inlineStr">
        <is>
          <t>Actual</t>
        </is>
      </c>
      <c r="D803" s="24" t="n">
        <v>539.95</v>
      </c>
      <c r="E803" s="24" t="n"/>
      <c r="F803" s="24" t="n"/>
    </row>
    <row r="804">
      <c r="A804" s="22" t="n">
        <v>46083</v>
      </c>
      <c r="B804" s="23" t="inlineStr">
        <is>
          <t>Snacks &amp; Confectionery</t>
        </is>
      </c>
      <c r="C804" s="23" t="inlineStr">
        <is>
          <t>Actual</t>
        </is>
      </c>
      <c r="D804" s="24" t="n">
        <v>1874.19</v>
      </c>
      <c r="E804" s="24" t="n"/>
      <c r="F804" s="24" t="n"/>
    </row>
    <row r="805">
      <c r="A805" s="22" t="n">
        <v>46090</v>
      </c>
      <c r="B805" s="23" t="inlineStr">
        <is>
          <t>Bakery</t>
        </is>
      </c>
      <c r="C805" s="23" t="inlineStr">
        <is>
          <t>Actual</t>
        </is>
      </c>
      <c r="D805" s="24" t="n">
        <v>1212.21</v>
      </c>
      <c r="E805" s="24" t="n"/>
      <c r="F805" s="24" t="n"/>
    </row>
    <row r="806">
      <c r="A806" s="22" t="n">
        <v>46090</v>
      </c>
      <c r="B806" s="23" t="inlineStr">
        <is>
          <t>Beer &amp; Wine</t>
        </is>
      </c>
      <c r="C806" s="23" t="inlineStr">
        <is>
          <t>Actual</t>
        </is>
      </c>
      <c r="D806" s="24" t="n">
        <v>2758.56</v>
      </c>
      <c r="E806" s="24" t="n"/>
      <c r="F806" s="24" t="n"/>
    </row>
    <row r="807">
      <c r="A807" s="22" t="n">
        <v>46090</v>
      </c>
      <c r="B807" s="23" t="inlineStr">
        <is>
          <t>Beverages</t>
        </is>
      </c>
      <c r="C807" s="23" t="inlineStr">
        <is>
          <t>Actual</t>
        </is>
      </c>
      <c r="D807" s="24" t="n">
        <v>3608.54</v>
      </c>
      <c r="E807" s="24" t="n"/>
      <c r="F807" s="24" t="n"/>
    </row>
    <row r="808">
      <c r="A808" s="22" t="n">
        <v>46090</v>
      </c>
      <c r="B808" s="23" t="inlineStr">
        <is>
          <t>Dairy</t>
        </is>
      </c>
      <c r="C808" s="23" t="inlineStr">
        <is>
          <t>Actual</t>
        </is>
      </c>
      <c r="D808" s="24" t="n">
        <v>3299.92</v>
      </c>
      <c r="E808" s="24" t="n"/>
      <c r="F808" s="24" t="n"/>
    </row>
    <row r="809">
      <c r="A809" s="22" t="n">
        <v>46090</v>
      </c>
      <c r="B809" s="23" t="inlineStr">
        <is>
          <t>Food To Go</t>
        </is>
      </c>
      <c r="C809" s="23" t="inlineStr">
        <is>
          <t>Actual</t>
        </is>
      </c>
      <c r="D809" s="24" t="n">
        <v>3582.91</v>
      </c>
      <c r="E809" s="24" t="n"/>
      <c r="F809" s="24" t="n"/>
    </row>
    <row r="810">
      <c r="A810" s="22" t="n">
        <v>46090</v>
      </c>
      <c r="B810" s="23" t="inlineStr">
        <is>
          <t>Frozen</t>
        </is>
      </c>
      <c r="C810" s="23" t="inlineStr">
        <is>
          <t>Actual</t>
        </is>
      </c>
      <c r="D810" s="24" t="n">
        <v>1405.8</v>
      </c>
      <c r="E810" s="24" t="n"/>
      <c r="F810" s="24" t="n"/>
    </row>
    <row r="811">
      <c r="A811" s="22" t="n">
        <v>46090</v>
      </c>
      <c r="B811" s="23" t="inlineStr">
        <is>
          <t>Grocery</t>
        </is>
      </c>
      <c r="C811" s="23" t="inlineStr">
        <is>
          <t>Actual</t>
        </is>
      </c>
      <c r="D811" s="24" t="n">
        <v>1599.03</v>
      </c>
      <c r="E811" s="24" t="n"/>
      <c r="F811" s="24" t="n"/>
    </row>
    <row r="812">
      <c r="A812" s="22" t="n">
        <v>46090</v>
      </c>
      <c r="B812" s="23" t="inlineStr">
        <is>
          <t>Health &amp; Beauty</t>
        </is>
      </c>
      <c r="C812" s="23" t="inlineStr">
        <is>
          <t>Actual</t>
        </is>
      </c>
      <c r="D812" s="24" t="n">
        <v>301.63</v>
      </c>
      <c r="E812" s="24" t="n"/>
      <c r="F812" s="24" t="n"/>
    </row>
    <row r="813">
      <c r="A813" s="22" t="n">
        <v>46090</v>
      </c>
      <c r="B813" s="23" t="inlineStr">
        <is>
          <t>Household</t>
        </is>
      </c>
      <c r="C813" s="23" t="inlineStr">
        <is>
          <t>Actual</t>
        </is>
      </c>
      <c r="D813" s="24" t="n">
        <v>552.3099999999999</v>
      </c>
      <c r="E813" s="24" t="n"/>
      <c r="F813" s="24" t="n"/>
    </row>
    <row r="814">
      <c r="A814" s="22" t="n">
        <v>46090</v>
      </c>
      <c r="B814" s="23" t="inlineStr">
        <is>
          <t>Produce</t>
        </is>
      </c>
      <c r="C814" s="23" t="inlineStr">
        <is>
          <t>Actual</t>
        </is>
      </c>
      <c r="D814" s="24" t="n">
        <v>455.01</v>
      </c>
      <c r="E814" s="24" t="n"/>
      <c r="F814" s="24" t="n"/>
    </row>
    <row r="815">
      <c r="A815" s="22" t="n">
        <v>46090</v>
      </c>
      <c r="B815" s="23" t="inlineStr">
        <is>
          <t>Snacks &amp; Confectionery</t>
        </is>
      </c>
      <c r="C815" s="23" t="inlineStr">
        <is>
          <t>Actual</t>
        </is>
      </c>
      <c r="D815" s="24" t="n">
        <v>1842.02</v>
      </c>
      <c r="E815" s="24" t="n"/>
      <c r="F815" s="24" t="n"/>
    </row>
    <row r="816">
      <c r="A816" s="22" t="n">
        <v>46097</v>
      </c>
      <c r="B816" s="23" t="inlineStr">
        <is>
          <t>Bakery</t>
        </is>
      </c>
      <c r="C816" s="23" t="inlineStr">
        <is>
          <t>Actual</t>
        </is>
      </c>
      <c r="D816" s="24" t="n">
        <v>971.04</v>
      </c>
      <c r="E816" s="24" t="n"/>
      <c r="F816" s="24" t="n"/>
    </row>
    <row r="817">
      <c r="A817" s="22" t="n">
        <v>46097</v>
      </c>
      <c r="B817" s="23" t="inlineStr">
        <is>
          <t>Beer &amp; Wine</t>
        </is>
      </c>
      <c r="C817" s="23" t="inlineStr">
        <is>
          <t>Actual</t>
        </is>
      </c>
      <c r="D817" s="24" t="n">
        <v>2312.81</v>
      </c>
      <c r="E817" s="24" t="n"/>
      <c r="F817" s="24" t="n"/>
    </row>
    <row r="818">
      <c r="A818" s="22" t="n">
        <v>46097</v>
      </c>
      <c r="B818" s="23" t="inlineStr">
        <is>
          <t>Beverages</t>
        </is>
      </c>
      <c r="C818" s="23" t="inlineStr">
        <is>
          <t>Actual</t>
        </is>
      </c>
      <c r="D818" s="24" t="n">
        <v>3484.96</v>
      </c>
      <c r="E818" s="24" t="n"/>
      <c r="F818" s="24" t="n"/>
    </row>
    <row r="819">
      <c r="A819" s="22" t="n">
        <v>46097</v>
      </c>
      <c r="B819" s="23" t="inlineStr">
        <is>
          <t>Dairy</t>
        </is>
      </c>
      <c r="C819" s="23" t="inlineStr">
        <is>
          <t>Actual</t>
        </is>
      </c>
      <c r="D819" s="24" t="n">
        <v>3099.11</v>
      </c>
      <c r="E819" s="24" t="n"/>
      <c r="F819" s="24" t="n"/>
    </row>
    <row r="820">
      <c r="A820" s="22" t="n">
        <v>46097</v>
      </c>
      <c r="B820" s="23" t="inlineStr">
        <is>
          <t>Food To Go</t>
        </is>
      </c>
      <c r="C820" s="23" t="inlineStr">
        <is>
          <t>Actual</t>
        </is>
      </c>
      <c r="D820" s="24" t="n">
        <v>3697.32</v>
      </c>
      <c r="E820" s="24" t="n"/>
      <c r="F820" s="24" t="n"/>
    </row>
    <row r="821">
      <c r="A821" s="22" t="n">
        <v>46097</v>
      </c>
      <c r="B821" s="23" t="inlineStr">
        <is>
          <t>Frozen</t>
        </is>
      </c>
      <c r="C821" s="23" t="inlineStr">
        <is>
          <t>Actual</t>
        </is>
      </c>
      <c r="D821" s="24" t="n">
        <v>1142.29</v>
      </c>
      <c r="E821" s="24" t="n"/>
      <c r="F821" s="24" t="n"/>
    </row>
    <row r="822">
      <c r="A822" s="22" t="n">
        <v>46097</v>
      </c>
      <c r="B822" s="23" t="inlineStr">
        <is>
          <t>Grocery</t>
        </is>
      </c>
      <c r="C822" s="23" t="inlineStr">
        <is>
          <t>Actual</t>
        </is>
      </c>
      <c r="D822" s="24" t="n">
        <v>1829.52</v>
      </c>
      <c r="E822" s="24" t="n"/>
      <c r="F822" s="24" t="n"/>
    </row>
    <row r="823">
      <c r="A823" s="22" t="n">
        <v>46097</v>
      </c>
      <c r="B823" s="23" t="inlineStr">
        <is>
          <t>Health &amp; Beauty</t>
        </is>
      </c>
      <c r="C823" s="23" t="inlineStr">
        <is>
          <t>Actual</t>
        </is>
      </c>
      <c r="D823" s="24" t="n">
        <v>382.93</v>
      </c>
      <c r="E823" s="24" t="n"/>
      <c r="F823" s="24" t="n"/>
    </row>
    <row r="824">
      <c r="A824" s="22" t="n">
        <v>46097</v>
      </c>
      <c r="B824" s="23" t="inlineStr">
        <is>
          <t>Household</t>
        </is>
      </c>
      <c r="C824" s="23" t="inlineStr">
        <is>
          <t>Actual</t>
        </is>
      </c>
      <c r="D824" s="24" t="n">
        <v>409.52</v>
      </c>
      <c r="E824" s="24" t="n"/>
      <c r="F824" s="24" t="n"/>
    </row>
    <row r="825">
      <c r="A825" s="22" t="n">
        <v>46097</v>
      </c>
      <c r="B825" s="23" t="inlineStr">
        <is>
          <t>Produce</t>
        </is>
      </c>
      <c r="C825" s="23" t="inlineStr">
        <is>
          <t>Actual</t>
        </is>
      </c>
      <c r="D825" s="24" t="n">
        <v>491.3</v>
      </c>
      <c r="E825" s="24" t="n"/>
      <c r="F825" s="24" t="n"/>
    </row>
    <row r="826">
      <c r="A826" s="22" t="n">
        <v>46097</v>
      </c>
      <c r="B826" s="23" t="inlineStr">
        <is>
          <t>Snacks &amp; Confectionery</t>
        </is>
      </c>
      <c r="C826" s="23" t="inlineStr">
        <is>
          <t>Actual</t>
        </is>
      </c>
      <c r="D826" s="24" t="n">
        <v>2072.11</v>
      </c>
      <c r="E826" s="24" t="n"/>
      <c r="F826" s="24" t="n"/>
    </row>
    <row r="827">
      <c r="A827" s="22" t="n">
        <v>46104</v>
      </c>
      <c r="B827" s="23" t="inlineStr">
        <is>
          <t>Bakery</t>
        </is>
      </c>
      <c r="C827" s="23" t="inlineStr">
        <is>
          <t>Actual</t>
        </is>
      </c>
      <c r="D827" s="24" t="n">
        <v>1024.81</v>
      </c>
      <c r="E827" s="24" t="n"/>
      <c r="F827" s="24" t="n"/>
    </row>
    <row r="828">
      <c r="A828" s="22" t="n">
        <v>46104</v>
      </c>
      <c r="B828" s="23" t="inlineStr">
        <is>
          <t>Beer &amp; Wine</t>
        </is>
      </c>
      <c r="C828" s="23" t="inlineStr">
        <is>
          <t>Actual</t>
        </is>
      </c>
      <c r="D828" s="24" t="n">
        <v>2397.76</v>
      </c>
      <c r="E828" s="24" t="n"/>
      <c r="F828" s="24" t="n"/>
    </row>
    <row r="829">
      <c r="A829" s="22" t="n">
        <v>46104</v>
      </c>
      <c r="B829" s="23" t="inlineStr">
        <is>
          <t>Beverages</t>
        </is>
      </c>
      <c r="C829" s="23" t="inlineStr">
        <is>
          <t>Actual</t>
        </is>
      </c>
      <c r="D829" s="24" t="n">
        <v>3324.55</v>
      </c>
      <c r="E829" s="24" t="n"/>
      <c r="F829" s="24" t="n"/>
    </row>
    <row r="830">
      <c r="A830" s="22" t="n">
        <v>46104</v>
      </c>
      <c r="B830" s="23" t="inlineStr">
        <is>
          <t>Dairy</t>
        </is>
      </c>
      <c r="C830" s="23" t="inlineStr">
        <is>
          <t>Actual</t>
        </is>
      </c>
      <c r="D830" s="24" t="n">
        <v>3249.07</v>
      </c>
      <c r="E830" s="24" t="n"/>
      <c r="F830" s="24" t="n"/>
    </row>
    <row r="831">
      <c r="A831" s="22" t="n">
        <v>46104</v>
      </c>
      <c r="B831" s="23" t="inlineStr">
        <is>
          <t>Food To Go</t>
        </is>
      </c>
      <c r="C831" s="23" t="inlineStr">
        <is>
          <t>Actual</t>
        </is>
      </c>
      <c r="D831" s="24" t="n">
        <v>3845.66</v>
      </c>
      <c r="E831" s="24" t="n"/>
      <c r="F831" s="24" t="n"/>
    </row>
    <row r="832">
      <c r="A832" s="22" t="n">
        <v>46104</v>
      </c>
      <c r="B832" s="23" t="inlineStr">
        <is>
          <t>Frozen</t>
        </is>
      </c>
      <c r="C832" s="23" t="inlineStr">
        <is>
          <t>Actual</t>
        </is>
      </c>
      <c r="D832" s="24" t="n">
        <v>1337.02</v>
      </c>
      <c r="E832" s="24" t="n"/>
      <c r="F832" s="24" t="n"/>
    </row>
    <row r="833">
      <c r="A833" s="22" t="n">
        <v>46104</v>
      </c>
      <c r="B833" s="23" t="inlineStr">
        <is>
          <t>Grocery</t>
        </is>
      </c>
      <c r="C833" s="23" t="inlineStr">
        <is>
          <t>Actual</t>
        </is>
      </c>
      <c r="D833" s="24" t="n">
        <v>1772.36</v>
      </c>
      <c r="E833" s="24" t="n"/>
      <c r="F833" s="24" t="n"/>
    </row>
    <row r="834">
      <c r="A834" s="22" t="n">
        <v>46104</v>
      </c>
      <c r="B834" s="23" t="inlineStr">
        <is>
          <t>Health &amp; Beauty</t>
        </is>
      </c>
      <c r="C834" s="23" t="inlineStr">
        <is>
          <t>Actual</t>
        </is>
      </c>
      <c r="D834" s="24" t="n">
        <v>283.62</v>
      </c>
      <c r="E834" s="24" t="n"/>
      <c r="F834" s="24" t="n"/>
    </row>
    <row r="835">
      <c r="A835" s="22" t="n">
        <v>46104</v>
      </c>
      <c r="B835" s="23" t="inlineStr">
        <is>
          <t>Household</t>
        </is>
      </c>
      <c r="C835" s="23" t="inlineStr">
        <is>
          <t>Actual</t>
        </is>
      </c>
      <c r="D835" s="24" t="n">
        <v>616.3099999999999</v>
      </c>
      <c r="E835" s="24" t="n"/>
      <c r="F835" s="24" t="n"/>
    </row>
    <row r="836">
      <c r="A836" s="22" t="n">
        <v>46104</v>
      </c>
      <c r="B836" s="23" t="inlineStr">
        <is>
          <t>Produce</t>
        </is>
      </c>
      <c r="C836" s="23" t="inlineStr">
        <is>
          <t>Actual</t>
        </is>
      </c>
      <c r="D836" s="24" t="n">
        <v>435.69</v>
      </c>
      <c r="E836" s="24" t="n"/>
      <c r="F836" s="24" t="n"/>
    </row>
    <row r="837">
      <c r="A837" s="22" t="n">
        <v>46104</v>
      </c>
      <c r="B837" s="23" t="inlineStr">
        <is>
          <t>Snacks &amp; Confectionery</t>
        </is>
      </c>
      <c r="C837" s="23" t="inlineStr">
        <is>
          <t>Actual</t>
        </is>
      </c>
      <c r="D837" s="24" t="n">
        <v>1889.71</v>
      </c>
      <c r="E837" s="24" t="n"/>
      <c r="F837" s="24" t="n"/>
    </row>
    <row r="838">
      <c r="A838" s="22" t="n">
        <v>46111</v>
      </c>
      <c r="B838" s="23" t="inlineStr">
        <is>
          <t>Bakery</t>
        </is>
      </c>
      <c r="C838" s="23" t="inlineStr">
        <is>
          <t>Actual</t>
        </is>
      </c>
      <c r="D838" s="24" t="n">
        <v>938.3200000000001</v>
      </c>
      <c r="E838" s="24" t="n"/>
      <c r="F838" s="24" t="n"/>
    </row>
    <row r="839">
      <c r="A839" s="22" t="n">
        <v>46111</v>
      </c>
      <c r="B839" s="23" t="inlineStr">
        <is>
          <t>Beer &amp; Wine</t>
        </is>
      </c>
      <c r="C839" s="23" t="inlineStr">
        <is>
          <t>Actual</t>
        </is>
      </c>
      <c r="D839" s="24" t="n">
        <v>2216.86</v>
      </c>
      <c r="E839" s="24" t="n"/>
      <c r="F839" s="24" t="n"/>
    </row>
    <row r="840">
      <c r="A840" s="22" t="n">
        <v>46111</v>
      </c>
      <c r="B840" s="23" t="inlineStr">
        <is>
          <t>Beverages</t>
        </is>
      </c>
      <c r="C840" s="23" t="inlineStr">
        <is>
          <t>Actual</t>
        </is>
      </c>
      <c r="D840" s="24" t="n">
        <v>2826.45</v>
      </c>
      <c r="E840" s="24" t="n"/>
      <c r="F840" s="24" t="n"/>
    </row>
    <row r="841">
      <c r="A841" s="22" t="n">
        <v>46111</v>
      </c>
      <c r="B841" s="23" t="inlineStr">
        <is>
          <t>Dairy</t>
        </is>
      </c>
      <c r="C841" s="23" t="inlineStr">
        <is>
          <t>Actual</t>
        </is>
      </c>
      <c r="D841" s="24" t="n">
        <v>3231.96</v>
      </c>
      <c r="E841" s="24" t="n"/>
      <c r="F841" s="24" t="n"/>
    </row>
    <row r="842">
      <c r="A842" s="22" t="n">
        <v>46111</v>
      </c>
      <c r="B842" s="23" t="inlineStr">
        <is>
          <t>Food To Go</t>
        </is>
      </c>
      <c r="C842" s="23" t="inlineStr">
        <is>
          <t>Actual</t>
        </is>
      </c>
      <c r="D842" s="24" t="n">
        <v>3335.4</v>
      </c>
      <c r="E842" s="24" t="n"/>
      <c r="F842" s="24" t="n"/>
    </row>
    <row r="843">
      <c r="A843" s="22" t="n">
        <v>46111</v>
      </c>
      <c r="B843" s="23" t="inlineStr">
        <is>
          <t>Frozen</t>
        </is>
      </c>
      <c r="C843" s="23" t="inlineStr">
        <is>
          <t>Actual</t>
        </is>
      </c>
      <c r="D843" s="24" t="n">
        <v>1257.19</v>
      </c>
      <c r="E843" s="24" t="n"/>
      <c r="F843" s="24" t="n"/>
    </row>
    <row r="844">
      <c r="A844" s="22" t="n">
        <v>46111</v>
      </c>
      <c r="B844" s="23" t="inlineStr">
        <is>
          <t>Grocery</t>
        </is>
      </c>
      <c r="C844" s="23" t="inlineStr">
        <is>
          <t>Actual</t>
        </is>
      </c>
      <c r="D844" s="24" t="n">
        <v>1799.49</v>
      </c>
      <c r="E844" s="24" t="n"/>
      <c r="F844" s="24" t="n"/>
    </row>
    <row r="845">
      <c r="A845" s="22" t="n">
        <v>46111</v>
      </c>
      <c r="B845" s="23" t="inlineStr">
        <is>
          <t>Health &amp; Beauty</t>
        </is>
      </c>
      <c r="C845" s="23" t="inlineStr">
        <is>
          <t>Actual</t>
        </is>
      </c>
      <c r="D845" s="24" t="n">
        <v>350.59</v>
      </c>
      <c r="E845" s="24" t="n"/>
      <c r="F845" s="24" t="n"/>
    </row>
    <row r="846">
      <c r="A846" s="22" t="n">
        <v>46111</v>
      </c>
      <c r="B846" s="23" t="inlineStr">
        <is>
          <t>Household</t>
        </is>
      </c>
      <c r="C846" s="23" t="inlineStr">
        <is>
          <t>Actual</t>
        </is>
      </c>
      <c r="D846" s="24" t="n">
        <v>534.37</v>
      </c>
      <c r="E846" s="24" t="n"/>
      <c r="F846" s="24" t="n"/>
    </row>
    <row r="847">
      <c r="A847" s="22" t="n">
        <v>46111</v>
      </c>
      <c r="B847" s="23" t="inlineStr">
        <is>
          <t>Produce</t>
        </is>
      </c>
      <c r="C847" s="23" t="inlineStr">
        <is>
          <t>Actual</t>
        </is>
      </c>
      <c r="D847" s="24" t="n">
        <v>416.75</v>
      </c>
      <c r="E847" s="24" t="n"/>
      <c r="F847" s="24" t="n"/>
    </row>
    <row r="848">
      <c r="A848" s="22" t="n">
        <v>46111</v>
      </c>
      <c r="B848" s="23" t="inlineStr">
        <is>
          <t>Snacks &amp; Confectionery</t>
        </is>
      </c>
      <c r="C848" s="23" t="inlineStr">
        <is>
          <t>Actual</t>
        </is>
      </c>
      <c r="D848" s="24" t="n">
        <v>1907.71</v>
      </c>
      <c r="E848" s="24" t="n"/>
      <c r="F848" s="24" t="n"/>
    </row>
    <row r="849">
      <c r="A849" s="22" t="n">
        <v>46118</v>
      </c>
      <c r="B849" s="23" t="inlineStr">
        <is>
          <t>Bakery</t>
        </is>
      </c>
      <c r="C849" s="23" t="inlineStr">
        <is>
          <t>Actual</t>
        </is>
      </c>
      <c r="D849" s="24" t="n">
        <v>1130.18</v>
      </c>
      <c r="E849" s="24" t="n"/>
      <c r="F849" s="24" t="n"/>
    </row>
    <row r="850">
      <c r="A850" s="22" t="n">
        <v>46118</v>
      </c>
      <c r="B850" s="23" t="inlineStr">
        <is>
          <t>Beer &amp; Wine</t>
        </is>
      </c>
      <c r="C850" s="23" t="inlineStr">
        <is>
          <t>Actual</t>
        </is>
      </c>
      <c r="D850" s="24" t="n">
        <v>2504.72</v>
      </c>
      <c r="E850" s="24" t="n"/>
      <c r="F850" s="24" t="n"/>
    </row>
    <row r="851">
      <c r="A851" s="22" t="n">
        <v>46118</v>
      </c>
      <c r="B851" s="23" t="inlineStr">
        <is>
          <t>Beverages</t>
        </is>
      </c>
      <c r="C851" s="23" t="inlineStr">
        <is>
          <t>Actual</t>
        </is>
      </c>
      <c r="D851" s="24" t="n">
        <v>2960.21</v>
      </c>
      <c r="E851" s="24" t="n"/>
      <c r="F851" s="24" t="n"/>
    </row>
    <row r="852">
      <c r="A852" s="22" t="n">
        <v>46118</v>
      </c>
      <c r="B852" s="23" t="inlineStr">
        <is>
          <t>Dairy</t>
        </is>
      </c>
      <c r="C852" s="23" t="inlineStr">
        <is>
          <t>Actual</t>
        </is>
      </c>
      <c r="D852" s="24" t="n">
        <v>3230.13</v>
      </c>
      <c r="E852" s="24" t="n"/>
      <c r="F852" s="24" t="n"/>
    </row>
    <row r="853">
      <c r="A853" s="22" t="n">
        <v>46118</v>
      </c>
      <c r="B853" s="23" t="inlineStr">
        <is>
          <t>Food To Go</t>
        </is>
      </c>
      <c r="C853" s="23" t="inlineStr">
        <is>
          <t>Actual</t>
        </is>
      </c>
      <c r="D853" s="24" t="n">
        <v>3410.06</v>
      </c>
      <c r="E853" s="24" t="n"/>
      <c r="F853" s="24" t="n"/>
    </row>
    <row r="854">
      <c r="A854" s="22" t="n">
        <v>46118</v>
      </c>
      <c r="B854" s="23" t="inlineStr">
        <is>
          <t>Frozen</t>
        </is>
      </c>
      <c r="C854" s="23" t="inlineStr">
        <is>
          <t>Actual</t>
        </is>
      </c>
      <c r="D854" s="24" t="n">
        <v>1297.02</v>
      </c>
      <c r="E854" s="24" t="n"/>
      <c r="F854" s="24" t="n"/>
    </row>
    <row r="855">
      <c r="A855" s="22" t="n">
        <v>46118</v>
      </c>
      <c r="B855" s="23" t="inlineStr">
        <is>
          <t>Grocery</t>
        </is>
      </c>
      <c r="C855" s="23" t="inlineStr">
        <is>
          <t>Actual</t>
        </is>
      </c>
      <c r="D855" s="24" t="n">
        <v>1948.64</v>
      </c>
      <c r="E855" s="24" t="n"/>
      <c r="F855" s="24" t="n"/>
    </row>
    <row r="856">
      <c r="A856" s="22" t="n">
        <v>46118</v>
      </c>
      <c r="B856" s="23" t="inlineStr">
        <is>
          <t>Health &amp; Beauty</t>
        </is>
      </c>
      <c r="C856" s="23" t="inlineStr">
        <is>
          <t>Actual</t>
        </is>
      </c>
      <c r="D856" s="24" t="n">
        <v>413.46</v>
      </c>
      <c r="E856" s="24" t="n"/>
      <c r="F856" s="24" t="n"/>
    </row>
    <row r="857">
      <c r="A857" s="22" t="n">
        <v>46118</v>
      </c>
      <c r="B857" s="23" t="inlineStr">
        <is>
          <t>Household</t>
        </is>
      </c>
      <c r="C857" s="23" t="inlineStr">
        <is>
          <t>Actual</t>
        </is>
      </c>
      <c r="D857" s="24" t="n">
        <v>583.73</v>
      </c>
      <c r="E857" s="24" t="n"/>
      <c r="F857" s="24" t="n"/>
    </row>
    <row r="858">
      <c r="A858" s="22" t="n">
        <v>46118</v>
      </c>
      <c r="B858" s="23" t="inlineStr">
        <is>
          <t>Produce</t>
        </is>
      </c>
      <c r="C858" s="23" t="inlineStr">
        <is>
          <t>Actual</t>
        </is>
      </c>
      <c r="D858" s="24" t="n">
        <v>407.13</v>
      </c>
      <c r="E858" s="24" t="n"/>
      <c r="F858" s="24" t="n"/>
    </row>
    <row r="859">
      <c r="A859" s="22" t="n">
        <v>46118</v>
      </c>
      <c r="B859" s="23" t="inlineStr">
        <is>
          <t>Snacks &amp; Confectionery</t>
        </is>
      </c>
      <c r="C859" s="23" t="inlineStr">
        <is>
          <t>Actual</t>
        </is>
      </c>
      <c r="D859" s="24" t="n">
        <v>1987.05</v>
      </c>
      <c r="E859" s="24" t="n"/>
      <c r="F859" s="24" t="n"/>
    </row>
    <row r="860">
      <c r="A860" s="22" t="n">
        <v>46125</v>
      </c>
      <c r="B860" s="23" t="inlineStr">
        <is>
          <t>Bakery</t>
        </is>
      </c>
      <c r="C860" s="23" t="inlineStr">
        <is>
          <t>Actual</t>
        </is>
      </c>
      <c r="D860" s="24" t="n">
        <v>1156.08</v>
      </c>
      <c r="E860" s="24" t="n"/>
      <c r="F860" s="24" t="n"/>
    </row>
    <row r="861">
      <c r="A861" s="22" t="n">
        <v>46125</v>
      </c>
      <c r="B861" s="23" t="inlineStr">
        <is>
          <t>Beer &amp; Wine</t>
        </is>
      </c>
      <c r="C861" s="23" t="inlineStr">
        <is>
          <t>Actual</t>
        </is>
      </c>
      <c r="D861" s="24" t="n">
        <v>2152.62</v>
      </c>
      <c r="E861" s="24" t="n"/>
      <c r="F861" s="24" t="n"/>
    </row>
    <row r="862">
      <c r="A862" s="22" t="n">
        <v>46125</v>
      </c>
      <c r="B862" s="23" t="inlineStr">
        <is>
          <t>Beverages</t>
        </is>
      </c>
      <c r="C862" s="23" t="inlineStr">
        <is>
          <t>Actual</t>
        </is>
      </c>
      <c r="D862" s="24" t="n">
        <v>3134.45</v>
      </c>
      <c r="E862" s="24" t="n"/>
      <c r="F862" s="24" t="n"/>
    </row>
    <row r="863">
      <c r="A863" s="22" t="n">
        <v>46125</v>
      </c>
      <c r="B863" s="23" t="inlineStr">
        <is>
          <t>Dairy</t>
        </is>
      </c>
      <c r="C863" s="23" t="inlineStr">
        <is>
          <t>Actual</t>
        </is>
      </c>
      <c r="D863" s="24" t="n">
        <v>3229.94</v>
      </c>
      <c r="E863" s="24" t="n"/>
      <c r="F863" s="24" t="n"/>
    </row>
    <row r="864">
      <c r="A864" s="22" t="n">
        <v>46125</v>
      </c>
      <c r="B864" s="23" t="inlineStr">
        <is>
          <t>Food To Go</t>
        </is>
      </c>
      <c r="C864" s="23" t="inlineStr">
        <is>
          <t>Actual</t>
        </is>
      </c>
      <c r="D864" s="24" t="n">
        <v>3499.45</v>
      </c>
      <c r="E864" s="24" t="n"/>
      <c r="F864" s="24" t="n"/>
    </row>
    <row r="865">
      <c r="A865" s="22" t="n">
        <v>46125</v>
      </c>
      <c r="B865" s="23" t="inlineStr">
        <is>
          <t>Frozen</t>
        </is>
      </c>
      <c r="C865" s="23" t="inlineStr">
        <is>
          <t>Actual</t>
        </is>
      </c>
      <c r="D865" s="24" t="n">
        <v>1341.96</v>
      </c>
      <c r="E865" s="24" t="n"/>
      <c r="F865" s="24" t="n"/>
    </row>
    <row r="866">
      <c r="A866" s="22" t="n">
        <v>46125</v>
      </c>
      <c r="B866" s="23" t="inlineStr">
        <is>
          <t>Grocery</t>
        </is>
      </c>
      <c r="C866" s="23" t="inlineStr">
        <is>
          <t>Actual</t>
        </is>
      </c>
      <c r="D866" s="24" t="n">
        <v>1893.15</v>
      </c>
      <c r="E866" s="24" t="n"/>
      <c r="F866" s="24" t="n"/>
    </row>
    <row r="867">
      <c r="A867" s="22" t="n">
        <v>46125</v>
      </c>
      <c r="B867" s="23" t="inlineStr">
        <is>
          <t>Health &amp; Beauty</t>
        </is>
      </c>
      <c r="C867" s="23" t="inlineStr">
        <is>
          <t>Actual</t>
        </is>
      </c>
      <c r="D867" s="24" t="n">
        <v>282.65</v>
      </c>
      <c r="E867" s="24" t="n"/>
      <c r="F867" s="24" t="n"/>
    </row>
    <row r="868">
      <c r="A868" s="22" t="n">
        <v>46125</v>
      </c>
      <c r="B868" s="23" t="inlineStr">
        <is>
          <t>Household</t>
        </is>
      </c>
      <c r="C868" s="23" t="inlineStr">
        <is>
          <t>Actual</t>
        </is>
      </c>
      <c r="D868" s="24" t="n">
        <v>357.58</v>
      </c>
      <c r="E868" s="24" t="n"/>
      <c r="F868" s="24" t="n"/>
    </row>
    <row r="869">
      <c r="A869" s="22" t="n">
        <v>46125</v>
      </c>
      <c r="B869" s="23" t="inlineStr">
        <is>
          <t>Produce</t>
        </is>
      </c>
      <c r="C869" s="23" t="inlineStr">
        <is>
          <t>Actual</t>
        </is>
      </c>
      <c r="D869" s="24" t="n">
        <v>517.52</v>
      </c>
      <c r="E869" s="24" t="n"/>
      <c r="F869" s="24" t="n"/>
    </row>
    <row r="870">
      <c r="A870" s="22" t="n">
        <v>46125</v>
      </c>
      <c r="B870" s="23" t="inlineStr">
        <is>
          <t>Snacks &amp; Confectionery</t>
        </is>
      </c>
      <c r="C870" s="23" t="inlineStr">
        <is>
          <t>Actual</t>
        </is>
      </c>
      <c r="D870" s="24" t="n">
        <v>1962.73</v>
      </c>
      <c r="E870" s="24" t="n"/>
      <c r="F870" s="24" t="n"/>
    </row>
    <row r="871">
      <c r="A871" s="22" t="n">
        <v>46132</v>
      </c>
      <c r="B871" s="23" t="inlineStr">
        <is>
          <t>Bakery</t>
        </is>
      </c>
      <c r="C871" s="23" t="inlineStr">
        <is>
          <t>Actual</t>
        </is>
      </c>
      <c r="D871" s="24" t="n">
        <v>1096.28</v>
      </c>
      <c r="E871" s="24" t="n"/>
      <c r="F871" s="24" t="n"/>
    </row>
    <row r="872">
      <c r="A872" s="22" t="n">
        <v>46132</v>
      </c>
      <c r="B872" s="23" t="inlineStr">
        <is>
          <t>Beer &amp; Wine</t>
        </is>
      </c>
      <c r="C872" s="23" t="inlineStr">
        <is>
          <t>Actual</t>
        </is>
      </c>
      <c r="D872" s="24" t="n">
        <v>2393.78</v>
      </c>
      <c r="E872" s="24" t="n"/>
      <c r="F872" s="24" t="n"/>
    </row>
    <row r="873">
      <c r="A873" s="22" t="n">
        <v>46132</v>
      </c>
      <c r="B873" s="23" t="inlineStr">
        <is>
          <t>Beverages</t>
        </is>
      </c>
      <c r="C873" s="23" t="inlineStr">
        <is>
          <t>Actual</t>
        </is>
      </c>
      <c r="D873" s="24" t="n">
        <v>2837.06</v>
      </c>
      <c r="E873" s="24" t="n"/>
      <c r="F873" s="24" t="n"/>
    </row>
    <row r="874">
      <c r="A874" s="22" t="n">
        <v>46132</v>
      </c>
      <c r="B874" s="23" t="inlineStr">
        <is>
          <t>Dairy</t>
        </is>
      </c>
      <c r="C874" s="23" t="inlineStr">
        <is>
          <t>Actual</t>
        </is>
      </c>
      <c r="D874" s="24" t="n">
        <v>3440.42</v>
      </c>
      <c r="E874" s="24" t="n"/>
      <c r="F874" s="24" t="n"/>
    </row>
    <row r="875">
      <c r="A875" s="22" t="n">
        <v>46132</v>
      </c>
      <c r="B875" s="23" t="inlineStr">
        <is>
          <t>Food To Go</t>
        </is>
      </c>
      <c r="C875" s="23" t="inlineStr">
        <is>
          <t>Actual</t>
        </is>
      </c>
      <c r="D875" s="24" t="n">
        <v>3400.87</v>
      </c>
      <c r="E875" s="24" t="n"/>
      <c r="F875" s="24" t="n"/>
    </row>
    <row r="876">
      <c r="A876" s="22" t="n">
        <v>46132</v>
      </c>
      <c r="B876" s="23" t="inlineStr">
        <is>
          <t>Frozen</t>
        </is>
      </c>
      <c r="C876" s="23" t="inlineStr">
        <is>
          <t>Actual</t>
        </is>
      </c>
      <c r="D876" s="24" t="n">
        <v>1303.1</v>
      </c>
      <c r="E876" s="24" t="n"/>
      <c r="F876" s="24" t="n"/>
    </row>
    <row r="877">
      <c r="A877" s="22" t="n">
        <v>46132</v>
      </c>
      <c r="B877" s="23" t="inlineStr">
        <is>
          <t>Grocery</t>
        </is>
      </c>
      <c r="C877" s="23" t="inlineStr">
        <is>
          <t>Actual</t>
        </is>
      </c>
      <c r="D877" s="24" t="n">
        <v>1902.67</v>
      </c>
      <c r="E877" s="24" t="n"/>
      <c r="F877" s="24" t="n"/>
    </row>
    <row r="878">
      <c r="A878" s="22" t="n">
        <v>46132</v>
      </c>
      <c r="B878" s="23" t="inlineStr">
        <is>
          <t>Health &amp; Beauty</t>
        </is>
      </c>
      <c r="C878" s="23" t="inlineStr">
        <is>
          <t>Actual</t>
        </is>
      </c>
      <c r="D878" s="24" t="n">
        <v>305.62</v>
      </c>
      <c r="E878" s="24" t="n"/>
      <c r="F878" s="24" t="n"/>
    </row>
    <row r="879">
      <c r="A879" s="22" t="n">
        <v>46132</v>
      </c>
      <c r="B879" s="23" t="inlineStr">
        <is>
          <t>Household</t>
        </is>
      </c>
      <c r="C879" s="23" t="inlineStr">
        <is>
          <t>Actual</t>
        </is>
      </c>
      <c r="D879" s="24" t="n">
        <v>619.3</v>
      </c>
      <c r="E879" s="24" t="n"/>
      <c r="F879" s="24" t="n"/>
    </row>
    <row r="880">
      <c r="A880" s="22" t="n">
        <v>46132</v>
      </c>
      <c r="B880" s="23" t="inlineStr">
        <is>
          <t>Produce</t>
        </is>
      </c>
      <c r="C880" s="23" t="inlineStr">
        <is>
          <t>Actual</t>
        </is>
      </c>
      <c r="D880" s="24" t="n">
        <v>420.08</v>
      </c>
      <c r="E880" s="24" t="n"/>
      <c r="F880" s="24" t="n"/>
    </row>
    <row r="881">
      <c r="A881" s="22" t="n">
        <v>46132</v>
      </c>
      <c r="B881" s="23" t="inlineStr">
        <is>
          <t>Snacks &amp; Confectionery</t>
        </is>
      </c>
      <c r="C881" s="23" t="inlineStr">
        <is>
          <t>Actual</t>
        </is>
      </c>
      <c r="D881" s="24" t="n">
        <v>2171.6</v>
      </c>
      <c r="E881" s="24" t="n"/>
      <c r="F881" s="24" t="n"/>
    </row>
    <row r="882">
      <c r="A882" s="22" t="n">
        <v>46139</v>
      </c>
      <c r="B882" s="23" t="inlineStr">
        <is>
          <t>Bakery</t>
        </is>
      </c>
      <c r="C882" s="23" t="inlineStr">
        <is>
          <t>Actual</t>
        </is>
      </c>
      <c r="D882" s="24" t="n">
        <v>982.92</v>
      </c>
      <c r="E882" s="24" t="n"/>
      <c r="F882" s="24" t="n"/>
    </row>
    <row r="883">
      <c r="A883" s="22" t="n">
        <v>46139</v>
      </c>
      <c r="B883" s="23" t="inlineStr">
        <is>
          <t>Beer &amp; Wine</t>
        </is>
      </c>
      <c r="C883" s="23" t="inlineStr">
        <is>
          <t>Actual</t>
        </is>
      </c>
      <c r="D883" s="24" t="n">
        <v>1961.73</v>
      </c>
      <c r="E883" s="24" t="n"/>
      <c r="F883" s="24" t="n"/>
    </row>
    <row r="884">
      <c r="A884" s="22" t="n">
        <v>46139</v>
      </c>
      <c r="B884" s="23" t="inlineStr">
        <is>
          <t>Beverages</t>
        </is>
      </c>
      <c r="C884" s="23" t="inlineStr">
        <is>
          <t>Actual</t>
        </is>
      </c>
      <c r="D884" s="24" t="n">
        <v>2428.51</v>
      </c>
      <c r="E884" s="24" t="n"/>
      <c r="F884" s="24" t="n"/>
    </row>
    <row r="885">
      <c r="A885" s="22" t="n">
        <v>46139</v>
      </c>
      <c r="B885" s="23" t="inlineStr">
        <is>
          <t>Dairy</t>
        </is>
      </c>
      <c r="C885" s="23" t="inlineStr">
        <is>
          <t>Actual</t>
        </is>
      </c>
      <c r="D885" s="24" t="n">
        <v>3085.83</v>
      </c>
      <c r="E885" s="24" t="n"/>
      <c r="F885" s="24" t="n"/>
    </row>
    <row r="886">
      <c r="A886" s="22" t="n">
        <v>46139</v>
      </c>
      <c r="B886" s="23" t="inlineStr">
        <is>
          <t>Food To Go</t>
        </is>
      </c>
      <c r="C886" s="23" t="inlineStr">
        <is>
          <t>Actual</t>
        </is>
      </c>
      <c r="D886" s="24" t="n">
        <v>3321.61</v>
      </c>
      <c r="E886" s="24" t="n"/>
      <c r="F886" s="24" t="n"/>
    </row>
    <row r="887">
      <c r="A887" s="22" t="n">
        <v>46139</v>
      </c>
      <c r="B887" s="23" t="inlineStr">
        <is>
          <t>Frozen</t>
        </is>
      </c>
      <c r="C887" s="23" t="inlineStr">
        <is>
          <t>Actual</t>
        </is>
      </c>
      <c r="D887" s="24" t="n">
        <v>1435.98</v>
      </c>
      <c r="E887" s="24" t="n"/>
      <c r="F887" s="24" t="n"/>
    </row>
    <row r="888">
      <c r="A888" s="22" t="n">
        <v>46139</v>
      </c>
      <c r="B888" s="23" t="inlineStr">
        <is>
          <t>Grocery</t>
        </is>
      </c>
      <c r="C888" s="23" t="inlineStr">
        <is>
          <t>Actual</t>
        </is>
      </c>
      <c r="D888" s="24" t="n">
        <v>1740.92</v>
      </c>
      <c r="E888" s="24" t="n"/>
      <c r="F888" s="24" t="n"/>
    </row>
    <row r="889">
      <c r="A889" s="22" t="n">
        <v>46139</v>
      </c>
      <c r="B889" s="23" t="inlineStr">
        <is>
          <t>Health &amp; Beauty</t>
        </is>
      </c>
      <c r="C889" s="23" t="inlineStr">
        <is>
          <t>Actual</t>
        </is>
      </c>
      <c r="D889" s="24" t="n">
        <v>317.59</v>
      </c>
      <c r="E889" s="24" t="n"/>
      <c r="F889" s="24" t="n"/>
    </row>
    <row r="890">
      <c r="A890" s="22" t="n">
        <v>46139</v>
      </c>
      <c r="B890" s="23" t="inlineStr">
        <is>
          <t>Household</t>
        </is>
      </c>
      <c r="C890" s="23" t="inlineStr">
        <is>
          <t>Actual</t>
        </is>
      </c>
      <c r="D890" s="24" t="n">
        <v>622.27</v>
      </c>
      <c r="E890" s="24" t="n"/>
      <c r="F890" s="24" t="n"/>
    </row>
    <row r="891">
      <c r="A891" s="22" t="n">
        <v>46139</v>
      </c>
      <c r="B891" s="23" t="inlineStr">
        <is>
          <t>Produce</t>
        </is>
      </c>
      <c r="C891" s="23" t="inlineStr">
        <is>
          <t>Actual</t>
        </is>
      </c>
      <c r="D891" s="24" t="n">
        <v>445.5</v>
      </c>
      <c r="E891" s="24" t="n"/>
      <c r="F891" s="24" t="n"/>
    </row>
    <row r="892">
      <c r="A892" s="22" t="n">
        <v>46139</v>
      </c>
      <c r="B892" s="23" t="inlineStr">
        <is>
          <t>Snacks &amp; Confectionery</t>
        </is>
      </c>
      <c r="C892" s="23" t="inlineStr">
        <is>
          <t>Actual</t>
        </is>
      </c>
      <c r="D892" s="24" t="n">
        <v>1835.1</v>
      </c>
      <c r="E892" s="24" t="n"/>
      <c r="F892" s="24" t="n"/>
    </row>
    <row r="893">
      <c r="A893" s="22" t="n">
        <v>46146</v>
      </c>
      <c r="B893" s="23" t="inlineStr">
        <is>
          <t>Bakery</t>
        </is>
      </c>
      <c r="C893" s="23" t="inlineStr">
        <is>
          <t>Actual</t>
        </is>
      </c>
      <c r="D893" s="24" t="n">
        <v>1167.53</v>
      </c>
      <c r="E893" s="24" t="n"/>
      <c r="F893" s="24" t="n"/>
    </row>
    <row r="894">
      <c r="A894" s="22" t="n">
        <v>46146</v>
      </c>
      <c r="B894" s="23" t="inlineStr">
        <is>
          <t>Beer &amp; Wine</t>
        </is>
      </c>
      <c r="C894" s="23" t="inlineStr">
        <is>
          <t>Actual</t>
        </is>
      </c>
      <c r="D894" s="24" t="n">
        <v>2399.74</v>
      </c>
      <c r="E894" s="24" t="n"/>
      <c r="F894" s="24" t="n"/>
    </row>
    <row r="895">
      <c r="A895" s="22" t="n">
        <v>46146</v>
      </c>
      <c r="B895" s="23" t="inlineStr">
        <is>
          <t>Beverages</t>
        </is>
      </c>
      <c r="C895" s="23" t="inlineStr">
        <is>
          <t>Actual</t>
        </is>
      </c>
      <c r="D895" s="24" t="n">
        <v>2772.37</v>
      </c>
      <c r="E895" s="24" t="n"/>
      <c r="F895" s="24" t="n"/>
    </row>
    <row r="896">
      <c r="A896" s="22" t="n">
        <v>46146</v>
      </c>
      <c r="B896" s="23" t="inlineStr">
        <is>
          <t>Dairy</t>
        </is>
      </c>
      <c r="C896" s="23" t="inlineStr">
        <is>
          <t>Actual</t>
        </is>
      </c>
      <c r="D896" s="24" t="n">
        <v>3016.88</v>
      </c>
      <c r="E896" s="24" t="n"/>
      <c r="F896" s="24" t="n"/>
    </row>
    <row r="897">
      <c r="A897" s="22" t="n">
        <v>46146</v>
      </c>
      <c r="B897" s="23" t="inlineStr">
        <is>
          <t>Food To Go</t>
        </is>
      </c>
      <c r="C897" s="23" t="inlineStr">
        <is>
          <t>Actual</t>
        </is>
      </c>
      <c r="D897" s="24" t="n">
        <v>3518.87</v>
      </c>
      <c r="E897" s="24" t="n"/>
      <c r="F897" s="24" t="n"/>
    </row>
    <row r="898">
      <c r="A898" s="22" t="n">
        <v>46146</v>
      </c>
      <c r="B898" s="23" t="inlineStr">
        <is>
          <t>Frozen</t>
        </is>
      </c>
      <c r="C898" s="23" t="inlineStr">
        <is>
          <t>Actual</t>
        </is>
      </c>
      <c r="D898" s="24" t="n">
        <v>1195.81</v>
      </c>
      <c r="E898" s="24" t="n"/>
      <c r="F898" s="24" t="n"/>
    </row>
    <row r="899">
      <c r="A899" s="22" t="n">
        <v>46146</v>
      </c>
      <c r="B899" s="23" t="inlineStr">
        <is>
          <t>Grocery</t>
        </is>
      </c>
      <c r="C899" s="23" t="inlineStr">
        <is>
          <t>Actual</t>
        </is>
      </c>
      <c r="D899" s="24" t="n">
        <v>1835.21</v>
      </c>
      <c r="E899" s="24" t="n"/>
      <c r="F899" s="24" t="n"/>
    </row>
    <row r="900">
      <c r="A900" s="22" t="n">
        <v>46146</v>
      </c>
      <c r="B900" s="23" t="inlineStr">
        <is>
          <t>Health &amp; Beauty</t>
        </is>
      </c>
      <c r="C900" s="23" t="inlineStr">
        <is>
          <t>Actual</t>
        </is>
      </c>
      <c r="D900" s="24" t="n">
        <v>281.57</v>
      </c>
      <c r="E900" s="24" t="n"/>
      <c r="F900" s="24" t="n"/>
    </row>
    <row r="901">
      <c r="A901" s="22" t="n">
        <v>46146</v>
      </c>
      <c r="B901" s="23" t="inlineStr">
        <is>
          <t>Household</t>
        </is>
      </c>
      <c r="C901" s="23" t="inlineStr">
        <is>
          <t>Actual</t>
        </is>
      </c>
      <c r="D901" s="24" t="n">
        <v>489.36</v>
      </c>
      <c r="E901" s="24" t="n"/>
      <c r="F901" s="24" t="n"/>
    </row>
    <row r="902">
      <c r="A902" s="22" t="n">
        <v>46146</v>
      </c>
      <c r="B902" s="23" t="inlineStr">
        <is>
          <t>Produce</t>
        </is>
      </c>
      <c r="C902" s="23" t="inlineStr">
        <is>
          <t>Actual</t>
        </is>
      </c>
      <c r="D902" s="24" t="n">
        <v>435.37</v>
      </c>
      <c r="E902" s="24" t="n"/>
      <c r="F902" s="24" t="n"/>
    </row>
    <row r="903">
      <c r="A903" s="22" t="n">
        <v>46146</v>
      </c>
      <c r="B903" s="23" t="inlineStr">
        <is>
          <t>Snacks &amp; Confectionery</t>
        </is>
      </c>
      <c r="C903" s="23" t="inlineStr">
        <is>
          <t>Actual</t>
        </is>
      </c>
      <c r="D903" s="24" t="n">
        <v>2179.88</v>
      </c>
      <c r="E903" s="24" t="n"/>
      <c r="F903" s="24" t="n"/>
    </row>
    <row r="904">
      <c r="A904" s="22" t="n">
        <v>46153</v>
      </c>
      <c r="B904" s="23" t="inlineStr">
        <is>
          <t>Bakery</t>
        </is>
      </c>
      <c r="C904" s="23" t="inlineStr">
        <is>
          <t>Actual</t>
        </is>
      </c>
      <c r="D904" s="24" t="n">
        <v>1150.06</v>
      </c>
      <c r="E904" s="24" t="n"/>
      <c r="F904" s="24" t="n"/>
    </row>
    <row r="905">
      <c r="A905" s="22" t="n">
        <v>46153</v>
      </c>
      <c r="B905" s="23" t="inlineStr">
        <is>
          <t>Beer &amp; Wine</t>
        </is>
      </c>
      <c r="C905" s="23" t="inlineStr">
        <is>
          <t>Actual</t>
        </is>
      </c>
      <c r="D905" s="24" t="n">
        <v>2034.92</v>
      </c>
      <c r="E905" s="24" t="n"/>
      <c r="F905" s="24" t="n"/>
    </row>
    <row r="906">
      <c r="A906" s="22" t="n">
        <v>46153</v>
      </c>
      <c r="B906" s="23" t="inlineStr">
        <is>
          <t>Beverages</t>
        </is>
      </c>
      <c r="C906" s="23" t="inlineStr">
        <is>
          <t>Actual</t>
        </is>
      </c>
      <c r="D906" s="24" t="n">
        <v>2682.9</v>
      </c>
      <c r="E906" s="24" t="n"/>
      <c r="F906" s="24" t="n"/>
    </row>
    <row r="907">
      <c r="A907" s="22" t="n">
        <v>46153</v>
      </c>
      <c r="B907" s="23" t="inlineStr">
        <is>
          <t>Dairy</t>
        </is>
      </c>
      <c r="C907" s="23" t="inlineStr">
        <is>
          <t>Actual</t>
        </is>
      </c>
      <c r="D907" s="24" t="n">
        <v>3393.28</v>
      </c>
      <c r="E907" s="24" t="n"/>
      <c r="F907" s="24" t="n"/>
    </row>
    <row r="908">
      <c r="A908" s="22" t="n">
        <v>46153</v>
      </c>
      <c r="B908" s="23" t="inlineStr">
        <is>
          <t>Food To Go</t>
        </is>
      </c>
      <c r="C908" s="23" t="inlineStr">
        <is>
          <t>Actual</t>
        </is>
      </c>
      <c r="D908" s="24" t="n">
        <v>3595.87</v>
      </c>
      <c r="E908" s="24" t="n"/>
      <c r="F908" s="24" t="n"/>
    </row>
    <row r="909">
      <c r="A909" s="22" t="n">
        <v>46153</v>
      </c>
      <c r="B909" s="23" t="inlineStr">
        <is>
          <t>Frozen</t>
        </is>
      </c>
      <c r="C909" s="23" t="inlineStr">
        <is>
          <t>Actual</t>
        </is>
      </c>
      <c r="D909" s="24" t="n">
        <v>1271.21</v>
      </c>
      <c r="E909" s="24" t="n"/>
      <c r="F909" s="24" t="n"/>
    </row>
    <row r="910">
      <c r="A910" s="22" t="n">
        <v>46153</v>
      </c>
      <c r="B910" s="23" t="inlineStr">
        <is>
          <t>Grocery</t>
        </is>
      </c>
      <c r="C910" s="23" t="inlineStr">
        <is>
          <t>Actual</t>
        </is>
      </c>
      <c r="D910" s="24" t="n">
        <v>2164.28</v>
      </c>
      <c r="E910" s="24" t="n"/>
      <c r="F910" s="24" t="n"/>
    </row>
    <row r="911">
      <c r="A911" s="22" t="n">
        <v>46153</v>
      </c>
      <c r="B911" s="23" t="inlineStr">
        <is>
          <t>Health &amp; Beauty</t>
        </is>
      </c>
      <c r="C911" s="23" t="inlineStr">
        <is>
          <t>Actual</t>
        </is>
      </c>
      <c r="D911" s="24" t="n">
        <v>286.53</v>
      </c>
      <c r="E911" s="24" t="n"/>
      <c r="F911" s="24" t="n"/>
    </row>
    <row r="912">
      <c r="A912" s="22" t="n">
        <v>46153</v>
      </c>
      <c r="B912" s="23" t="inlineStr">
        <is>
          <t>Household</t>
        </is>
      </c>
      <c r="C912" s="23" t="inlineStr">
        <is>
          <t>Actual</t>
        </is>
      </c>
      <c r="D912" s="24" t="n">
        <v>602.33</v>
      </c>
      <c r="E912" s="24" t="n"/>
      <c r="F912" s="24" t="n"/>
    </row>
    <row r="913">
      <c r="A913" s="22" t="n">
        <v>46153</v>
      </c>
      <c r="B913" s="23" t="inlineStr">
        <is>
          <t>Produce</t>
        </is>
      </c>
      <c r="C913" s="23" t="inlineStr">
        <is>
          <t>Actual</t>
        </is>
      </c>
      <c r="D913" s="24" t="n">
        <v>430.82</v>
      </c>
      <c r="E913" s="24" t="n"/>
      <c r="F913" s="24" t="n"/>
    </row>
    <row r="914">
      <c r="A914" s="22" t="n">
        <v>46153</v>
      </c>
      <c r="B914" s="23" t="inlineStr">
        <is>
          <t>Snacks &amp; Confectionery</t>
        </is>
      </c>
      <c r="C914" s="23" t="inlineStr">
        <is>
          <t>Actual</t>
        </is>
      </c>
      <c r="D914" s="24" t="n">
        <v>2050.49</v>
      </c>
      <c r="E914" s="24" t="n"/>
      <c r="F914" s="24" t="n"/>
    </row>
    <row r="915">
      <c r="A915" s="22" t="n">
        <v>46160</v>
      </c>
      <c r="B915" s="23" t="inlineStr">
        <is>
          <t>Bakery</t>
        </is>
      </c>
      <c r="C915" s="23" t="inlineStr">
        <is>
          <t>Actual</t>
        </is>
      </c>
      <c r="D915" s="24" t="n">
        <v>1057.98</v>
      </c>
      <c r="E915" s="24" t="n"/>
      <c r="F915" s="24" t="n"/>
    </row>
    <row r="916">
      <c r="A916" s="22" t="n">
        <v>46160</v>
      </c>
      <c r="B916" s="23" t="inlineStr">
        <is>
          <t>Beer &amp; Wine</t>
        </is>
      </c>
      <c r="C916" s="23" t="inlineStr">
        <is>
          <t>Actual</t>
        </is>
      </c>
      <c r="D916" s="24" t="n">
        <v>2292.8</v>
      </c>
      <c r="E916" s="24" t="n"/>
      <c r="F916" s="24" t="n"/>
    </row>
    <row r="917">
      <c r="A917" s="22" t="n">
        <v>46160</v>
      </c>
      <c r="B917" s="23" t="inlineStr">
        <is>
          <t>Beverages</t>
        </is>
      </c>
      <c r="C917" s="23" t="inlineStr">
        <is>
          <t>Actual</t>
        </is>
      </c>
      <c r="D917" s="24" t="n">
        <v>2509.17</v>
      </c>
      <c r="E917" s="24" t="n"/>
      <c r="F917" s="24" t="n"/>
    </row>
    <row r="918">
      <c r="A918" s="22" t="n">
        <v>46160</v>
      </c>
      <c r="B918" s="23" t="inlineStr">
        <is>
          <t>Dairy</t>
        </is>
      </c>
      <c r="C918" s="23" t="inlineStr">
        <is>
          <t>Actual</t>
        </is>
      </c>
      <c r="D918" s="24" t="n">
        <v>3178.04</v>
      </c>
      <c r="E918" s="24" t="n"/>
      <c r="F918" s="24" t="n"/>
    </row>
    <row r="919">
      <c r="A919" s="22" t="n">
        <v>46160</v>
      </c>
      <c r="B919" s="23" t="inlineStr">
        <is>
          <t>Food To Go</t>
        </is>
      </c>
      <c r="C919" s="23" t="inlineStr">
        <is>
          <t>Actual</t>
        </is>
      </c>
      <c r="D919" s="24" t="n">
        <v>3655.07</v>
      </c>
      <c r="E919" s="24" t="n"/>
      <c r="F919" s="24" t="n"/>
    </row>
    <row r="920">
      <c r="A920" s="22" t="n">
        <v>46160</v>
      </c>
      <c r="B920" s="23" t="inlineStr">
        <is>
          <t>Frozen</t>
        </is>
      </c>
      <c r="C920" s="23" t="inlineStr">
        <is>
          <t>Actual</t>
        </is>
      </c>
      <c r="D920" s="24" t="n">
        <v>1389.11</v>
      </c>
      <c r="E920" s="24" t="n"/>
      <c r="F920" s="24" t="n"/>
    </row>
    <row r="921">
      <c r="A921" s="22" t="n">
        <v>46160</v>
      </c>
      <c r="B921" s="23" t="inlineStr">
        <is>
          <t>Grocery</t>
        </is>
      </c>
      <c r="C921" s="23" t="inlineStr">
        <is>
          <t>Actual</t>
        </is>
      </c>
      <c r="D921" s="24" t="n">
        <v>2170.76</v>
      </c>
      <c r="E921" s="24" t="n"/>
      <c r="F921" s="24" t="n"/>
    </row>
    <row r="922">
      <c r="A922" s="22" t="n">
        <v>46160</v>
      </c>
      <c r="B922" s="23" t="inlineStr">
        <is>
          <t>Health &amp; Beauty</t>
        </is>
      </c>
      <c r="C922" s="23" t="inlineStr">
        <is>
          <t>Actual</t>
        </is>
      </c>
      <c r="D922" s="24" t="n">
        <v>391.08</v>
      </c>
      <c r="E922" s="24" t="n"/>
      <c r="F922" s="24" t="n"/>
    </row>
    <row r="923">
      <c r="A923" s="22" t="n">
        <v>46160</v>
      </c>
      <c r="B923" s="23" t="inlineStr">
        <is>
          <t>Household</t>
        </is>
      </c>
      <c r="C923" s="23" t="inlineStr">
        <is>
          <t>Actual</t>
        </is>
      </c>
      <c r="D923" s="24" t="n">
        <v>498.37</v>
      </c>
      <c r="E923" s="24" t="n"/>
      <c r="F923" s="24" t="n"/>
    </row>
    <row r="924">
      <c r="A924" s="22" t="n">
        <v>46160</v>
      </c>
      <c r="B924" s="23" t="inlineStr">
        <is>
          <t>Produce</t>
        </is>
      </c>
      <c r="C924" s="23" t="inlineStr">
        <is>
          <t>Actual</t>
        </is>
      </c>
      <c r="D924" s="24" t="n">
        <v>466.38</v>
      </c>
      <c r="E924" s="24" t="n"/>
      <c r="F924" s="24" t="n"/>
    </row>
    <row r="925">
      <c r="A925" s="22" t="n">
        <v>46160</v>
      </c>
      <c r="B925" s="23" t="inlineStr">
        <is>
          <t>Snacks &amp; Confectionery</t>
        </is>
      </c>
      <c r="C925" s="23" t="inlineStr">
        <is>
          <t>Actual</t>
        </is>
      </c>
      <c r="D925" s="24" t="n">
        <v>1873.6</v>
      </c>
      <c r="E925" s="24" t="n"/>
      <c r="F925" s="24" t="n"/>
    </row>
    <row r="926">
      <c r="A926" s="22" t="n">
        <v>46167</v>
      </c>
      <c r="B926" s="23" t="inlineStr">
        <is>
          <t>Bakery</t>
        </is>
      </c>
      <c r="C926" s="23" t="inlineStr">
        <is>
          <t>Actual</t>
        </is>
      </c>
      <c r="D926" s="24" t="n">
        <v>948.8099999999999</v>
      </c>
      <c r="E926" s="24" t="n"/>
      <c r="F926" s="24" t="n"/>
    </row>
    <row r="927">
      <c r="A927" s="22" t="n">
        <v>46167</v>
      </c>
      <c r="B927" s="23" t="inlineStr">
        <is>
          <t>Beer &amp; Wine</t>
        </is>
      </c>
      <c r="C927" s="23" t="inlineStr">
        <is>
          <t>Actual</t>
        </is>
      </c>
      <c r="D927" s="24" t="n">
        <v>2179.9</v>
      </c>
      <c r="E927" s="24" t="n"/>
      <c r="F927" s="24" t="n"/>
    </row>
    <row r="928">
      <c r="A928" s="22" t="n">
        <v>46167</v>
      </c>
      <c r="B928" s="23" t="inlineStr">
        <is>
          <t>Beverages</t>
        </is>
      </c>
      <c r="C928" s="23" t="inlineStr">
        <is>
          <t>Actual</t>
        </is>
      </c>
      <c r="D928" s="24" t="n">
        <v>2380.65</v>
      </c>
      <c r="E928" s="24" t="n"/>
      <c r="F928" s="24" t="n"/>
    </row>
    <row r="929">
      <c r="A929" s="22" t="n">
        <v>46167</v>
      </c>
      <c r="B929" s="23" t="inlineStr">
        <is>
          <t>Dairy</t>
        </is>
      </c>
      <c r="C929" s="23" t="inlineStr">
        <is>
          <t>Actual</t>
        </is>
      </c>
      <c r="D929" s="24" t="n">
        <v>3284.02</v>
      </c>
      <c r="E929" s="24" t="n"/>
      <c r="F929" s="24" t="n"/>
    </row>
    <row r="930">
      <c r="A930" s="22" t="n">
        <v>46167</v>
      </c>
      <c r="B930" s="23" t="inlineStr">
        <is>
          <t>Food To Go</t>
        </is>
      </c>
      <c r="C930" s="23" t="inlineStr">
        <is>
          <t>Actual</t>
        </is>
      </c>
      <c r="D930" s="24" t="n">
        <v>4024.65</v>
      </c>
      <c r="E930" s="24" t="n"/>
      <c r="F930" s="24" t="n"/>
    </row>
    <row r="931">
      <c r="A931" s="22" t="n">
        <v>46167</v>
      </c>
      <c r="B931" s="23" t="inlineStr">
        <is>
          <t>Frozen</t>
        </is>
      </c>
      <c r="C931" s="23" t="inlineStr">
        <is>
          <t>Actual</t>
        </is>
      </c>
      <c r="D931" s="24" t="n">
        <v>1593.93</v>
      </c>
      <c r="E931" s="24" t="n"/>
      <c r="F931" s="24" t="n"/>
    </row>
    <row r="932">
      <c r="A932" s="22" t="n">
        <v>46167</v>
      </c>
      <c r="B932" s="23" t="inlineStr">
        <is>
          <t>Grocery</t>
        </is>
      </c>
      <c r="C932" s="23" t="inlineStr">
        <is>
          <t>Actual</t>
        </is>
      </c>
      <c r="D932" s="24" t="n">
        <v>1617.5</v>
      </c>
      <c r="E932" s="24" t="n"/>
      <c r="F932" s="24" t="n"/>
    </row>
    <row r="933">
      <c r="A933" s="22" t="n">
        <v>46167</v>
      </c>
      <c r="B933" s="23" t="inlineStr">
        <is>
          <t>Health &amp; Beauty</t>
        </is>
      </c>
      <c r="C933" s="23" t="inlineStr">
        <is>
          <t>Actual</t>
        </is>
      </c>
      <c r="D933" s="24" t="n">
        <v>371.4</v>
      </c>
      <c r="E933" s="24" t="n"/>
      <c r="F933" s="24" t="n"/>
    </row>
    <row r="934">
      <c r="A934" s="22" t="n">
        <v>46167</v>
      </c>
      <c r="B934" s="23" t="inlineStr">
        <is>
          <t>Household</t>
        </is>
      </c>
      <c r="C934" s="23" t="inlineStr">
        <is>
          <t>Actual</t>
        </is>
      </c>
      <c r="D934" s="24" t="n">
        <v>477.44</v>
      </c>
      <c r="E934" s="24" t="n"/>
      <c r="F934" s="24" t="n"/>
    </row>
    <row r="935">
      <c r="A935" s="22" t="n">
        <v>46167</v>
      </c>
      <c r="B935" s="23" t="inlineStr">
        <is>
          <t>Produce</t>
        </is>
      </c>
      <c r="C935" s="23" t="inlineStr">
        <is>
          <t>Actual</t>
        </is>
      </c>
      <c r="D935" s="24" t="n">
        <v>512.88</v>
      </c>
      <c r="E935" s="24" t="n"/>
      <c r="F935" s="24" t="n"/>
    </row>
    <row r="936">
      <c r="A936" s="22" t="n">
        <v>46167</v>
      </c>
      <c r="B936" s="23" t="inlineStr">
        <is>
          <t>Snacks &amp; Confectionery</t>
        </is>
      </c>
      <c r="C936" s="23" t="inlineStr">
        <is>
          <t>Actual</t>
        </is>
      </c>
      <c r="D936" s="24" t="n">
        <v>1858.35</v>
      </c>
      <c r="E936" s="24" t="n"/>
      <c r="F936" s="24" t="n"/>
    </row>
    <row r="937">
      <c r="A937" s="22" t="n">
        <v>46174</v>
      </c>
      <c r="B937" s="23" t="inlineStr">
        <is>
          <t>Bakery</t>
        </is>
      </c>
      <c r="C937" s="23" t="inlineStr">
        <is>
          <t>Actual</t>
        </is>
      </c>
      <c r="D937" s="24" t="n">
        <v>1091.19</v>
      </c>
      <c r="E937" s="24" t="n"/>
      <c r="F937" s="24" t="n"/>
    </row>
    <row r="938">
      <c r="A938" s="22" t="n">
        <v>46174</v>
      </c>
      <c r="B938" s="23" t="inlineStr">
        <is>
          <t>Beer &amp; Wine</t>
        </is>
      </c>
      <c r="C938" s="23" t="inlineStr">
        <is>
          <t>Actual</t>
        </is>
      </c>
      <c r="D938" s="24" t="n">
        <v>1812.05</v>
      </c>
      <c r="E938" s="24" t="n"/>
      <c r="F938" s="24" t="n"/>
    </row>
    <row r="939">
      <c r="A939" s="22" t="n">
        <v>46174</v>
      </c>
      <c r="B939" s="23" t="inlineStr">
        <is>
          <t>Beverages</t>
        </is>
      </c>
      <c r="C939" s="23" t="inlineStr">
        <is>
          <t>Actual</t>
        </is>
      </c>
      <c r="D939" s="24" t="n">
        <v>2485.72</v>
      </c>
      <c r="E939" s="24" t="n"/>
      <c r="F939" s="24" t="n"/>
    </row>
    <row r="940">
      <c r="A940" s="22" t="n">
        <v>46174</v>
      </c>
      <c r="B940" s="23" t="inlineStr">
        <is>
          <t>Dairy</t>
        </is>
      </c>
      <c r="C940" s="23" t="inlineStr">
        <is>
          <t>Actual</t>
        </is>
      </c>
      <c r="D940" s="24" t="n">
        <v>3114.96</v>
      </c>
      <c r="E940" s="24" t="n"/>
      <c r="F940" s="24" t="n"/>
    </row>
    <row r="941">
      <c r="A941" s="22" t="n">
        <v>46174</v>
      </c>
      <c r="B941" s="23" t="inlineStr">
        <is>
          <t>Food To Go</t>
        </is>
      </c>
      <c r="C941" s="23" t="inlineStr">
        <is>
          <t>Actual</t>
        </is>
      </c>
      <c r="D941" s="24" t="n">
        <v>3202.24</v>
      </c>
      <c r="E941" s="24" t="n"/>
      <c r="F941" s="24" t="n"/>
    </row>
    <row r="942">
      <c r="A942" s="22" t="n">
        <v>46174</v>
      </c>
      <c r="B942" s="23" t="inlineStr">
        <is>
          <t>Frozen</t>
        </is>
      </c>
      <c r="C942" s="23" t="inlineStr">
        <is>
          <t>Actual</t>
        </is>
      </c>
      <c r="D942" s="24" t="n">
        <v>1226.2</v>
      </c>
      <c r="E942" s="24" t="n"/>
      <c r="F942" s="24" t="n"/>
    </row>
    <row r="943">
      <c r="A943" s="22" t="n">
        <v>46174</v>
      </c>
      <c r="B943" s="23" t="inlineStr">
        <is>
          <t>Grocery</t>
        </is>
      </c>
      <c r="C943" s="23" t="inlineStr">
        <is>
          <t>Actual</t>
        </is>
      </c>
      <c r="D943" s="24" t="n">
        <v>2108.06</v>
      </c>
      <c r="E943" s="24" t="n"/>
      <c r="F943" s="24" t="n"/>
    </row>
    <row r="944">
      <c r="A944" s="22" t="n">
        <v>46174</v>
      </c>
      <c r="B944" s="23" t="inlineStr">
        <is>
          <t>Health &amp; Beauty</t>
        </is>
      </c>
      <c r="C944" s="23" t="inlineStr">
        <is>
          <t>Actual</t>
        </is>
      </c>
      <c r="D944" s="24" t="n">
        <v>260.54</v>
      </c>
      <c r="E944" s="24" t="n"/>
      <c r="F944" s="24" t="n"/>
    </row>
    <row r="945">
      <c r="A945" s="22" t="n">
        <v>46174</v>
      </c>
      <c r="B945" s="23" t="inlineStr">
        <is>
          <t>Household</t>
        </is>
      </c>
      <c r="C945" s="23" t="inlineStr">
        <is>
          <t>Actual</t>
        </is>
      </c>
      <c r="D945" s="24" t="n">
        <v>564.35</v>
      </c>
      <c r="E945" s="24" t="n"/>
      <c r="F945" s="24" t="n"/>
    </row>
    <row r="946">
      <c r="A946" s="22" t="n">
        <v>46174</v>
      </c>
      <c r="B946" s="23" t="inlineStr">
        <is>
          <t>Produce</t>
        </is>
      </c>
      <c r="C946" s="23" t="inlineStr">
        <is>
          <t>Actual</t>
        </is>
      </c>
      <c r="D946" s="24" t="n">
        <v>397.17</v>
      </c>
      <c r="E946" s="24" t="n"/>
      <c r="F946" s="24" t="n"/>
    </row>
    <row r="947">
      <c r="A947" s="22" t="n">
        <v>46174</v>
      </c>
      <c r="B947" s="23" t="inlineStr">
        <is>
          <t>Snacks &amp; Confectionery</t>
        </is>
      </c>
      <c r="C947" s="23" t="inlineStr">
        <is>
          <t>Actual</t>
        </is>
      </c>
      <c r="D947" s="24" t="n">
        <v>1989.75</v>
      </c>
      <c r="E947" s="24" t="n"/>
      <c r="F947" s="24" t="n"/>
    </row>
    <row r="948">
      <c r="A948" s="22" t="n">
        <v>46181</v>
      </c>
      <c r="B948" s="23" t="inlineStr">
        <is>
          <t>Bakery</t>
        </is>
      </c>
      <c r="C948" s="23" t="inlineStr">
        <is>
          <t>Actual</t>
        </is>
      </c>
      <c r="D948" s="24" t="n">
        <v>1085.78</v>
      </c>
      <c r="E948" s="24" t="n"/>
      <c r="F948" s="24" t="n"/>
    </row>
    <row r="949">
      <c r="A949" s="22" t="n">
        <v>46181</v>
      </c>
      <c r="B949" s="23" t="inlineStr">
        <is>
          <t>Beer &amp; Wine</t>
        </is>
      </c>
      <c r="C949" s="23" t="inlineStr">
        <is>
          <t>Actual</t>
        </is>
      </c>
      <c r="D949" s="24" t="n">
        <v>1738.09</v>
      </c>
      <c r="E949" s="24" t="n"/>
      <c r="F949" s="24" t="n"/>
    </row>
    <row r="950">
      <c r="A950" s="22" t="n">
        <v>46181</v>
      </c>
      <c r="B950" s="23" t="inlineStr">
        <is>
          <t>Beverages</t>
        </is>
      </c>
      <c r="C950" s="23" t="inlineStr">
        <is>
          <t>Actual</t>
        </is>
      </c>
      <c r="D950" s="24" t="n">
        <v>2371.5</v>
      </c>
      <c r="E950" s="24" t="n"/>
      <c r="F950" s="24" t="n"/>
    </row>
    <row r="951">
      <c r="A951" s="22" t="n">
        <v>46181</v>
      </c>
      <c r="B951" s="23" t="inlineStr">
        <is>
          <t>Dairy</t>
        </is>
      </c>
      <c r="C951" s="23" t="inlineStr">
        <is>
          <t>Actual</t>
        </is>
      </c>
      <c r="D951" s="24" t="n">
        <v>3312.22</v>
      </c>
      <c r="E951" s="24" t="n"/>
      <c r="F951" s="24" t="n"/>
    </row>
    <row r="952">
      <c r="A952" s="22" t="n">
        <v>46181</v>
      </c>
      <c r="B952" s="23" t="inlineStr">
        <is>
          <t>Food To Go</t>
        </is>
      </c>
      <c r="C952" s="23" t="inlineStr">
        <is>
          <t>Actual</t>
        </is>
      </c>
      <c r="D952" s="24" t="n">
        <v>3772.1</v>
      </c>
      <c r="E952" s="24" t="n"/>
      <c r="F952" s="24" t="n"/>
    </row>
    <row r="953">
      <c r="A953" s="22" t="n">
        <v>46181</v>
      </c>
      <c r="B953" s="23" t="inlineStr">
        <is>
          <t>Frozen</t>
        </is>
      </c>
      <c r="C953" s="23" t="inlineStr">
        <is>
          <t>Actual</t>
        </is>
      </c>
      <c r="D953" s="24" t="n">
        <v>1358.27</v>
      </c>
      <c r="E953" s="24" t="n"/>
      <c r="F953" s="24" t="n"/>
    </row>
    <row r="954">
      <c r="A954" s="22" t="n">
        <v>46181</v>
      </c>
      <c r="B954" s="23" t="inlineStr">
        <is>
          <t>Grocery</t>
        </is>
      </c>
      <c r="C954" s="23" t="inlineStr">
        <is>
          <t>Actual</t>
        </is>
      </c>
      <c r="D954" s="24" t="n">
        <v>2169.26</v>
      </c>
      <c r="E954" s="24" t="n"/>
      <c r="F954" s="24" t="n"/>
    </row>
    <row r="955">
      <c r="A955" s="22" t="n">
        <v>46181</v>
      </c>
      <c r="B955" s="23" t="inlineStr">
        <is>
          <t>Health &amp; Beauty</t>
        </is>
      </c>
      <c r="C955" s="23" t="inlineStr">
        <is>
          <t>Actual</t>
        </is>
      </c>
      <c r="D955" s="24" t="n">
        <v>325.57</v>
      </c>
      <c r="E955" s="24" t="n"/>
      <c r="F955" s="24" t="n"/>
    </row>
    <row r="956">
      <c r="A956" s="22" t="n">
        <v>46181</v>
      </c>
      <c r="B956" s="23" t="inlineStr">
        <is>
          <t>Household</t>
        </is>
      </c>
      <c r="C956" s="23" t="inlineStr">
        <is>
          <t>Actual</t>
        </is>
      </c>
      <c r="D956" s="24" t="n">
        <v>589.3</v>
      </c>
      <c r="E956" s="24" t="n"/>
      <c r="F956" s="24" t="n"/>
    </row>
    <row r="957">
      <c r="A957" s="22" t="n">
        <v>46181</v>
      </c>
      <c r="B957" s="23" t="inlineStr">
        <is>
          <t>Produce</t>
        </is>
      </c>
      <c r="C957" s="23" t="inlineStr">
        <is>
          <t>Actual</t>
        </is>
      </c>
      <c r="D957" s="24" t="n">
        <v>396.81</v>
      </c>
      <c r="E957" s="24" t="n"/>
      <c r="F957" s="24" t="n"/>
    </row>
    <row r="958">
      <c r="A958" s="22" t="n">
        <v>46181</v>
      </c>
      <c r="B958" s="23" t="inlineStr">
        <is>
          <t>Snacks &amp; Confectionery</t>
        </is>
      </c>
      <c r="C958" s="23" t="inlineStr">
        <is>
          <t>Actual</t>
        </is>
      </c>
      <c r="D958" s="24" t="n">
        <v>2043.79</v>
      </c>
      <c r="E958" s="24" t="n"/>
      <c r="F958" s="24" t="n"/>
    </row>
    <row r="959">
      <c r="A959" s="22" t="n">
        <v>46188</v>
      </c>
      <c r="B959" s="23" t="inlineStr">
        <is>
          <t>Bakery</t>
        </is>
      </c>
      <c r="C959" s="23" t="inlineStr">
        <is>
          <t>Actual</t>
        </is>
      </c>
      <c r="D959" s="24" t="n">
        <v>1169.03</v>
      </c>
      <c r="E959" s="24" t="n"/>
      <c r="F959" s="24" t="n"/>
    </row>
    <row r="960">
      <c r="A960" s="22" t="n">
        <v>46188</v>
      </c>
      <c r="B960" s="23" t="inlineStr">
        <is>
          <t>Beer &amp; Wine</t>
        </is>
      </c>
      <c r="C960" s="23" t="inlineStr">
        <is>
          <t>Actual</t>
        </is>
      </c>
      <c r="D960" s="24" t="n">
        <v>2065.88</v>
      </c>
      <c r="E960" s="24" t="n"/>
      <c r="F960" s="24" t="n"/>
    </row>
    <row r="961">
      <c r="A961" s="22" t="n">
        <v>46188</v>
      </c>
      <c r="B961" s="23" t="inlineStr">
        <is>
          <t>Beverages</t>
        </is>
      </c>
      <c r="C961" s="23" t="inlineStr">
        <is>
          <t>Actual</t>
        </is>
      </c>
      <c r="D961" s="24" t="n">
        <v>2299.65</v>
      </c>
      <c r="E961" s="24" t="n"/>
      <c r="F961" s="24" t="n"/>
    </row>
    <row r="962">
      <c r="A962" s="22" t="n">
        <v>46188</v>
      </c>
      <c r="B962" s="23" t="inlineStr">
        <is>
          <t>Dairy</t>
        </is>
      </c>
      <c r="C962" s="23" t="inlineStr">
        <is>
          <t>Actual</t>
        </is>
      </c>
      <c r="D962" s="24" t="n">
        <v>3149.66</v>
      </c>
      <c r="E962" s="24" t="n"/>
      <c r="F962" s="24" t="n"/>
    </row>
    <row r="963">
      <c r="A963" s="22" t="n">
        <v>46188</v>
      </c>
      <c r="B963" s="23" t="inlineStr">
        <is>
          <t>Food To Go</t>
        </is>
      </c>
      <c r="C963" s="23" t="inlineStr">
        <is>
          <t>Actual</t>
        </is>
      </c>
      <c r="D963" s="24" t="n">
        <v>3232.96</v>
      </c>
      <c r="E963" s="24" t="n"/>
      <c r="F963" s="24" t="n"/>
    </row>
    <row r="964">
      <c r="A964" s="22" t="n">
        <v>46188</v>
      </c>
      <c r="B964" s="23" t="inlineStr">
        <is>
          <t>Frozen</t>
        </is>
      </c>
      <c r="C964" s="23" t="inlineStr">
        <is>
          <t>Actual</t>
        </is>
      </c>
      <c r="D964" s="24" t="n">
        <v>1287.13</v>
      </c>
      <c r="E964" s="24" t="n"/>
      <c r="F964" s="24" t="n"/>
    </row>
    <row r="965">
      <c r="A965" s="22" t="n">
        <v>46188</v>
      </c>
      <c r="B965" s="23" t="inlineStr">
        <is>
          <t>Grocery</t>
        </is>
      </c>
      <c r="C965" s="23" t="inlineStr">
        <is>
          <t>Actual</t>
        </is>
      </c>
      <c r="D965" s="24" t="n">
        <v>1901.57</v>
      </c>
      <c r="E965" s="24" t="n"/>
      <c r="F965" s="24" t="n"/>
    </row>
    <row r="966">
      <c r="A966" s="22" t="n">
        <v>46188</v>
      </c>
      <c r="B966" s="23" t="inlineStr">
        <is>
          <t>Health &amp; Beauty</t>
        </is>
      </c>
      <c r="C966" s="23" t="inlineStr">
        <is>
          <t>Actual</t>
        </is>
      </c>
      <c r="D966" s="24" t="n">
        <v>340.45</v>
      </c>
      <c r="E966" s="24" t="n"/>
      <c r="F966" s="24" t="n"/>
    </row>
    <row r="967">
      <c r="A967" s="22" t="n">
        <v>46188</v>
      </c>
      <c r="B967" s="23" t="inlineStr">
        <is>
          <t>Household</t>
        </is>
      </c>
      <c r="C967" s="23" t="inlineStr">
        <is>
          <t>Actual</t>
        </is>
      </c>
      <c r="D967" s="24" t="n">
        <v>380.53</v>
      </c>
      <c r="E967" s="24" t="n"/>
      <c r="F967" s="24" t="n"/>
    </row>
    <row r="968">
      <c r="A968" s="22" t="n">
        <v>46188</v>
      </c>
      <c r="B968" s="23" t="inlineStr">
        <is>
          <t>Produce</t>
        </is>
      </c>
      <c r="C968" s="23" t="inlineStr">
        <is>
          <t>Actual</t>
        </is>
      </c>
      <c r="D968" s="24" t="n">
        <v>367.55</v>
      </c>
      <c r="E968" s="24" t="n"/>
      <c r="F968" s="24" t="n"/>
    </row>
    <row r="969">
      <c r="A969" s="22" t="n">
        <v>46188</v>
      </c>
      <c r="B969" s="23" t="inlineStr">
        <is>
          <t>Snacks &amp; Confectionery</t>
        </is>
      </c>
      <c r="C969" s="23" t="inlineStr">
        <is>
          <t>Actual</t>
        </is>
      </c>
      <c r="D969" s="24" t="n">
        <v>2038.36</v>
      </c>
      <c r="E969" s="24" t="n"/>
      <c r="F969" s="24" t="n"/>
    </row>
    <row r="970">
      <c r="A970" s="22" t="n">
        <v>46195</v>
      </c>
      <c r="B970" s="23" t="inlineStr">
        <is>
          <t>Bakery</t>
        </is>
      </c>
      <c r="C970" s="23" t="inlineStr">
        <is>
          <t>Actual</t>
        </is>
      </c>
      <c r="D970" s="24" t="n">
        <v>1102.44</v>
      </c>
      <c r="E970" s="24" t="n"/>
      <c r="F970" s="24" t="n"/>
    </row>
    <row r="971">
      <c r="A971" s="22" t="n">
        <v>46195</v>
      </c>
      <c r="B971" s="23" t="inlineStr">
        <is>
          <t>Beer &amp; Wine</t>
        </is>
      </c>
      <c r="C971" s="23" t="inlineStr">
        <is>
          <t>Actual</t>
        </is>
      </c>
      <c r="D971" s="24" t="n">
        <v>1709.11</v>
      </c>
      <c r="E971" s="24" t="n"/>
      <c r="F971" s="24" t="n"/>
    </row>
    <row r="972">
      <c r="A972" s="22" t="n">
        <v>46195</v>
      </c>
      <c r="B972" s="23" t="inlineStr">
        <is>
          <t>Beverages</t>
        </is>
      </c>
      <c r="C972" s="23" t="inlineStr">
        <is>
          <t>Actual</t>
        </is>
      </c>
      <c r="D972" s="24" t="n">
        <v>2316.25</v>
      </c>
      <c r="E972" s="24" t="n"/>
      <c r="F972" s="24" t="n"/>
    </row>
    <row r="973">
      <c r="A973" s="22" t="n">
        <v>46195</v>
      </c>
      <c r="B973" s="23" t="inlineStr">
        <is>
          <t>Dairy</t>
        </is>
      </c>
      <c r="C973" s="23" t="inlineStr">
        <is>
          <t>Actual</t>
        </is>
      </c>
      <c r="D973" s="24" t="n">
        <v>2920.04</v>
      </c>
      <c r="E973" s="24" t="n"/>
      <c r="F973" s="24" t="n"/>
    </row>
    <row r="974">
      <c r="A974" s="22" t="n">
        <v>46195</v>
      </c>
      <c r="B974" s="23" t="inlineStr">
        <is>
          <t>Food To Go</t>
        </is>
      </c>
      <c r="C974" s="23" t="inlineStr">
        <is>
          <t>Actual</t>
        </is>
      </c>
      <c r="D974" s="24" t="n">
        <v>3721.16</v>
      </c>
      <c r="E974" s="24" t="n"/>
      <c r="F974" s="24" t="n"/>
    </row>
    <row r="975">
      <c r="A975" s="22" t="n">
        <v>46195</v>
      </c>
      <c r="B975" s="23" t="inlineStr">
        <is>
          <t>Frozen</t>
        </is>
      </c>
      <c r="C975" s="23" t="inlineStr">
        <is>
          <t>Actual</t>
        </is>
      </c>
      <c r="D975" s="24" t="n">
        <v>1272.24</v>
      </c>
      <c r="E975" s="24" t="n"/>
      <c r="F975" s="24" t="n"/>
    </row>
    <row r="976">
      <c r="A976" s="22" t="n">
        <v>46195</v>
      </c>
      <c r="B976" s="23" t="inlineStr">
        <is>
          <t>Grocery</t>
        </is>
      </c>
      <c r="C976" s="23" t="inlineStr">
        <is>
          <t>Actual</t>
        </is>
      </c>
      <c r="D976" s="24" t="n">
        <v>1901.56</v>
      </c>
      <c r="E976" s="24" t="n"/>
      <c r="F976" s="24" t="n"/>
    </row>
    <row r="977">
      <c r="A977" s="22" t="n">
        <v>46195</v>
      </c>
      <c r="B977" s="23" t="inlineStr">
        <is>
          <t>Health &amp; Beauty</t>
        </is>
      </c>
      <c r="C977" s="23" t="inlineStr">
        <is>
          <t>Actual</t>
        </is>
      </c>
      <c r="D977" s="24" t="n">
        <v>260.54</v>
      </c>
      <c r="E977" s="24" t="n"/>
      <c r="F977" s="24" t="n"/>
    </row>
    <row r="978">
      <c r="A978" s="22" t="n">
        <v>46195</v>
      </c>
      <c r="B978" s="23" t="inlineStr">
        <is>
          <t>Household</t>
        </is>
      </c>
      <c r="C978" s="23" t="inlineStr">
        <is>
          <t>Actual</t>
        </is>
      </c>
      <c r="D978" s="24" t="n">
        <v>628.27</v>
      </c>
      <c r="E978" s="24" t="n"/>
      <c r="F978" s="24" t="n"/>
    </row>
    <row r="979">
      <c r="A979" s="22" t="n">
        <v>46195</v>
      </c>
      <c r="B979" s="23" t="inlineStr">
        <is>
          <t>Produce</t>
        </is>
      </c>
      <c r="C979" s="23" t="inlineStr">
        <is>
          <t>Actual</t>
        </is>
      </c>
      <c r="D979" s="24" t="n">
        <v>347.7</v>
      </c>
      <c r="E979" s="24" t="n"/>
      <c r="F979" s="24" t="n"/>
    </row>
    <row r="980">
      <c r="A980" s="22" t="n">
        <v>46195</v>
      </c>
      <c r="B980" s="23" t="inlineStr">
        <is>
          <t>Snacks &amp; Confectionery</t>
        </is>
      </c>
      <c r="C980" s="23" t="inlineStr">
        <is>
          <t>Actual</t>
        </is>
      </c>
      <c r="D980" s="24" t="n">
        <v>2147.62</v>
      </c>
      <c r="E980" s="24" t="n"/>
      <c r="F980" s="24" t="n"/>
    </row>
    <row r="981">
      <c r="A981" s="22" t="n">
        <v>46202</v>
      </c>
      <c r="B981" s="23" t="inlineStr">
        <is>
          <t>Bakery</t>
        </is>
      </c>
      <c r="C981" s="23" t="inlineStr">
        <is>
          <t>Actual</t>
        </is>
      </c>
      <c r="D981" s="24" t="n">
        <v>1127.27</v>
      </c>
      <c r="E981" s="24" t="n"/>
      <c r="F981" s="24" t="n"/>
    </row>
    <row r="982">
      <c r="A982" s="22" t="n">
        <v>46202</v>
      </c>
      <c r="B982" s="23" t="inlineStr">
        <is>
          <t>Beer &amp; Wine</t>
        </is>
      </c>
      <c r="C982" s="23" t="inlineStr">
        <is>
          <t>Actual</t>
        </is>
      </c>
      <c r="D982" s="24" t="n">
        <v>1529.21</v>
      </c>
      <c r="E982" s="24" t="n"/>
      <c r="F982" s="24" t="n"/>
    </row>
    <row r="983">
      <c r="A983" s="22" t="n">
        <v>46202</v>
      </c>
      <c r="B983" s="23" t="inlineStr">
        <is>
          <t>Beverages</t>
        </is>
      </c>
      <c r="C983" s="23" t="inlineStr">
        <is>
          <t>Actual</t>
        </is>
      </c>
      <c r="D983" s="24" t="n">
        <v>2353.76</v>
      </c>
      <c r="E983" s="24" t="n"/>
      <c r="F983" s="24" t="n"/>
    </row>
    <row r="984">
      <c r="A984" s="22" t="n">
        <v>46202</v>
      </c>
      <c r="B984" s="23" t="inlineStr">
        <is>
          <t>Dairy</t>
        </is>
      </c>
      <c r="C984" s="23" t="inlineStr">
        <is>
          <t>Actual</t>
        </is>
      </c>
      <c r="D984" s="24" t="n">
        <v>3270.95</v>
      </c>
      <c r="E984" s="24" t="n"/>
      <c r="F984" s="24" t="n"/>
    </row>
    <row r="985">
      <c r="A985" s="22" t="n">
        <v>46202</v>
      </c>
      <c r="B985" s="23" t="inlineStr">
        <is>
          <t>Food To Go</t>
        </is>
      </c>
      <c r="C985" s="23" t="inlineStr">
        <is>
          <t>Actual</t>
        </is>
      </c>
      <c r="D985" s="24" t="n">
        <v>3339.67</v>
      </c>
      <c r="E985" s="24" t="n"/>
      <c r="F985" s="24" t="n"/>
    </row>
    <row r="986">
      <c r="A986" s="22" t="n">
        <v>46202</v>
      </c>
      <c r="B986" s="23" t="inlineStr">
        <is>
          <t>Frozen</t>
        </is>
      </c>
      <c r="C986" s="23" t="inlineStr">
        <is>
          <t>Actual</t>
        </is>
      </c>
      <c r="D986" s="24" t="n">
        <v>1202.28</v>
      </c>
      <c r="E986" s="24" t="n"/>
      <c r="F986" s="24" t="n"/>
    </row>
    <row r="987">
      <c r="A987" s="22" t="n">
        <v>46202</v>
      </c>
      <c r="B987" s="23" t="inlineStr">
        <is>
          <t>Grocery</t>
        </is>
      </c>
      <c r="C987" s="23" t="inlineStr">
        <is>
          <t>Actual</t>
        </is>
      </c>
      <c r="D987" s="24" t="n">
        <v>2101.54</v>
      </c>
      <c r="E987" s="24" t="n"/>
      <c r="F987" s="24" t="n"/>
    </row>
    <row r="988">
      <c r="A988" s="22" t="n">
        <v>46202</v>
      </c>
      <c r="B988" s="23" t="inlineStr">
        <is>
          <t>Health &amp; Beauty</t>
        </is>
      </c>
      <c r="C988" s="23" t="inlineStr">
        <is>
          <t>Actual</t>
        </is>
      </c>
      <c r="D988" s="24" t="n">
        <v>321.47</v>
      </c>
      <c r="E988" s="24" t="n"/>
      <c r="F988" s="24" t="n"/>
    </row>
    <row r="989">
      <c r="A989" s="22" t="n">
        <v>46202</v>
      </c>
      <c r="B989" s="23" t="inlineStr">
        <is>
          <t>Household</t>
        </is>
      </c>
      <c r="C989" s="23" t="inlineStr">
        <is>
          <t>Actual</t>
        </is>
      </c>
      <c r="D989" s="24" t="n">
        <v>530.39</v>
      </c>
      <c r="E989" s="24" t="n"/>
      <c r="F989" s="24" t="n"/>
    </row>
    <row r="990">
      <c r="A990" s="22" t="n">
        <v>46202</v>
      </c>
      <c r="B990" s="23" t="inlineStr">
        <is>
          <t>Produce</t>
        </is>
      </c>
      <c r="C990" s="23" t="inlineStr">
        <is>
          <t>Actual</t>
        </is>
      </c>
      <c r="D990" s="24" t="n">
        <v>384.14</v>
      </c>
      <c r="E990" s="24" t="n"/>
      <c r="F990" s="24" t="n"/>
    </row>
    <row r="991">
      <c r="A991" s="22" t="n">
        <v>46202</v>
      </c>
      <c r="B991" s="23" t="inlineStr">
        <is>
          <t>Snacks &amp; Confectionery</t>
        </is>
      </c>
      <c r="C991" s="23" t="inlineStr">
        <is>
          <t>Actual</t>
        </is>
      </c>
      <c r="D991" s="24" t="n">
        <v>2008.34</v>
      </c>
      <c r="E991" s="24" t="n"/>
      <c r="F991" s="24" t="n"/>
    </row>
    <row r="992">
      <c r="A992" s="22" t="n">
        <v>46209</v>
      </c>
      <c r="B992" s="23" t="inlineStr">
        <is>
          <t>Bakery</t>
        </is>
      </c>
      <c r="C992" s="23" t="inlineStr">
        <is>
          <t>Actual</t>
        </is>
      </c>
      <c r="D992" s="24" t="n">
        <v>1210.11</v>
      </c>
      <c r="E992" s="24" t="n"/>
      <c r="F992" s="24" t="n"/>
    </row>
    <row r="993">
      <c r="A993" s="22" t="n">
        <v>46209</v>
      </c>
      <c r="B993" s="23" t="inlineStr">
        <is>
          <t>Beer &amp; Wine</t>
        </is>
      </c>
      <c r="C993" s="23" t="inlineStr">
        <is>
          <t>Actual</t>
        </is>
      </c>
      <c r="D993" s="24" t="n">
        <v>1937.01</v>
      </c>
      <c r="E993" s="24" t="n"/>
      <c r="F993" s="24" t="n"/>
    </row>
    <row r="994">
      <c r="A994" s="22" t="n">
        <v>46209</v>
      </c>
      <c r="B994" s="23" t="inlineStr">
        <is>
          <t>Beverages</t>
        </is>
      </c>
      <c r="C994" s="23" t="inlineStr">
        <is>
          <t>Actual</t>
        </is>
      </c>
      <c r="D994" s="24" t="n">
        <v>2202.31</v>
      </c>
      <c r="E994" s="24" t="n"/>
      <c r="F994" s="24" t="n"/>
    </row>
    <row r="995">
      <c r="A995" s="22" t="n">
        <v>46209</v>
      </c>
      <c r="B995" s="23" t="inlineStr">
        <is>
          <t>Dairy</t>
        </is>
      </c>
      <c r="C995" s="23" t="inlineStr">
        <is>
          <t>Actual</t>
        </is>
      </c>
      <c r="D995" s="24" t="n">
        <v>3003.55</v>
      </c>
      <c r="E995" s="24" t="n"/>
      <c r="F995" s="24" t="n"/>
    </row>
    <row r="996">
      <c r="A996" s="22" t="n">
        <v>46209</v>
      </c>
      <c r="B996" s="23" t="inlineStr">
        <is>
          <t>Food To Go</t>
        </is>
      </c>
      <c r="C996" s="23" t="inlineStr">
        <is>
          <t>Actual</t>
        </is>
      </c>
      <c r="D996" s="24" t="n">
        <v>3192.61</v>
      </c>
      <c r="E996" s="24" t="n"/>
      <c r="F996" s="24" t="n"/>
    </row>
    <row r="997">
      <c r="A997" s="22" t="n">
        <v>46209</v>
      </c>
      <c r="B997" s="23" t="inlineStr">
        <is>
          <t>Frozen</t>
        </is>
      </c>
      <c r="C997" s="23" t="inlineStr">
        <is>
          <t>Actual</t>
        </is>
      </c>
      <c r="D997" s="24" t="n">
        <v>1220.29</v>
      </c>
      <c r="E997" s="24" t="n"/>
      <c r="F997" s="24" t="n"/>
    </row>
    <row r="998">
      <c r="A998" s="22" t="n">
        <v>46209</v>
      </c>
      <c r="B998" s="23" t="inlineStr">
        <is>
          <t>Grocery</t>
        </is>
      </c>
      <c r="C998" s="23" t="inlineStr">
        <is>
          <t>Actual</t>
        </is>
      </c>
      <c r="D998" s="24" t="n">
        <v>2059.03</v>
      </c>
      <c r="E998" s="24" t="n"/>
      <c r="F998" s="24" t="n"/>
    </row>
    <row r="999">
      <c r="A999" s="22" t="n">
        <v>46209</v>
      </c>
      <c r="B999" s="23" t="inlineStr">
        <is>
          <t>Health &amp; Beauty</t>
        </is>
      </c>
      <c r="C999" s="23" t="inlineStr">
        <is>
          <t>Actual</t>
        </is>
      </c>
      <c r="D999" s="24" t="n">
        <v>208.67</v>
      </c>
      <c r="E999" s="24" t="n"/>
      <c r="F999" s="24" t="n"/>
    </row>
    <row r="1000">
      <c r="A1000" s="22" t="n">
        <v>46209</v>
      </c>
      <c r="B1000" s="23" t="inlineStr">
        <is>
          <t>Household</t>
        </is>
      </c>
      <c r="C1000" s="23" t="inlineStr">
        <is>
          <t>Actual</t>
        </is>
      </c>
      <c r="D1000" s="24" t="n">
        <v>532.39</v>
      </c>
      <c r="E1000" s="24" t="n"/>
      <c r="F1000" s="24" t="n"/>
    </row>
    <row r="1001">
      <c r="A1001" s="22" t="n">
        <v>46209</v>
      </c>
      <c r="B1001" s="23" t="inlineStr">
        <is>
          <t>Produce</t>
        </is>
      </c>
      <c r="C1001" s="23" t="inlineStr">
        <is>
          <t>Actual</t>
        </is>
      </c>
      <c r="D1001" s="24" t="n">
        <v>441.05</v>
      </c>
      <c r="E1001" s="24" t="n"/>
      <c r="F1001" s="24" t="n"/>
    </row>
    <row r="1002">
      <c r="A1002" s="22" t="n">
        <v>46209</v>
      </c>
      <c r="B1002" s="23" t="inlineStr">
        <is>
          <t>Snacks &amp; Confectionery</t>
        </is>
      </c>
      <c r="C1002" s="23" t="inlineStr">
        <is>
          <t>Actual</t>
        </is>
      </c>
      <c r="D1002" s="24" t="n">
        <v>1768.52</v>
      </c>
      <c r="E1002" s="24" t="n"/>
      <c r="F1002" s="24" t="n"/>
    </row>
    <row r="1003">
      <c r="A1003" s="22" t="n">
        <v>46216</v>
      </c>
      <c r="B1003" s="23" t="inlineStr">
        <is>
          <t>Bakery</t>
        </is>
      </c>
      <c r="C1003" s="23" t="inlineStr">
        <is>
          <t>Actual</t>
        </is>
      </c>
      <c r="D1003" s="24" t="n">
        <v>1250.42</v>
      </c>
      <c r="E1003" s="24" t="n"/>
      <c r="F1003" s="24" t="n"/>
    </row>
    <row r="1004">
      <c r="A1004" s="22" t="n">
        <v>46216</v>
      </c>
      <c r="B1004" s="23" t="inlineStr">
        <is>
          <t>Beer &amp; Wine</t>
        </is>
      </c>
      <c r="C1004" s="23" t="inlineStr">
        <is>
          <t>Actual</t>
        </is>
      </c>
      <c r="D1004" s="24" t="n">
        <v>2159.89</v>
      </c>
      <c r="E1004" s="24" t="n"/>
      <c r="F1004" s="24" t="n"/>
    </row>
    <row r="1005">
      <c r="A1005" s="22" t="n">
        <v>46216</v>
      </c>
      <c r="B1005" s="23" t="inlineStr">
        <is>
          <t>Beverages</t>
        </is>
      </c>
      <c r="C1005" s="23" t="inlineStr">
        <is>
          <t>Actual</t>
        </is>
      </c>
      <c r="D1005" s="24" t="n">
        <v>2174.66</v>
      </c>
      <c r="E1005" s="24" t="n"/>
      <c r="F1005" s="24" t="n"/>
    </row>
    <row r="1006">
      <c r="A1006" s="22" t="n">
        <v>46216</v>
      </c>
      <c r="B1006" s="23" t="inlineStr">
        <is>
          <t>Dairy</t>
        </is>
      </c>
      <c r="C1006" s="23" t="inlineStr">
        <is>
          <t>Actual</t>
        </is>
      </c>
      <c r="D1006" s="24" t="n">
        <v>3014.59</v>
      </c>
      <c r="E1006" s="24" t="n"/>
      <c r="F1006" s="24" t="n"/>
    </row>
    <row r="1007">
      <c r="A1007" s="22" t="n">
        <v>46216</v>
      </c>
      <c r="B1007" s="23" t="inlineStr">
        <is>
          <t>Food To Go</t>
        </is>
      </c>
      <c r="C1007" s="23" t="inlineStr">
        <is>
          <t>Actual</t>
        </is>
      </c>
      <c r="D1007" s="24" t="n">
        <v>3390.94</v>
      </c>
      <c r="E1007" s="24" t="n"/>
      <c r="F1007" s="24" t="n"/>
    </row>
    <row r="1008">
      <c r="A1008" s="22" t="n">
        <v>46216</v>
      </c>
      <c r="B1008" s="23" t="inlineStr">
        <is>
          <t>Frozen</t>
        </is>
      </c>
      <c r="C1008" s="23" t="inlineStr">
        <is>
          <t>Actual</t>
        </is>
      </c>
      <c r="D1008" s="24" t="n">
        <v>1466.06</v>
      </c>
      <c r="E1008" s="24" t="n"/>
      <c r="F1008" s="24" t="n"/>
    </row>
    <row r="1009">
      <c r="A1009" s="22" t="n">
        <v>46216</v>
      </c>
      <c r="B1009" s="23" t="inlineStr">
        <is>
          <t>Grocery</t>
        </is>
      </c>
      <c r="C1009" s="23" t="inlineStr">
        <is>
          <t>Actual</t>
        </is>
      </c>
      <c r="D1009" s="24" t="n">
        <v>2237.75</v>
      </c>
      <c r="E1009" s="24" t="n"/>
      <c r="F1009" s="24" t="n"/>
    </row>
    <row r="1010">
      <c r="A1010" s="22" t="n">
        <v>46216</v>
      </c>
      <c r="B1010" s="23" t="inlineStr">
        <is>
          <t>Health &amp; Beauty</t>
        </is>
      </c>
      <c r="C1010" s="23" t="inlineStr">
        <is>
          <t>Actual</t>
        </is>
      </c>
      <c r="D1010" s="24" t="n">
        <v>430.39</v>
      </c>
      <c r="E1010" s="24" t="n"/>
      <c r="F1010" s="24" t="n"/>
    </row>
    <row r="1011">
      <c r="A1011" s="22" t="n">
        <v>46216</v>
      </c>
      <c r="B1011" s="23" t="inlineStr">
        <is>
          <t>Household</t>
        </is>
      </c>
      <c r="C1011" s="23" t="inlineStr">
        <is>
          <t>Actual</t>
        </is>
      </c>
      <c r="D1011" s="24" t="n">
        <v>526.4299999999999</v>
      </c>
      <c r="E1011" s="24" t="n"/>
      <c r="F1011" s="24" t="n"/>
    </row>
    <row r="1012">
      <c r="A1012" s="22" t="n">
        <v>46216</v>
      </c>
      <c r="B1012" s="23" t="inlineStr">
        <is>
          <t>Produce</t>
        </is>
      </c>
      <c r="C1012" s="23" t="inlineStr">
        <is>
          <t>Actual</t>
        </is>
      </c>
      <c r="D1012" s="24" t="n">
        <v>357.29</v>
      </c>
      <c r="E1012" s="24" t="n"/>
      <c r="F1012" s="24" t="n"/>
    </row>
    <row r="1013">
      <c r="A1013" s="22" t="n">
        <v>46216</v>
      </c>
      <c r="B1013" s="23" t="inlineStr">
        <is>
          <t>Snacks &amp; Confectionery</t>
        </is>
      </c>
      <c r="C1013" s="23" t="inlineStr">
        <is>
          <t>Actual</t>
        </is>
      </c>
      <c r="D1013" s="24" t="n">
        <v>1934.22</v>
      </c>
      <c r="E1013" s="24" t="n"/>
      <c r="F1013" s="24" t="n"/>
    </row>
    <row r="1014">
      <c r="A1014" s="22" t="n">
        <v>46223</v>
      </c>
      <c r="B1014" s="23" t="inlineStr">
        <is>
          <t>Bakery</t>
        </is>
      </c>
      <c r="C1014" s="23" t="inlineStr">
        <is>
          <t>Actual</t>
        </is>
      </c>
      <c r="D1014" s="24" t="n">
        <v>1122.19</v>
      </c>
      <c r="E1014" s="24" t="n"/>
      <c r="F1014" s="24" t="n"/>
    </row>
    <row r="1015">
      <c r="A1015" s="22" t="n">
        <v>46223</v>
      </c>
      <c r="B1015" s="23" t="inlineStr">
        <is>
          <t>Beer &amp; Wine</t>
        </is>
      </c>
      <c r="C1015" s="23" t="inlineStr">
        <is>
          <t>Actual</t>
        </is>
      </c>
      <c r="D1015" s="24" t="n">
        <v>1850.05</v>
      </c>
      <c r="E1015" s="24" t="n"/>
      <c r="F1015" s="24" t="n"/>
    </row>
    <row r="1016">
      <c r="A1016" s="22" t="n">
        <v>46223</v>
      </c>
      <c r="B1016" s="23" t="inlineStr">
        <is>
          <t>Beverages</t>
        </is>
      </c>
      <c r="C1016" s="23" t="inlineStr">
        <is>
          <t>Actual</t>
        </is>
      </c>
      <c r="D1016" s="24" t="n">
        <v>2168.32</v>
      </c>
      <c r="E1016" s="24" t="n"/>
      <c r="F1016" s="24" t="n"/>
    </row>
    <row r="1017">
      <c r="A1017" s="22" t="n">
        <v>46223</v>
      </c>
      <c r="B1017" s="23" t="inlineStr">
        <is>
          <t>Dairy</t>
        </is>
      </c>
      <c r="C1017" s="23" t="inlineStr">
        <is>
          <t>Actual</t>
        </is>
      </c>
      <c r="D1017" s="24" t="n">
        <v>3463.95</v>
      </c>
      <c r="E1017" s="24" t="n"/>
      <c r="F1017" s="24" t="n"/>
    </row>
    <row r="1018">
      <c r="A1018" s="22" t="n">
        <v>46223</v>
      </c>
      <c r="B1018" s="23" t="inlineStr">
        <is>
          <t>Food To Go</t>
        </is>
      </c>
      <c r="C1018" s="23" t="inlineStr">
        <is>
          <t>Actual</t>
        </is>
      </c>
      <c r="D1018" s="24" t="n">
        <v>3378.87</v>
      </c>
      <c r="E1018" s="24" t="n"/>
      <c r="F1018" s="24" t="n"/>
    </row>
    <row r="1019">
      <c r="A1019" s="22" t="n">
        <v>46223</v>
      </c>
      <c r="B1019" s="23" t="inlineStr">
        <is>
          <t>Frozen</t>
        </is>
      </c>
      <c r="C1019" s="23" t="inlineStr">
        <is>
          <t>Actual</t>
        </is>
      </c>
      <c r="D1019" s="24" t="n">
        <v>1469</v>
      </c>
      <c r="E1019" s="24" t="n"/>
      <c r="F1019" s="24" t="n"/>
    </row>
    <row r="1020">
      <c r="A1020" s="22" t="n">
        <v>46223</v>
      </c>
      <c r="B1020" s="23" t="inlineStr">
        <is>
          <t>Grocery</t>
        </is>
      </c>
      <c r="C1020" s="23" t="inlineStr">
        <is>
          <t>Actual</t>
        </is>
      </c>
      <c r="D1020" s="24" t="n">
        <v>2034.77</v>
      </c>
      <c r="E1020" s="24" t="n"/>
      <c r="F1020" s="24" t="n"/>
    </row>
    <row r="1021">
      <c r="A1021" s="22" t="n">
        <v>46223</v>
      </c>
      <c r="B1021" s="23" t="inlineStr">
        <is>
          <t>Health &amp; Beauty</t>
        </is>
      </c>
      <c r="C1021" s="23" t="inlineStr">
        <is>
          <t>Actual</t>
        </is>
      </c>
      <c r="D1021" s="24" t="n">
        <v>274.56</v>
      </c>
      <c r="E1021" s="24" t="n"/>
      <c r="F1021" s="24" t="n"/>
    </row>
    <row r="1022">
      <c r="A1022" s="22" t="n">
        <v>46223</v>
      </c>
      <c r="B1022" s="23" t="inlineStr">
        <is>
          <t>Household</t>
        </is>
      </c>
      <c r="C1022" s="23" t="inlineStr">
        <is>
          <t>Actual</t>
        </is>
      </c>
      <c r="D1022" s="24" t="n">
        <v>554.37</v>
      </c>
      <c r="E1022" s="24" t="n"/>
      <c r="F1022" s="24" t="n"/>
    </row>
    <row r="1023">
      <c r="A1023" s="22" t="n">
        <v>46223</v>
      </c>
      <c r="B1023" s="23" t="inlineStr">
        <is>
          <t>Produce</t>
        </is>
      </c>
      <c r="C1023" s="23" t="inlineStr">
        <is>
          <t>Actual</t>
        </is>
      </c>
      <c r="D1023" s="24" t="n">
        <v>344.32</v>
      </c>
      <c r="E1023" s="24" t="n"/>
      <c r="F1023" s="24" t="n"/>
    </row>
    <row r="1024">
      <c r="A1024" s="22" t="n">
        <v>46223</v>
      </c>
      <c r="B1024" s="23" t="inlineStr">
        <is>
          <t>Snacks &amp; Confectionery</t>
        </is>
      </c>
      <c r="C1024" s="23" t="inlineStr">
        <is>
          <t>Actual</t>
        </is>
      </c>
      <c r="D1024" s="24" t="n">
        <v>1903.87</v>
      </c>
      <c r="E1024" s="24" t="n"/>
      <c r="F1024" s="24" t="n"/>
    </row>
    <row r="1025">
      <c r="A1025" s="22" t="n">
        <v>46230</v>
      </c>
      <c r="B1025" s="23" t="inlineStr">
        <is>
          <t>Bakery</t>
        </is>
      </c>
      <c r="C1025" s="23" t="inlineStr">
        <is>
          <t>Actual</t>
        </is>
      </c>
      <c r="D1025" s="24" t="n">
        <v>1208.53</v>
      </c>
      <c r="E1025" s="24" t="n"/>
      <c r="F1025" s="24" t="n"/>
    </row>
    <row r="1026">
      <c r="A1026" s="22" t="n">
        <v>46230</v>
      </c>
      <c r="B1026" s="23" t="inlineStr">
        <is>
          <t>Beer &amp; Wine</t>
        </is>
      </c>
      <c r="C1026" s="23" t="inlineStr">
        <is>
          <t>Actual</t>
        </is>
      </c>
      <c r="D1026" s="24" t="n">
        <v>1998.16</v>
      </c>
      <c r="E1026" s="24" t="n"/>
      <c r="F1026" s="24" t="n"/>
    </row>
    <row r="1027">
      <c r="A1027" s="22" t="n">
        <v>46230</v>
      </c>
      <c r="B1027" s="23" t="inlineStr">
        <is>
          <t>Beverages</t>
        </is>
      </c>
      <c r="C1027" s="23" t="inlineStr">
        <is>
          <t>Actual</t>
        </is>
      </c>
      <c r="D1027" s="24" t="n">
        <v>2311.69</v>
      </c>
      <c r="E1027" s="24" t="n"/>
      <c r="F1027" s="24" t="n"/>
    </row>
    <row r="1028">
      <c r="A1028" s="22" t="n">
        <v>46230</v>
      </c>
      <c r="B1028" s="23" t="inlineStr">
        <is>
          <t>Dairy</t>
        </is>
      </c>
      <c r="C1028" s="23" t="inlineStr">
        <is>
          <t>Actual</t>
        </is>
      </c>
      <c r="D1028" s="24" t="n">
        <v>3334.35</v>
      </c>
      <c r="E1028" s="24" t="n"/>
      <c r="F1028" s="24" t="n"/>
    </row>
    <row r="1029">
      <c r="A1029" s="22" t="n">
        <v>46230</v>
      </c>
      <c r="B1029" s="23" t="inlineStr">
        <is>
          <t>Food To Go</t>
        </is>
      </c>
      <c r="C1029" s="23" t="inlineStr">
        <is>
          <t>Actual</t>
        </is>
      </c>
      <c r="D1029" s="24" t="n">
        <v>3296.33</v>
      </c>
      <c r="E1029" s="24" t="n"/>
      <c r="F1029" s="24" t="n"/>
    </row>
    <row r="1030">
      <c r="A1030" s="22" t="n">
        <v>46230</v>
      </c>
      <c r="B1030" s="23" t="inlineStr">
        <is>
          <t>Frozen</t>
        </is>
      </c>
      <c r="C1030" s="23" t="inlineStr">
        <is>
          <t>Actual</t>
        </is>
      </c>
      <c r="D1030" s="24" t="n">
        <v>1307.03</v>
      </c>
      <c r="E1030" s="24" t="n"/>
      <c r="F1030" s="24" t="n"/>
    </row>
    <row r="1031">
      <c r="A1031" s="22" t="n">
        <v>46230</v>
      </c>
      <c r="B1031" s="23" t="inlineStr">
        <is>
          <t>Grocery</t>
        </is>
      </c>
      <c r="C1031" s="23" t="inlineStr">
        <is>
          <t>Actual</t>
        </is>
      </c>
      <c r="D1031" s="24" t="n">
        <v>1957.17</v>
      </c>
      <c r="E1031" s="24" t="n"/>
      <c r="F1031" s="24" t="n"/>
    </row>
    <row r="1032">
      <c r="A1032" s="22" t="n">
        <v>46230</v>
      </c>
      <c r="B1032" s="23" t="inlineStr">
        <is>
          <t>Health &amp; Beauty</t>
        </is>
      </c>
      <c r="C1032" s="23" t="inlineStr">
        <is>
          <t>Actual</t>
        </is>
      </c>
      <c r="D1032" s="24" t="n">
        <v>347.57</v>
      </c>
      <c r="E1032" s="24" t="n"/>
      <c r="F1032" s="24" t="n"/>
    </row>
    <row r="1033">
      <c r="A1033" s="22" t="n">
        <v>46230</v>
      </c>
      <c r="B1033" s="23" t="inlineStr">
        <is>
          <t>Household</t>
        </is>
      </c>
      <c r="C1033" s="23" t="inlineStr">
        <is>
          <t>Actual</t>
        </is>
      </c>
      <c r="D1033" s="24" t="n">
        <v>409.5</v>
      </c>
      <c r="E1033" s="24" t="n"/>
      <c r="F1033" s="24" t="n"/>
    </row>
    <row r="1034">
      <c r="A1034" s="22" t="n">
        <v>46230</v>
      </c>
      <c r="B1034" s="23" t="inlineStr">
        <is>
          <t>Produce</t>
        </is>
      </c>
      <c r="C1034" s="23" t="inlineStr">
        <is>
          <t>Actual</t>
        </is>
      </c>
      <c r="D1034" s="24" t="n">
        <v>423.2</v>
      </c>
      <c r="E1034" s="24" t="n"/>
      <c r="F1034" s="24" t="n"/>
    </row>
    <row r="1035">
      <c r="A1035" s="22" t="n">
        <v>46230</v>
      </c>
      <c r="B1035" s="23" t="inlineStr">
        <is>
          <t>Snacks &amp; Confectionery</t>
        </is>
      </c>
      <c r="C1035" s="23" t="inlineStr">
        <is>
          <t>Actual</t>
        </is>
      </c>
      <c r="D1035" s="24" t="n">
        <v>2206.36</v>
      </c>
      <c r="E1035" s="24" t="n"/>
      <c r="F1035" s="24" t="n"/>
    </row>
    <row r="1036">
      <c r="A1036" s="22" t="n">
        <v>46237</v>
      </c>
      <c r="B1036" s="23" t="inlineStr">
        <is>
          <t>Bakery</t>
        </is>
      </c>
      <c r="C1036" s="23" t="inlineStr">
        <is>
          <t>Actual</t>
        </is>
      </c>
      <c r="D1036" s="24" t="n">
        <v>1147.13</v>
      </c>
      <c r="E1036" s="24" t="n"/>
      <c r="F1036" s="24" t="n"/>
    </row>
    <row r="1037">
      <c r="A1037" s="22" t="n">
        <v>46237</v>
      </c>
      <c r="B1037" s="23" t="inlineStr">
        <is>
          <t>Beer &amp; Wine</t>
        </is>
      </c>
      <c r="C1037" s="23" t="inlineStr">
        <is>
          <t>Actual</t>
        </is>
      </c>
      <c r="D1037" s="24" t="n">
        <v>2188.88</v>
      </c>
      <c r="E1037" s="24" t="n"/>
      <c r="F1037" s="24" t="n"/>
    </row>
    <row r="1038">
      <c r="A1038" s="22" t="n">
        <v>46237</v>
      </c>
      <c r="B1038" s="23" t="inlineStr">
        <is>
          <t>Beverages</t>
        </is>
      </c>
      <c r="C1038" s="23" t="inlineStr">
        <is>
          <t>Actual</t>
        </is>
      </c>
      <c r="D1038" s="24" t="n">
        <v>2276.23</v>
      </c>
      <c r="E1038" s="24" t="n"/>
      <c r="F1038" s="24" t="n"/>
    </row>
    <row r="1039">
      <c r="A1039" s="22" t="n">
        <v>46237</v>
      </c>
      <c r="B1039" s="23" t="inlineStr">
        <is>
          <t>Dairy</t>
        </is>
      </c>
      <c r="C1039" s="23" t="inlineStr">
        <is>
          <t>Actual</t>
        </is>
      </c>
      <c r="D1039" s="24" t="n">
        <v>3199.45</v>
      </c>
      <c r="E1039" s="24" t="n"/>
      <c r="F1039" s="24" t="n"/>
    </row>
    <row r="1040">
      <c r="A1040" s="22" t="n">
        <v>46237</v>
      </c>
      <c r="B1040" s="23" t="inlineStr">
        <is>
          <t>Food To Go</t>
        </is>
      </c>
      <c r="C1040" s="23" t="inlineStr">
        <is>
          <t>Actual</t>
        </is>
      </c>
      <c r="D1040" s="24" t="n">
        <v>3501.21</v>
      </c>
      <c r="E1040" s="24" t="n"/>
      <c r="F1040" s="24" t="n"/>
    </row>
    <row r="1041">
      <c r="A1041" s="22" t="n">
        <v>46237</v>
      </c>
      <c r="B1041" s="23" t="inlineStr">
        <is>
          <t>Frozen</t>
        </is>
      </c>
      <c r="C1041" s="23" t="inlineStr">
        <is>
          <t>Actual</t>
        </is>
      </c>
      <c r="D1041" s="24" t="n">
        <v>1385.24</v>
      </c>
      <c r="E1041" s="24" t="n"/>
      <c r="F1041" s="24" t="n"/>
    </row>
    <row r="1042">
      <c r="A1042" s="22" t="n">
        <v>46237</v>
      </c>
      <c r="B1042" s="23" t="inlineStr">
        <is>
          <t>Grocery</t>
        </is>
      </c>
      <c r="C1042" s="23" t="inlineStr">
        <is>
          <t>Actual</t>
        </is>
      </c>
      <c r="D1042" s="24" t="n">
        <v>2098.77</v>
      </c>
      <c r="E1042" s="24" t="n"/>
      <c r="F1042" s="24" t="n"/>
    </row>
    <row r="1043">
      <c r="A1043" s="22" t="n">
        <v>46237</v>
      </c>
      <c r="B1043" s="23" t="inlineStr">
        <is>
          <t>Health &amp; Beauty</t>
        </is>
      </c>
      <c r="C1043" s="23" t="inlineStr">
        <is>
          <t>Actual</t>
        </is>
      </c>
      <c r="D1043" s="24" t="n">
        <v>272.51</v>
      </c>
      <c r="E1043" s="24" t="n"/>
      <c r="F1043" s="24" t="n"/>
    </row>
    <row r="1044">
      <c r="A1044" s="22" t="n">
        <v>46237</v>
      </c>
      <c r="B1044" s="23" t="inlineStr">
        <is>
          <t>Household</t>
        </is>
      </c>
      <c r="C1044" s="23" t="inlineStr">
        <is>
          <t>Actual</t>
        </is>
      </c>
      <c r="D1044" s="24" t="n">
        <v>442.43</v>
      </c>
      <c r="E1044" s="24" t="n"/>
      <c r="F1044" s="24" t="n"/>
    </row>
    <row r="1045">
      <c r="A1045" s="22" t="n">
        <v>46237</v>
      </c>
      <c r="B1045" s="23" t="inlineStr">
        <is>
          <t>Produce</t>
        </is>
      </c>
      <c r="C1045" s="23" t="inlineStr">
        <is>
          <t>Actual</t>
        </is>
      </c>
      <c r="D1045" s="24" t="n">
        <v>334.56</v>
      </c>
      <c r="E1045" s="24" t="n"/>
      <c r="F1045" s="24" t="n"/>
    </row>
    <row r="1046">
      <c r="A1046" s="22" t="n">
        <v>46237</v>
      </c>
      <c r="B1046" s="23" t="inlineStr">
        <is>
          <t>Snacks &amp; Confectionery</t>
        </is>
      </c>
      <c r="C1046" s="23" t="inlineStr">
        <is>
          <t>Actual</t>
        </is>
      </c>
      <c r="D1046" s="24" t="n">
        <v>2045.19</v>
      </c>
      <c r="E1046" s="24" t="n"/>
      <c r="F1046" s="24" t="n"/>
    </row>
    <row r="1047">
      <c r="A1047" s="22" t="n">
        <v>46244</v>
      </c>
      <c r="B1047" s="23" t="inlineStr">
        <is>
          <t>Bakery</t>
        </is>
      </c>
      <c r="C1047" s="23" t="inlineStr">
        <is>
          <t>Actual</t>
        </is>
      </c>
      <c r="D1047" s="24" t="n">
        <v>990.58</v>
      </c>
      <c r="E1047" s="24" t="n"/>
      <c r="F1047" s="24" t="n"/>
    </row>
    <row r="1048">
      <c r="A1048" s="22" t="n">
        <v>46244</v>
      </c>
      <c r="B1048" s="23" t="inlineStr">
        <is>
          <t>Beer &amp; Wine</t>
        </is>
      </c>
      <c r="C1048" s="23" t="inlineStr">
        <is>
          <t>Actual</t>
        </is>
      </c>
      <c r="D1048" s="24" t="n">
        <v>1982.99</v>
      </c>
      <c r="E1048" s="24" t="n"/>
      <c r="F1048" s="24" t="n"/>
    </row>
    <row r="1049">
      <c r="A1049" s="22" t="n">
        <v>46244</v>
      </c>
      <c r="B1049" s="23" t="inlineStr">
        <is>
          <t>Beverages</t>
        </is>
      </c>
      <c r="C1049" s="23" t="inlineStr">
        <is>
          <t>Actual</t>
        </is>
      </c>
      <c r="D1049" s="24" t="n">
        <v>2416.67</v>
      </c>
      <c r="E1049" s="24" t="n"/>
      <c r="F1049" s="24" t="n"/>
    </row>
    <row r="1050">
      <c r="A1050" s="22" t="n">
        <v>46244</v>
      </c>
      <c r="B1050" s="23" t="inlineStr">
        <is>
          <t>Dairy</t>
        </is>
      </c>
      <c r="C1050" s="23" t="inlineStr">
        <is>
          <t>Actual</t>
        </is>
      </c>
      <c r="D1050" s="24" t="n">
        <v>3228.56</v>
      </c>
      <c r="E1050" s="24" t="n"/>
      <c r="F1050" s="24" t="n"/>
    </row>
    <row r="1051">
      <c r="A1051" s="22" t="n">
        <v>46244</v>
      </c>
      <c r="B1051" s="23" t="inlineStr">
        <is>
          <t>Food To Go</t>
        </is>
      </c>
      <c r="C1051" s="23" t="inlineStr">
        <is>
          <t>Actual</t>
        </is>
      </c>
      <c r="D1051" s="24" t="n">
        <v>3834.32</v>
      </c>
      <c r="E1051" s="24" t="n"/>
      <c r="F1051" s="24" t="n"/>
    </row>
    <row r="1052">
      <c r="A1052" s="22" t="n">
        <v>46244</v>
      </c>
      <c r="B1052" s="23" t="inlineStr">
        <is>
          <t>Frozen</t>
        </is>
      </c>
      <c r="C1052" s="23" t="inlineStr">
        <is>
          <t>Actual</t>
        </is>
      </c>
      <c r="D1052" s="24" t="n">
        <v>1402.14</v>
      </c>
      <c r="E1052" s="24" t="n"/>
      <c r="F1052" s="24" t="n"/>
    </row>
    <row r="1053">
      <c r="A1053" s="22" t="n">
        <v>46244</v>
      </c>
      <c r="B1053" s="23" t="inlineStr">
        <is>
          <t>Grocery</t>
        </is>
      </c>
      <c r="C1053" s="23" t="inlineStr">
        <is>
          <t>Actual</t>
        </is>
      </c>
      <c r="D1053" s="24" t="n">
        <v>2007.76</v>
      </c>
      <c r="E1053" s="24" t="n"/>
      <c r="F1053" s="24" t="n"/>
    </row>
    <row r="1054">
      <c r="A1054" s="22" t="n">
        <v>46244</v>
      </c>
      <c r="B1054" s="23" t="inlineStr">
        <is>
          <t>Health &amp; Beauty</t>
        </is>
      </c>
      <c r="C1054" s="23" t="inlineStr">
        <is>
          <t>Actual</t>
        </is>
      </c>
      <c r="D1054" s="24" t="n">
        <v>372.48</v>
      </c>
      <c r="E1054" s="24" t="n"/>
      <c r="F1054" s="24" t="n"/>
    </row>
    <row r="1055">
      <c r="A1055" s="22" t="n">
        <v>46244</v>
      </c>
      <c r="B1055" s="23" t="inlineStr">
        <is>
          <t>Household</t>
        </is>
      </c>
      <c r="C1055" s="23" t="inlineStr">
        <is>
          <t>Actual</t>
        </is>
      </c>
      <c r="D1055" s="24" t="n">
        <v>605.28</v>
      </c>
      <c r="E1055" s="24" t="n"/>
      <c r="F1055" s="24" t="n"/>
    </row>
    <row r="1056">
      <c r="A1056" s="22" t="n">
        <v>46244</v>
      </c>
      <c r="B1056" s="23" t="inlineStr">
        <is>
          <t>Produce</t>
        </is>
      </c>
      <c r="C1056" s="23" t="inlineStr">
        <is>
          <t>Actual</t>
        </is>
      </c>
      <c r="D1056" s="24" t="n">
        <v>389.64</v>
      </c>
      <c r="E1056" s="24" t="n"/>
      <c r="F1056" s="24" t="n"/>
    </row>
    <row r="1057">
      <c r="A1057" s="22" t="n">
        <v>46244</v>
      </c>
      <c r="B1057" s="23" t="inlineStr">
        <is>
          <t>Snacks &amp; Confectionery</t>
        </is>
      </c>
      <c r="C1057" s="23" t="inlineStr">
        <is>
          <t>Actual</t>
        </is>
      </c>
      <c r="D1057" s="24" t="n">
        <v>2005.06</v>
      </c>
      <c r="E1057" s="24" t="n"/>
      <c r="F1057" s="24" t="n"/>
    </row>
    <row r="1058">
      <c r="A1058" s="22" t="n">
        <v>46251</v>
      </c>
      <c r="B1058" s="23" t="inlineStr">
        <is>
          <t>Bakery</t>
        </is>
      </c>
      <c r="C1058" s="23" t="inlineStr">
        <is>
          <t>Actual</t>
        </is>
      </c>
      <c r="D1058" s="24" t="n">
        <v>978.9299999999999</v>
      </c>
      <c r="E1058" s="24" t="n"/>
      <c r="F1058" s="24" t="n"/>
    </row>
    <row r="1059">
      <c r="A1059" s="22" t="n">
        <v>46251</v>
      </c>
      <c r="B1059" s="23" t="inlineStr">
        <is>
          <t>Beer &amp; Wine</t>
        </is>
      </c>
      <c r="C1059" s="23" t="inlineStr">
        <is>
          <t>Actual</t>
        </is>
      </c>
      <c r="D1059" s="24" t="n">
        <v>2054.94</v>
      </c>
      <c r="E1059" s="24" t="n"/>
      <c r="F1059" s="24" t="n"/>
    </row>
    <row r="1060">
      <c r="A1060" s="22" t="n">
        <v>46251</v>
      </c>
      <c r="B1060" s="23" t="inlineStr">
        <is>
          <t>Beverages</t>
        </is>
      </c>
      <c r="C1060" s="23" t="inlineStr">
        <is>
          <t>Actual</t>
        </is>
      </c>
      <c r="D1060" s="24" t="n">
        <v>2497.55</v>
      </c>
      <c r="E1060" s="24" t="n"/>
      <c r="F1060" s="24" t="n"/>
    </row>
    <row r="1061">
      <c r="A1061" s="22" t="n">
        <v>46251</v>
      </c>
      <c r="B1061" s="23" t="inlineStr">
        <is>
          <t>Dairy</t>
        </is>
      </c>
      <c r="C1061" s="23" t="inlineStr">
        <is>
          <t>Actual</t>
        </is>
      </c>
      <c r="D1061" s="24" t="n">
        <v>3228.32</v>
      </c>
      <c r="E1061" s="24" t="n"/>
      <c r="F1061" s="24" t="n"/>
    </row>
    <row r="1062">
      <c r="A1062" s="22" t="n">
        <v>46251</v>
      </c>
      <c r="B1062" s="23" t="inlineStr">
        <is>
          <t>Food To Go</t>
        </is>
      </c>
      <c r="C1062" s="23" t="inlineStr">
        <is>
          <t>Actual</t>
        </is>
      </c>
      <c r="D1062" s="24" t="n">
        <v>3539.56</v>
      </c>
      <c r="E1062" s="24" t="n"/>
      <c r="F1062" s="24" t="n"/>
    </row>
    <row r="1063">
      <c r="A1063" s="22" t="n">
        <v>46251</v>
      </c>
      <c r="B1063" s="23" t="inlineStr">
        <is>
          <t>Frozen</t>
        </is>
      </c>
      <c r="C1063" s="23" t="inlineStr">
        <is>
          <t>Actual</t>
        </is>
      </c>
      <c r="D1063" s="24" t="n">
        <v>1600.79</v>
      </c>
      <c r="E1063" s="24" t="n"/>
      <c r="F1063" s="24" t="n"/>
    </row>
    <row r="1064">
      <c r="A1064" s="22" t="n">
        <v>46251</v>
      </c>
      <c r="B1064" s="23" t="inlineStr">
        <is>
          <t>Grocery</t>
        </is>
      </c>
      <c r="C1064" s="23" t="inlineStr">
        <is>
          <t>Actual</t>
        </is>
      </c>
      <c r="D1064" s="24" t="n">
        <v>2254.4</v>
      </c>
      <c r="E1064" s="24" t="n"/>
      <c r="F1064" s="24" t="n"/>
    </row>
    <row r="1065">
      <c r="A1065" s="22" t="n">
        <v>46251</v>
      </c>
      <c r="B1065" s="23" t="inlineStr">
        <is>
          <t>Health &amp; Beauty</t>
        </is>
      </c>
      <c r="C1065" s="23" t="inlineStr">
        <is>
          <t>Actual</t>
        </is>
      </c>
      <c r="D1065" s="24" t="n">
        <v>239.62</v>
      </c>
      <c r="E1065" s="24" t="n"/>
      <c r="F1065" s="24" t="n"/>
    </row>
    <row r="1066">
      <c r="A1066" s="22" t="n">
        <v>46251</v>
      </c>
      <c r="B1066" s="23" t="inlineStr">
        <is>
          <t>Household</t>
        </is>
      </c>
      <c r="C1066" s="23" t="inlineStr">
        <is>
          <t>Actual</t>
        </is>
      </c>
      <c r="D1066" s="24" t="n">
        <v>496.37</v>
      </c>
      <c r="E1066" s="24" t="n"/>
      <c r="F1066" s="24" t="n"/>
    </row>
    <row r="1067">
      <c r="A1067" s="22" t="n">
        <v>46251</v>
      </c>
      <c r="B1067" s="23" t="inlineStr">
        <is>
          <t>Produce</t>
        </is>
      </c>
      <c r="C1067" s="23" t="inlineStr">
        <is>
          <t>Actual</t>
        </is>
      </c>
      <c r="D1067" s="24" t="n">
        <v>426.66</v>
      </c>
      <c r="E1067" s="24" t="n"/>
      <c r="F1067" s="24" t="n"/>
    </row>
    <row r="1068">
      <c r="A1068" s="22" t="n">
        <v>46251</v>
      </c>
      <c r="B1068" s="23" t="inlineStr">
        <is>
          <t>Snacks &amp; Confectionery</t>
        </is>
      </c>
      <c r="C1068" s="23" t="inlineStr">
        <is>
          <t>Actual</t>
        </is>
      </c>
      <c r="D1068" s="24" t="n">
        <v>1939.52</v>
      </c>
      <c r="E1068" s="24" t="n"/>
      <c r="F1068" s="24" t="n"/>
    </row>
    <row r="1069">
      <c r="A1069" s="22" t="n">
        <v>46258</v>
      </c>
      <c r="B1069" s="23" t="inlineStr">
        <is>
          <t>Bakery</t>
        </is>
      </c>
      <c r="C1069" s="23" t="inlineStr">
        <is>
          <t>Actual</t>
        </is>
      </c>
      <c r="D1069" s="24" t="n">
        <v>1131.82</v>
      </c>
      <c r="E1069" s="24" t="n"/>
      <c r="F1069" s="24" t="n"/>
    </row>
    <row r="1070">
      <c r="A1070" s="22" t="n">
        <v>46258</v>
      </c>
      <c r="B1070" s="23" t="inlineStr">
        <is>
          <t>Beer &amp; Wine</t>
        </is>
      </c>
      <c r="C1070" s="23" t="inlineStr">
        <is>
          <t>Actual</t>
        </is>
      </c>
      <c r="D1070" s="24" t="n">
        <v>1960.98</v>
      </c>
      <c r="E1070" s="24" t="n"/>
      <c r="F1070" s="24" t="n"/>
    </row>
    <row r="1071">
      <c r="A1071" s="22" t="n">
        <v>46258</v>
      </c>
      <c r="B1071" s="23" t="inlineStr">
        <is>
          <t>Beverages</t>
        </is>
      </c>
      <c r="C1071" s="23" t="inlineStr">
        <is>
          <t>Actual</t>
        </is>
      </c>
      <c r="D1071" s="24" t="n">
        <v>2415</v>
      </c>
      <c r="E1071" s="24" t="n"/>
      <c r="F1071" s="24" t="n"/>
    </row>
    <row r="1072">
      <c r="A1072" s="22" t="n">
        <v>46258</v>
      </c>
      <c r="B1072" s="23" t="inlineStr">
        <is>
          <t>Dairy</t>
        </is>
      </c>
      <c r="C1072" s="23" t="inlineStr">
        <is>
          <t>Actual</t>
        </is>
      </c>
      <c r="D1072" s="24" t="n">
        <v>3095.22</v>
      </c>
      <c r="E1072" s="24" t="n"/>
      <c r="F1072" s="24" t="n"/>
    </row>
    <row r="1073">
      <c r="A1073" s="22" t="n">
        <v>46258</v>
      </c>
      <c r="B1073" s="23" t="inlineStr">
        <is>
          <t>Food To Go</t>
        </is>
      </c>
      <c r="C1073" s="23" t="inlineStr">
        <is>
          <t>Actual</t>
        </is>
      </c>
      <c r="D1073" s="24" t="n">
        <v>3227.6</v>
      </c>
      <c r="E1073" s="24" t="n"/>
      <c r="F1073" s="24" t="n"/>
    </row>
    <row r="1074">
      <c r="A1074" s="22" t="n">
        <v>46258</v>
      </c>
      <c r="B1074" s="23" t="inlineStr">
        <is>
          <t>Frozen</t>
        </is>
      </c>
      <c r="C1074" s="23" t="inlineStr">
        <is>
          <t>Actual</t>
        </is>
      </c>
      <c r="D1074" s="24" t="n">
        <v>1264.07</v>
      </c>
      <c r="E1074" s="24" t="n"/>
      <c r="F1074" s="24" t="n"/>
    </row>
    <row r="1075">
      <c r="A1075" s="22" t="n">
        <v>46258</v>
      </c>
      <c r="B1075" s="23" t="inlineStr">
        <is>
          <t>Grocery</t>
        </is>
      </c>
      <c r="C1075" s="23" t="inlineStr">
        <is>
          <t>Actual</t>
        </is>
      </c>
      <c r="D1075" s="24" t="n">
        <v>2159.25</v>
      </c>
      <c r="E1075" s="24" t="n"/>
      <c r="F1075" s="24" t="n"/>
    </row>
    <row r="1076">
      <c r="A1076" s="22" t="n">
        <v>46258</v>
      </c>
      <c r="B1076" s="23" t="inlineStr">
        <is>
          <t>Health &amp; Beauty</t>
        </is>
      </c>
      <c r="C1076" s="23" t="inlineStr">
        <is>
          <t>Actual</t>
        </is>
      </c>
      <c r="D1076" s="24" t="n">
        <v>294.56</v>
      </c>
      <c r="E1076" s="24" t="n"/>
      <c r="F1076" s="24" t="n"/>
    </row>
    <row r="1077">
      <c r="A1077" s="22" t="n">
        <v>46258</v>
      </c>
      <c r="B1077" s="23" t="inlineStr">
        <is>
          <t>Household</t>
        </is>
      </c>
      <c r="C1077" s="23" t="inlineStr">
        <is>
          <t>Actual</t>
        </is>
      </c>
      <c r="D1077" s="24" t="n">
        <v>607.28</v>
      </c>
      <c r="E1077" s="24" t="n"/>
      <c r="F1077" s="24" t="n"/>
    </row>
    <row r="1078">
      <c r="A1078" s="22" t="n">
        <v>46258</v>
      </c>
      <c r="B1078" s="23" t="inlineStr">
        <is>
          <t>Produce</t>
        </is>
      </c>
      <c r="C1078" s="23" t="inlineStr">
        <is>
          <t>Actual</t>
        </is>
      </c>
      <c r="D1078" s="24" t="n">
        <v>432.56</v>
      </c>
      <c r="E1078" s="24" t="n"/>
      <c r="F1078" s="24" t="n"/>
    </row>
    <row r="1079">
      <c r="A1079" s="22" t="n">
        <v>46258</v>
      </c>
      <c r="B1079" s="23" t="inlineStr">
        <is>
          <t>Snacks &amp; Confectionery</t>
        </is>
      </c>
      <c r="C1079" s="23" t="inlineStr">
        <is>
          <t>Actual</t>
        </is>
      </c>
      <c r="D1079" s="24" t="n">
        <v>2115.26</v>
      </c>
      <c r="E1079" s="24" t="n"/>
      <c r="F1079" s="24" t="n"/>
    </row>
    <row r="1080">
      <c r="A1080" s="22" t="n">
        <v>46265</v>
      </c>
      <c r="B1080" s="23" t="inlineStr">
        <is>
          <t>Bakery</t>
        </is>
      </c>
      <c r="C1080" s="23" t="inlineStr">
        <is>
          <t>Actual</t>
        </is>
      </c>
      <c r="D1080" s="24" t="n">
        <v>1199.88</v>
      </c>
      <c r="E1080" s="24" t="n"/>
      <c r="F1080" s="24" t="n"/>
    </row>
    <row r="1081">
      <c r="A1081" s="22" t="n">
        <v>46265</v>
      </c>
      <c r="B1081" s="23" t="inlineStr">
        <is>
          <t>Beer &amp; Wine</t>
        </is>
      </c>
      <c r="C1081" s="23" t="inlineStr">
        <is>
          <t>Actual</t>
        </is>
      </c>
      <c r="D1081" s="24" t="n">
        <v>2334.79</v>
      </c>
      <c r="E1081" s="24" t="n"/>
      <c r="F1081" s="24" t="n"/>
    </row>
    <row r="1082">
      <c r="A1082" s="22" t="n">
        <v>46265</v>
      </c>
      <c r="B1082" s="23" t="inlineStr">
        <is>
          <t>Beverages</t>
        </is>
      </c>
      <c r="C1082" s="23" t="inlineStr">
        <is>
          <t>Actual</t>
        </is>
      </c>
      <c r="D1082" s="24" t="n">
        <v>2466.01</v>
      </c>
      <c r="E1082" s="24" t="n"/>
      <c r="F1082" s="24" t="n"/>
    </row>
    <row r="1083">
      <c r="A1083" s="22" t="n">
        <v>46265</v>
      </c>
      <c r="B1083" s="23" t="inlineStr">
        <is>
          <t>Dairy</t>
        </is>
      </c>
      <c r="C1083" s="23" t="inlineStr">
        <is>
          <t>Actual</t>
        </is>
      </c>
      <c r="D1083" s="24" t="n">
        <v>3062.93</v>
      </c>
      <c r="E1083" s="24" t="n"/>
      <c r="F1083" s="24" t="n"/>
    </row>
    <row r="1084">
      <c r="A1084" s="22" t="n">
        <v>46265</v>
      </c>
      <c r="B1084" s="23" t="inlineStr">
        <is>
          <t>Food To Go</t>
        </is>
      </c>
      <c r="C1084" s="23" t="inlineStr">
        <is>
          <t>Actual</t>
        </is>
      </c>
      <c r="D1084" s="24" t="n">
        <v>3046.86</v>
      </c>
      <c r="E1084" s="24" t="n"/>
      <c r="F1084" s="24" t="n"/>
    </row>
    <row r="1085">
      <c r="A1085" s="22" t="n">
        <v>46265</v>
      </c>
      <c r="B1085" s="23" t="inlineStr">
        <is>
          <t>Frozen</t>
        </is>
      </c>
      <c r="C1085" s="23" t="inlineStr">
        <is>
          <t>Actual</t>
        </is>
      </c>
      <c r="D1085" s="24" t="n">
        <v>1376.06</v>
      </c>
      <c r="E1085" s="24" t="n"/>
      <c r="F1085" s="24" t="n"/>
    </row>
    <row r="1086">
      <c r="A1086" s="22" t="n">
        <v>46265</v>
      </c>
      <c r="B1086" s="23" t="inlineStr">
        <is>
          <t>Grocery</t>
        </is>
      </c>
      <c r="C1086" s="23" t="inlineStr">
        <is>
          <t>Actual</t>
        </is>
      </c>
      <c r="D1086" s="24" t="n">
        <v>1977.86</v>
      </c>
      <c r="E1086" s="24" t="n"/>
      <c r="F1086" s="24" t="n"/>
    </row>
    <row r="1087">
      <c r="A1087" s="22" t="n">
        <v>46265</v>
      </c>
      <c r="B1087" s="23" t="inlineStr">
        <is>
          <t>Health &amp; Beauty</t>
        </is>
      </c>
      <c r="C1087" s="23" t="inlineStr">
        <is>
          <t>Actual</t>
        </is>
      </c>
      <c r="D1087" s="24" t="n">
        <v>380.46</v>
      </c>
      <c r="E1087" s="24" t="n"/>
      <c r="F1087" s="24" t="n"/>
    </row>
    <row r="1088">
      <c r="A1088" s="22" t="n">
        <v>46265</v>
      </c>
      <c r="B1088" s="23" t="inlineStr">
        <is>
          <t>Household</t>
        </is>
      </c>
      <c r="C1088" s="23" t="inlineStr">
        <is>
          <t>Actual</t>
        </is>
      </c>
      <c r="D1088" s="24" t="n">
        <v>596.33</v>
      </c>
      <c r="E1088" s="24" t="n"/>
      <c r="F1088" s="24" t="n"/>
    </row>
    <row r="1089">
      <c r="A1089" s="22" t="n">
        <v>46265</v>
      </c>
      <c r="B1089" s="23" t="inlineStr">
        <is>
          <t>Produce</t>
        </is>
      </c>
      <c r="C1089" s="23" t="inlineStr">
        <is>
          <t>Actual</t>
        </is>
      </c>
      <c r="D1089" s="24" t="n">
        <v>448.81</v>
      </c>
      <c r="E1089" s="24" t="n"/>
      <c r="F1089" s="24" t="n"/>
    </row>
    <row r="1090">
      <c r="A1090" s="22" t="n">
        <v>46265</v>
      </c>
      <c r="B1090" s="23" t="inlineStr">
        <is>
          <t>Snacks &amp; Confectionery</t>
        </is>
      </c>
      <c r="C1090" s="23" t="inlineStr">
        <is>
          <t>Actual</t>
        </is>
      </c>
      <c r="D1090" s="24" t="n">
        <v>1930.14</v>
      </c>
      <c r="E1090" s="24" t="n"/>
      <c r="F1090" s="24" t="n"/>
    </row>
    <row r="1091">
      <c r="A1091" s="22" t="n">
        <v>46272</v>
      </c>
      <c r="B1091" s="23" t="inlineStr">
        <is>
          <t>Bakery</t>
        </is>
      </c>
      <c r="C1091" s="23" t="inlineStr">
        <is>
          <t>Actual</t>
        </is>
      </c>
      <c r="D1091" s="24" t="n">
        <v>1077.01</v>
      </c>
      <c r="E1091" s="24" t="n"/>
      <c r="F1091" s="24" t="n"/>
    </row>
    <row r="1092">
      <c r="A1092" s="22" t="n">
        <v>46272</v>
      </c>
      <c r="B1092" s="23" t="inlineStr">
        <is>
          <t>Beer &amp; Wine</t>
        </is>
      </c>
      <c r="C1092" s="23" t="inlineStr">
        <is>
          <t>Actual</t>
        </is>
      </c>
      <c r="D1092" s="24" t="n">
        <v>1967.98</v>
      </c>
      <c r="E1092" s="24" t="n"/>
      <c r="F1092" s="24" t="n"/>
    </row>
    <row r="1093">
      <c r="A1093" s="22" t="n">
        <v>46272</v>
      </c>
      <c r="B1093" s="23" t="inlineStr">
        <is>
          <t>Beverages</t>
        </is>
      </c>
      <c r="C1093" s="23" t="inlineStr">
        <is>
          <t>Actual</t>
        </is>
      </c>
      <c r="D1093" s="24" t="n">
        <v>2486.7</v>
      </c>
      <c r="E1093" s="24" t="n"/>
      <c r="F1093" s="24" t="n"/>
    </row>
    <row r="1094">
      <c r="A1094" s="22" t="n">
        <v>46272</v>
      </c>
      <c r="B1094" s="23" t="inlineStr">
        <is>
          <t>Dairy</t>
        </is>
      </c>
      <c r="C1094" s="23" t="inlineStr">
        <is>
          <t>Actual</t>
        </is>
      </c>
      <c r="D1094" s="24" t="n">
        <v>3095.66</v>
      </c>
      <c r="E1094" s="24" t="n"/>
      <c r="F1094" s="24" t="n"/>
    </row>
    <row r="1095">
      <c r="A1095" s="22" t="n">
        <v>46272</v>
      </c>
      <c r="B1095" s="23" t="inlineStr">
        <is>
          <t>Food To Go</t>
        </is>
      </c>
      <c r="C1095" s="23" t="inlineStr">
        <is>
          <t>Actual</t>
        </is>
      </c>
      <c r="D1095" s="24" t="n">
        <v>3599.67</v>
      </c>
      <c r="E1095" s="24" t="n"/>
      <c r="F1095" s="24" t="n"/>
    </row>
    <row r="1096">
      <c r="A1096" s="22" t="n">
        <v>46272</v>
      </c>
      <c r="B1096" s="23" t="inlineStr">
        <is>
          <t>Frozen</t>
        </is>
      </c>
      <c r="C1096" s="23" t="inlineStr">
        <is>
          <t>Actual</t>
        </is>
      </c>
      <c r="D1096" s="24" t="n">
        <v>1405.57</v>
      </c>
      <c r="E1096" s="24" t="n"/>
      <c r="F1096" s="24" t="n"/>
    </row>
    <row r="1097">
      <c r="A1097" s="22" t="n">
        <v>46272</v>
      </c>
      <c r="B1097" s="23" t="inlineStr">
        <is>
          <t>Grocery</t>
        </is>
      </c>
      <c r="C1097" s="23" t="inlineStr">
        <is>
          <t>Actual</t>
        </is>
      </c>
      <c r="D1097" s="24" t="n">
        <v>2215.89</v>
      </c>
      <c r="E1097" s="24" t="n"/>
      <c r="F1097" s="24" t="n"/>
    </row>
    <row r="1098">
      <c r="A1098" s="22" t="n">
        <v>46272</v>
      </c>
      <c r="B1098" s="23" t="inlineStr">
        <is>
          <t>Health &amp; Beauty</t>
        </is>
      </c>
      <c r="C1098" s="23" t="inlineStr">
        <is>
          <t>Actual</t>
        </is>
      </c>
      <c r="D1098" s="24" t="n">
        <v>436.43</v>
      </c>
      <c r="E1098" s="24" t="n"/>
      <c r="F1098" s="24" t="n"/>
    </row>
    <row r="1099">
      <c r="A1099" s="22" t="n">
        <v>46272</v>
      </c>
      <c r="B1099" s="23" t="inlineStr">
        <is>
          <t>Household</t>
        </is>
      </c>
      <c r="C1099" s="23" t="inlineStr">
        <is>
          <t>Actual</t>
        </is>
      </c>
      <c r="D1099" s="24" t="n">
        <v>553.36</v>
      </c>
      <c r="E1099" s="24" t="n"/>
      <c r="F1099" s="24" t="n"/>
    </row>
    <row r="1100">
      <c r="A1100" s="22" t="n">
        <v>46272</v>
      </c>
      <c r="B1100" s="23" t="inlineStr">
        <is>
          <t>Produce</t>
        </is>
      </c>
      <c r="C1100" s="23" t="inlineStr">
        <is>
          <t>Actual</t>
        </is>
      </c>
      <c r="D1100" s="24" t="n">
        <v>426.29</v>
      </c>
      <c r="E1100" s="24" t="n"/>
      <c r="F1100" s="24" t="n"/>
    </row>
    <row r="1101">
      <c r="A1101" s="22" t="n">
        <v>46272</v>
      </c>
      <c r="B1101" s="23" t="inlineStr">
        <is>
          <t>Snacks &amp; Confectionery</t>
        </is>
      </c>
      <c r="C1101" s="23" t="inlineStr">
        <is>
          <t>Actual</t>
        </is>
      </c>
      <c r="D1101" s="24" t="n">
        <v>2078.45</v>
      </c>
      <c r="E1101" s="24" t="n"/>
      <c r="F1101" s="24" t="n"/>
    </row>
    <row r="1102">
      <c r="A1102" s="22" t="n">
        <v>46279</v>
      </c>
      <c r="B1102" s="23" t="inlineStr">
        <is>
          <t>Bakery</t>
        </is>
      </c>
      <c r="C1102" s="23" t="inlineStr">
        <is>
          <t>Actual</t>
        </is>
      </c>
      <c r="D1102" s="24" t="n">
        <v>1215.19</v>
      </c>
      <c r="E1102" s="24" t="n"/>
      <c r="F1102" s="24" t="n"/>
    </row>
    <row r="1103">
      <c r="A1103" s="22" t="n">
        <v>46279</v>
      </c>
      <c r="B1103" s="23" t="inlineStr">
        <is>
          <t>Beer &amp; Wine</t>
        </is>
      </c>
      <c r="C1103" s="23" t="inlineStr">
        <is>
          <t>Actual</t>
        </is>
      </c>
      <c r="D1103" s="24" t="n">
        <v>2367.34</v>
      </c>
      <c r="E1103" s="24" t="n"/>
      <c r="F1103" s="24" t="n"/>
    </row>
    <row r="1104">
      <c r="A1104" s="22" t="n">
        <v>46279</v>
      </c>
      <c r="B1104" s="23" t="inlineStr">
        <is>
          <t>Beverages</t>
        </is>
      </c>
      <c r="C1104" s="23" t="inlineStr">
        <is>
          <t>Actual</t>
        </is>
      </c>
      <c r="D1104" s="24" t="n">
        <v>2688.35</v>
      </c>
      <c r="E1104" s="24" t="n"/>
      <c r="F1104" s="24" t="n"/>
    </row>
    <row r="1105">
      <c r="A1105" s="22" t="n">
        <v>46279</v>
      </c>
      <c r="B1105" s="23" t="inlineStr">
        <is>
          <t>Dairy</t>
        </is>
      </c>
      <c r="C1105" s="23" t="inlineStr">
        <is>
          <t>Actual</t>
        </is>
      </c>
      <c r="D1105" s="24" t="n">
        <v>2959.19</v>
      </c>
      <c r="E1105" s="24" t="n"/>
      <c r="F1105" s="24" t="n"/>
    </row>
    <row r="1106">
      <c r="A1106" s="22" t="n">
        <v>46279</v>
      </c>
      <c r="B1106" s="23" t="inlineStr">
        <is>
          <t>Food To Go</t>
        </is>
      </c>
      <c r="C1106" s="23" t="inlineStr">
        <is>
          <t>Actual</t>
        </is>
      </c>
      <c r="D1106" s="24" t="n">
        <v>3909.3</v>
      </c>
      <c r="E1106" s="24" t="n"/>
      <c r="F1106" s="24" t="n"/>
    </row>
    <row r="1107">
      <c r="A1107" s="22" t="n">
        <v>46279</v>
      </c>
      <c r="B1107" s="23" t="inlineStr">
        <is>
          <t>Frozen</t>
        </is>
      </c>
      <c r="C1107" s="23" t="inlineStr">
        <is>
          <t>Actual</t>
        </is>
      </c>
      <c r="D1107" s="24" t="n">
        <v>1552.24</v>
      </c>
      <c r="E1107" s="24" t="n"/>
      <c r="F1107" s="24" t="n"/>
    </row>
    <row r="1108">
      <c r="A1108" s="22" t="n">
        <v>46279</v>
      </c>
      <c r="B1108" s="23" t="inlineStr">
        <is>
          <t>Grocery</t>
        </is>
      </c>
      <c r="C1108" s="23" t="inlineStr">
        <is>
          <t>Actual</t>
        </is>
      </c>
      <c r="D1108" s="24" t="n">
        <v>2433.51</v>
      </c>
      <c r="E1108" s="24" t="n"/>
      <c r="F1108" s="24" t="n"/>
    </row>
    <row r="1109">
      <c r="A1109" s="22" t="n">
        <v>46279</v>
      </c>
      <c r="B1109" s="23" t="inlineStr">
        <is>
          <t>Health &amp; Beauty</t>
        </is>
      </c>
      <c r="C1109" s="23" t="inlineStr">
        <is>
          <t>Actual</t>
        </is>
      </c>
      <c r="D1109" s="24" t="n">
        <v>371.51</v>
      </c>
      <c r="E1109" s="24" t="n"/>
      <c r="F1109" s="24" t="n"/>
    </row>
    <row r="1110">
      <c r="A1110" s="22" t="n">
        <v>46279</v>
      </c>
      <c r="B1110" s="23" t="inlineStr">
        <is>
          <t>Household</t>
        </is>
      </c>
      <c r="C1110" s="23" t="inlineStr">
        <is>
          <t>Actual</t>
        </is>
      </c>
      <c r="D1110" s="24" t="n">
        <v>617.28</v>
      </c>
      <c r="E1110" s="24" t="n"/>
      <c r="F1110" s="24" t="n"/>
    </row>
    <row r="1111">
      <c r="A1111" s="22" t="n">
        <v>46279</v>
      </c>
      <c r="B1111" s="23" t="inlineStr">
        <is>
          <t>Produce</t>
        </is>
      </c>
      <c r="C1111" s="23" t="inlineStr">
        <is>
          <t>Actual</t>
        </is>
      </c>
      <c r="D1111" s="24" t="n">
        <v>409.35</v>
      </c>
      <c r="E1111" s="24" t="n"/>
      <c r="F1111" s="24" t="n"/>
    </row>
    <row r="1112">
      <c r="A1112" s="22" t="n">
        <v>46279</v>
      </c>
      <c r="B1112" s="23" t="inlineStr">
        <is>
          <t>Snacks &amp; Confectionery</t>
        </is>
      </c>
      <c r="C1112" s="23" t="inlineStr">
        <is>
          <t>Actual</t>
        </is>
      </c>
      <c r="D1112" s="24" t="n">
        <v>2216.36</v>
      </c>
      <c r="E1112" s="24" t="n"/>
      <c r="F1112" s="24" t="n"/>
    </row>
    <row r="1113">
      <c r="A1113" s="22" t="n">
        <v>46286</v>
      </c>
      <c r="B1113" s="23" t="inlineStr">
        <is>
          <t>Bakery</t>
        </is>
      </c>
      <c r="C1113" s="23" t="inlineStr">
        <is>
          <t>Actual</t>
        </is>
      </c>
      <c r="D1113" s="24" t="n">
        <v>1095.56</v>
      </c>
      <c r="E1113" s="24" t="n"/>
      <c r="F1113" s="24" t="n"/>
    </row>
    <row r="1114">
      <c r="A1114" s="22" t="n">
        <v>46286</v>
      </c>
      <c r="B1114" s="23" t="inlineStr">
        <is>
          <t>Beer &amp; Wine</t>
        </is>
      </c>
      <c r="C1114" s="23" t="inlineStr">
        <is>
          <t>Actual</t>
        </is>
      </c>
      <c r="D1114" s="24" t="n">
        <v>2154.87</v>
      </c>
      <c r="E1114" s="24" t="n"/>
      <c r="F1114" s="24" t="n"/>
    </row>
    <row r="1115">
      <c r="A1115" s="22" t="n">
        <v>46286</v>
      </c>
      <c r="B1115" s="23" t="inlineStr">
        <is>
          <t>Beverages</t>
        </is>
      </c>
      <c r="C1115" s="23" t="inlineStr">
        <is>
          <t>Actual</t>
        </is>
      </c>
      <c r="D1115" s="24" t="n">
        <v>2658.14</v>
      </c>
      <c r="E1115" s="24" t="n"/>
      <c r="F1115" s="24" t="n"/>
    </row>
    <row r="1116">
      <c r="A1116" s="22" t="n">
        <v>46286</v>
      </c>
      <c r="B1116" s="23" t="inlineStr">
        <is>
          <t>Dairy</t>
        </is>
      </c>
      <c r="C1116" s="23" t="inlineStr">
        <is>
          <t>Actual</t>
        </is>
      </c>
      <c r="D1116" s="24" t="n">
        <v>3266.66</v>
      </c>
      <c r="E1116" s="24" t="n"/>
      <c r="F1116" s="24" t="n"/>
    </row>
    <row r="1117">
      <c r="A1117" s="22" t="n">
        <v>46286</v>
      </c>
      <c r="B1117" s="23" t="inlineStr">
        <is>
          <t>Food To Go</t>
        </is>
      </c>
      <c r="C1117" s="23" t="inlineStr">
        <is>
          <t>Actual</t>
        </is>
      </c>
      <c r="D1117" s="24" t="n">
        <v>3283.21</v>
      </c>
      <c r="E1117" s="24" t="n"/>
      <c r="F1117" s="24" t="n"/>
    </row>
    <row r="1118">
      <c r="A1118" s="22" t="n">
        <v>46286</v>
      </c>
      <c r="B1118" s="23" t="inlineStr">
        <is>
          <t>Frozen</t>
        </is>
      </c>
      <c r="C1118" s="23" t="inlineStr">
        <is>
          <t>Actual</t>
        </is>
      </c>
      <c r="D1118" s="24" t="n">
        <v>1316.07</v>
      </c>
      <c r="E1118" s="24" t="n"/>
      <c r="F1118" s="24" t="n"/>
    </row>
    <row r="1119">
      <c r="A1119" s="22" t="n">
        <v>46286</v>
      </c>
      <c r="B1119" s="23" t="inlineStr">
        <is>
          <t>Grocery</t>
        </is>
      </c>
      <c r="C1119" s="23" t="inlineStr">
        <is>
          <t>Actual</t>
        </is>
      </c>
      <c r="D1119" s="24" t="n">
        <v>2069.67</v>
      </c>
      <c r="E1119" s="24" t="n"/>
      <c r="F1119" s="24" t="n"/>
    </row>
    <row r="1120">
      <c r="A1120" s="22" t="n">
        <v>46286</v>
      </c>
      <c r="B1120" s="23" t="inlineStr">
        <is>
          <t>Health &amp; Beauty</t>
        </is>
      </c>
      <c r="C1120" s="23" t="inlineStr">
        <is>
          <t>Actual</t>
        </is>
      </c>
      <c r="D1120" s="24" t="n">
        <v>268.63</v>
      </c>
      <c r="E1120" s="24" t="n"/>
      <c r="F1120" s="24" t="n"/>
    </row>
    <row r="1121">
      <c r="A1121" s="22" t="n">
        <v>46286</v>
      </c>
      <c r="B1121" s="23" t="inlineStr">
        <is>
          <t>Household</t>
        </is>
      </c>
      <c r="C1121" s="23" t="inlineStr">
        <is>
          <t>Actual</t>
        </is>
      </c>
      <c r="D1121" s="24" t="n">
        <v>441.4</v>
      </c>
      <c r="E1121" s="24" t="n"/>
      <c r="F1121" s="24" t="n"/>
    </row>
    <row r="1122">
      <c r="A1122" s="22" t="n">
        <v>46286</v>
      </c>
      <c r="B1122" s="23" t="inlineStr">
        <is>
          <t>Produce</t>
        </is>
      </c>
      <c r="C1122" s="23" t="inlineStr">
        <is>
          <t>Actual</t>
        </is>
      </c>
      <c r="D1122" s="24" t="n">
        <v>378.78</v>
      </c>
      <c r="E1122" s="24" t="n"/>
      <c r="F1122" s="24" t="n"/>
    </row>
    <row r="1123">
      <c r="A1123" s="22" t="n">
        <v>46286</v>
      </c>
      <c r="B1123" s="23" t="inlineStr">
        <is>
          <t>Snacks &amp; Confectionery</t>
        </is>
      </c>
      <c r="C1123" s="23" t="inlineStr">
        <is>
          <t>Actual</t>
        </is>
      </c>
      <c r="D1123" s="24" t="n">
        <v>2081.69</v>
      </c>
      <c r="E1123" s="24" t="n"/>
      <c r="F1123" s="24" t="n"/>
    </row>
    <row r="1124">
      <c r="A1124" s="22" t="n">
        <v>46293</v>
      </c>
      <c r="B1124" s="23" t="inlineStr">
        <is>
          <t>Bakery</t>
        </is>
      </c>
      <c r="C1124" s="23" t="inlineStr">
        <is>
          <t>Actual</t>
        </is>
      </c>
      <c r="D1124" s="24" t="n">
        <v>1094.35</v>
      </c>
      <c r="E1124" s="24" t="n"/>
      <c r="F1124" s="24" t="n"/>
    </row>
    <row r="1125">
      <c r="A1125" s="22" t="n">
        <v>46293</v>
      </c>
      <c r="B1125" s="23" t="inlineStr">
        <is>
          <t>Beer &amp; Wine</t>
        </is>
      </c>
      <c r="C1125" s="23" t="inlineStr">
        <is>
          <t>Actual</t>
        </is>
      </c>
      <c r="D1125" s="24" t="n">
        <v>2280.8</v>
      </c>
      <c r="E1125" s="24" t="n"/>
      <c r="F1125" s="24" t="n"/>
    </row>
    <row r="1126">
      <c r="A1126" s="22" t="n">
        <v>46293</v>
      </c>
      <c r="B1126" s="23" t="inlineStr">
        <is>
          <t>Beverages</t>
        </is>
      </c>
      <c r="C1126" s="23" t="inlineStr">
        <is>
          <t>Actual</t>
        </is>
      </c>
      <c r="D1126" s="24" t="n">
        <v>2742.07</v>
      </c>
      <c r="E1126" s="24" t="n"/>
      <c r="F1126" s="24" t="n"/>
    </row>
    <row r="1127">
      <c r="A1127" s="22" t="n">
        <v>46293</v>
      </c>
      <c r="B1127" s="23" t="inlineStr">
        <is>
          <t>Dairy</t>
        </is>
      </c>
      <c r="C1127" s="23" t="inlineStr">
        <is>
          <t>Actual</t>
        </is>
      </c>
      <c r="D1127" s="24" t="n">
        <v>3003.78</v>
      </c>
      <c r="E1127" s="24" t="n"/>
      <c r="F1127" s="24" t="n"/>
    </row>
    <row r="1128">
      <c r="A1128" s="22" t="n">
        <v>46293</v>
      </c>
      <c r="B1128" s="23" t="inlineStr">
        <is>
          <t>Food To Go</t>
        </is>
      </c>
      <c r="C1128" s="23" t="inlineStr">
        <is>
          <t>Actual</t>
        </is>
      </c>
      <c r="D1128" s="24" t="n">
        <v>3528.29</v>
      </c>
      <c r="E1128" s="24" t="n"/>
      <c r="F1128" s="24" t="n"/>
    </row>
    <row r="1129">
      <c r="A1129" s="22" t="n">
        <v>46293</v>
      </c>
      <c r="B1129" s="23" t="inlineStr">
        <is>
          <t>Frozen</t>
        </is>
      </c>
      <c r="C1129" s="23" t="inlineStr">
        <is>
          <t>Actual</t>
        </is>
      </c>
      <c r="D1129" s="24" t="n">
        <v>1442.93</v>
      </c>
      <c r="E1129" s="24" t="n"/>
      <c r="F1129" s="24" t="n"/>
    </row>
    <row r="1130">
      <c r="A1130" s="22" t="n">
        <v>46293</v>
      </c>
      <c r="B1130" s="23" t="inlineStr">
        <is>
          <t>Grocery</t>
        </is>
      </c>
      <c r="C1130" s="23" t="inlineStr">
        <is>
          <t>Actual</t>
        </is>
      </c>
      <c r="D1130" s="24" t="n">
        <v>2171.16</v>
      </c>
      <c r="E1130" s="24" t="n"/>
      <c r="F1130" s="24" t="n"/>
    </row>
    <row r="1131">
      <c r="A1131" s="22" t="n">
        <v>46293</v>
      </c>
      <c r="B1131" s="23" t="inlineStr">
        <is>
          <t>Health &amp; Beauty</t>
        </is>
      </c>
      <c r="C1131" s="23" t="inlineStr">
        <is>
          <t>Actual</t>
        </is>
      </c>
      <c r="D1131" s="24" t="n">
        <v>286.64</v>
      </c>
      <c r="E1131" s="24" t="n"/>
      <c r="F1131" s="24" t="n"/>
    </row>
    <row r="1132">
      <c r="A1132" s="22" t="n">
        <v>46293</v>
      </c>
      <c r="B1132" s="23" t="inlineStr">
        <is>
          <t>Household</t>
        </is>
      </c>
      <c r="C1132" s="23" t="inlineStr">
        <is>
          <t>Actual</t>
        </is>
      </c>
      <c r="D1132" s="24" t="n">
        <v>472.43</v>
      </c>
      <c r="E1132" s="24" t="n"/>
      <c r="F1132" s="24" t="n"/>
    </row>
    <row r="1133">
      <c r="A1133" s="22" t="n">
        <v>46293</v>
      </c>
      <c r="B1133" s="23" t="inlineStr">
        <is>
          <t>Produce</t>
        </is>
      </c>
      <c r="C1133" s="23" t="inlineStr">
        <is>
          <t>Actual</t>
        </is>
      </c>
      <c r="D1133" s="24" t="n">
        <v>416.39</v>
      </c>
      <c r="E1133" s="24" t="n"/>
      <c r="F1133" s="24" t="n"/>
    </row>
    <row r="1134">
      <c r="A1134" s="22" t="n">
        <v>46293</v>
      </c>
      <c r="B1134" s="23" t="inlineStr">
        <is>
          <t>Snacks &amp; Confectionery</t>
        </is>
      </c>
      <c r="C1134" s="23" t="inlineStr">
        <is>
          <t>Actual</t>
        </is>
      </c>
      <c r="D1134" s="24" t="n">
        <v>2189.67</v>
      </c>
      <c r="E1134" s="24" t="n"/>
      <c r="F1134" s="24" t="n"/>
    </row>
    <row r="1135">
      <c r="A1135" s="22" t="n">
        <v>46300</v>
      </c>
      <c r="B1135" s="23" t="inlineStr">
        <is>
          <t>Bakery</t>
        </is>
      </c>
      <c r="C1135" s="23" t="inlineStr">
        <is>
          <t>Actual</t>
        </is>
      </c>
      <c r="D1135" s="24" t="n">
        <v>1142.32</v>
      </c>
      <c r="E1135" s="24" t="n"/>
      <c r="F1135" s="24" t="n"/>
    </row>
    <row r="1136">
      <c r="A1136" s="22" t="n">
        <v>46300</v>
      </c>
      <c r="B1136" s="23" t="inlineStr">
        <is>
          <t>Beer &amp; Wine</t>
        </is>
      </c>
      <c r="C1136" s="23" t="inlineStr">
        <is>
          <t>Actual</t>
        </is>
      </c>
      <c r="D1136" s="24" t="n">
        <v>2071.93</v>
      </c>
      <c r="E1136" s="24" t="n"/>
      <c r="F1136" s="24" t="n"/>
    </row>
    <row r="1137">
      <c r="A1137" s="22" t="n">
        <v>46300</v>
      </c>
      <c r="B1137" s="23" t="inlineStr">
        <is>
          <t>Beverages</t>
        </is>
      </c>
      <c r="C1137" s="23" t="inlineStr">
        <is>
          <t>Actual</t>
        </is>
      </c>
      <c r="D1137" s="24" t="n">
        <v>3247.31</v>
      </c>
      <c r="E1137" s="24" t="n"/>
      <c r="F1137" s="24" t="n"/>
    </row>
    <row r="1138">
      <c r="A1138" s="22" t="n">
        <v>46300</v>
      </c>
      <c r="B1138" s="23" t="inlineStr">
        <is>
          <t>Dairy</t>
        </is>
      </c>
      <c r="C1138" s="23" t="inlineStr">
        <is>
          <t>Actual</t>
        </is>
      </c>
      <c r="D1138" s="24" t="n">
        <v>3124.83</v>
      </c>
      <c r="E1138" s="24" t="n"/>
      <c r="F1138" s="24" t="n"/>
    </row>
    <row r="1139">
      <c r="A1139" s="22" t="n">
        <v>46300</v>
      </c>
      <c r="B1139" s="23" t="inlineStr">
        <is>
          <t>Food To Go</t>
        </is>
      </c>
      <c r="C1139" s="23" t="inlineStr">
        <is>
          <t>Actual</t>
        </is>
      </c>
      <c r="D1139" s="24" t="n">
        <v>3006.04</v>
      </c>
      <c r="E1139" s="24" t="n"/>
      <c r="F1139" s="24" t="n"/>
    </row>
    <row r="1140">
      <c r="A1140" s="22" t="n">
        <v>46300</v>
      </c>
      <c r="B1140" s="23" t="inlineStr">
        <is>
          <t>Frozen</t>
        </is>
      </c>
      <c r="C1140" s="23" t="inlineStr">
        <is>
          <t>Actual</t>
        </is>
      </c>
      <c r="D1140" s="24" t="n">
        <v>1163.05</v>
      </c>
      <c r="E1140" s="24" t="n"/>
      <c r="F1140" s="24" t="n"/>
    </row>
    <row r="1141">
      <c r="A1141" s="22" t="n">
        <v>46300</v>
      </c>
      <c r="B1141" s="23" t="inlineStr">
        <is>
          <t>Grocery</t>
        </is>
      </c>
      <c r="C1141" s="23" t="inlineStr">
        <is>
          <t>Actual</t>
        </is>
      </c>
      <c r="D1141" s="24" t="n">
        <v>1792.45</v>
      </c>
      <c r="E1141" s="24" t="n"/>
      <c r="F1141" s="24" t="n"/>
    </row>
    <row r="1142">
      <c r="A1142" s="22" t="n">
        <v>46300</v>
      </c>
      <c r="B1142" s="23" t="inlineStr">
        <is>
          <t>Health &amp; Beauty</t>
        </is>
      </c>
      <c r="C1142" s="23" t="inlineStr">
        <is>
          <t>Actual</t>
        </is>
      </c>
      <c r="D1142" s="24" t="n">
        <v>333.55</v>
      </c>
      <c r="E1142" s="24" t="n"/>
      <c r="F1142" s="24" t="n"/>
    </row>
    <row r="1143">
      <c r="A1143" s="22" t="n">
        <v>46300</v>
      </c>
      <c r="B1143" s="23" t="inlineStr">
        <is>
          <t>Household</t>
        </is>
      </c>
      <c r="C1143" s="23" t="inlineStr">
        <is>
          <t>Actual</t>
        </is>
      </c>
      <c r="D1143" s="24" t="n">
        <v>539.36</v>
      </c>
      <c r="E1143" s="24" t="n"/>
      <c r="F1143" s="24" t="n"/>
    </row>
    <row r="1144">
      <c r="A1144" s="22" t="n">
        <v>46300</v>
      </c>
      <c r="B1144" s="23" t="inlineStr">
        <is>
          <t>Produce</t>
        </is>
      </c>
      <c r="C1144" s="23" t="inlineStr">
        <is>
          <t>Actual</t>
        </is>
      </c>
      <c r="D1144" s="24" t="n">
        <v>480.86</v>
      </c>
      <c r="E1144" s="24" t="n"/>
      <c r="F1144" s="24" t="n"/>
    </row>
    <row r="1145">
      <c r="A1145" s="22" t="n">
        <v>46300</v>
      </c>
      <c r="B1145" s="23" t="inlineStr">
        <is>
          <t>Snacks &amp; Confectionery</t>
        </is>
      </c>
      <c r="C1145" s="23" t="inlineStr">
        <is>
          <t>Actual</t>
        </is>
      </c>
      <c r="D1145" s="24" t="n">
        <v>1865.27</v>
      </c>
      <c r="E1145" s="24" t="n"/>
      <c r="F1145" s="24" t="n"/>
    </row>
    <row r="1146">
      <c r="A1146" s="22" t="n">
        <v>46307</v>
      </c>
      <c r="B1146" s="23" t="inlineStr">
        <is>
          <t>Bakery</t>
        </is>
      </c>
      <c r="C1146" s="23" t="inlineStr">
        <is>
          <t>Forecast</t>
        </is>
      </c>
      <c r="D1146" s="24" t="n">
        <v>1121.93</v>
      </c>
      <c r="E1146" s="24" t="n">
        <v>1004.26</v>
      </c>
      <c r="F1146" s="24" t="n">
        <v>1239.6</v>
      </c>
    </row>
    <row r="1147">
      <c r="A1147" s="22" t="n">
        <v>46307</v>
      </c>
      <c r="B1147" s="23" t="inlineStr">
        <is>
          <t>Beer &amp; Wine</t>
        </is>
      </c>
      <c r="C1147" s="23" t="inlineStr">
        <is>
          <t>Forecast</t>
        </is>
      </c>
      <c r="D1147" s="24" t="n">
        <v>2391.25</v>
      </c>
      <c r="E1147" s="24" t="n">
        <v>2140.46</v>
      </c>
      <c r="F1147" s="24" t="n">
        <v>2642.04</v>
      </c>
    </row>
    <row r="1148">
      <c r="A1148" s="22" t="n">
        <v>46307</v>
      </c>
      <c r="B1148" s="23" t="inlineStr">
        <is>
          <t>Beverages</t>
        </is>
      </c>
      <c r="C1148" s="23" t="inlineStr">
        <is>
          <t>Forecast</t>
        </is>
      </c>
      <c r="D1148" s="24" t="n">
        <v>3066.21</v>
      </c>
      <c r="E1148" s="24" t="n">
        <v>2744.63</v>
      </c>
      <c r="F1148" s="24" t="n">
        <v>3387.79</v>
      </c>
    </row>
    <row r="1149">
      <c r="A1149" s="22" t="n">
        <v>46307</v>
      </c>
      <c r="B1149" s="23" t="inlineStr">
        <is>
          <t>Dairy</t>
        </is>
      </c>
      <c r="C1149" s="23" t="inlineStr">
        <is>
          <t>Forecast</t>
        </is>
      </c>
      <c r="D1149" s="24" t="n">
        <v>3246.69</v>
      </c>
      <c r="E1149" s="24" t="n">
        <v>2906.18</v>
      </c>
      <c r="F1149" s="24" t="n">
        <v>3587.2</v>
      </c>
    </row>
    <row r="1150">
      <c r="A1150" s="22" t="n">
        <v>46307</v>
      </c>
      <c r="B1150" s="23" t="inlineStr">
        <is>
          <t>Food To Go</t>
        </is>
      </c>
      <c r="C1150" s="23" t="inlineStr">
        <is>
          <t>Forecast</t>
        </is>
      </c>
      <c r="D1150" s="24" t="n">
        <v>3483.28</v>
      </c>
      <c r="E1150" s="24" t="n">
        <v>3117.96</v>
      </c>
      <c r="F1150" s="24" t="n">
        <v>3848.6</v>
      </c>
    </row>
    <row r="1151">
      <c r="A1151" s="22" t="n">
        <v>46307</v>
      </c>
      <c r="B1151" s="23" t="inlineStr">
        <is>
          <t>Frozen</t>
        </is>
      </c>
      <c r="C1151" s="23" t="inlineStr">
        <is>
          <t>Forecast</t>
        </is>
      </c>
      <c r="D1151" s="24" t="n">
        <v>1350.76</v>
      </c>
      <c r="E1151" s="24" t="n">
        <v>1209.09</v>
      </c>
      <c r="F1151" s="24" t="n">
        <v>1492.43</v>
      </c>
    </row>
    <row r="1152">
      <c r="A1152" s="22" t="n">
        <v>46307</v>
      </c>
      <c r="B1152" s="23" t="inlineStr">
        <is>
          <t>Grocery</t>
        </is>
      </c>
      <c r="C1152" s="23" t="inlineStr">
        <is>
          <t>Forecast</t>
        </is>
      </c>
      <c r="D1152" s="24" t="n">
        <v>1951.21</v>
      </c>
      <c r="E1152" s="24" t="n">
        <v>1746.57</v>
      </c>
      <c r="F1152" s="24" t="n">
        <v>2155.85</v>
      </c>
    </row>
    <row r="1153">
      <c r="A1153" s="22" t="n">
        <v>46307</v>
      </c>
      <c r="B1153" s="23" t="inlineStr">
        <is>
          <t>Health &amp; Beauty</t>
        </is>
      </c>
      <c r="C1153" s="23" t="inlineStr">
        <is>
          <t>Forecast</t>
        </is>
      </c>
      <c r="D1153" s="24" t="n">
        <v>329.71</v>
      </c>
      <c r="E1153" s="24" t="n">
        <v>295.13</v>
      </c>
      <c r="F1153" s="24" t="n">
        <v>364.29</v>
      </c>
    </row>
    <row r="1154">
      <c r="A1154" s="22" t="n">
        <v>46307</v>
      </c>
      <c r="B1154" s="23" t="inlineStr">
        <is>
          <t>Household</t>
        </is>
      </c>
      <c r="C1154" s="23" t="inlineStr">
        <is>
          <t>Forecast</t>
        </is>
      </c>
      <c r="D1154" s="24" t="n">
        <v>530.5</v>
      </c>
      <c r="E1154" s="24" t="n">
        <v>474.86</v>
      </c>
      <c r="F1154" s="24" t="n">
        <v>586.14</v>
      </c>
    </row>
    <row r="1155">
      <c r="A1155" s="22" t="n">
        <v>46307</v>
      </c>
      <c r="B1155" s="23" t="inlineStr">
        <is>
          <t>Produce</t>
        </is>
      </c>
      <c r="C1155" s="23" t="inlineStr">
        <is>
          <t>Forecast</t>
        </is>
      </c>
      <c r="D1155" s="24" t="n">
        <v>439.62</v>
      </c>
      <c r="E1155" s="24" t="n">
        <v>393.51</v>
      </c>
      <c r="F1155" s="24" t="n">
        <v>485.73</v>
      </c>
    </row>
    <row r="1156">
      <c r="A1156" s="22" t="n">
        <v>46307</v>
      </c>
      <c r="B1156" s="23" t="inlineStr">
        <is>
          <t>Snacks &amp; Confectionery</t>
        </is>
      </c>
      <c r="C1156" s="23" t="inlineStr">
        <is>
          <t>Forecast</t>
        </is>
      </c>
      <c r="D1156" s="24" t="n">
        <v>2180.63</v>
      </c>
      <c r="E1156" s="24" t="n">
        <v>1951.93</v>
      </c>
      <c r="F1156" s="24" t="n">
        <v>2409.33</v>
      </c>
    </row>
    <row r="1157">
      <c r="A1157" s="22" t="n">
        <v>46314</v>
      </c>
      <c r="B1157" s="23" t="inlineStr">
        <is>
          <t>Bakery</t>
        </is>
      </c>
      <c r="C1157" s="23" t="inlineStr">
        <is>
          <t>Forecast</t>
        </is>
      </c>
      <c r="D1157" s="24" t="n">
        <v>1162.83</v>
      </c>
      <c r="E1157" s="24" t="n">
        <v>1040.87</v>
      </c>
      <c r="F1157" s="24" t="n">
        <v>1284.78</v>
      </c>
    </row>
    <row r="1158">
      <c r="A1158" s="22" t="n">
        <v>46314</v>
      </c>
      <c r="B1158" s="23" t="inlineStr">
        <is>
          <t>Beer &amp; Wine</t>
        </is>
      </c>
      <c r="C1158" s="23" t="inlineStr">
        <is>
          <t>Forecast</t>
        </is>
      </c>
      <c r="D1158" s="24" t="n">
        <v>2585.18</v>
      </c>
      <c r="E1158" s="24" t="n">
        <v>2314.05</v>
      </c>
      <c r="F1158" s="24" t="n">
        <v>2856.31</v>
      </c>
    </row>
    <row r="1159">
      <c r="A1159" s="22" t="n">
        <v>46314</v>
      </c>
      <c r="B1159" s="23" t="inlineStr">
        <is>
          <t>Beverages</t>
        </is>
      </c>
      <c r="C1159" s="23" t="inlineStr">
        <is>
          <t>Forecast</t>
        </is>
      </c>
      <c r="D1159" s="24" t="n">
        <v>2969.93</v>
      </c>
      <c r="E1159" s="24" t="n">
        <v>2658.45</v>
      </c>
      <c r="F1159" s="24" t="n">
        <v>3281.41</v>
      </c>
    </row>
    <row r="1160">
      <c r="A1160" s="22" t="n">
        <v>46314</v>
      </c>
      <c r="B1160" s="23" t="inlineStr">
        <is>
          <t>Dairy</t>
        </is>
      </c>
      <c r="C1160" s="23" t="inlineStr">
        <is>
          <t>Forecast</t>
        </is>
      </c>
      <c r="D1160" s="24" t="n">
        <v>3401.38</v>
      </c>
      <c r="E1160" s="24" t="n">
        <v>3044.64</v>
      </c>
      <c r="F1160" s="24" t="n">
        <v>3758.11</v>
      </c>
    </row>
    <row r="1161">
      <c r="A1161" s="22" t="n">
        <v>46314</v>
      </c>
      <c r="B1161" s="23" t="inlineStr">
        <is>
          <t>Food To Go</t>
        </is>
      </c>
      <c r="C1161" s="23" t="inlineStr">
        <is>
          <t>Forecast</t>
        </is>
      </c>
      <c r="D1161" s="24" t="n">
        <v>3751.41</v>
      </c>
      <c r="E1161" s="24" t="n">
        <v>3357.96</v>
      </c>
      <c r="F1161" s="24" t="n">
        <v>4144.85</v>
      </c>
    </row>
    <row r="1162">
      <c r="A1162" s="22" t="n">
        <v>46314</v>
      </c>
      <c r="B1162" s="23" t="inlineStr">
        <is>
          <t>Frozen</t>
        </is>
      </c>
      <c r="C1162" s="23" t="inlineStr">
        <is>
          <t>Forecast</t>
        </is>
      </c>
      <c r="D1162" s="24" t="n">
        <v>1572.73</v>
      </c>
      <c r="E1162" s="24" t="n">
        <v>1407.79</v>
      </c>
      <c r="F1162" s="24" t="n">
        <v>1737.68</v>
      </c>
    </row>
    <row r="1163">
      <c r="A1163" s="22" t="n">
        <v>46314</v>
      </c>
      <c r="B1163" s="23" t="inlineStr">
        <is>
          <t>Grocery</t>
        </is>
      </c>
      <c r="C1163" s="23" t="inlineStr">
        <is>
          <t>Forecast</t>
        </is>
      </c>
      <c r="D1163" s="24" t="n">
        <v>1973.85</v>
      </c>
      <c r="E1163" s="24" t="n">
        <v>1766.84</v>
      </c>
      <c r="F1163" s="24" t="n">
        <v>2180.87</v>
      </c>
    </row>
    <row r="1164">
      <c r="A1164" s="22" t="n">
        <v>46314</v>
      </c>
      <c r="B1164" s="23" t="inlineStr">
        <is>
          <t>Health &amp; Beauty</t>
        </is>
      </c>
      <c r="C1164" s="23" t="inlineStr">
        <is>
          <t>Forecast</t>
        </is>
      </c>
      <c r="D1164" s="24" t="n">
        <v>309.22</v>
      </c>
      <c r="E1164" s="24" t="n">
        <v>276.79</v>
      </c>
      <c r="F1164" s="24" t="n">
        <v>341.65</v>
      </c>
    </row>
    <row r="1165">
      <c r="A1165" s="22" t="n">
        <v>46314</v>
      </c>
      <c r="B1165" s="23" t="inlineStr">
        <is>
          <t>Household</t>
        </is>
      </c>
      <c r="C1165" s="23" t="inlineStr">
        <is>
          <t>Forecast</t>
        </is>
      </c>
      <c r="D1165" s="24" t="n">
        <v>617.88</v>
      </c>
      <c r="E1165" s="24" t="n">
        <v>553.08</v>
      </c>
      <c r="F1165" s="24" t="n">
        <v>682.6799999999999</v>
      </c>
    </row>
    <row r="1166">
      <c r="A1166" s="22" t="n">
        <v>46314</v>
      </c>
      <c r="B1166" s="23" t="inlineStr">
        <is>
          <t>Produce</t>
        </is>
      </c>
      <c r="C1166" s="23" t="inlineStr">
        <is>
          <t>Forecast</t>
        </is>
      </c>
      <c r="D1166" s="24" t="n">
        <v>449.58</v>
      </c>
      <c r="E1166" s="24" t="n">
        <v>402.43</v>
      </c>
      <c r="F1166" s="24" t="n">
        <v>496.73</v>
      </c>
    </row>
    <row r="1167">
      <c r="A1167" s="22" t="n">
        <v>46314</v>
      </c>
      <c r="B1167" s="23" t="inlineStr">
        <is>
          <t>Snacks &amp; Confectionery</t>
        </is>
      </c>
      <c r="C1167" s="23" t="inlineStr">
        <is>
          <t>Forecast</t>
        </is>
      </c>
      <c r="D1167" s="24" t="n">
        <v>2085.39</v>
      </c>
      <c r="E1167" s="24" t="n">
        <v>1866.68</v>
      </c>
      <c r="F1167" s="24" t="n">
        <v>2304.1</v>
      </c>
    </row>
    <row r="1168">
      <c r="A1168" s="22" t="n">
        <v>46321</v>
      </c>
      <c r="B1168" s="23" t="inlineStr">
        <is>
          <t>Bakery</t>
        </is>
      </c>
      <c r="C1168" s="23" t="inlineStr">
        <is>
          <t>Forecast</t>
        </is>
      </c>
      <c r="D1168" s="24" t="n">
        <v>1031.39</v>
      </c>
      <c r="E1168" s="24" t="n">
        <v>923.22</v>
      </c>
      <c r="F1168" s="24" t="n">
        <v>1139.56</v>
      </c>
    </row>
    <row r="1169">
      <c r="A1169" s="22" t="n">
        <v>46321</v>
      </c>
      <c r="B1169" s="23" t="inlineStr">
        <is>
          <t>Beer &amp; Wine</t>
        </is>
      </c>
      <c r="C1169" s="23" t="inlineStr">
        <is>
          <t>Forecast</t>
        </is>
      </c>
      <c r="D1169" s="24" t="n">
        <v>2586.48</v>
      </c>
      <c r="E1169" s="24" t="n">
        <v>2315.21</v>
      </c>
      <c r="F1169" s="24" t="n">
        <v>2857.74</v>
      </c>
    </row>
    <row r="1170">
      <c r="A1170" s="22" t="n">
        <v>46321</v>
      </c>
      <c r="B1170" s="23" t="inlineStr">
        <is>
          <t>Beverages</t>
        </is>
      </c>
      <c r="C1170" s="23" t="inlineStr">
        <is>
          <t>Forecast</t>
        </is>
      </c>
      <c r="D1170" s="24" t="n">
        <v>2979.8</v>
      </c>
      <c r="E1170" s="24" t="n">
        <v>2667.28</v>
      </c>
      <c r="F1170" s="24" t="n">
        <v>3292.31</v>
      </c>
    </row>
    <row r="1171">
      <c r="A1171" s="22" t="n">
        <v>46321</v>
      </c>
      <c r="B1171" s="23" t="inlineStr">
        <is>
          <t>Dairy</t>
        </is>
      </c>
      <c r="C1171" s="23" t="inlineStr">
        <is>
          <t>Forecast</t>
        </is>
      </c>
      <c r="D1171" s="24" t="n">
        <v>3469.3</v>
      </c>
      <c r="E1171" s="24" t="n">
        <v>3105.44</v>
      </c>
      <c r="F1171" s="24" t="n">
        <v>3833.15</v>
      </c>
    </row>
    <row r="1172">
      <c r="A1172" s="22" t="n">
        <v>46321</v>
      </c>
      <c r="B1172" s="23" t="inlineStr">
        <is>
          <t>Food To Go</t>
        </is>
      </c>
      <c r="C1172" s="23" t="inlineStr">
        <is>
          <t>Forecast</t>
        </is>
      </c>
      <c r="D1172" s="24" t="n">
        <v>3441.31</v>
      </c>
      <c r="E1172" s="24" t="n">
        <v>3080.39</v>
      </c>
      <c r="F1172" s="24" t="n">
        <v>3802.23</v>
      </c>
    </row>
    <row r="1173">
      <c r="A1173" s="22" t="n">
        <v>46321</v>
      </c>
      <c r="B1173" s="23" t="inlineStr">
        <is>
          <t>Frozen</t>
        </is>
      </c>
      <c r="C1173" s="23" t="inlineStr">
        <is>
          <t>Forecast</t>
        </is>
      </c>
      <c r="D1173" s="24" t="n">
        <v>1210.81</v>
      </c>
      <c r="E1173" s="24" t="n">
        <v>1083.82</v>
      </c>
      <c r="F1173" s="24" t="n">
        <v>1337.8</v>
      </c>
    </row>
    <row r="1174">
      <c r="A1174" s="22" t="n">
        <v>46321</v>
      </c>
      <c r="B1174" s="23" t="inlineStr">
        <is>
          <t>Grocery</t>
        </is>
      </c>
      <c r="C1174" s="23" t="inlineStr">
        <is>
          <t>Forecast</t>
        </is>
      </c>
      <c r="D1174" s="24" t="n">
        <v>1917.86</v>
      </c>
      <c r="E1174" s="24" t="n">
        <v>1716.72</v>
      </c>
      <c r="F1174" s="24" t="n">
        <v>2119</v>
      </c>
    </row>
    <row r="1175">
      <c r="A1175" s="22" t="n">
        <v>46321</v>
      </c>
      <c r="B1175" s="23" t="inlineStr">
        <is>
          <t>Health &amp; Beauty</t>
        </is>
      </c>
      <c r="C1175" s="23" t="inlineStr">
        <is>
          <t>Forecast</t>
        </is>
      </c>
      <c r="D1175" s="24" t="n">
        <v>177.48</v>
      </c>
      <c r="E1175" s="24" t="n">
        <v>158.87</v>
      </c>
      <c r="F1175" s="24" t="n">
        <v>196.09</v>
      </c>
    </row>
    <row r="1176">
      <c r="A1176" s="22" t="n">
        <v>46321</v>
      </c>
      <c r="B1176" s="23" t="inlineStr">
        <is>
          <t>Household</t>
        </is>
      </c>
      <c r="C1176" s="23" t="inlineStr">
        <is>
          <t>Forecast</t>
        </is>
      </c>
      <c r="D1176" s="24" t="n">
        <v>509.52</v>
      </c>
      <c r="E1176" s="24" t="n">
        <v>456.08</v>
      </c>
      <c r="F1176" s="24" t="n">
        <v>562.96</v>
      </c>
    </row>
    <row r="1177">
      <c r="A1177" s="22" t="n">
        <v>46321</v>
      </c>
      <c r="B1177" s="23" t="inlineStr">
        <is>
          <t>Produce</t>
        </is>
      </c>
      <c r="C1177" s="23" t="inlineStr">
        <is>
          <t>Forecast</t>
        </is>
      </c>
      <c r="D1177" s="24" t="n">
        <v>466.03</v>
      </c>
      <c r="E1177" s="24" t="n">
        <v>417.16</v>
      </c>
      <c r="F1177" s="24" t="n">
        <v>514.91</v>
      </c>
    </row>
    <row r="1178">
      <c r="A1178" s="22" t="n">
        <v>46321</v>
      </c>
      <c r="B1178" s="23" t="inlineStr">
        <is>
          <t>Snacks &amp; Confectionery</t>
        </is>
      </c>
      <c r="C1178" s="23" t="inlineStr">
        <is>
          <t>Forecast</t>
        </is>
      </c>
      <c r="D1178" s="24" t="n">
        <v>2029.68</v>
      </c>
      <c r="E1178" s="24" t="n">
        <v>1816.81</v>
      </c>
      <c r="F1178" s="24" t="n">
        <v>2242.55</v>
      </c>
    </row>
    <row r="1179">
      <c r="A1179" s="22" t="n">
        <v>46328</v>
      </c>
      <c r="B1179" s="23" t="inlineStr">
        <is>
          <t>Bakery</t>
        </is>
      </c>
      <c r="C1179" s="23" t="inlineStr">
        <is>
          <t>Forecast</t>
        </is>
      </c>
      <c r="D1179" s="24" t="n">
        <v>1090.61</v>
      </c>
      <c r="E1179" s="24" t="n">
        <v>976.23</v>
      </c>
      <c r="F1179" s="24" t="n">
        <v>1204.99</v>
      </c>
    </row>
    <row r="1180">
      <c r="A1180" s="22" t="n">
        <v>46328</v>
      </c>
      <c r="B1180" s="23" t="inlineStr">
        <is>
          <t>Beer &amp; Wine</t>
        </is>
      </c>
      <c r="C1180" s="23" t="inlineStr">
        <is>
          <t>Forecast</t>
        </is>
      </c>
      <c r="D1180" s="24" t="n">
        <v>2631.97</v>
      </c>
      <c r="E1180" s="24" t="n">
        <v>2355.93</v>
      </c>
      <c r="F1180" s="24" t="n">
        <v>2908.01</v>
      </c>
    </row>
    <row r="1181">
      <c r="A1181" s="22" t="n">
        <v>46328</v>
      </c>
      <c r="B1181" s="23" t="inlineStr">
        <is>
          <t>Beverages</t>
        </is>
      </c>
      <c r="C1181" s="23" t="inlineStr">
        <is>
          <t>Forecast</t>
        </is>
      </c>
      <c r="D1181" s="24" t="n">
        <v>3517.2</v>
      </c>
      <c r="E1181" s="24" t="n">
        <v>3148.32</v>
      </c>
      <c r="F1181" s="24" t="n">
        <v>3886.08</v>
      </c>
    </row>
    <row r="1182">
      <c r="A1182" s="22" t="n">
        <v>46328</v>
      </c>
      <c r="B1182" s="23" t="inlineStr">
        <is>
          <t>Dairy</t>
        </is>
      </c>
      <c r="C1182" s="23" t="inlineStr">
        <is>
          <t>Forecast</t>
        </is>
      </c>
      <c r="D1182" s="24" t="n">
        <v>3687.06</v>
      </c>
      <c r="E1182" s="24" t="n">
        <v>3300.36</v>
      </c>
      <c r="F1182" s="24" t="n">
        <v>4073.75</v>
      </c>
    </row>
    <row r="1183">
      <c r="A1183" s="22" t="n">
        <v>46328</v>
      </c>
      <c r="B1183" s="23" t="inlineStr">
        <is>
          <t>Food To Go</t>
        </is>
      </c>
      <c r="C1183" s="23" t="inlineStr">
        <is>
          <t>Forecast</t>
        </is>
      </c>
      <c r="D1183" s="24" t="n">
        <v>3882.84</v>
      </c>
      <c r="E1183" s="24" t="n">
        <v>3475.61</v>
      </c>
      <c r="F1183" s="24" t="n">
        <v>4290.07</v>
      </c>
    </row>
    <row r="1184">
      <c r="A1184" s="22" t="n">
        <v>46328</v>
      </c>
      <c r="B1184" s="23" t="inlineStr">
        <is>
          <t>Frozen</t>
        </is>
      </c>
      <c r="C1184" s="23" t="inlineStr">
        <is>
          <t>Forecast</t>
        </is>
      </c>
      <c r="D1184" s="24" t="n">
        <v>1556.38</v>
      </c>
      <c r="E1184" s="24" t="n">
        <v>1393.15</v>
      </c>
      <c r="F1184" s="24" t="n">
        <v>1719.61</v>
      </c>
    </row>
    <row r="1185">
      <c r="A1185" s="22" t="n">
        <v>46328</v>
      </c>
      <c r="B1185" s="23" t="inlineStr">
        <is>
          <t>Grocery</t>
        </is>
      </c>
      <c r="C1185" s="23" t="inlineStr">
        <is>
          <t>Forecast</t>
        </is>
      </c>
      <c r="D1185" s="24" t="n">
        <v>2097.22</v>
      </c>
      <c r="E1185" s="24" t="n">
        <v>1877.27</v>
      </c>
      <c r="F1185" s="24" t="n">
        <v>2317.17</v>
      </c>
    </row>
    <row r="1186">
      <c r="A1186" s="22" t="n">
        <v>46328</v>
      </c>
      <c r="B1186" s="23" t="inlineStr">
        <is>
          <t>Health &amp; Beauty</t>
        </is>
      </c>
      <c r="C1186" s="23" t="inlineStr">
        <is>
          <t>Forecast</t>
        </is>
      </c>
      <c r="D1186" s="24" t="n">
        <v>282.8</v>
      </c>
      <c r="E1186" s="24" t="n">
        <v>253.14</v>
      </c>
      <c r="F1186" s="24" t="n">
        <v>312.46</v>
      </c>
    </row>
    <row r="1187">
      <c r="A1187" s="22" t="n">
        <v>46328</v>
      </c>
      <c r="B1187" s="23" t="inlineStr">
        <is>
          <t>Household</t>
        </is>
      </c>
      <c r="C1187" s="23" t="inlineStr">
        <is>
          <t>Forecast</t>
        </is>
      </c>
      <c r="D1187" s="24" t="n">
        <v>506.87</v>
      </c>
      <c r="E1187" s="24" t="n">
        <v>453.71</v>
      </c>
      <c r="F1187" s="24" t="n">
        <v>560.03</v>
      </c>
    </row>
    <row r="1188">
      <c r="A1188" s="22" t="n">
        <v>46328</v>
      </c>
      <c r="B1188" s="23" t="inlineStr">
        <is>
          <t>Produce</t>
        </is>
      </c>
      <c r="C1188" s="23" t="inlineStr">
        <is>
          <t>Forecast</t>
        </is>
      </c>
      <c r="D1188" s="24" t="n">
        <v>450.75</v>
      </c>
      <c r="E1188" s="24" t="n">
        <v>403.47</v>
      </c>
      <c r="F1188" s="24" t="n">
        <v>498.02</v>
      </c>
    </row>
    <row r="1189">
      <c r="A1189" s="22" t="n">
        <v>46328</v>
      </c>
      <c r="B1189" s="23" t="inlineStr">
        <is>
          <t>Snacks &amp; Confectionery</t>
        </is>
      </c>
      <c r="C1189" s="23" t="inlineStr">
        <is>
          <t>Forecast</t>
        </is>
      </c>
      <c r="D1189" s="24" t="n">
        <v>2035.34</v>
      </c>
      <c r="E1189" s="24" t="n">
        <v>1821.87</v>
      </c>
      <c r="F1189" s="24" t="n">
        <v>2248.8</v>
      </c>
    </row>
    <row r="1190">
      <c r="A1190" s="22" t="n">
        <v>46335</v>
      </c>
      <c r="B1190" s="23" t="inlineStr">
        <is>
          <t>Bakery</t>
        </is>
      </c>
      <c r="C1190" s="23" t="inlineStr">
        <is>
          <t>Forecast</t>
        </is>
      </c>
      <c r="D1190" s="24" t="n">
        <v>1178.08</v>
      </c>
      <c r="E1190" s="24" t="n">
        <v>1054.53</v>
      </c>
      <c r="F1190" s="24" t="n">
        <v>1301.64</v>
      </c>
    </row>
    <row r="1191">
      <c r="A1191" s="22" t="n">
        <v>46335</v>
      </c>
      <c r="B1191" s="23" t="inlineStr">
        <is>
          <t>Beer &amp; Wine</t>
        </is>
      </c>
      <c r="C1191" s="23" t="inlineStr">
        <is>
          <t>Forecast</t>
        </is>
      </c>
      <c r="D1191" s="24" t="n">
        <v>2620.92</v>
      </c>
      <c r="E1191" s="24" t="n">
        <v>2346.04</v>
      </c>
      <c r="F1191" s="24" t="n">
        <v>2895.8</v>
      </c>
    </row>
    <row r="1192">
      <c r="A1192" s="22" t="n">
        <v>46335</v>
      </c>
      <c r="B1192" s="23" t="inlineStr">
        <is>
          <t>Beverages</t>
        </is>
      </c>
      <c r="C1192" s="23" t="inlineStr">
        <is>
          <t>Forecast</t>
        </is>
      </c>
      <c r="D1192" s="24" t="n">
        <v>3459.13</v>
      </c>
      <c r="E1192" s="24" t="n">
        <v>3096.34</v>
      </c>
      <c r="F1192" s="24" t="n">
        <v>3821.92</v>
      </c>
    </row>
    <row r="1193">
      <c r="A1193" s="22" t="n">
        <v>46335</v>
      </c>
      <c r="B1193" s="23" t="inlineStr">
        <is>
          <t>Dairy</t>
        </is>
      </c>
      <c r="C1193" s="23" t="inlineStr">
        <is>
          <t>Forecast</t>
        </is>
      </c>
      <c r="D1193" s="24" t="n">
        <v>3399.07</v>
      </c>
      <c r="E1193" s="24" t="n">
        <v>3042.57</v>
      </c>
      <c r="F1193" s="24" t="n">
        <v>3755.56</v>
      </c>
    </row>
    <row r="1194">
      <c r="A1194" s="22" t="n">
        <v>46335</v>
      </c>
      <c r="B1194" s="23" t="inlineStr">
        <is>
          <t>Food To Go</t>
        </is>
      </c>
      <c r="C1194" s="23" t="inlineStr">
        <is>
          <t>Forecast</t>
        </is>
      </c>
      <c r="D1194" s="24" t="n">
        <v>3520.71</v>
      </c>
      <c r="E1194" s="24" t="n">
        <v>3151.46</v>
      </c>
      <c r="F1194" s="24" t="n">
        <v>3889.96</v>
      </c>
    </row>
    <row r="1195">
      <c r="A1195" s="22" t="n">
        <v>46335</v>
      </c>
      <c r="B1195" s="23" t="inlineStr">
        <is>
          <t>Frozen</t>
        </is>
      </c>
      <c r="C1195" s="23" t="inlineStr">
        <is>
          <t>Forecast</t>
        </is>
      </c>
      <c r="D1195" s="24" t="n">
        <v>1420.75</v>
      </c>
      <c r="E1195" s="24" t="n">
        <v>1271.74</v>
      </c>
      <c r="F1195" s="24" t="n">
        <v>1569.76</v>
      </c>
    </row>
    <row r="1196">
      <c r="A1196" s="22" t="n">
        <v>46335</v>
      </c>
      <c r="B1196" s="23" t="inlineStr">
        <is>
          <t>Grocery</t>
        </is>
      </c>
      <c r="C1196" s="23" t="inlineStr">
        <is>
          <t>Forecast</t>
        </is>
      </c>
      <c r="D1196" s="24" t="n">
        <v>1821.58</v>
      </c>
      <c r="E1196" s="24" t="n">
        <v>1630.53</v>
      </c>
      <c r="F1196" s="24" t="n">
        <v>2012.62</v>
      </c>
    </row>
    <row r="1197">
      <c r="A1197" s="22" t="n">
        <v>46335</v>
      </c>
      <c r="B1197" s="23" t="inlineStr">
        <is>
          <t>Health &amp; Beauty</t>
        </is>
      </c>
      <c r="C1197" s="23" t="inlineStr">
        <is>
          <t>Forecast</t>
        </is>
      </c>
      <c r="D1197" s="24" t="n">
        <v>430.77</v>
      </c>
      <c r="E1197" s="24" t="n">
        <v>385.6</v>
      </c>
      <c r="F1197" s="24" t="n">
        <v>475.95</v>
      </c>
    </row>
    <row r="1198">
      <c r="A1198" s="22" t="n">
        <v>46335</v>
      </c>
      <c r="B1198" s="23" t="inlineStr">
        <is>
          <t>Household</t>
        </is>
      </c>
      <c r="C1198" s="23" t="inlineStr">
        <is>
          <t>Forecast</t>
        </is>
      </c>
      <c r="D1198" s="24" t="n">
        <v>487.36</v>
      </c>
      <c r="E1198" s="24" t="n">
        <v>436.25</v>
      </c>
      <c r="F1198" s="24" t="n">
        <v>538.48</v>
      </c>
    </row>
    <row r="1199">
      <c r="A1199" s="22" t="n">
        <v>46335</v>
      </c>
      <c r="B1199" s="23" t="inlineStr">
        <is>
          <t>Produce</t>
        </is>
      </c>
      <c r="C1199" s="23" t="inlineStr">
        <is>
          <t>Forecast</t>
        </is>
      </c>
      <c r="D1199" s="24" t="n">
        <v>545.71</v>
      </c>
      <c r="E1199" s="24" t="n">
        <v>488.48</v>
      </c>
      <c r="F1199" s="24" t="n">
        <v>602.9400000000001</v>
      </c>
    </row>
    <row r="1200">
      <c r="A1200" s="22" t="n">
        <v>46335</v>
      </c>
      <c r="B1200" s="23" t="inlineStr">
        <is>
          <t>Snacks &amp; Confectionery</t>
        </is>
      </c>
      <c r="C1200" s="23" t="inlineStr">
        <is>
          <t>Forecast</t>
        </is>
      </c>
      <c r="D1200" s="24" t="n">
        <v>2068.47</v>
      </c>
      <c r="E1200" s="24" t="n">
        <v>1851.53</v>
      </c>
      <c r="F1200" s="24" t="n">
        <v>2285.41</v>
      </c>
    </row>
    <row r="1201">
      <c r="A1201" s="22" t="n">
        <v>46342</v>
      </c>
      <c r="B1201" s="23" t="inlineStr">
        <is>
          <t>Bakery</t>
        </is>
      </c>
      <c r="C1201" s="23" t="inlineStr">
        <is>
          <t>Forecast</t>
        </is>
      </c>
      <c r="D1201" s="24" t="n">
        <v>1119</v>
      </c>
      <c r="E1201" s="24" t="n">
        <v>1001.64</v>
      </c>
      <c r="F1201" s="24" t="n">
        <v>1236.36</v>
      </c>
    </row>
    <row r="1202">
      <c r="A1202" s="22" t="n">
        <v>46342</v>
      </c>
      <c r="B1202" s="23" t="inlineStr">
        <is>
          <t>Beer &amp; Wine</t>
        </is>
      </c>
      <c r="C1202" s="23" t="inlineStr">
        <is>
          <t>Forecast</t>
        </is>
      </c>
      <c r="D1202" s="24" t="n">
        <v>2666.12</v>
      </c>
      <c r="E1202" s="24" t="n">
        <v>2386.5</v>
      </c>
      <c r="F1202" s="24" t="n">
        <v>2945.74</v>
      </c>
    </row>
    <row r="1203">
      <c r="A1203" s="22" t="n">
        <v>46342</v>
      </c>
      <c r="B1203" s="23" t="inlineStr">
        <is>
          <t>Beverages</t>
        </is>
      </c>
      <c r="C1203" s="23" t="inlineStr">
        <is>
          <t>Forecast</t>
        </is>
      </c>
      <c r="D1203" s="24" t="n">
        <v>3452.29</v>
      </c>
      <c r="E1203" s="24" t="n">
        <v>3090.21</v>
      </c>
      <c r="F1203" s="24" t="n">
        <v>3814.36</v>
      </c>
    </row>
    <row r="1204">
      <c r="A1204" s="22" t="n">
        <v>46342</v>
      </c>
      <c r="B1204" s="23" t="inlineStr">
        <is>
          <t>Dairy</t>
        </is>
      </c>
      <c r="C1204" s="23" t="inlineStr">
        <is>
          <t>Forecast</t>
        </is>
      </c>
      <c r="D1204" s="24" t="n">
        <v>3567.24</v>
      </c>
      <c r="E1204" s="24" t="n">
        <v>3193.11</v>
      </c>
      <c r="F1204" s="24" t="n">
        <v>3941.37</v>
      </c>
    </row>
    <row r="1205">
      <c r="A1205" s="22" t="n">
        <v>46342</v>
      </c>
      <c r="B1205" s="23" t="inlineStr">
        <is>
          <t>Food To Go</t>
        </is>
      </c>
      <c r="C1205" s="23" t="inlineStr">
        <is>
          <t>Forecast</t>
        </is>
      </c>
      <c r="D1205" s="24" t="n">
        <v>4000.31</v>
      </c>
      <c r="E1205" s="24" t="n">
        <v>3580.76</v>
      </c>
      <c r="F1205" s="24" t="n">
        <v>4419.86</v>
      </c>
    </row>
    <row r="1206">
      <c r="A1206" s="22" t="n">
        <v>46342</v>
      </c>
      <c r="B1206" s="23" t="inlineStr">
        <is>
          <t>Frozen</t>
        </is>
      </c>
      <c r="C1206" s="23" t="inlineStr">
        <is>
          <t>Forecast</t>
        </is>
      </c>
      <c r="D1206" s="24" t="n">
        <v>1265.36</v>
      </c>
      <c r="E1206" s="24" t="n">
        <v>1132.65</v>
      </c>
      <c r="F1206" s="24" t="n">
        <v>1398.08</v>
      </c>
    </row>
    <row r="1207">
      <c r="A1207" s="22" t="n">
        <v>46342</v>
      </c>
      <c r="B1207" s="23" t="inlineStr">
        <is>
          <t>Grocery</t>
        </is>
      </c>
      <c r="C1207" s="23" t="inlineStr">
        <is>
          <t>Forecast</t>
        </is>
      </c>
      <c r="D1207" s="24" t="n">
        <v>1860.82</v>
      </c>
      <c r="E1207" s="24" t="n">
        <v>1665.66</v>
      </c>
      <c r="F1207" s="24" t="n">
        <v>2055.98</v>
      </c>
    </row>
    <row r="1208">
      <c r="A1208" s="22" t="n">
        <v>46342</v>
      </c>
      <c r="B1208" s="23" t="inlineStr">
        <is>
          <t>Health &amp; Beauty</t>
        </is>
      </c>
      <c r="C1208" s="23" t="inlineStr">
        <is>
          <t>Forecast</t>
        </is>
      </c>
      <c r="D1208" s="24" t="n">
        <v>277.4</v>
      </c>
      <c r="E1208" s="24" t="n">
        <v>248.3</v>
      </c>
      <c r="F1208" s="24" t="n">
        <v>306.49</v>
      </c>
    </row>
    <row r="1209">
      <c r="A1209" s="22" t="n">
        <v>46342</v>
      </c>
      <c r="B1209" s="23" t="inlineStr">
        <is>
          <t>Household</t>
        </is>
      </c>
      <c r="C1209" s="23" t="inlineStr">
        <is>
          <t>Forecast</t>
        </is>
      </c>
      <c r="D1209" s="24" t="n">
        <v>651.27</v>
      </c>
      <c r="E1209" s="24" t="n">
        <v>582.97</v>
      </c>
      <c r="F1209" s="24" t="n">
        <v>719.58</v>
      </c>
    </row>
    <row r="1210">
      <c r="A1210" s="22" t="n">
        <v>46342</v>
      </c>
      <c r="B1210" s="23" t="inlineStr">
        <is>
          <t>Produce</t>
        </is>
      </c>
      <c r="C1210" s="23" t="inlineStr">
        <is>
          <t>Forecast</t>
        </is>
      </c>
      <c r="D1210" s="24" t="n">
        <v>537.08</v>
      </c>
      <c r="E1210" s="24" t="n">
        <v>480.75</v>
      </c>
      <c r="F1210" s="24" t="n">
        <v>593.41</v>
      </c>
    </row>
    <row r="1211">
      <c r="A1211" s="22" t="n">
        <v>46342</v>
      </c>
      <c r="B1211" s="23" t="inlineStr">
        <is>
          <t>Snacks &amp; Confectionery</t>
        </is>
      </c>
      <c r="C1211" s="23" t="inlineStr">
        <is>
          <t>Forecast</t>
        </is>
      </c>
      <c r="D1211" s="24" t="n">
        <v>2067.71</v>
      </c>
      <c r="E1211" s="24" t="n">
        <v>1850.85</v>
      </c>
      <c r="F1211" s="24" t="n">
        <v>2284.57</v>
      </c>
    </row>
    <row r="1212">
      <c r="A1212" s="22" t="n">
        <v>46349</v>
      </c>
      <c r="B1212" s="23" t="inlineStr">
        <is>
          <t>Bakery</t>
        </is>
      </c>
      <c r="C1212" s="23" t="inlineStr">
        <is>
          <t>Forecast</t>
        </is>
      </c>
      <c r="D1212" s="24" t="n">
        <v>1052.16</v>
      </c>
      <c r="E1212" s="24" t="n">
        <v>941.8099999999999</v>
      </c>
      <c r="F1212" s="24" t="n">
        <v>1162.51</v>
      </c>
    </row>
    <row r="1213">
      <c r="A1213" s="22" t="n">
        <v>46349</v>
      </c>
      <c r="B1213" s="23" t="inlineStr">
        <is>
          <t>Beer &amp; Wine</t>
        </is>
      </c>
      <c r="C1213" s="23" t="inlineStr">
        <is>
          <t>Forecast</t>
        </is>
      </c>
      <c r="D1213" s="24" t="n">
        <v>2189.28</v>
      </c>
      <c r="E1213" s="24" t="n">
        <v>1959.67</v>
      </c>
      <c r="F1213" s="24" t="n">
        <v>2418.89</v>
      </c>
    </row>
    <row r="1214">
      <c r="A1214" s="22" t="n">
        <v>46349</v>
      </c>
      <c r="B1214" s="23" t="inlineStr">
        <is>
          <t>Beverages</t>
        </is>
      </c>
      <c r="C1214" s="23" t="inlineStr">
        <is>
          <t>Forecast</t>
        </is>
      </c>
      <c r="D1214" s="24" t="n">
        <v>3652.59</v>
      </c>
      <c r="E1214" s="24" t="n">
        <v>3269.51</v>
      </c>
      <c r="F1214" s="24" t="n">
        <v>4035.67</v>
      </c>
    </row>
    <row r="1215">
      <c r="A1215" s="22" t="n">
        <v>46349</v>
      </c>
      <c r="B1215" s="23" t="inlineStr">
        <is>
          <t>Dairy</t>
        </is>
      </c>
      <c r="C1215" s="23" t="inlineStr">
        <is>
          <t>Forecast</t>
        </is>
      </c>
      <c r="D1215" s="24" t="n">
        <v>3424.13</v>
      </c>
      <c r="E1215" s="24" t="n">
        <v>3065.01</v>
      </c>
      <c r="F1215" s="24" t="n">
        <v>3783.25</v>
      </c>
    </row>
    <row r="1216">
      <c r="A1216" s="22" t="n">
        <v>46349</v>
      </c>
      <c r="B1216" s="23" t="inlineStr">
        <is>
          <t>Food To Go</t>
        </is>
      </c>
      <c r="C1216" s="23" t="inlineStr">
        <is>
          <t>Forecast</t>
        </is>
      </c>
      <c r="D1216" s="24" t="n">
        <v>3447.88</v>
      </c>
      <c r="E1216" s="24" t="n">
        <v>3086.27</v>
      </c>
      <c r="F1216" s="24" t="n">
        <v>3809.49</v>
      </c>
    </row>
    <row r="1217">
      <c r="A1217" s="22" t="n">
        <v>46349</v>
      </c>
      <c r="B1217" s="23" t="inlineStr">
        <is>
          <t>Frozen</t>
        </is>
      </c>
      <c r="C1217" s="23" t="inlineStr">
        <is>
          <t>Forecast</t>
        </is>
      </c>
      <c r="D1217" s="24" t="n">
        <v>1337.14</v>
      </c>
      <c r="E1217" s="24" t="n">
        <v>1196.9</v>
      </c>
      <c r="F1217" s="24" t="n">
        <v>1477.38</v>
      </c>
    </row>
    <row r="1218">
      <c r="A1218" s="22" t="n">
        <v>46349</v>
      </c>
      <c r="B1218" s="23" t="inlineStr">
        <is>
          <t>Grocery</t>
        </is>
      </c>
      <c r="C1218" s="23" t="inlineStr">
        <is>
          <t>Forecast</t>
        </is>
      </c>
      <c r="D1218" s="24" t="n">
        <v>1957.49</v>
      </c>
      <c r="E1218" s="24" t="n">
        <v>1752.19</v>
      </c>
      <c r="F1218" s="24" t="n">
        <v>2162.79</v>
      </c>
    </row>
    <row r="1219">
      <c r="A1219" s="22" t="n">
        <v>46349</v>
      </c>
      <c r="B1219" s="23" t="inlineStr">
        <is>
          <t>Health &amp; Beauty</t>
        </is>
      </c>
      <c r="C1219" s="23" t="inlineStr">
        <is>
          <t>Forecast</t>
        </is>
      </c>
      <c r="D1219" s="24" t="n">
        <v>467.65</v>
      </c>
      <c r="E1219" s="24" t="n">
        <v>418.6</v>
      </c>
      <c r="F1219" s="24" t="n">
        <v>516.7</v>
      </c>
    </row>
    <row r="1220">
      <c r="A1220" s="22" t="n">
        <v>46349</v>
      </c>
      <c r="B1220" s="23" t="inlineStr">
        <is>
          <t>Household</t>
        </is>
      </c>
      <c r="C1220" s="23" t="inlineStr">
        <is>
          <t>Forecast</t>
        </is>
      </c>
      <c r="D1220" s="24" t="n">
        <v>544.77</v>
      </c>
      <c r="E1220" s="24" t="n">
        <v>487.64</v>
      </c>
      <c r="F1220" s="24" t="n">
        <v>601.91</v>
      </c>
    </row>
    <row r="1221">
      <c r="A1221" s="22" t="n">
        <v>46349</v>
      </c>
      <c r="B1221" s="23" t="inlineStr">
        <is>
          <t>Produce</t>
        </is>
      </c>
      <c r="C1221" s="23" t="inlineStr">
        <is>
          <t>Forecast</t>
        </is>
      </c>
      <c r="D1221" s="24" t="n">
        <v>590.67</v>
      </c>
      <c r="E1221" s="24" t="n">
        <v>528.73</v>
      </c>
      <c r="F1221" s="24" t="n">
        <v>652.62</v>
      </c>
    </row>
    <row r="1222">
      <c r="A1222" s="22" t="n">
        <v>46349</v>
      </c>
      <c r="B1222" s="23" t="inlineStr">
        <is>
          <t>Snacks &amp; Confectionery</t>
        </is>
      </c>
      <c r="C1222" s="23" t="inlineStr">
        <is>
          <t>Forecast</t>
        </is>
      </c>
      <c r="D1222" s="24" t="n">
        <v>1966.04</v>
      </c>
      <c r="E1222" s="24" t="n">
        <v>1759.84</v>
      </c>
      <c r="F1222" s="24" t="n">
        <v>2172.24</v>
      </c>
    </row>
    <row r="1223">
      <c r="A1223" s="22" t="n">
        <v>46356</v>
      </c>
      <c r="B1223" s="23" t="inlineStr">
        <is>
          <t>Bakery</t>
        </is>
      </c>
      <c r="C1223" s="23" t="inlineStr">
        <is>
          <t>Forecast</t>
        </is>
      </c>
      <c r="D1223" s="24" t="n">
        <v>1320.38</v>
      </c>
      <c r="E1223" s="24" t="n">
        <v>1181.9</v>
      </c>
      <c r="F1223" s="24" t="n">
        <v>1458.86</v>
      </c>
    </row>
    <row r="1224">
      <c r="A1224" s="22" t="n">
        <v>46356</v>
      </c>
      <c r="B1224" s="23" t="inlineStr">
        <is>
          <t>Beer &amp; Wine</t>
        </is>
      </c>
      <c r="C1224" s="23" t="inlineStr">
        <is>
          <t>Forecast</t>
        </is>
      </c>
      <c r="D1224" s="24" t="n">
        <v>3233.24</v>
      </c>
      <c r="E1224" s="24" t="n">
        <v>2894.14</v>
      </c>
      <c r="F1224" s="24" t="n">
        <v>3572.34</v>
      </c>
    </row>
    <row r="1225">
      <c r="A1225" s="22" t="n">
        <v>46356</v>
      </c>
      <c r="B1225" s="23" t="inlineStr">
        <is>
          <t>Beverages</t>
        </is>
      </c>
      <c r="C1225" s="23" t="inlineStr">
        <is>
          <t>Forecast</t>
        </is>
      </c>
      <c r="D1225" s="24" t="n">
        <v>4096.96</v>
      </c>
      <c r="E1225" s="24" t="n">
        <v>3667.28</v>
      </c>
      <c r="F1225" s="24" t="n">
        <v>4526.65</v>
      </c>
    </row>
    <row r="1226">
      <c r="A1226" s="22" t="n">
        <v>46356</v>
      </c>
      <c r="B1226" s="23" t="inlineStr">
        <is>
          <t>Dairy</t>
        </is>
      </c>
      <c r="C1226" s="23" t="inlineStr">
        <is>
          <t>Forecast</t>
        </is>
      </c>
      <c r="D1226" s="24" t="n">
        <v>3446.16</v>
      </c>
      <c r="E1226" s="24" t="n">
        <v>3084.73</v>
      </c>
      <c r="F1226" s="24" t="n">
        <v>3807.59</v>
      </c>
    </row>
    <row r="1227">
      <c r="A1227" s="22" t="n">
        <v>46356</v>
      </c>
      <c r="B1227" s="23" t="inlineStr">
        <is>
          <t>Food To Go</t>
        </is>
      </c>
      <c r="C1227" s="23" t="inlineStr">
        <is>
          <t>Forecast</t>
        </is>
      </c>
      <c r="D1227" s="24" t="n">
        <v>3949.81</v>
      </c>
      <c r="E1227" s="24" t="n">
        <v>3535.56</v>
      </c>
      <c r="F1227" s="24" t="n">
        <v>4364.06</v>
      </c>
    </row>
    <row r="1228">
      <c r="A1228" s="22" t="n">
        <v>46356</v>
      </c>
      <c r="B1228" s="23" t="inlineStr">
        <is>
          <t>Frozen</t>
        </is>
      </c>
      <c r="C1228" s="23" t="inlineStr">
        <is>
          <t>Forecast</t>
        </is>
      </c>
      <c r="D1228" s="24" t="n">
        <v>1580.03</v>
      </c>
      <c r="E1228" s="24" t="n">
        <v>1414.32</v>
      </c>
      <c r="F1228" s="24" t="n">
        <v>1745.75</v>
      </c>
    </row>
    <row r="1229">
      <c r="A1229" s="22" t="n">
        <v>46356</v>
      </c>
      <c r="B1229" s="23" t="inlineStr">
        <is>
          <t>Grocery</t>
        </is>
      </c>
      <c r="C1229" s="23" t="inlineStr">
        <is>
          <t>Forecast</t>
        </is>
      </c>
      <c r="D1229" s="24" t="n">
        <v>2143.49</v>
      </c>
      <c r="E1229" s="24" t="n">
        <v>1918.68</v>
      </c>
      <c r="F1229" s="24" t="n">
        <v>2368.3</v>
      </c>
    </row>
    <row r="1230">
      <c r="A1230" s="22" t="n">
        <v>46356</v>
      </c>
      <c r="B1230" s="23" t="inlineStr">
        <is>
          <t>Health &amp; Beauty</t>
        </is>
      </c>
      <c r="C1230" s="23" t="inlineStr">
        <is>
          <t>Forecast</t>
        </is>
      </c>
      <c r="D1230" s="24" t="n">
        <v>398.13</v>
      </c>
      <c r="E1230" s="24" t="n">
        <v>356.37</v>
      </c>
      <c r="F1230" s="24" t="n">
        <v>439.88</v>
      </c>
    </row>
    <row r="1231">
      <c r="A1231" s="22" t="n">
        <v>46356</v>
      </c>
      <c r="B1231" s="23" t="inlineStr">
        <is>
          <t>Household</t>
        </is>
      </c>
      <c r="C1231" s="23" t="inlineStr">
        <is>
          <t>Forecast</t>
        </is>
      </c>
      <c r="D1231" s="24" t="n">
        <v>722.9299999999999</v>
      </c>
      <c r="E1231" s="24" t="n">
        <v>647.11</v>
      </c>
      <c r="F1231" s="24" t="n">
        <v>798.75</v>
      </c>
    </row>
    <row r="1232">
      <c r="A1232" s="22" t="n">
        <v>46356</v>
      </c>
      <c r="B1232" s="23" t="inlineStr">
        <is>
          <t>Produce</t>
        </is>
      </c>
      <c r="C1232" s="23" t="inlineStr">
        <is>
          <t>Forecast</t>
        </is>
      </c>
      <c r="D1232" s="24" t="n">
        <v>591.16</v>
      </c>
      <c r="E1232" s="24" t="n">
        <v>529.16</v>
      </c>
      <c r="F1232" s="24" t="n">
        <v>653.16</v>
      </c>
    </row>
    <row r="1233">
      <c r="A1233" s="22" t="n">
        <v>46356</v>
      </c>
      <c r="B1233" s="23" t="inlineStr">
        <is>
          <t>Snacks &amp; Confectionery</t>
        </is>
      </c>
      <c r="C1233" s="23" t="inlineStr">
        <is>
          <t>Forecast</t>
        </is>
      </c>
      <c r="D1233" s="24" t="n">
        <v>2307.98</v>
      </c>
      <c r="E1233" s="24" t="n">
        <v>2065.93</v>
      </c>
      <c r="F1233" s="24" t="n">
        <v>2550.04</v>
      </c>
    </row>
    <row r="1234">
      <c r="A1234" s="22" t="n">
        <v>46363</v>
      </c>
      <c r="B1234" s="23" t="inlineStr">
        <is>
          <t>Bakery</t>
        </is>
      </c>
      <c r="C1234" s="23" t="inlineStr">
        <is>
          <t>Forecast</t>
        </is>
      </c>
      <c r="D1234" s="24" t="n">
        <v>1221.49</v>
      </c>
      <c r="E1234" s="24" t="n">
        <v>1093.39</v>
      </c>
      <c r="F1234" s="24" t="n">
        <v>1349.6</v>
      </c>
    </row>
    <row r="1235">
      <c r="A1235" s="22" t="n">
        <v>46363</v>
      </c>
      <c r="B1235" s="23" t="inlineStr">
        <is>
          <t>Beer &amp; Wine</t>
        </is>
      </c>
      <c r="C1235" s="23" t="inlineStr">
        <is>
          <t>Forecast</t>
        </is>
      </c>
      <c r="D1235" s="24" t="n">
        <v>2828.07</v>
      </c>
      <c r="E1235" s="24" t="n">
        <v>2531.46</v>
      </c>
      <c r="F1235" s="24" t="n">
        <v>3124.67</v>
      </c>
    </row>
    <row r="1236">
      <c r="A1236" s="22" t="n">
        <v>46363</v>
      </c>
      <c r="B1236" s="23" t="inlineStr">
        <is>
          <t>Beverages</t>
        </is>
      </c>
      <c r="C1236" s="23" t="inlineStr">
        <is>
          <t>Forecast</t>
        </is>
      </c>
      <c r="D1236" s="24" t="n">
        <v>4205.46</v>
      </c>
      <c r="E1236" s="24" t="n">
        <v>3764.39</v>
      </c>
      <c r="F1236" s="24" t="n">
        <v>4646.52</v>
      </c>
    </row>
    <row r="1237">
      <c r="A1237" s="22" t="n">
        <v>46363</v>
      </c>
      <c r="B1237" s="23" t="inlineStr">
        <is>
          <t>Dairy</t>
        </is>
      </c>
      <c r="C1237" s="23" t="inlineStr">
        <is>
          <t>Forecast</t>
        </is>
      </c>
      <c r="D1237" s="24" t="n">
        <v>3811.63</v>
      </c>
      <c r="E1237" s="24" t="n">
        <v>3411.87</v>
      </c>
      <c r="F1237" s="24" t="n">
        <v>4211.39</v>
      </c>
    </row>
    <row r="1238">
      <c r="A1238" s="22" t="n">
        <v>46363</v>
      </c>
      <c r="B1238" s="23" t="inlineStr">
        <is>
          <t>Food To Go</t>
        </is>
      </c>
      <c r="C1238" s="23" t="inlineStr">
        <is>
          <t>Forecast</t>
        </is>
      </c>
      <c r="D1238" s="24" t="n">
        <v>4275.73</v>
      </c>
      <c r="E1238" s="24" t="n">
        <v>3827.3</v>
      </c>
      <c r="F1238" s="24" t="n">
        <v>4724.16</v>
      </c>
    </row>
    <row r="1239">
      <c r="A1239" s="22" t="n">
        <v>46363</v>
      </c>
      <c r="B1239" s="23" t="inlineStr">
        <is>
          <t>Frozen</t>
        </is>
      </c>
      <c r="C1239" s="23" t="inlineStr">
        <is>
          <t>Forecast</t>
        </is>
      </c>
      <c r="D1239" s="24" t="n">
        <v>1186.39</v>
      </c>
      <c r="E1239" s="24" t="n">
        <v>1061.96</v>
      </c>
      <c r="F1239" s="24" t="n">
        <v>1310.82</v>
      </c>
    </row>
    <row r="1240">
      <c r="A1240" s="22" t="n">
        <v>46363</v>
      </c>
      <c r="B1240" s="23" t="inlineStr">
        <is>
          <t>Grocery</t>
        </is>
      </c>
      <c r="C1240" s="23" t="inlineStr">
        <is>
          <t>Forecast</t>
        </is>
      </c>
      <c r="D1240" s="24" t="n">
        <v>2136.78</v>
      </c>
      <c r="E1240" s="24" t="n">
        <v>1912.67</v>
      </c>
      <c r="F1240" s="24" t="n">
        <v>2360.88</v>
      </c>
    </row>
    <row r="1241">
      <c r="A1241" s="22" t="n">
        <v>46363</v>
      </c>
      <c r="B1241" s="23" t="inlineStr">
        <is>
          <t>Health &amp; Beauty</t>
        </is>
      </c>
      <c r="C1241" s="23" t="inlineStr">
        <is>
          <t>Forecast</t>
        </is>
      </c>
      <c r="D1241" s="24" t="n">
        <v>262.13</v>
      </c>
      <c r="E1241" s="24" t="n">
        <v>234.64</v>
      </c>
      <c r="F1241" s="24" t="n">
        <v>289.62</v>
      </c>
    </row>
    <row r="1242">
      <c r="A1242" s="22" t="n">
        <v>46363</v>
      </c>
      <c r="B1242" s="23" t="inlineStr">
        <is>
          <t>Household</t>
        </is>
      </c>
      <c r="C1242" s="23" t="inlineStr">
        <is>
          <t>Forecast</t>
        </is>
      </c>
      <c r="D1242" s="24" t="n">
        <v>504.78</v>
      </c>
      <c r="E1242" s="24" t="n">
        <v>451.84</v>
      </c>
      <c r="F1242" s="24" t="n">
        <v>557.72</v>
      </c>
    </row>
    <row r="1243">
      <c r="A1243" s="22" t="n">
        <v>46363</v>
      </c>
      <c r="B1243" s="23" t="inlineStr">
        <is>
          <t>Produce</t>
        </is>
      </c>
      <c r="C1243" s="23" t="inlineStr">
        <is>
          <t>Forecast</t>
        </is>
      </c>
      <c r="D1243" s="24" t="n">
        <v>567.3200000000001</v>
      </c>
      <c r="E1243" s="24" t="n">
        <v>507.82</v>
      </c>
      <c r="F1243" s="24" t="n">
        <v>626.8200000000001</v>
      </c>
    </row>
    <row r="1244">
      <c r="A1244" s="22" t="n">
        <v>46363</v>
      </c>
      <c r="B1244" s="23" t="inlineStr">
        <is>
          <t>Snacks &amp; Confectionery</t>
        </is>
      </c>
      <c r="C1244" s="23" t="inlineStr">
        <is>
          <t>Forecast</t>
        </is>
      </c>
      <c r="D1244" s="24" t="n">
        <v>2215.2</v>
      </c>
      <c r="E1244" s="24" t="n">
        <v>1982.87</v>
      </c>
      <c r="F1244" s="24" t="n">
        <v>2447.53</v>
      </c>
    </row>
    <row r="1245">
      <c r="A1245" s="22" t="n">
        <v>46370</v>
      </c>
      <c r="B1245" s="23" t="inlineStr">
        <is>
          <t>Bakery</t>
        </is>
      </c>
      <c r="C1245" s="23" t="inlineStr">
        <is>
          <t>Forecast</t>
        </is>
      </c>
      <c r="D1245" s="24" t="n">
        <v>1340.84</v>
      </c>
      <c r="E1245" s="24" t="n">
        <v>1200.22</v>
      </c>
      <c r="F1245" s="24" t="n">
        <v>1481.47</v>
      </c>
    </row>
    <row r="1246">
      <c r="A1246" s="22" t="n">
        <v>46370</v>
      </c>
      <c r="B1246" s="23" t="inlineStr">
        <is>
          <t>Beer &amp; Wine</t>
        </is>
      </c>
      <c r="C1246" s="23" t="inlineStr">
        <is>
          <t>Forecast</t>
        </is>
      </c>
      <c r="D1246" s="24" t="n">
        <v>3152.98</v>
      </c>
      <c r="E1246" s="24" t="n">
        <v>2822.29</v>
      </c>
      <c r="F1246" s="24" t="n">
        <v>3483.66</v>
      </c>
    </row>
    <row r="1247">
      <c r="A1247" s="22" t="n">
        <v>46370</v>
      </c>
      <c r="B1247" s="23" t="inlineStr">
        <is>
          <t>Beverages</t>
        </is>
      </c>
      <c r="C1247" s="23" t="inlineStr">
        <is>
          <t>Forecast</t>
        </is>
      </c>
      <c r="D1247" s="24" t="n">
        <v>4081.3</v>
      </c>
      <c r="E1247" s="24" t="n">
        <v>3653.26</v>
      </c>
      <c r="F1247" s="24" t="n">
        <v>4509.34</v>
      </c>
    </row>
    <row r="1248">
      <c r="A1248" s="22" t="n">
        <v>46370</v>
      </c>
      <c r="B1248" s="23" t="inlineStr">
        <is>
          <t>Dairy</t>
        </is>
      </c>
      <c r="C1248" s="23" t="inlineStr">
        <is>
          <t>Forecast</t>
        </is>
      </c>
      <c r="D1248" s="24" t="n">
        <v>3682.7</v>
      </c>
      <c r="E1248" s="24" t="n">
        <v>3296.46</v>
      </c>
      <c r="F1248" s="24" t="n">
        <v>4068.94</v>
      </c>
    </row>
    <row r="1249">
      <c r="A1249" s="22" t="n">
        <v>46370</v>
      </c>
      <c r="B1249" s="23" t="inlineStr">
        <is>
          <t>Food To Go</t>
        </is>
      </c>
      <c r="C1249" s="23" t="inlineStr">
        <is>
          <t>Forecast</t>
        </is>
      </c>
      <c r="D1249" s="24" t="n">
        <v>4228.33</v>
      </c>
      <c r="E1249" s="24" t="n">
        <v>3784.87</v>
      </c>
      <c r="F1249" s="24" t="n">
        <v>4671.79</v>
      </c>
    </row>
    <row r="1250">
      <c r="A1250" s="22" t="n">
        <v>46370</v>
      </c>
      <c r="B1250" s="23" t="inlineStr">
        <is>
          <t>Frozen</t>
        </is>
      </c>
      <c r="C1250" s="23" t="inlineStr">
        <is>
          <t>Forecast</t>
        </is>
      </c>
      <c r="D1250" s="24" t="n">
        <v>1550.71</v>
      </c>
      <c r="E1250" s="24" t="n">
        <v>1388.07</v>
      </c>
      <c r="F1250" s="24" t="n">
        <v>1713.34</v>
      </c>
    </row>
    <row r="1251">
      <c r="A1251" s="22" t="n">
        <v>46370</v>
      </c>
      <c r="B1251" s="23" t="inlineStr">
        <is>
          <t>Grocery</t>
        </is>
      </c>
      <c r="C1251" s="23" t="inlineStr">
        <is>
          <t>Forecast</t>
        </is>
      </c>
      <c r="D1251" s="24" t="n">
        <v>1848.32</v>
      </c>
      <c r="E1251" s="24" t="n">
        <v>1654.47</v>
      </c>
      <c r="F1251" s="24" t="n">
        <v>2042.17</v>
      </c>
    </row>
    <row r="1252">
      <c r="A1252" s="22" t="n">
        <v>46370</v>
      </c>
      <c r="B1252" s="23" t="inlineStr">
        <is>
          <t>Health &amp; Beauty</t>
        </is>
      </c>
      <c r="C1252" s="23" t="inlineStr">
        <is>
          <t>Forecast</t>
        </is>
      </c>
      <c r="D1252" s="24" t="n">
        <v>348.1</v>
      </c>
      <c r="E1252" s="24" t="n">
        <v>311.59</v>
      </c>
      <c r="F1252" s="24" t="n">
        <v>384.6</v>
      </c>
    </row>
    <row r="1253">
      <c r="A1253" s="22" t="n">
        <v>46370</v>
      </c>
      <c r="B1253" s="23" t="inlineStr">
        <is>
          <t>Household</t>
        </is>
      </c>
      <c r="C1253" s="23" t="inlineStr">
        <is>
          <t>Forecast</t>
        </is>
      </c>
      <c r="D1253" s="24" t="n">
        <v>496.62</v>
      </c>
      <c r="E1253" s="24" t="n">
        <v>444.53</v>
      </c>
      <c r="F1253" s="24" t="n">
        <v>548.7</v>
      </c>
    </row>
    <row r="1254">
      <c r="A1254" s="22" t="n">
        <v>46370</v>
      </c>
      <c r="B1254" s="23" t="inlineStr">
        <is>
          <t>Produce</t>
        </is>
      </c>
      <c r="C1254" s="23" t="inlineStr">
        <is>
          <t>Forecast</t>
        </is>
      </c>
      <c r="D1254" s="24" t="n">
        <v>618.83</v>
      </c>
      <c r="E1254" s="24" t="n">
        <v>553.9299999999999</v>
      </c>
      <c r="F1254" s="24" t="n">
        <v>683.73</v>
      </c>
    </row>
    <row r="1255">
      <c r="A1255" s="22" t="n">
        <v>46370</v>
      </c>
      <c r="B1255" s="23" t="inlineStr">
        <is>
          <t>Snacks &amp; Confectionery</t>
        </is>
      </c>
      <c r="C1255" s="23" t="inlineStr">
        <is>
          <t>Forecast</t>
        </is>
      </c>
      <c r="D1255" s="24" t="n">
        <v>1919.31</v>
      </c>
      <c r="E1255" s="24" t="n">
        <v>1718.02</v>
      </c>
      <c r="F1255" s="24" t="n">
        <v>2120.61</v>
      </c>
    </row>
    <row r="1256">
      <c r="A1256" s="22" t="n">
        <v>46377</v>
      </c>
      <c r="B1256" s="23" t="inlineStr">
        <is>
          <t>Bakery</t>
        </is>
      </c>
      <c r="C1256" s="23" t="inlineStr">
        <is>
          <t>Forecast</t>
        </is>
      </c>
      <c r="D1256" s="24" t="n">
        <v>1174.56</v>
      </c>
      <c r="E1256" s="24" t="n">
        <v>1051.37</v>
      </c>
      <c r="F1256" s="24" t="n">
        <v>1297.75</v>
      </c>
    </row>
    <row r="1257">
      <c r="A1257" s="22" t="n">
        <v>46377</v>
      </c>
      <c r="B1257" s="23" t="inlineStr">
        <is>
          <t>Beer &amp; Wine</t>
        </is>
      </c>
      <c r="C1257" s="23" t="inlineStr">
        <is>
          <t>Forecast</t>
        </is>
      </c>
      <c r="D1257" s="24" t="n">
        <v>2597.9</v>
      </c>
      <c r="E1257" s="24" t="n">
        <v>2325.43</v>
      </c>
      <c r="F1257" s="24" t="n">
        <v>2870.36</v>
      </c>
    </row>
    <row r="1258">
      <c r="A1258" s="22" t="n">
        <v>46377</v>
      </c>
      <c r="B1258" s="23" t="inlineStr">
        <is>
          <t>Beverages</t>
        </is>
      </c>
      <c r="C1258" s="23" t="inlineStr">
        <is>
          <t>Forecast</t>
        </is>
      </c>
      <c r="D1258" s="24" t="n">
        <v>3939.21</v>
      </c>
      <c r="E1258" s="24" t="n">
        <v>3526.07</v>
      </c>
      <c r="F1258" s="24" t="n">
        <v>4352.35</v>
      </c>
    </row>
    <row r="1259">
      <c r="A1259" s="22" t="n">
        <v>46377</v>
      </c>
      <c r="B1259" s="23" t="inlineStr">
        <is>
          <t>Dairy</t>
        </is>
      </c>
      <c r="C1259" s="23" t="inlineStr">
        <is>
          <t>Forecast</t>
        </is>
      </c>
      <c r="D1259" s="24" t="n">
        <v>3079.59</v>
      </c>
      <c r="E1259" s="24" t="n">
        <v>2756.61</v>
      </c>
      <c r="F1259" s="24" t="n">
        <v>3402.58</v>
      </c>
    </row>
    <row r="1260">
      <c r="A1260" s="22" t="n">
        <v>46377</v>
      </c>
      <c r="B1260" s="23" t="inlineStr">
        <is>
          <t>Food To Go</t>
        </is>
      </c>
      <c r="C1260" s="23" t="inlineStr">
        <is>
          <t>Forecast</t>
        </is>
      </c>
      <c r="D1260" s="24" t="n">
        <v>3705.48</v>
      </c>
      <c r="E1260" s="24" t="n">
        <v>3316.85</v>
      </c>
      <c r="F1260" s="24" t="n">
        <v>4094.1</v>
      </c>
    </row>
    <row r="1261">
      <c r="A1261" s="22" t="n">
        <v>46377</v>
      </c>
      <c r="B1261" s="23" t="inlineStr">
        <is>
          <t>Frozen</t>
        </is>
      </c>
      <c r="C1261" s="23" t="inlineStr">
        <is>
          <t>Forecast</t>
        </is>
      </c>
      <c r="D1261" s="24" t="n">
        <v>1416.25</v>
      </c>
      <c r="E1261" s="24" t="n">
        <v>1267.72</v>
      </c>
      <c r="F1261" s="24" t="n">
        <v>1564.79</v>
      </c>
    </row>
    <row r="1262">
      <c r="A1262" s="22" t="n">
        <v>46377</v>
      </c>
      <c r="B1262" s="23" t="inlineStr">
        <is>
          <t>Grocery</t>
        </is>
      </c>
      <c r="C1262" s="23" t="inlineStr">
        <is>
          <t>Forecast</t>
        </is>
      </c>
      <c r="D1262" s="24" t="n">
        <v>1797.62</v>
      </c>
      <c r="E1262" s="24" t="n">
        <v>1609.09</v>
      </c>
      <c r="F1262" s="24" t="n">
        <v>1986.15</v>
      </c>
    </row>
    <row r="1263">
      <c r="A1263" s="22" t="n">
        <v>46377</v>
      </c>
      <c r="B1263" s="23" t="inlineStr">
        <is>
          <t>Health &amp; Beauty</t>
        </is>
      </c>
      <c r="C1263" s="23" t="inlineStr">
        <is>
          <t>Forecast</t>
        </is>
      </c>
      <c r="D1263" s="24" t="n">
        <v>299.1</v>
      </c>
      <c r="E1263" s="24" t="n">
        <v>267.73</v>
      </c>
      <c r="F1263" s="24" t="n">
        <v>330.47</v>
      </c>
    </row>
    <row r="1264">
      <c r="A1264" s="22" t="n">
        <v>46377</v>
      </c>
      <c r="B1264" s="23" t="inlineStr">
        <is>
          <t>Household</t>
        </is>
      </c>
      <c r="C1264" s="23" t="inlineStr">
        <is>
          <t>Forecast</t>
        </is>
      </c>
      <c r="D1264" s="24" t="n">
        <v>532.51</v>
      </c>
      <c r="E1264" s="24" t="n">
        <v>476.66</v>
      </c>
      <c r="F1264" s="24" t="n">
        <v>588.36</v>
      </c>
    </row>
    <row r="1265">
      <c r="A1265" s="22" t="n">
        <v>46377</v>
      </c>
      <c r="B1265" s="23" t="inlineStr">
        <is>
          <t>Produce</t>
        </is>
      </c>
      <c r="C1265" s="23" t="inlineStr">
        <is>
          <t>Forecast</t>
        </is>
      </c>
      <c r="D1265" s="24" t="n">
        <v>542.86</v>
      </c>
      <c r="E1265" s="24" t="n">
        <v>485.93</v>
      </c>
      <c r="F1265" s="24" t="n">
        <v>599.79</v>
      </c>
    </row>
    <row r="1266">
      <c r="A1266" s="22" t="n">
        <v>46377</v>
      </c>
      <c r="B1266" s="23" t="inlineStr">
        <is>
          <t>Snacks &amp; Confectionery</t>
        </is>
      </c>
      <c r="C1266" s="23" t="inlineStr">
        <is>
          <t>Forecast</t>
        </is>
      </c>
      <c r="D1266" s="24" t="n">
        <v>1848.61</v>
      </c>
      <c r="E1266" s="24" t="n">
        <v>1654.73</v>
      </c>
      <c r="F1266" s="24" t="n">
        <v>2042.49</v>
      </c>
    </row>
    <row r="1267">
      <c r="A1267" s="22" t="n">
        <v>46384</v>
      </c>
      <c r="B1267" s="23" t="inlineStr">
        <is>
          <t>Bakery</t>
        </is>
      </c>
      <c r="C1267" s="23" t="inlineStr">
        <is>
          <t>Forecast</t>
        </is>
      </c>
      <c r="D1267" s="24" t="n">
        <v>998.67</v>
      </c>
      <c r="E1267" s="24" t="n">
        <v>893.9299999999999</v>
      </c>
      <c r="F1267" s="24" t="n">
        <v>1103.41</v>
      </c>
    </row>
    <row r="1268">
      <c r="A1268" s="22" t="n">
        <v>46384</v>
      </c>
      <c r="B1268" s="23" t="inlineStr">
        <is>
          <t>Beer &amp; Wine</t>
        </is>
      </c>
      <c r="C1268" s="23" t="inlineStr">
        <is>
          <t>Forecast</t>
        </is>
      </c>
      <c r="D1268" s="24" t="n">
        <v>2642.79</v>
      </c>
      <c r="E1268" s="24" t="n">
        <v>2365.62</v>
      </c>
      <c r="F1268" s="24" t="n">
        <v>2919.96</v>
      </c>
    </row>
    <row r="1269">
      <c r="A1269" s="22" t="n">
        <v>46384</v>
      </c>
      <c r="B1269" s="23" t="inlineStr">
        <is>
          <t>Beverages</t>
        </is>
      </c>
      <c r="C1269" s="23" t="inlineStr">
        <is>
          <t>Forecast</t>
        </is>
      </c>
      <c r="D1269" s="24" t="n">
        <v>3653.29</v>
      </c>
      <c r="E1269" s="24" t="n">
        <v>3270.13</v>
      </c>
      <c r="F1269" s="24" t="n">
        <v>4036.44</v>
      </c>
    </row>
    <row r="1270">
      <c r="A1270" s="22" t="n">
        <v>46384</v>
      </c>
      <c r="B1270" s="23" t="inlineStr">
        <is>
          <t>Dairy</t>
        </is>
      </c>
      <c r="C1270" s="23" t="inlineStr">
        <is>
          <t>Forecast</t>
        </is>
      </c>
      <c r="D1270" s="24" t="n">
        <v>2936</v>
      </c>
      <c r="E1270" s="24" t="n">
        <v>2628.07</v>
      </c>
      <c r="F1270" s="24" t="n">
        <v>3243.92</v>
      </c>
    </row>
    <row r="1271">
      <c r="A1271" s="22" t="n">
        <v>46384</v>
      </c>
      <c r="B1271" s="23" t="inlineStr">
        <is>
          <t>Food To Go</t>
        </is>
      </c>
      <c r="C1271" s="23" t="inlineStr">
        <is>
          <t>Forecast</t>
        </is>
      </c>
      <c r="D1271" s="24" t="n">
        <v>3539.67</v>
      </c>
      <c r="E1271" s="24" t="n">
        <v>3168.43</v>
      </c>
      <c r="F1271" s="24" t="n">
        <v>3910.9</v>
      </c>
    </row>
    <row r="1272">
      <c r="A1272" s="22" t="n">
        <v>46384</v>
      </c>
      <c r="B1272" s="23" t="inlineStr">
        <is>
          <t>Frozen</t>
        </is>
      </c>
      <c r="C1272" s="23" t="inlineStr">
        <is>
          <t>Forecast</t>
        </is>
      </c>
      <c r="D1272" s="24" t="n">
        <v>1303.35</v>
      </c>
      <c r="E1272" s="24" t="n">
        <v>1166.65</v>
      </c>
      <c r="F1272" s="24" t="n">
        <v>1440.04</v>
      </c>
    </row>
    <row r="1273">
      <c r="A1273" s="22" t="n">
        <v>46384</v>
      </c>
      <c r="B1273" s="23" t="inlineStr">
        <is>
          <t>Grocery</t>
        </is>
      </c>
      <c r="C1273" s="23" t="inlineStr">
        <is>
          <t>Forecast</t>
        </is>
      </c>
      <c r="D1273" s="24" t="n">
        <v>1635.6</v>
      </c>
      <c r="E1273" s="24" t="n">
        <v>1464.06</v>
      </c>
      <c r="F1273" s="24" t="n">
        <v>1807.14</v>
      </c>
    </row>
    <row r="1274">
      <c r="A1274" s="22" t="n">
        <v>46384</v>
      </c>
      <c r="B1274" s="23" t="inlineStr">
        <is>
          <t>Health &amp; Beauty</t>
        </is>
      </c>
      <c r="C1274" s="23" t="inlineStr">
        <is>
          <t>Forecast</t>
        </is>
      </c>
      <c r="D1274" s="24" t="n">
        <v>269.76</v>
      </c>
      <c r="E1274" s="24" t="n">
        <v>241.47</v>
      </c>
      <c r="F1274" s="24" t="n">
        <v>298.05</v>
      </c>
    </row>
    <row r="1275">
      <c r="A1275" s="22" t="n">
        <v>46384</v>
      </c>
      <c r="B1275" s="23" t="inlineStr">
        <is>
          <t>Household</t>
        </is>
      </c>
      <c r="C1275" s="23" t="inlineStr">
        <is>
          <t>Forecast</t>
        </is>
      </c>
      <c r="D1275" s="24" t="n">
        <v>542.7</v>
      </c>
      <c r="E1275" s="24" t="n">
        <v>485.78</v>
      </c>
      <c r="F1275" s="24" t="n">
        <v>599.62</v>
      </c>
    </row>
    <row r="1276">
      <c r="A1276" s="22" t="n">
        <v>46384</v>
      </c>
      <c r="B1276" s="23" t="inlineStr">
        <is>
          <t>Produce</t>
        </is>
      </c>
      <c r="C1276" s="23" t="inlineStr">
        <is>
          <t>Forecast</t>
        </is>
      </c>
      <c r="D1276" s="24" t="n">
        <v>562.09</v>
      </c>
      <c r="E1276" s="24" t="n">
        <v>503.13</v>
      </c>
      <c r="F1276" s="24" t="n">
        <v>621.04</v>
      </c>
    </row>
    <row r="1277">
      <c r="A1277" s="22" t="n">
        <v>46384</v>
      </c>
      <c r="B1277" s="23" t="inlineStr">
        <is>
          <t>Snacks &amp; Confectionery</t>
        </is>
      </c>
      <c r="C1277" s="23" t="inlineStr">
        <is>
          <t>Forecast</t>
        </is>
      </c>
      <c r="D1277" s="24" t="n">
        <v>1944.33</v>
      </c>
      <c r="E1277" s="24" t="n">
        <v>1740.41</v>
      </c>
      <c r="F1277" s="24" t="n">
        <v>2148.25</v>
      </c>
    </row>
    <row r="1278">
      <c r="A1278" s="22" t="n">
        <v>46391</v>
      </c>
      <c r="B1278" s="23" t="inlineStr">
        <is>
          <t>Bakery</t>
        </is>
      </c>
      <c r="C1278" s="23" t="inlineStr">
        <is>
          <t>Forecast</t>
        </is>
      </c>
      <c r="D1278" s="24" t="n">
        <v>1052.19</v>
      </c>
      <c r="E1278" s="24" t="n">
        <v>941.84</v>
      </c>
      <c r="F1278" s="24" t="n">
        <v>1162.55</v>
      </c>
    </row>
    <row r="1279">
      <c r="A1279" s="22" t="n">
        <v>46391</v>
      </c>
      <c r="B1279" s="23" t="inlineStr">
        <is>
          <t>Beer &amp; Wine</t>
        </is>
      </c>
      <c r="C1279" s="23" t="inlineStr">
        <is>
          <t>Forecast</t>
        </is>
      </c>
      <c r="D1279" s="24" t="n">
        <v>2814.66</v>
      </c>
      <c r="E1279" s="24" t="n">
        <v>2519.46</v>
      </c>
      <c r="F1279" s="24" t="n">
        <v>3109.86</v>
      </c>
    </row>
    <row r="1280">
      <c r="A1280" s="22" t="n">
        <v>46391</v>
      </c>
      <c r="B1280" s="23" t="inlineStr">
        <is>
          <t>Beverages</t>
        </is>
      </c>
      <c r="C1280" s="23" t="inlineStr">
        <is>
          <t>Forecast</t>
        </is>
      </c>
      <c r="D1280" s="24" t="n">
        <v>3349.38</v>
      </c>
      <c r="E1280" s="24" t="n">
        <v>2998.1</v>
      </c>
      <c r="F1280" s="24" t="n">
        <v>3700.66</v>
      </c>
    </row>
    <row r="1281">
      <c r="A1281" s="22" t="n">
        <v>46391</v>
      </c>
      <c r="B1281" s="23" t="inlineStr">
        <is>
          <t>Dairy</t>
        </is>
      </c>
      <c r="C1281" s="23" t="inlineStr">
        <is>
          <t>Forecast</t>
        </is>
      </c>
      <c r="D1281" s="24" t="n">
        <v>2574.34</v>
      </c>
      <c r="E1281" s="24" t="n">
        <v>2304.35</v>
      </c>
      <c r="F1281" s="24" t="n">
        <v>2844.34</v>
      </c>
    </row>
    <row r="1282">
      <c r="A1282" s="22" t="n">
        <v>46391</v>
      </c>
      <c r="B1282" s="23" t="inlineStr">
        <is>
          <t>Food To Go</t>
        </is>
      </c>
      <c r="C1282" s="23" t="inlineStr">
        <is>
          <t>Forecast</t>
        </is>
      </c>
      <c r="D1282" s="24" t="n">
        <v>3396.52</v>
      </c>
      <c r="E1282" s="24" t="n">
        <v>3040.3</v>
      </c>
      <c r="F1282" s="24" t="n">
        <v>3752.75</v>
      </c>
    </row>
    <row r="1283">
      <c r="A1283" s="22" t="n">
        <v>46391</v>
      </c>
      <c r="B1283" s="23" t="inlineStr">
        <is>
          <t>Frozen</t>
        </is>
      </c>
      <c r="C1283" s="23" t="inlineStr">
        <is>
          <t>Forecast</t>
        </is>
      </c>
      <c r="D1283" s="24" t="n">
        <v>1295.84</v>
      </c>
      <c r="E1283" s="24" t="n">
        <v>1159.94</v>
      </c>
      <c r="F1283" s="24" t="n">
        <v>1431.75</v>
      </c>
    </row>
    <row r="1284">
      <c r="A1284" s="22" t="n">
        <v>46391</v>
      </c>
      <c r="B1284" s="23" t="inlineStr">
        <is>
          <t>Grocery</t>
        </is>
      </c>
      <c r="C1284" s="23" t="inlineStr">
        <is>
          <t>Forecast</t>
        </is>
      </c>
      <c r="D1284" s="24" t="n">
        <v>1406.14</v>
      </c>
      <c r="E1284" s="24" t="n">
        <v>1258.66</v>
      </c>
      <c r="F1284" s="24" t="n">
        <v>1553.61</v>
      </c>
    </row>
    <row r="1285">
      <c r="A1285" s="22" t="n">
        <v>46391</v>
      </c>
      <c r="B1285" s="23" t="inlineStr">
        <is>
          <t>Health &amp; Beauty</t>
        </is>
      </c>
      <c r="C1285" s="23" t="inlineStr">
        <is>
          <t>Forecast</t>
        </is>
      </c>
      <c r="D1285" s="24" t="n">
        <v>423.26</v>
      </c>
      <c r="E1285" s="24" t="n">
        <v>378.87</v>
      </c>
      <c r="F1285" s="24" t="n">
        <v>467.65</v>
      </c>
    </row>
    <row r="1286">
      <c r="A1286" s="22" t="n">
        <v>46391</v>
      </c>
      <c r="B1286" s="23" t="inlineStr">
        <is>
          <t>Household</t>
        </is>
      </c>
      <c r="C1286" s="23" t="inlineStr">
        <is>
          <t>Forecast</t>
        </is>
      </c>
      <c r="D1286" s="24" t="n">
        <v>437.22</v>
      </c>
      <c r="E1286" s="24" t="n">
        <v>391.36</v>
      </c>
      <c r="F1286" s="24" t="n">
        <v>483.07</v>
      </c>
    </row>
    <row r="1287">
      <c r="A1287" s="22" t="n">
        <v>46391</v>
      </c>
      <c r="B1287" s="23" t="inlineStr">
        <is>
          <t>Produce</t>
        </is>
      </c>
      <c r="C1287" s="23" t="inlineStr">
        <is>
          <t>Forecast</t>
        </is>
      </c>
      <c r="D1287" s="24" t="n">
        <v>484.83</v>
      </c>
      <c r="E1287" s="24" t="n">
        <v>433.98</v>
      </c>
      <c r="F1287" s="24" t="n">
        <v>535.6799999999999</v>
      </c>
    </row>
    <row r="1288">
      <c r="A1288" s="22" t="n">
        <v>46391</v>
      </c>
      <c r="B1288" s="23" t="inlineStr">
        <is>
          <t>Snacks &amp; Confectionery</t>
        </is>
      </c>
      <c r="C1288" s="23" t="inlineStr">
        <is>
          <t>Forecast</t>
        </is>
      </c>
      <c r="D1288" s="24" t="n">
        <v>1702.19</v>
      </c>
      <c r="E1288" s="24" t="n">
        <v>1523.67</v>
      </c>
      <c r="F1288" s="24" t="n">
        <v>1880.72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13" customWidth="1" min="4" max="4"/>
    <col width="14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B5" s="12" t="inlineStr">
        <is>
          <t>targets</t>
        </is>
      </c>
      <c r="M5" s="12" t="inlineStr">
        <is>
          <t>Category list</t>
        </is>
      </c>
    </row>
    <row r="6" ht="28" customHeight="1">
      <c r="B6" s="13" t="inlineStr">
        <is>
          <t>category</t>
        </is>
      </c>
      <c r="C6" s="13" t="inlineStr">
        <is>
          <t>gm_target_pct</t>
        </is>
      </c>
      <c r="D6" s="13" t="inlineStr">
        <is>
          <t>owner</t>
        </is>
      </c>
      <c r="E6" s="13" t="inlineStr">
        <is>
          <t>short_life</t>
        </is>
      </c>
      <c r="M6" s="23" t="inlineStr">
        <is>
          <t>All</t>
        </is>
      </c>
    </row>
    <row r="7">
      <c r="B7" s="25" t="inlineStr">
        <is>
          <t>Bakery</t>
        </is>
      </c>
      <c r="C7" s="16" t="n">
        <v>0.382</v>
      </c>
      <c r="D7" s="25" t="inlineStr">
        <is>
          <t>Store Manager</t>
        </is>
      </c>
      <c r="E7" s="25" t="inlineStr">
        <is>
          <t>Yes</t>
        </is>
      </c>
      <c r="M7" s="23" t="inlineStr">
        <is>
          <t>Bakery</t>
        </is>
      </c>
    </row>
    <row r="8">
      <c r="B8" s="25" t="inlineStr">
        <is>
          <t>Beer &amp; Wine</t>
        </is>
      </c>
      <c r="C8" s="16" t="n">
        <v>0.338</v>
      </c>
      <c r="D8" s="25" t="inlineStr">
        <is>
          <t>Licence Manager</t>
        </is>
      </c>
      <c r="E8" s="25" t="inlineStr">
        <is>
          <t>No</t>
        </is>
      </c>
      <c r="M8" s="23" t="inlineStr">
        <is>
          <t>Beer &amp; Wine</t>
        </is>
      </c>
    </row>
    <row r="9">
      <c r="B9" s="25" t="inlineStr">
        <is>
          <t>Beverages</t>
        </is>
      </c>
      <c r="C9" s="16" t="n">
        <v>0.51</v>
      </c>
      <c r="D9" s="25" t="inlineStr">
        <is>
          <t>Duty Manager</t>
        </is>
      </c>
      <c r="E9" s="25" t="inlineStr">
        <is>
          <t>No</t>
        </is>
      </c>
      <c r="M9" s="23" t="inlineStr">
        <is>
          <t>Beverages</t>
        </is>
      </c>
    </row>
    <row r="10">
      <c r="B10" s="25" t="inlineStr">
        <is>
          <t>Dairy</t>
        </is>
      </c>
      <c r="C10" s="16" t="n">
        <v>0.278</v>
      </c>
      <c r="D10" s="25" t="inlineStr">
        <is>
          <t>Duty Manager</t>
        </is>
      </c>
      <c r="E10" s="25" t="inlineStr">
        <is>
          <t>Yes</t>
        </is>
      </c>
      <c r="M10" s="23" t="inlineStr">
        <is>
          <t>Dairy</t>
        </is>
      </c>
    </row>
    <row r="11">
      <c r="B11" s="25" t="inlineStr">
        <is>
          <t>Food To Go</t>
        </is>
      </c>
      <c r="C11" s="16" t="n">
        <v>0.478</v>
      </c>
      <c r="D11" s="25" t="inlineStr">
        <is>
          <t>Store Manager</t>
        </is>
      </c>
      <c r="E11" s="25" t="inlineStr">
        <is>
          <t>Yes</t>
        </is>
      </c>
      <c r="M11" s="23" t="inlineStr">
        <is>
          <t>Food To Go</t>
        </is>
      </c>
    </row>
    <row r="12">
      <c r="B12" s="25" t="inlineStr">
        <is>
          <t>Frozen</t>
        </is>
      </c>
      <c r="C12" s="16" t="n">
        <v>0.436</v>
      </c>
      <c r="D12" s="25" t="inlineStr">
        <is>
          <t>Duty Manager</t>
        </is>
      </c>
      <c r="E12" s="25" t="inlineStr">
        <is>
          <t>No</t>
        </is>
      </c>
      <c r="M12" s="23" t="inlineStr">
        <is>
          <t>Frozen</t>
        </is>
      </c>
    </row>
    <row r="13">
      <c r="B13" s="25" t="inlineStr">
        <is>
          <t>Grocery</t>
        </is>
      </c>
      <c r="C13" s="16" t="n">
        <v>0.348</v>
      </c>
      <c r="D13" s="25" t="inlineStr">
        <is>
          <t>Duty Manager</t>
        </is>
      </c>
      <c r="E13" s="25" t="inlineStr">
        <is>
          <t>No</t>
        </is>
      </c>
      <c r="M13" s="23" t="inlineStr">
        <is>
          <t>Grocery</t>
        </is>
      </c>
    </row>
    <row r="14">
      <c r="B14" s="25" t="inlineStr">
        <is>
          <t>Health &amp; Beauty</t>
        </is>
      </c>
      <c r="C14" s="16" t="n">
        <v>0.501</v>
      </c>
      <c r="D14" s="25" t="inlineStr">
        <is>
          <t>Store Manager</t>
        </is>
      </c>
      <c r="E14" s="25" t="inlineStr">
        <is>
          <t>No</t>
        </is>
      </c>
      <c r="M14" s="23" t="inlineStr">
        <is>
          <t>Health &amp; Beauty</t>
        </is>
      </c>
    </row>
    <row r="15">
      <c r="B15" s="25" t="inlineStr">
        <is>
          <t>Household</t>
        </is>
      </c>
      <c r="C15" s="16" t="n">
        <v>0.412</v>
      </c>
      <c r="D15" s="25" t="inlineStr">
        <is>
          <t>Duty Manager</t>
        </is>
      </c>
      <c r="E15" s="25" t="inlineStr">
        <is>
          <t>No</t>
        </is>
      </c>
      <c r="M15" s="23" t="inlineStr">
        <is>
          <t>Household</t>
        </is>
      </c>
    </row>
    <row r="16">
      <c r="B16" s="25" t="inlineStr">
        <is>
          <t>Produce</t>
        </is>
      </c>
      <c r="C16" s="16" t="n">
        <v>0.431</v>
      </c>
      <c r="D16" s="25" t="inlineStr">
        <is>
          <t>Duty Manager</t>
        </is>
      </c>
      <c r="E16" s="25" t="inlineStr">
        <is>
          <t>Yes</t>
        </is>
      </c>
      <c r="M16" s="23" t="inlineStr">
        <is>
          <t>Produce</t>
        </is>
      </c>
    </row>
    <row r="17">
      <c r="B17" s="25" t="inlineStr">
        <is>
          <t>Snacks &amp; Confectionery</t>
        </is>
      </c>
      <c r="C17" s="16" t="n">
        <v>0.443</v>
      </c>
      <c r="D17" s="25" t="inlineStr">
        <is>
          <t>Duty Manager</t>
        </is>
      </c>
      <c r="E17" s="25" t="inlineStr">
        <is>
          <t>No</t>
        </is>
      </c>
      <c r="M17" s="23" t="inlineStr">
        <is>
          <t>Snacks &amp; Confectionery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3" t="inlineStr">
        <is>
          <t>Input</t>
        </is>
      </c>
      <c r="C5" s="13" t="inlineStr">
        <is>
          <t>Value</t>
        </is>
      </c>
      <c r="D5" s="13" t="inlineStr">
        <is>
          <t>Why / source</t>
        </is>
      </c>
    </row>
    <row r="6">
      <c r="B6" s="25" t="inlineStr">
        <is>
          <t>Promo / event uplift on forecast</t>
        </is>
      </c>
      <c r="C6" s="26" t="n">
        <v>0</v>
      </c>
      <c r="D6" s="27" t="inlineStr">
        <is>
          <t>Add a planned uplift, e.g. 3% for a promotion season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2" t="inlineStr">
        <is>
          <t>About this workbook</t>
        </is>
      </c>
    </row>
    <row r="6">
      <c r="C6" s="28" t="inlineStr">
        <is>
          <t>Store: Demo Neighbourhood Store (Eden Terrace format).  Data to 11 Oct 2026.  Shelly v1.19.0.</t>
        </is>
      </c>
    </row>
    <row r="7">
      <c r="C7" s="28" t="inlineStr">
        <is>
          <t>Synthetic demo data.</t>
        </is>
      </c>
    </row>
    <row r="8">
      <c r="C8" s="28" t="inlineStr">
        <is>
          <t>Change the blue Category cell on the Dashboard, or any blue input on Assumptions: every formula follows.</t>
        </is>
      </c>
    </row>
    <row r="10">
      <c r="B10" s="12" t="inlineStr">
        <is>
          <t>Method</t>
        </is>
      </c>
    </row>
    <row r="11">
      <c r="C11" s="28" t="inlineStr">
        <is>
          <t>Weeks 4-13: last year's same week × recent 12-week trend (capped ±15%).</t>
        </is>
      </c>
    </row>
    <row r="12">
      <c r="C12" s="28" t="inlineStr">
        <is>
          <t>Weeks 1-3 blend in the daily models' 7-day forecast (weights 1, 0.5, 0.25).</t>
        </is>
      </c>
    </row>
    <row r="13">
      <c r="C13" s="28" t="inlineStr">
        <is>
          <t>80% range from 13 weekly backtests: ±10.5%.</t>
        </is>
      </c>
    </row>
    <row r="15">
      <c r="B15" s="12" t="inlineStr">
        <is>
          <t>Data dictionary (Raw sheet)</t>
        </is>
      </c>
    </row>
    <row r="16">
      <c r="B16" s="25" t="inlineStr">
        <is>
          <t>Week start</t>
        </is>
      </c>
      <c r="C16" s="25" t="inlineStr">
        <is>
          <t>First day of the 7-day week</t>
        </is>
      </c>
    </row>
    <row r="17">
      <c r="B17" s="25" t="inlineStr">
        <is>
          <t>Type</t>
        </is>
      </c>
      <c r="C17" s="25" t="inlineStr">
        <is>
          <t>Actual or Forecast</t>
        </is>
      </c>
    </row>
    <row r="18">
      <c r="B18" s="25" t="inlineStr">
        <is>
          <t>Sales</t>
        </is>
      </c>
      <c r="C18" s="25" t="inlineStr">
        <is>
          <t>Net sales ($)</t>
        </is>
      </c>
    </row>
    <row r="19">
      <c r="B19" s="25" t="inlineStr">
        <is>
          <t>Low/High</t>
        </is>
      </c>
      <c r="C19" s="25" t="inlineStr">
        <is>
          <t>80% range</t>
        </is>
      </c>
    </row>
    <row r="21">
      <c r="B21" s="12" t="inlineStr">
        <is>
          <t>Sign-off</t>
        </is>
      </c>
    </row>
    <row r="22">
      <c r="B22" s="23" t="inlineStr">
        <is>
          <t>Forecast reviewed for ordering and rostering</t>
        </is>
      </c>
      <c r="C22" s="7" t="inlineStr">
        <is>
          <t>Name: ____________   Date: ________   ☐ Approved  ☐ Changes needed</t>
        </is>
      </c>
    </row>
    <row r="24">
      <c r="B24" s="7" t="inlineStr">
        <is>
          <t>Generated by Shelly on 11 Oct 2026 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2026-10-11T21:20:49Z</dcterms:created>
  <dcterms:modified xsi:type="dcterms:W3CDTF">2026-10-11T21:20:49Z</dcterms:modified>
</cp:coreProperties>
</file>