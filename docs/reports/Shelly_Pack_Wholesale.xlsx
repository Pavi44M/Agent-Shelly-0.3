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Actions" sheetId="7" state="visible" r:id="rId7"/>
    <sheet name="Customer profitability 90 days" sheetId="8" state="visible" r:id="rId8"/>
    <sheet name="Receivables ageing" sheetId="9" state="visible" r:id="rId9"/>
    <sheet name="Fill rate &amp; OTIF" sheetId="10" state="visible" r:id="rId10"/>
    <sheet name="Notes" sheetId="11" state="visible" r:id="rId11"/>
  </sheets>
  <definedNames>
    <definedName name="SelCat">Dashboard!$B$6</definedName>
    <definedName name="CatCrit">IF(Dashboard!$B$6="All","*",Dashboard!$B$6)</definedName>
    <definedName name="_xlnm._FilterDatabase" localSheetId="6" hidden="1">'Actions'!$B$5:$G$13</definedName>
    <definedName name="_xlnm._FilterDatabase" localSheetId="7" hidden="1">'Customer profitability 90 days'!$B$5:$G$45</definedName>
    <definedName name="_xlnm._FilterDatabase" localSheetId="8" hidden="1">'Receivables ageing'!$B$5:$G$43</definedName>
    <definedName name="_xlnm._FilterDatabase" localSheetId="9" hidden="1">'Fill rate &amp; OTIF'!$B$5:$D$6</definedName>
  </definedNames>
  <calcPr calcId="124519" fullCalcOnLoad="1"/>
  <pivotCaches>
    <pivotCache cacheId="1" r:id="rId12"/>
  </pivotCaches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 mmm yyyy"/>
    <numFmt numFmtId="166" formatCode="$#,##0.00;($#,##0.00);&quot;-&quot;"/>
    <numFmt numFmtId="167" formatCode="$#,##0;($#,##0);&quot;-&quot;"/>
    <numFmt numFmtId="168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i val="1"/>
      <color rgb="006B7686"/>
      <sz val="9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bottom style="thin">
        <color rgb="00D9DEE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167" fontId="12" fillId="6" borderId="0" applyAlignment="1" pivotButton="0" quotePrefix="0" xfId="0">
      <alignment horizontal="left"/>
    </xf>
    <xf numFmtId="168" fontId="12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2" pivotButton="0" quotePrefix="0" xfId="0"/>
    <xf numFmtId="167" fontId="2" fillId="0" borderId="2" pivotButton="0" quotePrefix="0" xfId="0"/>
    <xf numFmtId="168" fontId="2" fillId="0" borderId="2" pivotButton="0" quotePrefix="0" xfId="0"/>
    <xf numFmtId="0" fontId="11" fillId="5" borderId="0" pivotButton="0" quotePrefix="0" xfId="0"/>
    <xf numFmtId="167" fontId="11" fillId="5" borderId="0" pivotButton="0" quotePrefix="0" xfId="0"/>
    <xf numFmtId="168" fontId="11" fillId="5" borderId="0" pivotButton="0" quotePrefix="0" xfId="0"/>
    <xf numFmtId="165" fontId="2" fillId="0" borderId="2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2" applyAlignment="1" pivotButton="0" quotePrefix="0" xfId="0">
      <alignment vertical="top" wrapText="1"/>
    </xf>
    <xf numFmtId="167" fontId="2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pivotCacheDefinition" Target="/xl/pivotCache/pivotCacheDefinition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margin by customer</a:t>
            </a:r>
          </a:p>
        </rich>
      </tx>
    </title>
    <plotArea>
      <barChart>
        <barDir val="col"/>
        <grouping val="clustered"/>
        <ser>
          <idx val="0"/>
          <order val="0"/>
          <tx>
            <v>Gross margin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'Model'!$B$8:$B$47</f>
            </numRef>
          </cat>
          <val>
            <numRef>
              <f>'Model'!$D$8:$D$47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'Model'!$B$54:$B$67</f>
            </numRef>
          </cat>
          <val>
            <numRef>
              <f>'Model'!$C$54:$C$67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981" r:id="rId1">
  <cacheSource type="worksheet">
    <worksheetSource ref="A1:G982" sheet="Raw"/>
  </cacheSource>
  <cacheFields count="7">
    <cacheField name="Date" uniqueList="1" numFmtId="0" sqlType="0" hierarchy="0" level="0" databaseField="1">
      <sharedItems count="90"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14">
        <s v="2026-06-22"/>
        <s v="2026-06-29"/>
        <s v="2026-07-06"/>
        <s v="2026-07-13"/>
        <s v="2026-07-20"/>
        <s v="2026-07-27"/>
        <s v="2026-08-03"/>
        <s v="2026-08-10"/>
        <s v="2026-08-17"/>
        <s v="2026-08-24"/>
        <s v="2026-08-31"/>
        <s v="2026-09-07"/>
        <s v="2026-09-14"/>
        <s v="2026-09-21"/>
      </sharedItems>
    </cacheField>
    <cacheField name="Order" uniqueList="1" numFmtId="0" sqlType="0" hierarchy="0" level="0" databaseField="1">
      <sharedItems count="981">
        <s v="C001-0"/>
        <s v="C001-1"/>
        <s v="C001-10"/>
        <s v="C001-11"/>
        <s v="C001-12"/>
        <s v="C001-13"/>
        <s v="C001-14"/>
        <s v="C001-15"/>
        <s v="C001-16"/>
        <s v="C001-17"/>
        <s v="C001-18"/>
        <s v="C001-19"/>
        <s v="C001-2"/>
        <s v="C001-20"/>
        <s v="C001-21"/>
        <s v="C001-22"/>
        <s v="C001-23"/>
        <s v="C001-24"/>
        <s v="C001-25"/>
        <s v="C001-26"/>
        <s v="C001-27"/>
        <s v="C001-28"/>
        <s v="C001-29"/>
        <s v="C001-3"/>
        <s v="C001-30"/>
        <s v="C001-31"/>
        <s v="C001-32"/>
        <s v="C001-33"/>
        <s v="C001-34"/>
        <s v="C001-35"/>
        <s v="C001-36"/>
        <s v="C001-37"/>
        <s v="C001-38"/>
        <s v="C001-39"/>
        <s v="C001-4"/>
        <s v="C001-40"/>
        <s v="C001-41"/>
        <s v="C001-42"/>
        <s v="C001-43"/>
        <s v="C001-44"/>
        <s v="C001-45"/>
        <s v="C001-46"/>
        <s v="C001-47"/>
        <s v="C001-48"/>
        <s v="C001-49"/>
        <s v="C001-5"/>
        <s v="C001-6"/>
        <s v="C001-7"/>
        <s v="C001-8"/>
        <s v="C001-9"/>
        <s v="C002-0"/>
        <s v="C002-1"/>
        <s v="C002-10"/>
        <s v="C002-11"/>
        <s v="C002-12"/>
        <s v="C002-13"/>
        <s v="C002-14"/>
        <s v="C002-15"/>
        <s v="C002-16"/>
        <s v="C002-17"/>
        <s v="C002-18"/>
        <s v="C002-19"/>
        <s v="C002-2"/>
        <s v="C002-20"/>
        <s v="C002-21"/>
        <s v="C002-22"/>
        <s v="C002-23"/>
        <s v="C002-24"/>
        <s v="C002-25"/>
        <s v="C002-26"/>
        <s v="C002-27"/>
        <s v="C002-28"/>
        <s v="C002-29"/>
        <s v="C002-3"/>
        <s v="C002-30"/>
        <s v="C002-31"/>
        <s v="C002-32"/>
        <s v="C002-33"/>
        <s v="C002-34"/>
        <s v="C002-35"/>
        <s v="C002-36"/>
        <s v="C002-37"/>
        <s v="C002-38"/>
        <s v="C002-39"/>
        <s v="C002-4"/>
        <s v="C002-40"/>
        <s v="C002-41"/>
        <s v="C002-42"/>
        <s v="C002-43"/>
        <s v="C002-44"/>
        <s v="C002-45"/>
        <s v="C002-46"/>
        <s v="C002-47"/>
        <s v="C002-48"/>
        <s v="C002-49"/>
        <s v="C002-5"/>
        <s v="C002-50"/>
        <s v="C002-51"/>
        <s v="C002-52"/>
        <s v="C002-53"/>
        <s v="C002-54"/>
        <s v="C002-55"/>
        <s v="C002-56"/>
        <s v="C002-57"/>
        <s v="C002-58"/>
        <s v="C002-59"/>
        <s v="C002-6"/>
        <s v="C002-60"/>
        <s v="C002-61"/>
        <s v="C002-62"/>
        <s v="C002-63"/>
        <s v="C002-64"/>
        <s v="C002-65"/>
        <s v="C002-66"/>
        <s v="C002-67"/>
        <s v="C002-68"/>
        <s v="C002-69"/>
        <s v="C002-7"/>
        <s v="C002-70"/>
        <s v="C002-71"/>
        <s v="C002-72"/>
        <s v="C002-73"/>
        <s v="C002-8"/>
        <s v="C002-9"/>
        <s v="C003-0"/>
        <s v="C003-1"/>
        <s v="C003-2"/>
        <s v="C003-3"/>
        <s v="C003-4"/>
        <s v="C004-0"/>
        <s v="C004-1"/>
        <s v="C004-2"/>
        <s v="C004-3"/>
        <s v="C004-4"/>
        <s v="C004-5"/>
        <s v="C005-0"/>
        <s v="C005-1"/>
        <s v="C005-10"/>
        <s v="C005-11"/>
        <s v="C005-12"/>
        <s v="C005-13"/>
        <s v="C005-14"/>
        <s v="C005-15"/>
        <s v="C005-16"/>
        <s v="C005-17"/>
        <s v="C005-18"/>
        <s v="C005-19"/>
        <s v="C005-2"/>
        <s v="C005-20"/>
        <s v="C005-21"/>
        <s v="C005-22"/>
        <s v="C005-23"/>
        <s v="C005-24"/>
        <s v="C005-25"/>
        <s v="C005-26"/>
        <s v="C005-27"/>
        <s v="C005-28"/>
        <s v="C005-29"/>
        <s v="C005-3"/>
        <s v="C005-30"/>
        <s v="C005-31"/>
        <s v="C005-32"/>
        <s v="C005-33"/>
        <s v="C005-34"/>
        <s v="C005-35"/>
        <s v="C005-36"/>
        <s v="C005-37"/>
        <s v="C005-4"/>
        <s v="C005-5"/>
        <s v="C005-6"/>
        <s v="C005-7"/>
        <s v="C005-8"/>
        <s v="C005-9"/>
        <s v="C006-0"/>
        <s v="C006-1"/>
        <s v="C006-10"/>
        <s v="C006-11"/>
        <s v="C006-12"/>
        <s v="C006-13"/>
        <s v="C006-14"/>
        <s v="C006-15"/>
        <s v="C006-16"/>
        <s v="C006-17"/>
        <s v="C006-18"/>
        <s v="C006-19"/>
        <s v="C006-2"/>
        <s v="C006-3"/>
        <s v="C006-4"/>
        <s v="C006-5"/>
        <s v="C006-6"/>
        <s v="C006-7"/>
        <s v="C006-8"/>
        <s v="C006-9"/>
        <s v="C007-0"/>
        <s v="C007-1"/>
        <s v="C007-10"/>
        <s v="C007-11"/>
        <s v="C007-12"/>
        <s v="C007-13"/>
        <s v="C007-14"/>
        <s v="C007-15"/>
        <s v="C007-16"/>
        <s v="C007-17"/>
        <s v="C007-18"/>
        <s v="C007-19"/>
        <s v="C007-2"/>
        <s v="C007-20"/>
        <s v="C007-21"/>
        <s v="C007-22"/>
        <s v="C007-23"/>
        <s v="C007-24"/>
        <s v="C007-25"/>
        <s v="C007-26"/>
        <s v="C007-27"/>
        <s v="C007-28"/>
        <s v="C007-29"/>
        <s v="C007-3"/>
        <s v="C007-30"/>
        <s v="C007-31"/>
        <s v="C007-32"/>
        <s v="C007-33"/>
        <s v="C007-34"/>
        <s v="C007-35"/>
        <s v="C007-36"/>
        <s v="C007-37"/>
        <s v="C007-4"/>
        <s v="C007-5"/>
        <s v="C007-6"/>
        <s v="C007-7"/>
        <s v="C007-8"/>
        <s v="C007-9"/>
        <s v="C008-0"/>
        <s v="C008-1"/>
        <s v="C008-10"/>
        <s v="C008-11"/>
        <s v="C008-12"/>
        <s v="C008-13"/>
        <s v="C008-14"/>
        <s v="C008-15"/>
        <s v="C008-16"/>
        <s v="C008-17"/>
        <s v="C008-18"/>
        <s v="C008-19"/>
        <s v="C008-2"/>
        <s v="C008-20"/>
        <s v="C008-21"/>
        <s v="C008-22"/>
        <s v="C008-23"/>
        <s v="C008-24"/>
        <s v="C008-25"/>
        <s v="C008-26"/>
        <s v="C008-27"/>
        <s v="C008-3"/>
        <s v="C008-4"/>
        <s v="C008-5"/>
        <s v="C008-6"/>
        <s v="C008-7"/>
        <s v="C008-8"/>
        <s v="C008-9"/>
        <s v="C009-0"/>
        <s v="C009-1"/>
        <s v="C009-10"/>
        <s v="C009-11"/>
        <s v="C009-12"/>
        <s v="C009-13"/>
        <s v="C009-14"/>
        <s v="C009-15"/>
        <s v="C009-16"/>
        <s v="C009-17"/>
        <s v="C009-18"/>
        <s v="C009-19"/>
        <s v="C009-2"/>
        <s v="C009-20"/>
        <s v="C009-21"/>
        <s v="C009-22"/>
        <s v="C009-23"/>
        <s v="C009-24"/>
        <s v="C009-25"/>
        <s v="C009-3"/>
        <s v="C009-4"/>
        <s v="C009-5"/>
        <s v="C009-6"/>
        <s v="C009-7"/>
        <s v="C009-8"/>
        <s v="C009-9"/>
        <s v="C010-0"/>
        <s v="C010-1"/>
        <s v="C010-10"/>
        <s v="C010-11"/>
        <s v="C010-12"/>
        <s v="C010-13"/>
        <s v="C010-14"/>
        <s v="C010-15"/>
        <s v="C010-16"/>
        <s v="C010-17"/>
        <s v="C010-18"/>
        <s v="C010-19"/>
        <s v="C010-2"/>
        <s v="C010-20"/>
        <s v="C010-21"/>
        <s v="C010-22"/>
        <s v="C010-23"/>
        <s v="C010-24"/>
        <s v="C010-25"/>
        <s v="C010-26"/>
        <s v="C010-27"/>
        <s v="C010-28"/>
        <s v="C010-29"/>
        <s v="C010-3"/>
        <s v="C010-30"/>
        <s v="C010-31"/>
        <s v="C010-32"/>
        <s v="C010-33"/>
        <s v="C010-34"/>
        <s v="C010-35"/>
        <s v="C010-4"/>
        <s v="C010-5"/>
        <s v="C010-6"/>
        <s v="C010-7"/>
        <s v="C010-8"/>
        <s v="C010-9"/>
        <s v="C011-0"/>
        <s v="C011-1"/>
        <s v="C011-10"/>
        <s v="C011-11"/>
        <s v="C011-12"/>
        <s v="C011-13"/>
        <s v="C011-14"/>
        <s v="C011-15"/>
        <s v="C011-16"/>
        <s v="C011-17"/>
        <s v="C011-18"/>
        <s v="C011-19"/>
        <s v="C011-2"/>
        <s v="C011-20"/>
        <s v="C011-21"/>
        <s v="C011-22"/>
        <s v="C011-23"/>
        <s v="C011-24"/>
        <s v="C011-25"/>
        <s v="C011-26"/>
        <s v="C011-27"/>
        <s v="C011-28"/>
        <s v="C011-29"/>
        <s v="C011-3"/>
        <s v="C011-30"/>
        <s v="C011-31"/>
        <s v="C011-32"/>
        <s v="C011-33"/>
        <s v="C011-34"/>
        <s v="C011-35"/>
        <s v="C011-36"/>
        <s v="C011-4"/>
        <s v="C011-5"/>
        <s v="C011-6"/>
        <s v="C011-7"/>
        <s v="C011-8"/>
        <s v="C011-9"/>
        <s v="C012-0"/>
        <s v="C012-1"/>
        <s v="C012-10"/>
        <s v="C012-11"/>
        <s v="C012-12"/>
        <s v="C012-13"/>
        <s v="C012-14"/>
        <s v="C012-15"/>
        <s v="C012-16"/>
        <s v="C012-17"/>
        <s v="C012-18"/>
        <s v="C012-2"/>
        <s v="C012-3"/>
        <s v="C012-4"/>
        <s v="C012-5"/>
        <s v="C012-6"/>
        <s v="C012-7"/>
        <s v="C012-8"/>
        <s v="C012-9"/>
        <s v="C013-0"/>
        <s v="C013-1"/>
        <s v="C013-10"/>
        <s v="C013-11"/>
        <s v="C013-12"/>
        <s v="C013-13"/>
        <s v="C013-14"/>
        <s v="C013-15"/>
        <s v="C013-16"/>
        <s v="C013-17"/>
        <s v="C013-18"/>
        <s v="C013-19"/>
        <s v="C013-2"/>
        <s v="C013-20"/>
        <s v="C013-21"/>
        <s v="C013-22"/>
        <s v="C013-23"/>
        <s v="C013-24"/>
        <s v="C013-25"/>
        <s v="C013-3"/>
        <s v="C013-4"/>
        <s v="C013-5"/>
        <s v="C013-6"/>
        <s v="C013-7"/>
        <s v="C013-8"/>
        <s v="C013-9"/>
        <s v="C014-0"/>
        <s v="C014-1"/>
        <s v="C014-10"/>
        <s v="C014-2"/>
        <s v="C014-3"/>
        <s v="C014-4"/>
        <s v="C014-5"/>
        <s v="C014-6"/>
        <s v="C014-7"/>
        <s v="C014-8"/>
        <s v="C014-9"/>
        <s v="C015-0"/>
        <s v="C015-1"/>
        <s v="C015-10"/>
        <s v="C015-11"/>
        <s v="C015-12"/>
        <s v="C015-13"/>
        <s v="C015-14"/>
        <s v="C015-15"/>
        <s v="C015-16"/>
        <s v="C015-17"/>
        <s v="C015-18"/>
        <s v="C015-19"/>
        <s v="C015-2"/>
        <s v="C015-20"/>
        <s v="C015-21"/>
        <s v="C015-22"/>
        <s v="C015-23"/>
        <s v="C015-24"/>
        <s v="C015-25"/>
        <s v="C015-3"/>
        <s v="C015-4"/>
        <s v="C015-5"/>
        <s v="C015-6"/>
        <s v="C015-7"/>
        <s v="C015-8"/>
        <s v="C015-9"/>
        <s v="C016-0"/>
        <s v="C016-1"/>
        <s v="C016-2"/>
        <s v="C016-3"/>
        <s v="C016-4"/>
        <s v="C017-0"/>
        <s v="C017-1"/>
        <s v="C017-10"/>
        <s v="C017-11"/>
        <s v="C017-2"/>
        <s v="C017-3"/>
        <s v="C017-4"/>
        <s v="C017-5"/>
        <s v="C017-6"/>
        <s v="C017-7"/>
        <s v="C017-8"/>
        <s v="C017-9"/>
        <s v="C018-0"/>
        <s v="C018-1"/>
        <s v="C018-10"/>
        <s v="C018-11"/>
        <s v="C018-12"/>
        <s v="C018-13"/>
        <s v="C018-14"/>
        <s v="C018-15"/>
        <s v="C018-16"/>
        <s v="C018-17"/>
        <s v="C018-18"/>
        <s v="C018-19"/>
        <s v="C018-2"/>
        <s v="C018-20"/>
        <s v="C018-21"/>
        <s v="C018-22"/>
        <s v="C018-23"/>
        <s v="C018-24"/>
        <s v="C018-25"/>
        <s v="C018-26"/>
        <s v="C018-27"/>
        <s v="C018-28"/>
        <s v="C018-29"/>
        <s v="C018-3"/>
        <s v="C018-30"/>
        <s v="C018-31"/>
        <s v="C018-32"/>
        <s v="C018-33"/>
        <s v="C018-4"/>
        <s v="C018-5"/>
        <s v="C018-6"/>
        <s v="C018-7"/>
        <s v="C018-8"/>
        <s v="C018-9"/>
        <s v="C019-0"/>
        <s v="C019-1"/>
        <s v="C019-10"/>
        <s v="C019-11"/>
        <s v="C019-12"/>
        <s v="C019-13"/>
        <s v="C019-14"/>
        <s v="C019-15"/>
        <s v="C019-16"/>
        <s v="C019-17"/>
        <s v="C019-18"/>
        <s v="C019-19"/>
        <s v="C019-2"/>
        <s v="C019-20"/>
        <s v="C019-21"/>
        <s v="C019-3"/>
        <s v="C019-4"/>
        <s v="C019-5"/>
        <s v="C019-6"/>
        <s v="C019-7"/>
        <s v="C019-8"/>
        <s v="C019-9"/>
        <s v="C020-0"/>
        <s v="C020-1"/>
        <s v="C020-10"/>
        <s v="C020-11"/>
        <s v="C020-12"/>
        <s v="C020-13"/>
        <s v="C020-14"/>
        <s v="C020-15"/>
        <s v="C020-16"/>
        <s v="C020-17"/>
        <s v="C020-18"/>
        <s v="C020-19"/>
        <s v="C020-2"/>
        <s v="C020-20"/>
        <s v="C020-3"/>
        <s v="C020-4"/>
        <s v="C020-5"/>
        <s v="C020-6"/>
        <s v="C020-7"/>
        <s v="C020-8"/>
        <s v="C020-9"/>
        <s v="C021-0"/>
        <s v="C021-1"/>
        <s v="C021-10"/>
        <s v="C021-11"/>
        <s v="C021-12"/>
        <s v="C021-13"/>
        <s v="C021-14"/>
        <s v="C021-15"/>
        <s v="C021-16"/>
        <s v="C021-17"/>
        <s v="C021-18"/>
        <s v="C021-19"/>
        <s v="C021-2"/>
        <s v="C021-20"/>
        <s v="C021-21"/>
        <s v="C021-3"/>
        <s v="C021-4"/>
        <s v="C021-5"/>
        <s v="C021-6"/>
        <s v="C021-7"/>
        <s v="C021-8"/>
        <s v="C021-9"/>
        <s v="C022-0"/>
        <s v="C022-1"/>
        <s v="C022-10"/>
        <s v="C022-11"/>
        <s v="C022-12"/>
        <s v="C022-13"/>
        <s v="C022-14"/>
        <s v="C022-15"/>
        <s v="C022-16"/>
        <s v="C022-17"/>
        <s v="C022-18"/>
        <s v="C022-19"/>
        <s v="C022-2"/>
        <s v="C022-20"/>
        <s v="C022-21"/>
        <s v="C022-22"/>
        <s v="C022-23"/>
        <s v="C022-24"/>
        <s v="C022-25"/>
        <s v="C022-26"/>
        <s v="C022-27"/>
        <s v="C022-28"/>
        <s v="C022-29"/>
        <s v="C022-3"/>
        <s v="C022-4"/>
        <s v="C022-5"/>
        <s v="C022-6"/>
        <s v="C022-7"/>
        <s v="C022-8"/>
        <s v="C022-9"/>
        <s v="C023-0"/>
        <s v="C023-1"/>
        <s v="C023-10"/>
        <s v="C023-11"/>
        <s v="C023-12"/>
        <s v="C023-13"/>
        <s v="C023-2"/>
        <s v="C023-3"/>
        <s v="C023-4"/>
        <s v="C023-5"/>
        <s v="C023-6"/>
        <s v="C023-7"/>
        <s v="C023-8"/>
        <s v="C023-9"/>
        <s v="C024-0"/>
        <s v="C024-1"/>
        <s v="C024-10"/>
        <s v="C024-11"/>
        <s v="C024-12"/>
        <s v="C024-13"/>
        <s v="C024-14"/>
        <s v="C024-2"/>
        <s v="C024-3"/>
        <s v="C024-4"/>
        <s v="C024-5"/>
        <s v="C024-6"/>
        <s v="C024-7"/>
        <s v="C024-8"/>
        <s v="C024-9"/>
        <s v="C025-0"/>
        <s v="C025-1"/>
        <s v="C025-10"/>
        <s v="C025-11"/>
        <s v="C025-12"/>
        <s v="C025-13"/>
        <s v="C025-14"/>
        <s v="C025-15"/>
        <s v="C025-16"/>
        <s v="C025-17"/>
        <s v="C025-18"/>
        <s v="C025-19"/>
        <s v="C025-2"/>
        <s v="C025-20"/>
        <s v="C025-21"/>
        <s v="C025-22"/>
        <s v="C025-23"/>
        <s v="C025-24"/>
        <s v="C025-25"/>
        <s v="C025-26"/>
        <s v="C025-27"/>
        <s v="C025-28"/>
        <s v="C025-29"/>
        <s v="C025-3"/>
        <s v="C025-30"/>
        <s v="C025-31"/>
        <s v="C025-32"/>
        <s v="C025-33"/>
        <s v="C025-4"/>
        <s v="C025-5"/>
        <s v="C025-6"/>
        <s v="C025-7"/>
        <s v="C025-8"/>
        <s v="C025-9"/>
        <s v="C026-0"/>
        <s v="C026-1"/>
        <s v="C026-10"/>
        <s v="C026-11"/>
        <s v="C026-12"/>
        <s v="C026-13"/>
        <s v="C026-14"/>
        <s v="C026-15"/>
        <s v="C026-16"/>
        <s v="C026-17"/>
        <s v="C026-18"/>
        <s v="C026-19"/>
        <s v="C026-2"/>
        <s v="C026-3"/>
        <s v="C026-4"/>
        <s v="C026-5"/>
        <s v="C026-6"/>
        <s v="C026-7"/>
        <s v="C026-8"/>
        <s v="C026-9"/>
        <s v="C027-0"/>
        <s v="C027-1"/>
        <s v="C027-10"/>
        <s v="C027-11"/>
        <s v="C027-12"/>
        <s v="C027-13"/>
        <s v="C027-14"/>
        <s v="C027-15"/>
        <s v="C027-16"/>
        <s v="C027-2"/>
        <s v="C027-3"/>
        <s v="C027-4"/>
        <s v="C027-5"/>
        <s v="C027-6"/>
        <s v="C027-7"/>
        <s v="C027-8"/>
        <s v="C027-9"/>
        <s v="C028-0"/>
        <s v="C028-1"/>
        <s v="C028-10"/>
        <s v="C028-11"/>
        <s v="C028-12"/>
        <s v="C028-13"/>
        <s v="C028-14"/>
        <s v="C028-15"/>
        <s v="C028-2"/>
        <s v="C028-3"/>
        <s v="C028-4"/>
        <s v="C028-5"/>
        <s v="C028-6"/>
        <s v="C028-7"/>
        <s v="C028-8"/>
        <s v="C028-9"/>
        <s v="C029-0"/>
        <s v="C029-1"/>
        <s v="C029-10"/>
        <s v="C029-11"/>
        <s v="C029-12"/>
        <s v="C029-13"/>
        <s v="C029-14"/>
        <s v="C029-15"/>
        <s v="C029-16"/>
        <s v="C029-17"/>
        <s v="C029-18"/>
        <s v="C029-19"/>
        <s v="C029-2"/>
        <s v="C029-20"/>
        <s v="C029-21"/>
        <s v="C029-22"/>
        <s v="C029-23"/>
        <s v="C029-24"/>
        <s v="C029-25"/>
        <s v="C029-26"/>
        <s v="C029-27"/>
        <s v="C029-28"/>
        <s v="C029-29"/>
        <s v="C029-3"/>
        <s v="C029-30"/>
        <s v="C029-31"/>
        <s v="C029-32"/>
        <s v="C029-33"/>
        <s v="C029-34"/>
        <s v="C029-35"/>
        <s v="C029-36"/>
        <s v="C029-37"/>
        <s v="C029-4"/>
        <s v="C029-5"/>
        <s v="C029-6"/>
        <s v="C029-7"/>
        <s v="C029-8"/>
        <s v="C029-9"/>
        <s v="C030-0"/>
        <s v="C030-1"/>
        <s v="C030-10"/>
        <s v="C030-11"/>
        <s v="C030-12"/>
        <s v="C030-13"/>
        <s v="C030-14"/>
        <s v="C030-15"/>
        <s v="C030-16"/>
        <s v="C030-17"/>
        <s v="C030-18"/>
        <s v="C030-19"/>
        <s v="C030-2"/>
        <s v="C030-20"/>
        <s v="C030-21"/>
        <s v="C030-22"/>
        <s v="C030-23"/>
        <s v="C030-24"/>
        <s v="C030-25"/>
        <s v="C030-26"/>
        <s v="C030-27"/>
        <s v="C030-3"/>
        <s v="C030-4"/>
        <s v="C030-5"/>
        <s v="C030-6"/>
        <s v="C030-7"/>
        <s v="C030-8"/>
        <s v="C030-9"/>
        <s v="C031-0"/>
        <s v="C031-1"/>
        <s v="C031-10"/>
        <s v="C031-11"/>
        <s v="C031-12"/>
        <s v="C031-13"/>
        <s v="C031-14"/>
        <s v="C031-15"/>
        <s v="C031-16"/>
        <s v="C031-17"/>
        <s v="C031-18"/>
        <s v="C031-19"/>
        <s v="C031-2"/>
        <s v="C031-20"/>
        <s v="C031-3"/>
        <s v="C031-4"/>
        <s v="C031-5"/>
        <s v="C031-6"/>
        <s v="C031-7"/>
        <s v="C031-8"/>
        <s v="C031-9"/>
        <s v="C032-0"/>
        <s v="C032-1"/>
        <s v="C032-10"/>
        <s v="C032-11"/>
        <s v="C032-12"/>
        <s v="C032-13"/>
        <s v="C032-14"/>
        <s v="C032-15"/>
        <s v="C032-16"/>
        <s v="C032-17"/>
        <s v="C032-18"/>
        <s v="C032-19"/>
        <s v="C032-2"/>
        <s v="C032-20"/>
        <s v="C032-21"/>
        <s v="C032-3"/>
        <s v="C032-4"/>
        <s v="C032-5"/>
        <s v="C032-6"/>
        <s v="C032-7"/>
        <s v="C032-8"/>
        <s v="C032-9"/>
        <s v="C033-0"/>
        <s v="C033-1"/>
        <s v="C033-2"/>
        <s v="C033-3"/>
        <s v="C033-4"/>
        <s v="C033-5"/>
        <s v="C033-6"/>
        <s v="C034-0"/>
        <s v="C034-1"/>
        <s v="C034-10"/>
        <s v="C034-11"/>
        <s v="C034-12"/>
        <s v="C034-13"/>
        <s v="C034-14"/>
        <s v="C034-15"/>
        <s v="C034-16"/>
        <s v="C034-17"/>
        <s v="C034-18"/>
        <s v="C034-19"/>
        <s v="C034-2"/>
        <s v="C034-3"/>
        <s v="C034-4"/>
        <s v="C034-5"/>
        <s v="C034-6"/>
        <s v="C034-7"/>
        <s v="C034-8"/>
        <s v="C034-9"/>
        <s v="C035-0"/>
        <s v="C035-1"/>
        <s v="C035-10"/>
        <s v="C035-11"/>
        <s v="C035-12"/>
        <s v="C035-13"/>
        <s v="C035-14"/>
        <s v="C035-15"/>
        <s v="C035-16"/>
        <s v="C035-17"/>
        <s v="C035-18"/>
        <s v="C035-19"/>
        <s v="C035-2"/>
        <s v="C035-20"/>
        <s v="C035-21"/>
        <s v="C035-22"/>
        <s v="C035-3"/>
        <s v="C035-4"/>
        <s v="C035-5"/>
        <s v="C035-6"/>
        <s v="C035-7"/>
        <s v="C035-8"/>
        <s v="C035-9"/>
        <s v="C036-0"/>
        <s v="C036-1"/>
        <s v="C036-10"/>
        <s v="C036-11"/>
        <s v="C036-12"/>
        <s v="C036-13"/>
        <s v="C036-14"/>
        <s v="C036-15"/>
        <s v="C036-16"/>
        <s v="C036-17"/>
        <s v="C036-18"/>
        <s v="C036-19"/>
        <s v="C036-2"/>
        <s v="C036-20"/>
        <s v="C036-21"/>
        <s v="C036-22"/>
        <s v="C036-23"/>
        <s v="C036-24"/>
        <s v="C036-25"/>
        <s v="C036-26"/>
        <s v="C036-27"/>
        <s v="C036-3"/>
        <s v="C036-4"/>
        <s v="C036-5"/>
        <s v="C036-6"/>
        <s v="C036-7"/>
        <s v="C036-8"/>
        <s v="C036-9"/>
        <s v="C037-0"/>
        <s v="C037-1"/>
        <s v="C037-2"/>
        <s v="C037-3"/>
        <s v="C037-4"/>
        <s v="C037-5"/>
        <s v="C037-6"/>
        <s v="C037-7"/>
        <s v="C038-0"/>
        <s v="C038-1"/>
        <s v="C038-10"/>
        <s v="C038-11"/>
        <s v="C038-12"/>
        <s v="C038-2"/>
        <s v="C038-3"/>
        <s v="C038-4"/>
        <s v="C038-5"/>
        <s v="C038-6"/>
        <s v="C038-7"/>
        <s v="C038-8"/>
        <s v="C038-9"/>
        <s v="C039-0"/>
        <s v="C039-1"/>
        <s v="C039-2"/>
        <s v="C039-3"/>
        <s v="C039-4"/>
        <s v="C040-0"/>
        <s v="C040-1"/>
        <s v="C040-10"/>
        <s v="C040-11"/>
        <s v="C040-12"/>
        <s v="C040-13"/>
        <s v="C040-14"/>
        <s v="C040-15"/>
        <s v="C040-16"/>
        <s v="C040-17"/>
        <s v="C040-18"/>
        <s v="C040-19"/>
        <s v="C040-2"/>
        <s v="C040-20"/>
        <s v="C040-21"/>
        <s v="C040-22"/>
        <s v="C040-23"/>
        <s v="C040-24"/>
        <s v="C040-25"/>
        <s v="C040-26"/>
        <s v="C040-27"/>
        <s v="C040-28"/>
        <s v="C040-29"/>
        <s v="C040-3"/>
        <s v="C040-30"/>
        <s v="C040-31"/>
        <s v="C040-32"/>
        <s v="C040-33"/>
        <s v="C040-34"/>
        <s v="C040-35"/>
        <s v="C040-36"/>
        <s v="C040-37"/>
        <s v="C040-38"/>
        <s v="C040-39"/>
        <s v="C040-4"/>
        <s v="C040-40"/>
        <s v="C040-41"/>
        <s v="C040-42"/>
        <s v="C040-43"/>
        <s v="C040-44"/>
        <s v="C040-45"/>
        <s v="C040-46"/>
        <s v="C040-47"/>
        <s v="C040-48"/>
        <s v="C040-49"/>
        <s v="C040-5"/>
        <s v="C040-50"/>
        <s v="C040-51"/>
        <s v="C040-52"/>
        <s v="C040-53"/>
        <s v="C040-54"/>
        <s v="C040-55"/>
        <s v="C040-56"/>
        <s v="C040-57"/>
        <s v="C040-58"/>
        <s v="C040-59"/>
        <s v="C040-6"/>
        <s v="C040-60"/>
        <s v="C040-61"/>
        <s v="C040-62"/>
        <s v="C040-63"/>
        <s v="C040-64"/>
        <s v="C040-65"/>
        <s v="C040-7"/>
        <s v="C040-8"/>
        <s v="C040-9"/>
      </sharedItems>
    </cacheField>
    <cacheField name="Customer" uniqueList="1" numFmtId="0" sqlType="0" hierarchy="0" level="0" databaseField="1">
      <sharedItems count="40">
        <s v="City Cafe"/>
        <s v="City Foods"/>
        <s v="City Grocers"/>
        <s v="City Mart"/>
        <s v="City Superette"/>
        <s v="Coast Cafe"/>
        <s v="Coast Foods"/>
        <s v="Coast Grocers"/>
        <s v="Coast Mart"/>
        <s v="Coast Superette"/>
        <s v="Harbour Cafe"/>
        <s v="Harbour Foods"/>
        <s v="Harbour Grocers"/>
        <s v="Harbour Mart"/>
        <s v="Harbour Superette"/>
        <s v="Kiwi Cafe"/>
        <s v="Kiwi Foods"/>
        <s v="Kiwi Grocers"/>
        <s v="Kiwi Mart"/>
        <s v="Kiwi Superette"/>
        <s v="Metro Cafe"/>
        <s v="Metro Foods"/>
        <s v="Metro Grocers"/>
        <s v="Metro Mart"/>
        <s v="Metro Superette"/>
        <s v="North Cafe"/>
        <s v="North Foods"/>
        <s v="North Grocers"/>
        <s v="North Mart"/>
        <s v="North Superette"/>
        <s v="Summit Cafe"/>
        <s v="Summit Foods"/>
        <s v="Summit Grocers"/>
        <s v="Summit Mart"/>
        <s v="Summit Superette"/>
        <s v="Valley Cafe"/>
        <s v="Valley Foods"/>
        <s v="Valley Grocers"/>
        <s v="Valley Mart"/>
        <s v="Valley Superette"/>
      </sharedItems>
    </cacheField>
    <cacheField name="Revenue" uniqueList="1" numFmtId="0" sqlType="0" hierarchy="0" level="0" databaseField="1">
      <sharedItems count="0" containsNumber="1" containsSemiMixedTypes="0" containsString="0" minValue="11.28" maxValue="12711.6"/>
    </cacheField>
    <cacheField name="Cost" uniqueList="1" numFmtId="0" sqlType="0" hierarchy="0" level="0" databaseField="1">
      <sharedItems count="0" containsNumber="1" containsSemiMixedTypes="0" containsString="0" minValue="9.94" maxValue="11256.4"/>
    </cacheField>
    <cacheField name="Gross margin" uniqueList="1" numFmtId="0" sqlType="0" hierarchy="0" level="0" databaseField="1">
      <sharedItems count="0" containsNumber="1" containsSemiMixedTypes="0" containsString="0" minValue="1.34" maxValue="1530.95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981" r:id="rId1">
  <cacheSource type="worksheet">
    <worksheetSource ref="A1:G982" sheet="Raw"/>
  </cacheSource>
  <cacheFields count="7">
    <cacheField name="Date" uniqueList="1" numFmtId="0" sqlType="0" hierarchy="0" level="0" databaseField="1">
      <sharedItems count="90"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14">
        <s v="2026-06-22"/>
        <s v="2026-06-29"/>
        <s v="2026-07-06"/>
        <s v="2026-07-13"/>
        <s v="2026-07-20"/>
        <s v="2026-07-27"/>
        <s v="2026-08-03"/>
        <s v="2026-08-10"/>
        <s v="2026-08-17"/>
        <s v="2026-08-24"/>
        <s v="2026-08-31"/>
        <s v="2026-09-07"/>
        <s v="2026-09-14"/>
        <s v="2026-09-21"/>
      </sharedItems>
    </cacheField>
    <cacheField name="Order" uniqueList="1" numFmtId="0" sqlType="0" hierarchy="0" level="0" databaseField="1">
      <sharedItems count="981">
        <s v="C001-0"/>
        <s v="C001-1"/>
        <s v="C001-10"/>
        <s v="C001-11"/>
        <s v="C001-12"/>
        <s v="C001-13"/>
        <s v="C001-14"/>
        <s v="C001-15"/>
        <s v="C001-16"/>
        <s v="C001-17"/>
        <s v="C001-18"/>
        <s v="C001-19"/>
        <s v="C001-2"/>
        <s v="C001-20"/>
        <s v="C001-21"/>
        <s v="C001-22"/>
        <s v="C001-23"/>
        <s v="C001-24"/>
        <s v="C001-25"/>
        <s v="C001-26"/>
        <s v="C001-27"/>
        <s v="C001-28"/>
        <s v="C001-29"/>
        <s v="C001-3"/>
        <s v="C001-30"/>
        <s v="C001-31"/>
        <s v="C001-32"/>
        <s v="C001-33"/>
        <s v="C001-34"/>
        <s v="C001-35"/>
        <s v="C001-36"/>
        <s v="C001-37"/>
        <s v="C001-38"/>
        <s v="C001-39"/>
        <s v="C001-4"/>
        <s v="C001-40"/>
        <s v="C001-41"/>
        <s v="C001-42"/>
        <s v="C001-43"/>
        <s v="C001-44"/>
        <s v="C001-45"/>
        <s v="C001-46"/>
        <s v="C001-47"/>
        <s v="C001-48"/>
        <s v="C001-49"/>
        <s v="C001-5"/>
        <s v="C001-6"/>
        <s v="C001-7"/>
        <s v="C001-8"/>
        <s v="C001-9"/>
        <s v="C002-0"/>
        <s v="C002-1"/>
        <s v="C002-10"/>
        <s v="C002-11"/>
        <s v="C002-12"/>
        <s v="C002-13"/>
        <s v="C002-14"/>
        <s v="C002-15"/>
        <s v="C002-16"/>
        <s v="C002-17"/>
        <s v="C002-18"/>
        <s v="C002-19"/>
        <s v="C002-2"/>
        <s v="C002-20"/>
        <s v="C002-21"/>
        <s v="C002-22"/>
        <s v="C002-23"/>
        <s v="C002-24"/>
        <s v="C002-25"/>
        <s v="C002-26"/>
        <s v="C002-27"/>
        <s v="C002-28"/>
        <s v="C002-29"/>
        <s v="C002-3"/>
        <s v="C002-30"/>
        <s v="C002-31"/>
        <s v="C002-32"/>
        <s v="C002-33"/>
        <s v="C002-34"/>
        <s v="C002-35"/>
        <s v="C002-36"/>
        <s v="C002-37"/>
        <s v="C002-38"/>
        <s v="C002-39"/>
        <s v="C002-4"/>
        <s v="C002-40"/>
        <s v="C002-41"/>
        <s v="C002-42"/>
        <s v="C002-43"/>
        <s v="C002-44"/>
        <s v="C002-45"/>
        <s v="C002-46"/>
        <s v="C002-47"/>
        <s v="C002-48"/>
        <s v="C002-49"/>
        <s v="C002-5"/>
        <s v="C002-50"/>
        <s v="C002-51"/>
        <s v="C002-52"/>
        <s v="C002-53"/>
        <s v="C002-54"/>
        <s v="C002-55"/>
        <s v="C002-56"/>
        <s v="C002-57"/>
        <s v="C002-58"/>
        <s v="C002-59"/>
        <s v="C002-6"/>
        <s v="C002-60"/>
        <s v="C002-61"/>
        <s v="C002-62"/>
        <s v="C002-63"/>
        <s v="C002-64"/>
        <s v="C002-65"/>
        <s v="C002-66"/>
        <s v="C002-67"/>
        <s v="C002-68"/>
        <s v="C002-69"/>
        <s v="C002-7"/>
        <s v="C002-70"/>
        <s v="C002-71"/>
        <s v="C002-72"/>
        <s v="C002-73"/>
        <s v="C002-8"/>
        <s v="C002-9"/>
        <s v="C003-0"/>
        <s v="C003-1"/>
        <s v="C003-2"/>
        <s v="C003-3"/>
        <s v="C003-4"/>
        <s v="C004-0"/>
        <s v="C004-1"/>
        <s v="C004-2"/>
        <s v="C004-3"/>
        <s v="C004-4"/>
        <s v="C004-5"/>
        <s v="C005-0"/>
        <s v="C005-1"/>
        <s v="C005-10"/>
        <s v="C005-11"/>
        <s v="C005-12"/>
        <s v="C005-13"/>
        <s v="C005-14"/>
        <s v="C005-15"/>
        <s v="C005-16"/>
        <s v="C005-17"/>
        <s v="C005-18"/>
        <s v="C005-19"/>
        <s v="C005-2"/>
        <s v="C005-20"/>
        <s v="C005-21"/>
        <s v="C005-22"/>
        <s v="C005-23"/>
        <s v="C005-24"/>
        <s v="C005-25"/>
        <s v="C005-26"/>
        <s v="C005-27"/>
        <s v="C005-28"/>
        <s v="C005-29"/>
        <s v="C005-3"/>
        <s v="C005-30"/>
        <s v="C005-31"/>
        <s v="C005-32"/>
        <s v="C005-33"/>
        <s v="C005-34"/>
        <s v="C005-35"/>
        <s v="C005-36"/>
        <s v="C005-37"/>
        <s v="C005-4"/>
        <s v="C005-5"/>
        <s v="C005-6"/>
        <s v="C005-7"/>
        <s v="C005-8"/>
        <s v="C005-9"/>
        <s v="C006-0"/>
        <s v="C006-1"/>
        <s v="C006-10"/>
        <s v="C006-11"/>
        <s v="C006-12"/>
        <s v="C006-13"/>
        <s v="C006-14"/>
        <s v="C006-15"/>
        <s v="C006-16"/>
        <s v="C006-17"/>
        <s v="C006-18"/>
        <s v="C006-19"/>
        <s v="C006-2"/>
        <s v="C006-3"/>
        <s v="C006-4"/>
        <s v="C006-5"/>
        <s v="C006-6"/>
        <s v="C006-7"/>
        <s v="C006-8"/>
        <s v="C006-9"/>
        <s v="C007-0"/>
        <s v="C007-1"/>
        <s v="C007-10"/>
        <s v="C007-11"/>
        <s v="C007-12"/>
        <s v="C007-13"/>
        <s v="C007-14"/>
        <s v="C007-15"/>
        <s v="C007-16"/>
        <s v="C007-17"/>
        <s v="C007-18"/>
        <s v="C007-19"/>
        <s v="C007-2"/>
        <s v="C007-20"/>
        <s v="C007-21"/>
        <s v="C007-22"/>
        <s v="C007-23"/>
        <s v="C007-24"/>
        <s v="C007-25"/>
        <s v="C007-26"/>
        <s v="C007-27"/>
        <s v="C007-28"/>
        <s v="C007-29"/>
        <s v="C007-3"/>
        <s v="C007-30"/>
        <s v="C007-31"/>
        <s v="C007-32"/>
        <s v="C007-33"/>
        <s v="C007-34"/>
        <s v="C007-35"/>
        <s v="C007-36"/>
        <s v="C007-37"/>
        <s v="C007-4"/>
        <s v="C007-5"/>
        <s v="C007-6"/>
        <s v="C007-7"/>
        <s v="C007-8"/>
        <s v="C007-9"/>
        <s v="C008-0"/>
        <s v="C008-1"/>
        <s v="C008-10"/>
        <s v="C008-11"/>
        <s v="C008-12"/>
        <s v="C008-13"/>
        <s v="C008-14"/>
        <s v="C008-15"/>
        <s v="C008-16"/>
        <s v="C008-17"/>
        <s v="C008-18"/>
        <s v="C008-19"/>
        <s v="C008-2"/>
        <s v="C008-20"/>
        <s v="C008-21"/>
        <s v="C008-22"/>
        <s v="C008-23"/>
        <s v="C008-24"/>
        <s v="C008-25"/>
        <s v="C008-26"/>
        <s v="C008-27"/>
        <s v="C008-3"/>
        <s v="C008-4"/>
        <s v="C008-5"/>
        <s v="C008-6"/>
        <s v="C008-7"/>
        <s v="C008-8"/>
        <s v="C008-9"/>
        <s v="C009-0"/>
        <s v="C009-1"/>
        <s v="C009-10"/>
        <s v="C009-11"/>
        <s v="C009-12"/>
        <s v="C009-13"/>
        <s v="C009-14"/>
        <s v="C009-15"/>
        <s v="C009-16"/>
        <s v="C009-17"/>
        <s v="C009-18"/>
        <s v="C009-19"/>
        <s v="C009-2"/>
        <s v="C009-20"/>
        <s v="C009-21"/>
        <s v="C009-22"/>
        <s v="C009-23"/>
        <s v="C009-24"/>
        <s v="C009-25"/>
        <s v="C009-3"/>
        <s v="C009-4"/>
        <s v="C009-5"/>
        <s v="C009-6"/>
        <s v="C009-7"/>
        <s v="C009-8"/>
        <s v="C009-9"/>
        <s v="C010-0"/>
        <s v="C010-1"/>
        <s v="C010-10"/>
        <s v="C010-11"/>
        <s v="C010-12"/>
        <s v="C010-13"/>
        <s v="C010-14"/>
        <s v="C010-15"/>
        <s v="C010-16"/>
        <s v="C010-17"/>
        <s v="C010-18"/>
        <s v="C010-19"/>
        <s v="C010-2"/>
        <s v="C010-20"/>
        <s v="C010-21"/>
        <s v="C010-22"/>
        <s v="C010-23"/>
        <s v="C010-24"/>
        <s v="C010-25"/>
        <s v="C010-26"/>
        <s v="C010-27"/>
        <s v="C010-28"/>
        <s v="C010-29"/>
        <s v="C010-3"/>
        <s v="C010-30"/>
        <s v="C010-31"/>
        <s v="C010-32"/>
        <s v="C010-33"/>
        <s v="C010-34"/>
        <s v="C010-35"/>
        <s v="C010-4"/>
        <s v="C010-5"/>
        <s v="C010-6"/>
        <s v="C010-7"/>
        <s v="C010-8"/>
        <s v="C010-9"/>
        <s v="C011-0"/>
        <s v="C011-1"/>
        <s v="C011-10"/>
        <s v="C011-11"/>
        <s v="C011-12"/>
        <s v="C011-13"/>
        <s v="C011-14"/>
        <s v="C011-15"/>
        <s v="C011-16"/>
        <s v="C011-17"/>
        <s v="C011-18"/>
        <s v="C011-19"/>
        <s v="C011-2"/>
        <s v="C011-20"/>
        <s v="C011-21"/>
        <s v="C011-22"/>
        <s v="C011-23"/>
        <s v="C011-24"/>
        <s v="C011-25"/>
        <s v="C011-26"/>
        <s v="C011-27"/>
        <s v="C011-28"/>
        <s v="C011-29"/>
        <s v="C011-3"/>
        <s v="C011-30"/>
        <s v="C011-31"/>
        <s v="C011-32"/>
        <s v="C011-33"/>
        <s v="C011-34"/>
        <s v="C011-35"/>
        <s v="C011-36"/>
        <s v="C011-4"/>
        <s v="C011-5"/>
        <s v="C011-6"/>
        <s v="C011-7"/>
        <s v="C011-8"/>
        <s v="C011-9"/>
        <s v="C012-0"/>
        <s v="C012-1"/>
        <s v="C012-10"/>
        <s v="C012-11"/>
        <s v="C012-12"/>
        <s v="C012-13"/>
        <s v="C012-14"/>
        <s v="C012-15"/>
        <s v="C012-16"/>
        <s v="C012-17"/>
        <s v="C012-18"/>
        <s v="C012-2"/>
        <s v="C012-3"/>
        <s v="C012-4"/>
        <s v="C012-5"/>
        <s v="C012-6"/>
        <s v="C012-7"/>
        <s v="C012-8"/>
        <s v="C012-9"/>
        <s v="C013-0"/>
        <s v="C013-1"/>
        <s v="C013-10"/>
        <s v="C013-11"/>
        <s v="C013-12"/>
        <s v="C013-13"/>
        <s v="C013-14"/>
        <s v="C013-15"/>
        <s v="C013-16"/>
        <s v="C013-17"/>
        <s v="C013-18"/>
        <s v="C013-19"/>
        <s v="C013-2"/>
        <s v="C013-20"/>
        <s v="C013-21"/>
        <s v="C013-22"/>
        <s v="C013-23"/>
        <s v="C013-24"/>
        <s v="C013-25"/>
        <s v="C013-3"/>
        <s v="C013-4"/>
        <s v="C013-5"/>
        <s v="C013-6"/>
        <s v="C013-7"/>
        <s v="C013-8"/>
        <s v="C013-9"/>
        <s v="C014-0"/>
        <s v="C014-1"/>
        <s v="C014-10"/>
        <s v="C014-2"/>
        <s v="C014-3"/>
        <s v="C014-4"/>
        <s v="C014-5"/>
        <s v="C014-6"/>
        <s v="C014-7"/>
        <s v="C014-8"/>
        <s v="C014-9"/>
        <s v="C015-0"/>
        <s v="C015-1"/>
        <s v="C015-10"/>
        <s v="C015-11"/>
        <s v="C015-12"/>
        <s v="C015-13"/>
        <s v="C015-14"/>
        <s v="C015-15"/>
        <s v="C015-16"/>
        <s v="C015-17"/>
        <s v="C015-18"/>
        <s v="C015-19"/>
        <s v="C015-2"/>
        <s v="C015-20"/>
        <s v="C015-21"/>
        <s v="C015-22"/>
        <s v="C015-23"/>
        <s v="C015-24"/>
        <s v="C015-25"/>
        <s v="C015-3"/>
        <s v="C015-4"/>
        <s v="C015-5"/>
        <s v="C015-6"/>
        <s v="C015-7"/>
        <s v="C015-8"/>
        <s v="C015-9"/>
        <s v="C016-0"/>
        <s v="C016-1"/>
        <s v="C016-2"/>
        <s v="C016-3"/>
        <s v="C016-4"/>
        <s v="C017-0"/>
        <s v="C017-1"/>
        <s v="C017-10"/>
        <s v="C017-11"/>
        <s v="C017-2"/>
        <s v="C017-3"/>
        <s v="C017-4"/>
        <s v="C017-5"/>
        <s v="C017-6"/>
        <s v="C017-7"/>
        <s v="C017-8"/>
        <s v="C017-9"/>
        <s v="C018-0"/>
        <s v="C018-1"/>
        <s v="C018-10"/>
        <s v="C018-11"/>
        <s v="C018-12"/>
        <s v="C018-13"/>
        <s v="C018-14"/>
        <s v="C018-15"/>
        <s v="C018-16"/>
        <s v="C018-17"/>
        <s v="C018-18"/>
        <s v="C018-19"/>
        <s v="C018-2"/>
        <s v="C018-20"/>
        <s v="C018-21"/>
        <s v="C018-22"/>
        <s v="C018-23"/>
        <s v="C018-24"/>
        <s v="C018-25"/>
        <s v="C018-26"/>
        <s v="C018-27"/>
        <s v="C018-28"/>
        <s v="C018-29"/>
        <s v="C018-3"/>
        <s v="C018-30"/>
        <s v="C018-31"/>
        <s v="C018-32"/>
        <s v="C018-33"/>
        <s v="C018-4"/>
        <s v="C018-5"/>
        <s v="C018-6"/>
        <s v="C018-7"/>
        <s v="C018-8"/>
        <s v="C018-9"/>
        <s v="C019-0"/>
        <s v="C019-1"/>
        <s v="C019-10"/>
        <s v="C019-11"/>
        <s v="C019-12"/>
        <s v="C019-13"/>
        <s v="C019-14"/>
        <s v="C019-15"/>
        <s v="C019-16"/>
        <s v="C019-17"/>
        <s v="C019-18"/>
        <s v="C019-19"/>
        <s v="C019-2"/>
        <s v="C019-20"/>
        <s v="C019-21"/>
        <s v="C019-3"/>
        <s v="C019-4"/>
        <s v="C019-5"/>
        <s v="C019-6"/>
        <s v="C019-7"/>
        <s v="C019-8"/>
        <s v="C019-9"/>
        <s v="C020-0"/>
        <s v="C020-1"/>
        <s v="C020-10"/>
        <s v="C020-11"/>
        <s v="C020-12"/>
        <s v="C020-13"/>
        <s v="C020-14"/>
        <s v="C020-15"/>
        <s v="C020-16"/>
        <s v="C020-17"/>
        <s v="C020-18"/>
        <s v="C020-19"/>
        <s v="C020-2"/>
        <s v="C020-20"/>
        <s v="C020-3"/>
        <s v="C020-4"/>
        <s v="C020-5"/>
        <s v="C020-6"/>
        <s v="C020-7"/>
        <s v="C020-8"/>
        <s v="C020-9"/>
        <s v="C021-0"/>
        <s v="C021-1"/>
        <s v="C021-10"/>
        <s v="C021-11"/>
        <s v="C021-12"/>
        <s v="C021-13"/>
        <s v="C021-14"/>
        <s v="C021-15"/>
        <s v="C021-16"/>
        <s v="C021-17"/>
        <s v="C021-18"/>
        <s v="C021-19"/>
        <s v="C021-2"/>
        <s v="C021-20"/>
        <s v="C021-21"/>
        <s v="C021-3"/>
        <s v="C021-4"/>
        <s v="C021-5"/>
        <s v="C021-6"/>
        <s v="C021-7"/>
        <s v="C021-8"/>
        <s v="C021-9"/>
        <s v="C022-0"/>
        <s v="C022-1"/>
        <s v="C022-10"/>
        <s v="C022-11"/>
        <s v="C022-12"/>
        <s v="C022-13"/>
        <s v="C022-14"/>
        <s v="C022-15"/>
        <s v="C022-16"/>
        <s v="C022-17"/>
        <s v="C022-18"/>
        <s v="C022-19"/>
        <s v="C022-2"/>
        <s v="C022-20"/>
        <s v="C022-21"/>
        <s v="C022-22"/>
        <s v="C022-23"/>
        <s v="C022-24"/>
        <s v="C022-25"/>
        <s v="C022-26"/>
        <s v="C022-27"/>
        <s v="C022-28"/>
        <s v="C022-29"/>
        <s v="C022-3"/>
        <s v="C022-4"/>
        <s v="C022-5"/>
        <s v="C022-6"/>
        <s v="C022-7"/>
        <s v="C022-8"/>
        <s v="C022-9"/>
        <s v="C023-0"/>
        <s v="C023-1"/>
        <s v="C023-10"/>
        <s v="C023-11"/>
        <s v="C023-12"/>
        <s v="C023-13"/>
        <s v="C023-2"/>
        <s v="C023-3"/>
        <s v="C023-4"/>
        <s v="C023-5"/>
        <s v="C023-6"/>
        <s v="C023-7"/>
        <s v="C023-8"/>
        <s v="C023-9"/>
        <s v="C024-0"/>
        <s v="C024-1"/>
        <s v="C024-10"/>
        <s v="C024-11"/>
        <s v="C024-12"/>
        <s v="C024-13"/>
        <s v="C024-14"/>
        <s v="C024-2"/>
        <s v="C024-3"/>
        <s v="C024-4"/>
        <s v="C024-5"/>
        <s v="C024-6"/>
        <s v="C024-7"/>
        <s v="C024-8"/>
        <s v="C024-9"/>
        <s v="C025-0"/>
        <s v="C025-1"/>
        <s v="C025-10"/>
        <s v="C025-11"/>
        <s v="C025-12"/>
        <s v="C025-13"/>
        <s v="C025-14"/>
        <s v="C025-15"/>
        <s v="C025-16"/>
        <s v="C025-17"/>
        <s v="C025-18"/>
        <s v="C025-19"/>
        <s v="C025-2"/>
        <s v="C025-20"/>
        <s v="C025-21"/>
        <s v="C025-22"/>
        <s v="C025-23"/>
        <s v="C025-24"/>
        <s v="C025-25"/>
        <s v="C025-26"/>
        <s v="C025-27"/>
        <s v="C025-28"/>
        <s v="C025-29"/>
        <s v="C025-3"/>
        <s v="C025-30"/>
        <s v="C025-31"/>
        <s v="C025-32"/>
        <s v="C025-33"/>
        <s v="C025-4"/>
        <s v="C025-5"/>
        <s v="C025-6"/>
        <s v="C025-7"/>
        <s v="C025-8"/>
        <s v="C025-9"/>
        <s v="C026-0"/>
        <s v="C026-1"/>
        <s v="C026-10"/>
        <s v="C026-11"/>
        <s v="C026-12"/>
        <s v="C026-13"/>
        <s v="C026-14"/>
        <s v="C026-15"/>
        <s v="C026-16"/>
        <s v="C026-17"/>
        <s v="C026-18"/>
        <s v="C026-19"/>
        <s v="C026-2"/>
        <s v="C026-3"/>
        <s v="C026-4"/>
        <s v="C026-5"/>
        <s v="C026-6"/>
        <s v="C026-7"/>
        <s v="C026-8"/>
        <s v="C026-9"/>
        <s v="C027-0"/>
        <s v="C027-1"/>
        <s v="C027-10"/>
        <s v="C027-11"/>
        <s v="C027-12"/>
        <s v="C027-13"/>
        <s v="C027-14"/>
        <s v="C027-15"/>
        <s v="C027-16"/>
        <s v="C027-2"/>
        <s v="C027-3"/>
        <s v="C027-4"/>
        <s v="C027-5"/>
        <s v="C027-6"/>
        <s v="C027-7"/>
        <s v="C027-8"/>
        <s v="C027-9"/>
        <s v="C028-0"/>
        <s v="C028-1"/>
        <s v="C028-10"/>
        <s v="C028-11"/>
        <s v="C028-12"/>
        <s v="C028-13"/>
        <s v="C028-14"/>
        <s v="C028-15"/>
        <s v="C028-2"/>
        <s v="C028-3"/>
        <s v="C028-4"/>
        <s v="C028-5"/>
        <s v="C028-6"/>
        <s v="C028-7"/>
        <s v="C028-8"/>
        <s v="C028-9"/>
        <s v="C029-0"/>
        <s v="C029-1"/>
        <s v="C029-10"/>
        <s v="C029-11"/>
        <s v="C029-12"/>
        <s v="C029-13"/>
        <s v="C029-14"/>
        <s v="C029-15"/>
        <s v="C029-16"/>
        <s v="C029-17"/>
        <s v="C029-18"/>
        <s v="C029-19"/>
        <s v="C029-2"/>
        <s v="C029-20"/>
        <s v="C029-21"/>
        <s v="C029-22"/>
        <s v="C029-23"/>
        <s v="C029-24"/>
        <s v="C029-25"/>
        <s v="C029-26"/>
        <s v="C029-27"/>
        <s v="C029-28"/>
        <s v="C029-29"/>
        <s v="C029-3"/>
        <s v="C029-30"/>
        <s v="C029-31"/>
        <s v="C029-32"/>
        <s v="C029-33"/>
        <s v="C029-34"/>
        <s v="C029-35"/>
        <s v="C029-36"/>
        <s v="C029-37"/>
        <s v="C029-4"/>
        <s v="C029-5"/>
        <s v="C029-6"/>
        <s v="C029-7"/>
        <s v="C029-8"/>
        <s v="C029-9"/>
        <s v="C030-0"/>
        <s v="C030-1"/>
        <s v="C030-10"/>
        <s v="C030-11"/>
        <s v="C030-12"/>
        <s v="C030-13"/>
        <s v="C030-14"/>
        <s v="C030-15"/>
        <s v="C030-16"/>
        <s v="C030-17"/>
        <s v="C030-18"/>
        <s v="C030-19"/>
        <s v="C030-2"/>
        <s v="C030-20"/>
        <s v="C030-21"/>
        <s v="C030-22"/>
        <s v="C030-23"/>
        <s v="C030-24"/>
        <s v="C030-25"/>
        <s v="C030-26"/>
        <s v="C030-27"/>
        <s v="C030-3"/>
        <s v="C030-4"/>
        <s v="C030-5"/>
        <s v="C030-6"/>
        <s v="C030-7"/>
        <s v="C030-8"/>
        <s v="C030-9"/>
        <s v="C031-0"/>
        <s v="C031-1"/>
        <s v="C031-10"/>
        <s v="C031-11"/>
        <s v="C031-12"/>
        <s v="C031-13"/>
        <s v="C031-14"/>
        <s v="C031-15"/>
        <s v="C031-16"/>
        <s v="C031-17"/>
        <s v="C031-18"/>
        <s v="C031-19"/>
        <s v="C031-2"/>
        <s v="C031-20"/>
        <s v="C031-3"/>
        <s v="C031-4"/>
        <s v="C031-5"/>
        <s v="C031-6"/>
        <s v="C031-7"/>
        <s v="C031-8"/>
        <s v="C031-9"/>
        <s v="C032-0"/>
        <s v="C032-1"/>
        <s v="C032-10"/>
        <s v="C032-11"/>
        <s v="C032-12"/>
        <s v="C032-13"/>
        <s v="C032-14"/>
        <s v="C032-15"/>
        <s v="C032-16"/>
        <s v="C032-17"/>
        <s v="C032-18"/>
        <s v="C032-19"/>
        <s v="C032-2"/>
        <s v="C032-20"/>
        <s v="C032-21"/>
        <s v="C032-3"/>
        <s v="C032-4"/>
        <s v="C032-5"/>
        <s v="C032-6"/>
        <s v="C032-7"/>
        <s v="C032-8"/>
        <s v="C032-9"/>
        <s v="C033-0"/>
        <s v="C033-1"/>
        <s v="C033-2"/>
        <s v="C033-3"/>
        <s v="C033-4"/>
        <s v="C033-5"/>
        <s v="C033-6"/>
        <s v="C034-0"/>
        <s v="C034-1"/>
        <s v="C034-10"/>
        <s v="C034-11"/>
        <s v="C034-12"/>
        <s v="C034-13"/>
        <s v="C034-14"/>
        <s v="C034-15"/>
        <s v="C034-16"/>
        <s v="C034-17"/>
        <s v="C034-18"/>
        <s v="C034-19"/>
        <s v="C034-2"/>
        <s v="C034-3"/>
        <s v="C034-4"/>
        <s v="C034-5"/>
        <s v="C034-6"/>
        <s v="C034-7"/>
        <s v="C034-8"/>
        <s v="C034-9"/>
        <s v="C035-0"/>
        <s v="C035-1"/>
        <s v="C035-10"/>
        <s v="C035-11"/>
        <s v="C035-12"/>
        <s v="C035-13"/>
        <s v="C035-14"/>
        <s v="C035-15"/>
        <s v="C035-16"/>
        <s v="C035-17"/>
        <s v="C035-18"/>
        <s v="C035-19"/>
        <s v="C035-2"/>
        <s v="C035-20"/>
        <s v="C035-21"/>
        <s v="C035-22"/>
        <s v="C035-3"/>
        <s v="C035-4"/>
        <s v="C035-5"/>
        <s v="C035-6"/>
        <s v="C035-7"/>
        <s v="C035-8"/>
        <s v="C035-9"/>
        <s v="C036-0"/>
        <s v="C036-1"/>
        <s v="C036-10"/>
        <s v="C036-11"/>
        <s v="C036-12"/>
        <s v="C036-13"/>
        <s v="C036-14"/>
        <s v="C036-15"/>
        <s v="C036-16"/>
        <s v="C036-17"/>
        <s v="C036-18"/>
        <s v="C036-19"/>
        <s v="C036-2"/>
        <s v="C036-20"/>
        <s v="C036-21"/>
        <s v="C036-22"/>
        <s v="C036-23"/>
        <s v="C036-24"/>
        <s v="C036-25"/>
        <s v="C036-26"/>
        <s v="C036-27"/>
        <s v="C036-3"/>
        <s v="C036-4"/>
        <s v="C036-5"/>
        <s v="C036-6"/>
        <s v="C036-7"/>
        <s v="C036-8"/>
        <s v="C036-9"/>
        <s v="C037-0"/>
        <s v="C037-1"/>
        <s v="C037-2"/>
        <s v="C037-3"/>
        <s v="C037-4"/>
        <s v="C037-5"/>
        <s v="C037-6"/>
        <s v="C037-7"/>
        <s v="C038-0"/>
        <s v="C038-1"/>
        <s v="C038-10"/>
        <s v="C038-11"/>
        <s v="C038-12"/>
        <s v="C038-2"/>
        <s v="C038-3"/>
        <s v="C038-4"/>
        <s v="C038-5"/>
        <s v="C038-6"/>
        <s v="C038-7"/>
        <s v="C038-8"/>
        <s v="C038-9"/>
        <s v="C039-0"/>
        <s v="C039-1"/>
        <s v="C039-2"/>
        <s v="C039-3"/>
        <s v="C039-4"/>
        <s v="C040-0"/>
        <s v="C040-1"/>
        <s v="C040-10"/>
        <s v="C040-11"/>
        <s v="C040-12"/>
        <s v="C040-13"/>
        <s v="C040-14"/>
        <s v="C040-15"/>
        <s v="C040-16"/>
        <s v="C040-17"/>
        <s v="C040-18"/>
        <s v="C040-19"/>
        <s v="C040-2"/>
        <s v="C040-20"/>
        <s v="C040-21"/>
        <s v="C040-22"/>
        <s v="C040-23"/>
        <s v="C040-24"/>
        <s v="C040-25"/>
        <s v="C040-26"/>
        <s v="C040-27"/>
        <s v="C040-28"/>
        <s v="C040-29"/>
        <s v="C040-3"/>
        <s v="C040-30"/>
        <s v="C040-31"/>
        <s v="C040-32"/>
        <s v="C040-33"/>
        <s v="C040-34"/>
        <s v="C040-35"/>
        <s v="C040-36"/>
        <s v="C040-37"/>
        <s v="C040-38"/>
        <s v="C040-39"/>
        <s v="C040-4"/>
        <s v="C040-40"/>
        <s v="C040-41"/>
        <s v="C040-42"/>
        <s v="C040-43"/>
        <s v="C040-44"/>
        <s v="C040-45"/>
        <s v="C040-46"/>
        <s v="C040-47"/>
        <s v="C040-48"/>
        <s v="C040-49"/>
        <s v="C040-5"/>
        <s v="C040-50"/>
        <s v="C040-51"/>
        <s v="C040-52"/>
        <s v="C040-53"/>
        <s v="C040-54"/>
        <s v="C040-55"/>
        <s v="C040-56"/>
        <s v="C040-57"/>
        <s v="C040-58"/>
        <s v="C040-59"/>
        <s v="C040-6"/>
        <s v="C040-60"/>
        <s v="C040-61"/>
        <s v="C040-62"/>
        <s v="C040-63"/>
        <s v="C040-64"/>
        <s v="C040-65"/>
        <s v="C040-7"/>
        <s v="C040-8"/>
        <s v="C040-9"/>
      </sharedItems>
    </cacheField>
    <cacheField name="Customer" uniqueList="1" numFmtId="0" sqlType="0" hierarchy="0" level="0" databaseField="1">
      <sharedItems count="40">
        <s v="City Cafe"/>
        <s v="City Foods"/>
        <s v="City Grocers"/>
        <s v="City Mart"/>
        <s v="City Superette"/>
        <s v="Coast Cafe"/>
        <s v="Coast Foods"/>
        <s v="Coast Grocers"/>
        <s v="Coast Mart"/>
        <s v="Coast Superette"/>
        <s v="Harbour Cafe"/>
        <s v="Harbour Foods"/>
        <s v="Harbour Grocers"/>
        <s v="Harbour Mart"/>
        <s v="Harbour Superette"/>
        <s v="Kiwi Cafe"/>
        <s v="Kiwi Foods"/>
        <s v="Kiwi Grocers"/>
        <s v="Kiwi Mart"/>
        <s v="Kiwi Superette"/>
        <s v="Metro Cafe"/>
        <s v="Metro Foods"/>
        <s v="Metro Grocers"/>
        <s v="Metro Mart"/>
        <s v="Metro Superette"/>
        <s v="North Cafe"/>
        <s v="North Foods"/>
        <s v="North Grocers"/>
        <s v="North Mart"/>
        <s v="North Superette"/>
        <s v="Summit Cafe"/>
        <s v="Summit Foods"/>
        <s v="Summit Grocers"/>
        <s v="Summit Mart"/>
        <s v="Summit Superette"/>
        <s v="Valley Cafe"/>
        <s v="Valley Foods"/>
        <s v="Valley Grocers"/>
        <s v="Valley Mart"/>
        <s v="Valley Superette"/>
      </sharedItems>
    </cacheField>
    <cacheField name="Revenue" uniqueList="1" numFmtId="0" sqlType="0" hierarchy="0" level="0" databaseField="1">
      <sharedItems count="0" containsNumber="1" containsSemiMixedTypes="0" containsString="0" minValue="11.28" maxValue="12711.6"/>
    </cacheField>
    <cacheField name="Cost" uniqueList="1" numFmtId="0" sqlType="0" hierarchy="0" level="0" databaseField="1">
      <sharedItems count="0" containsNumber="1" containsSemiMixedTypes="0" containsString="0" minValue="9.94" maxValue="11256.4"/>
    </cacheField>
    <cacheField name="Gross margin" uniqueList="1" numFmtId="0" sqlType="0" hierarchy="0" level="0" databaseField="1">
      <sharedItems count="0" containsNumber="1" containsSemiMixedTypes="0" containsString="0" minValue="1.34" maxValue="1530.95"/>
    </cacheField>
  </cacheFields>
</pivotCacheDefinition>
</file>

<file path=xl/pivotCache/pivotCacheRecords1.xml><?xml version="1.0" encoding="utf-8"?>
<pivotCacheRecords xmlns="http://schemas.openxmlformats.org/spreadsheetml/2006/main" count="981">
  <r>
    <x v="35"/>
    <x v="5"/>
    <x v="0"/>
    <x v="16"/>
    <n v="59.53"/>
    <n v="52.87"/>
    <n v="6.66"/>
  </r>
  <r>
    <x v="6"/>
    <x v="1"/>
    <x v="1"/>
    <x v="16"/>
    <n v="74.19"/>
    <n v="65.89"/>
    <n v="8.300000000000001"/>
  </r>
  <r>
    <x v="43"/>
    <x v="7"/>
    <x v="12"/>
    <x v="16"/>
    <n v="94.17"/>
    <n v="83.63"/>
    <n v="10.54"/>
  </r>
  <r>
    <x v="43"/>
    <x v="7"/>
    <x v="23"/>
    <x v="16"/>
    <n v="63.29"/>
    <n v="56.2"/>
    <n v="7.09"/>
  </r>
  <r>
    <x v="40"/>
    <x v="6"/>
    <x v="34"/>
    <x v="16"/>
    <n v="65.33"/>
    <n v="58.02"/>
    <n v="7.31"/>
  </r>
  <r>
    <x v="17"/>
    <x v="3"/>
    <x v="45"/>
    <x v="16"/>
    <n v="68.09999999999999"/>
    <n v="60.48"/>
    <n v="7.62"/>
  </r>
  <r>
    <x v="82"/>
    <x v="12"/>
    <x v="46"/>
    <x v="16"/>
    <n v="63.13"/>
    <n v="56.07"/>
    <n v="7.06"/>
  </r>
  <r>
    <x v="8"/>
    <x v="2"/>
    <x v="47"/>
    <x v="16"/>
    <n v="109.8"/>
    <n v="97.52"/>
    <n v="12.28"/>
  </r>
  <r>
    <x v="27"/>
    <x v="4"/>
    <x v="48"/>
    <x v="16"/>
    <n v="80.20999999999999"/>
    <n v="71.23"/>
    <n v="8.98"/>
  </r>
  <r>
    <x v="27"/>
    <x v="4"/>
    <x v="49"/>
    <x v="16"/>
    <n v="70.19"/>
    <n v="62.34"/>
    <n v="7.85"/>
  </r>
  <r>
    <x v="61"/>
    <x v="9"/>
    <x v="2"/>
    <x v="16"/>
    <n v="80.64"/>
    <n v="71.62"/>
    <n v="9.02"/>
  </r>
  <r>
    <x v="78"/>
    <x v="12"/>
    <x v="3"/>
    <x v="16"/>
    <n v="109.12"/>
    <n v="96.91"/>
    <n v="12.21"/>
  </r>
  <r>
    <x v="87"/>
    <x v="13"/>
    <x v="4"/>
    <x v="16"/>
    <n v="69.15000000000001"/>
    <n v="61.41"/>
    <n v="7.74"/>
  </r>
  <r>
    <x v="24"/>
    <x v="4"/>
    <x v="5"/>
    <x v="16"/>
    <n v="66.84"/>
    <n v="59.36"/>
    <n v="7.48"/>
  </r>
  <r>
    <x v="1"/>
    <x v="1"/>
    <x v="6"/>
    <x v="16"/>
    <n v="70.56999999999999"/>
    <n v="62.67"/>
    <n v="7.9"/>
  </r>
  <r>
    <x v="22"/>
    <x v="4"/>
    <x v="7"/>
    <x v="16"/>
    <n v="98.91"/>
    <n v="87.84"/>
    <n v="11.07"/>
  </r>
  <r>
    <x v="40"/>
    <x v="6"/>
    <x v="8"/>
    <x v="16"/>
    <n v="111.22"/>
    <n v="98.78"/>
    <n v="12.44"/>
  </r>
  <r>
    <x v="76"/>
    <x v="11"/>
    <x v="9"/>
    <x v="16"/>
    <n v="101.86"/>
    <n v="90.45999999999999"/>
    <n v="11.4"/>
  </r>
  <r>
    <x v="9"/>
    <x v="2"/>
    <x v="10"/>
    <x v="16"/>
    <n v="115.95"/>
    <n v="102.97"/>
    <n v="12.98"/>
  </r>
  <r>
    <x v="77"/>
    <x v="11"/>
    <x v="11"/>
    <x v="16"/>
    <n v="91.92"/>
    <n v="81.63"/>
    <n v="10.29"/>
  </r>
  <r>
    <x v="75"/>
    <x v="11"/>
    <x v="13"/>
    <x v="16"/>
    <n v="52.29"/>
    <n v="46.44"/>
    <n v="5.85"/>
  </r>
  <r>
    <x v="79"/>
    <x v="12"/>
    <x v="14"/>
    <x v="16"/>
    <n v="73.06999999999999"/>
    <n v="64.89"/>
    <n v="8.18"/>
  </r>
  <r>
    <x v="78"/>
    <x v="12"/>
    <x v="15"/>
    <x v="16"/>
    <n v="55.44"/>
    <n v="49.24"/>
    <n v="6.2"/>
  </r>
  <r>
    <x v="39"/>
    <x v="6"/>
    <x v="16"/>
    <x v="16"/>
    <n v="103.19"/>
    <n v="91.64"/>
    <n v="11.55"/>
  </r>
  <r>
    <x v="28"/>
    <x v="4"/>
    <x v="17"/>
    <x v="16"/>
    <n v="97.37"/>
    <n v="86.48"/>
    <n v="10.89"/>
  </r>
  <r>
    <x v="17"/>
    <x v="3"/>
    <x v="18"/>
    <x v="16"/>
    <n v="66.25"/>
    <n v="58.83"/>
    <n v="7.42"/>
  </r>
  <r>
    <x v="77"/>
    <x v="11"/>
    <x v="19"/>
    <x v="16"/>
    <n v="89.67"/>
    <n v="79.64"/>
    <n v="10.03"/>
  </r>
  <r>
    <x v="68"/>
    <x v="10"/>
    <x v="20"/>
    <x v="16"/>
    <n v="102.69"/>
    <n v="91.2"/>
    <n v="11.49"/>
  </r>
  <r>
    <x v="52"/>
    <x v="8"/>
    <x v="21"/>
    <x v="16"/>
    <n v="66.81"/>
    <n v="59.33"/>
    <n v="7.48"/>
  </r>
  <r>
    <x v="1"/>
    <x v="1"/>
    <x v="22"/>
    <x v="16"/>
    <n v="102.72"/>
    <n v="91.22"/>
    <n v="11.5"/>
  </r>
  <r>
    <x v="19"/>
    <x v="3"/>
    <x v="24"/>
    <x v="16"/>
    <n v="69.54000000000001"/>
    <n v="61.75"/>
    <n v="7.79"/>
  </r>
  <r>
    <x v="31"/>
    <x v="5"/>
    <x v="25"/>
    <x v="16"/>
    <n v="59.89"/>
    <n v="53.19"/>
    <n v="6.7"/>
  </r>
  <r>
    <x v="11"/>
    <x v="2"/>
    <x v="26"/>
    <x v="16"/>
    <n v="101.64"/>
    <n v="90.26000000000001"/>
    <n v="11.38"/>
  </r>
  <r>
    <x v="49"/>
    <x v="7"/>
    <x v="27"/>
    <x v="16"/>
    <n v="103.74"/>
    <n v="92.13"/>
    <n v="11.61"/>
  </r>
  <r>
    <x v="26"/>
    <x v="4"/>
    <x v="28"/>
    <x v="16"/>
    <n v="56.91"/>
    <n v="50.54"/>
    <n v="6.37"/>
  </r>
  <r>
    <x v="11"/>
    <x v="2"/>
    <x v="29"/>
    <x v="16"/>
    <n v="79.89"/>
    <n v="70.95"/>
    <n v="8.94"/>
  </r>
  <r>
    <x v="51"/>
    <x v="8"/>
    <x v="30"/>
    <x v="16"/>
    <n v="77.16"/>
    <n v="68.52"/>
    <n v="8.640000000000001"/>
  </r>
  <r>
    <x v="42"/>
    <x v="6"/>
    <x v="31"/>
    <x v="16"/>
    <n v="106.89"/>
    <n v="94.92"/>
    <n v="11.97"/>
  </r>
  <r>
    <x v="74"/>
    <x v="11"/>
    <x v="32"/>
    <x v="16"/>
    <n v="52.66"/>
    <n v="46.77"/>
    <n v="5.89"/>
  </r>
  <r>
    <x v="0"/>
    <x v="0"/>
    <x v="33"/>
    <x v="16"/>
    <n v="97.08"/>
    <n v="86.20999999999999"/>
    <n v="10.87"/>
  </r>
  <r>
    <x v="41"/>
    <x v="6"/>
    <x v="35"/>
    <x v="16"/>
    <n v="78.65000000000001"/>
    <n v="69.84999999999999"/>
    <n v="8.800000000000001"/>
  </r>
  <r>
    <x v="53"/>
    <x v="8"/>
    <x v="36"/>
    <x v="16"/>
    <n v="73.75"/>
    <n v="65.5"/>
    <n v="8.25"/>
  </r>
  <r>
    <x v="44"/>
    <x v="7"/>
    <x v="37"/>
    <x v="16"/>
    <n v="98.73999999999999"/>
    <n v="87.69"/>
    <n v="11.05"/>
  </r>
  <r>
    <x v="35"/>
    <x v="5"/>
    <x v="38"/>
    <x v="16"/>
    <n v="110.39"/>
    <n v="98.04000000000001"/>
    <n v="12.35"/>
  </r>
  <r>
    <x v="57"/>
    <x v="9"/>
    <x v="39"/>
    <x v="16"/>
    <n v="99.19"/>
    <n v="88.09"/>
    <n v="11.1"/>
  </r>
  <r>
    <x v="57"/>
    <x v="9"/>
    <x v="40"/>
    <x v="16"/>
    <n v="103.38"/>
    <n v="91.81"/>
    <n v="11.57"/>
  </r>
  <r>
    <x v="7"/>
    <x v="1"/>
    <x v="41"/>
    <x v="16"/>
    <n v="107.43"/>
    <n v="95.41"/>
    <n v="12.02"/>
  </r>
  <r>
    <x v="2"/>
    <x v="1"/>
    <x v="42"/>
    <x v="16"/>
    <n v="61.87"/>
    <n v="54.95"/>
    <n v="6.92"/>
  </r>
  <r>
    <x v="63"/>
    <x v="9"/>
    <x v="43"/>
    <x v="16"/>
    <n v="83.02"/>
    <n v="73.73"/>
    <n v="9.289999999999999"/>
  </r>
  <r>
    <x v="49"/>
    <x v="7"/>
    <x v="44"/>
    <x v="16"/>
    <n v="60.32"/>
    <n v="53.57"/>
    <n v="6.75"/>
  </r>
  <r>
    <x v="46"/>
    <x v="7"/>
    <x v="50"/>
    <x v="18"/>
    <n v="67.22"/>
    <n v="62.9"/>
    <n v="4.32"/>
  </r>
  <r>
    <x v="59"/>
    <x v="9"/>
    <x v="51"/>
    <x v="18"/>
    <n v="78.14"/>
    <n v="73.11"/>
    <n v="5.03"/>
  </r>
  <r>
    <x v="37"/>
    <x v="6"/>
    <x v="62"/>
    <x v="18"/>
    <n v="39.91"/>
    <n v="37.35"/>
    <n v="2.56"/>
  </r>
  <r>
    <x v="65"/>
    <x v="10"/>
    <x v="73"/>
    <x v="18"/>
    <n v="59.8"/>
    <n v="55.96"/>
    <n v="3.84"/>
  </r>
  <r>
    <x v="1"/>
    <x v="1"/>
    <x v="84"/>
    <x v="18"/>
    <n v="64.56"/>
    <n v="60.41"/>
    <n v="4.15"/>
  </r>
  <r>
    <x v="67"/>
    <x v="10"/>
    <x v="95"/>
    <x v="18"/>
    <n v="39.19"/>
    <n v="36.67"/>
    <n v="2.52"/>
  </r>
  <r>
    <x v="59"/>
    <x v="9"/>
    <x v="106"/>
    <x v="18"/>
    <n v="54.81"/>
    <n v="51.29"/>
    <n v="3.52"/>
  </r>
  <r>
    <x v="29"/>
    <x v="5"/>
    <x v="117"/>
    <x v="18"/>
    <n v="66.95999999999999"/>
    <n v="62.66"/>
    <n v="4.3"/>
  </r>
  <r>
    <x v="35"/>
    <x v="5"/>
    <x v="122"/>
    <x v="18"/>
    <n v="65.76000000000001"/>
    <n v="61.53"/>
    <n v="4.23"/>
  </r>
  <r>
    <x v="21"/>
    <x v="3"/>
    <x v="123"/>
    <x v="18"/>
    <n v="70.91"/>
    <n v="66.34999999999999"/>
    <n v="4.56"/>
  </r>
  <r>
    <x v="6"/>
    <x v="1"/>
    <x v="52"/>
    <x v="18"/>
    <n v="85.34999999999999"/>
    <n v="79.87"/>
    <n v="5.48"/>
  </r>
  <r>
    <x v="2"/>
    <x v="1"/>
    <x v="53"/>
    <x v="18"/>
    <n v="58.6"/>
    <n v="54.83"/>
    <n v="3.77"/>
  </r>
  <r>
    <x v="76"/>
    <x v="11"/>
    <x v="54"/>
    <x v="18"/>
    <n v="41.38"/>
    <n v="38.72"/>
    <n v="2.66"/>
  </r>
  <r>
    <x v="69"/>
    <x v="10"/>
    <x v="55"/>
    <x v="18"/>
    <n v="58.25"/>
    <n v="54.51"/>
    <n v="3.74"/>
  </r>
  <r>
    <x v="47"/>
    <x v="7"/>
    <x v="56"/>
    <x v="18"/>
    <n v="78.69"/>
    <n v="73.63"/>
    <n v="5.06"/>
  </r>
  <r>
    <x v="76"/>
    <x v="11"/>
    <x v="57"/>
    <x v="18"/>
    <n v="56.94"/>
    <n v="53.28"/>
    <n v="3.66"/>
  </r>
  <r>
    <x v="44"/>
    <x v="7"/>
    <x v="58"/>
    <x v="18"/>
    <n v="51.47"/>
    <n v="48.17"/>
    <n v="3.3"/>
  </r>
  <r>
    <x v="15"/>
    <x v="3"/>
    <x v="59"/>
    <x v="18"/>
    <n v="77.76000000000001"/>
    <n v="72.76000000000001"/>
    <n v="5"/>
  </r>
  <r>
    <x v="86"/>
    <x v="13"/>
    <x v="60"/>
    <x v="18"/>
    <n v="83.01000000000001"/>
    <n v="77.67"/>
    <n v="5.34"/>
  </r>
  <r>
    <x v="69"/>
    <x v="10"/>
    <x v="61"/>
    <x v="18"/>
    <n v="66.88"/>
    <n v="62.58"/>
    <n v="4.3"/>
  </r>
  <r>
    <x v="59"/>
    <x v="9"/>
    <x v="63"/>
    <x v="18"/>
    <n v="73.56"/>
    <n v="68.83"/>
    <n v="4.73"/>
  </r>
  <r>
    <x v="55"/>
    <x v="8"/>
    <x v="64"/>
    <x v="18"/>
    <n v="84.55"/>
    <n v="79.11"/>
    <n v="5.44"/>
  </r>
  <r>
    <x v="85"/>
    <x v="13"/>
    <x v="65"/>
    <x v="18"/>
    <n v="78.59999999999999"/>
    <n v="73.55"/>
    <n v="5.05"/>
  </r>
  <r>
    <x v="70"/>
    <x v="10"/>
    <x v="66"/>
    <x v="18"/>
    <n v="79.84999999999999"/>
    <n v="74.70999999999999"/>
    <n v="5.14"/>
  </r>
  <r>
    <x v="12"/>
    <x v="2"/>
    <x v="67"/>
    <x v="18"/>
    <n v="70.20999999999999"/>
    <n v="65.7"/>
    <n v="4.51"/>
  </r>
  <r>
    <x v="48"/>
    <x v="7"/>
    <x v="68"/>
    <x v="18"/>
    <n v="82.73"/>
    <n v="77.41"/>
    <n v="5.32"/>
  </r>
  <r>
    <x v="10"/>
    <x v="2"/>
    <x v="69"/>
    <x v="18"/>
    <n v="53.65"/>
    <n v="50.2"/>
    <n v="3.45"/>
  </r>
  <r>
    <x v="31"/>
    <x v="5"/>
    <x v="70"/>
    <x v="18"/>
    <n v="85.29000000000001"/>
    <n v="79.81"/>
    <n v="5.48"/>
  </r>
  <r>
    <x v="73"/>
    <x v="11"/>
    <x v="71"/>
    <x v="18"/>
    <n v="60.42"/>
    <n v="56.54"/>
    <n v="3.88"/>
  </r>
  <r>
    <x v="72"/>
    <x v="11"/>
    <x v="72"/>
    <x v="18"/>
    <n v="83.48"/>
    <n v="78.11"/>
    <n v="5.37"/>
  </r>
  <r>
    <x v="60"/>
    <x v="9"/>
    <x v="74"/>
    <x v="18"/>
    <n v="46.14"/>
    <n v="43.17"/>
    <n v="2.97"/>
  </r>
  <r>
    <x v="60"/>
    <x v="9"/>
    <x v="75"/>
    <x v="18"/>
    <n v="56.02"/>
    <n v="52.42"/>
    <n v="3.6"/>
  </r>
  <r>
    <x v="52"/>
    <x v="8"/>
    <x v="76"/>
    <x v="18"/>
    <n v="57.13"/>
    <n v="53.45"/>
    <n v="3.68"/>
  </r>
  <r>
    <x v="10"/>
    <x v="2"/>
    <x v="77"/>
    <x v="18"/>
    <n v="54.18"/>
    <n v="50.69"/>
    <n v="3.49"/>
  </r>
  <r>
    <x v="87"/>
    <x v="13"/>
    <x v="78"/>
    <x v="18"/>
    <n v="38.08"/>
    <n v="35.63"/>
    <n v="2.45"/>
  </r>
  <r>
    <x v="82"/>
    <x v="12"/>
    <x v="79"/>
    <x v="18"/>
    <n v="84.2"/>
    <n v="78.79000000000001"/>
    <n v="5.41"/>
  </r>
  <r>
    <x v="76"/>
    <x v="11"/>
    <x v="80"/>
    <x v="18"/>
    <n v="40.11"/>
    <n v="37.54"/>
    <n v="2.57"/>
  </r>
  <r>
    <x v="80"/>
    <x v="12"/>
    <x v="81"/>
    <x v="18"/>
    <n v="54.55"/>
    <n v="51.04"/>
    <n v="3.51"/>
  </r>
  <r>
    <x v="88"/>
    <x v="13"/>
    <x v="82"/>
    <x v="18"/>
    <n v="72.75"/>
    <n v="68.06999999999999"/>
    <n v="4.68"/>
  </r>
  <r>
    <x v="36"/>
    <x v="6"/>
    <x v="83"/>
    <x v="18"/>
    <n v="86.98999999999999"/>
    <n v="81.40000000000001"/>
    <n v="5.59"/>
  </r>
  <r>
    <x v="63"/>
    <x v="9"/>
    <x v="85"/>
    <x v="18"/>
    <n v="82.02"/>
    <n v="76.75"/>
    <n v="5.27"/>
  </r>
  <r>
    <x v="4"/>
    <x v="1"/>
    <x v="86"/>
    <x v="18"/>
    <n v="69.06999999999999"/>
    <n v="64.63"/>
    <n v="4.44"/>
  </r>
  <r>
    <x v="48"/>
    <x v="7"/>
    <x v="87"/>
    <x v="18"/>
    <n v="72.43000000000001"/>
    <n v="67.77"/>
    <n v="4.66"/>
  </r>
  <r>
    <x v="24"/>
    <x v="4"/>
    <x v="88"/>
    <x v="18"/>
    <n v="61.43"/>
    <n v="57.48"/>
    <n v="3.95"/>
  </r>
  <r>
    <x v="16"/>
    <x v="3"/>
    <x v="89"/>
    <x v="18"/>
    <n v="43.21"/>
    <n v="40.44"/>
    <n v="2.77"/>
  </r>
  <r>
    <x v="28"/>
    <x v="4"/>
    <x v="90"/>
    <x v="18"/>
    <n v="55.37"/>
    <n v="51.81"/>
    <n v="3.56"/>
  </r>
  <r>
    <x v="79"/>
    <x v="12"/>
    <x v="91"/>
    <x v="18"/>
    <n v="46.92"/>
    <n v="43.9"/>
    <n v="3.02"/>
  </r>
  <r>
    <x v="78"/>
    <x v="12"/>
    <x v="92"/>
    <x v="18"/>
    <n v="87.58"/>
    <n v="81.95"/>
    <n v="5.63"/>
  </r>
  <r>
    <x v="32"/>
    <x v="5"/>
    <x v="93"/>
    <x v="18"/>
    <n v="63.07"/>
    <n v="59.02"/>
    <n v="4.05"/>
  </r>
  <r>
    <x v="13"/>
    <x v="2"/>
    <x v="94"/>
    <x v="18"/>
    <n v="86.08"/>
    <n v="80.55"/>
    <n v="5.53"/>
  </r>
  <r>
    <x v="0"/>
    <x v="0"/>
    <x v="96"/>
    <x v="18"/>
    <n v="67.43000000000001"/>
    <n v="63.1"/>
    <n v="4.33"/>
  </r>
  <r>
    <x v="25"/>
    <x v="4"/>
    <x v="97"/>
    <x v="18"/>
    <n v="38.17"/>
    <n v="35.71"/>
    <n v="2.46"/>
  </r>
  <r>
    <x v="3"/>
    <x v="1"/>
    <x v="98"/>
    <x v="18"/>
    <n v="55.25"/>
    <n v="51.69"/>
    <n v="3.56"/>
  </r>
  <r>
    <x v="46"/>
    <x v="7"/>
    <x v="99"/>
    <x v="18"/>
    <n v="85.53"/>
    <n v="80.03"/>
    <n v="5.5"/>
  </r>
  <r>
    <x v="4"/>
    <x v="1"/>
    <x v="100"/>
    <x v="18"/>
    <n v="48.38"/>
    <n v="45.27"/>
    <n v="3.11"/>
  </r>
  <r>
    <x v="61"/>
    <x v="9"/>
    <x v="101"/>
    <x v="18"/>
    <n v="42.59"/>
    <n v="39.85"/>
    <n v="2.74"/>
  </r>
  <r>
    <x v="52"/>
    <x v="8"/>
    <x v="102"/>
    <x v="18"/>
    <n v="48.06"/>
    <n v="44.97"/>
    <n v="3.09"/>
  </r>
  <r>
    <x v="2"/>
    <x v="1"/>
    <x v="103"/>
    <x v="18"/>
    <n v="42.05"/>
    <n v="39.34"/>
    <n v="2.71"/>
  </r>
  <r>
    <x v="28"/>
    <x v="4"/>
    <x v="104"/>
    <x v="18"/>
    <n v="43.53"/>
    <n v="40.73"/>
    <n v="2.8"/>
  </r>
  <r>
    <x v="64"/>
    <x v="10"/>
    <x v="105"/>
    <x v="18"/>
    <n v="67.43000000000001"/>
    <n v="63.09"/>
    <n v="4.34"/>
  </r>
  <r>
    <x v="46"/>
    <x v="7"/>
    <x v="107"/>
    <x v="18"/>
    <n v="55.92"/>
    <n v="52.32"/>
    <n v="3.6"/>
  </r>
  <r>
    <x v="63"/>
    <x v="9"/>
    <x v="108"/>
    <x v="18"/>
    <n v="52.34"/>
    <n v="48.97"/>
    <n v="3.37"/>
  </r>
  <r>
    <x v="66"/>
    <x v="10"/>
    <x v="109"/>
    <x v="18"/>
    <n v="77.09"/>
    <n v="72.13"/>
    <n v="4.96"/>
  </r>
  <r>
    <x v="62"/>
    <x v="9"/>
    <x v="110"/>
    <x v="18"/>
    <n v="64.86"/>
    <n v="60.69"/>
    <n v="4.17"/>
  </r>
  <r>
    <x v="60"/>
    <x v="9"/>
    <x v="111"/>
    <x v="18"/>
    <n v="62.07"/>
    <n v="58.08"/>
    <n v="3.99"/>
  </r>
  <r>
    <x v="67"/>
    <x v="10"/>
    <x v="112"/>
    <x v="18"/>
    <n v="56.63"/>
    <n v="52.99"/>
    <n v="3.64"/>
  </r>
  <r>
    <x v="4"/>
    <x v="1"/>
    <x v="113"/>
    <x v="18"/>
    <n v="53.25"/>
    <n v="49.82"/>
    <n v="3.43"/>
  </r>
  <r>
    <x v="38"/>
    <x v="6"/>
    <x v="114"/>
    <x v="18"/>
    <n v="48.59"/>
    <n v="45.47"/>
    <n v="3.12"/>
  </r>
  <r>
    <x v="18"/>
    <x v="3"/>
    <x v="115"/>
    <x v="18"/>
    <n v="69.73"/>
    <n v="65.25"/>
    <n v="4.48"/>
  </r>
  <r>
    <x v="72"/>
    <x v="11"/>
    <x v="116"/>
    <x v="18"/>
    <n v="51.06"/>
    <n v="47.78"/>
    <n v="3.28"/>
  </r>
  <r>
    <x v="44"/>
    <x v="7"/>
    <x v="118"/>
    <x v="18"/>
    <n v="68.34"/>
    <n v="63.95"/>
    <n v="4.39"/>
  </r>
  <r>
    <x v="83"/>
    <x v="12"/>
    <x v="119"/>
    <x v="18"/>
    <n v="83.91"/>
    <n v="78.52"/>
    <n v="5.39"/>
  </r>
  <r>
    <x v="10"/>
    <x v="2"/>
    <x v="120"/>
    <x v="18"/>
    <n v="78.13"/>
    <n v="73.11"/>
    <n v="5.02"/>
  </r>
  <r>
    <x v="88"/>
    <x v="13"/>
    <x v="121"/>
    <x v="18"/>
    <n v="48.85"/>
    <n v="45.71"/>
    <n v="3.14"/>
  </r>
  <r>
    <x v="20"/>
    <x v="3"/>
    <x v="124"/>
    <x v="15"/>
    <n v="2115.67"/>
    <n v="1886.7"/>
    <n v="228.97"/>
  </r>
  <r>
    <x v="17"/>
    <x v="3"/>
    <x v="125"/>
    <x v="15"/>
    <n v="2460.44"/>
    <n v="2194.16"/>
    <n v="266.28"/>
  </r>
  <r>
    <x v="39"/>
    <x v="6"/>
    <x v="126"/>
    <x v="15"/>
    <n v="1428.04"/>
    <n v="1273.49"/>
    <n v="154.55"/>
  </r>
  <r>
    <x v="79"/>
    <x v="12"/>
    <x v="127"/>
    <x v="15"/>
    <n v="2186.66"/>
    <n v="1950"/>
    <n v="236.66"/>
  </r>
  <r>
    <x v="36"/>
    <x v="6"/>
    <x v="128"/>
    <x v="15"/>
    <n v="1921.33"/>
    <n v="1713.4"/>
    <n v="207.93"/>
  </r>
  <r>
    <x v="10"/>
    <x v="2"/>
    <x v="129"/>
    <x v="19"/>
    <n v="2235"/>
    <n v="1835.63"/>
    <n v="399.37"/>
  </r>
  <r>
    <x v="54"/>
    <x v="8"/>
    <x v="130"/>
    <x v="19"/>
    <n v="2836.07"/>
    <n v="2329.3"/>
    <n v="506.77"/>
  </r>
  <r>
    <x v="63"/>
    <x v="9"/>
    <x v="131"/>
    <x v="19"/>
    <n v="2372.32"/>
    <n v="1948.41"/>
    <n v="423.91"/>
  </r>
  <r>
    <x v="1"/>
    <x v="1"/>
    <x v="132"/>
    <x v="19"/>
    <n v="1797.15"/>
    <n v="1476.02"/>
    <n v="321.13"/>
  </r>
  <r>
    <x v="19"/>
    <x v="3"/>
    <x v="133"/>
    <x v="19"/>
    <n v="2379.86"/>
    <n v="1954.6"/>
    <n v="425.26"/>
  </r>
  <r>
    <x v="19"/>
    <x v="3"/>
    <x v="134"/>
    <x v="19"/>
    <n v="1762.54"/>
    <n v="1447.6"/>
    <n v="314.94"/>
  </r>
  <r>
    <x v="82"/>
    <x v="12"/>
    <x v="135"/>
    <x v="17"/>
    <n v="207.92"/>
    <n v="175.58"/>
    <n v="32.34"/>
  </r>
  <r>
    <x v="49"/>
    <x v="7"/>
    <x v="136"/>
    <x v="17"/>
    <n v="233.59"/>
    <n v="197.26"/>
    <n v="36.33"/>
  </r>
  <r>
    <x v="58"/>
    <x v="9"/>
    <x v="147"/>
    <x v="17"/>
    <n v="234.01"/>
    <n v="197.61"/>
    <n v="36.4"/>
  </r>
  <r>
    <x v="28"/>
    <x v="4"/>
    <x v="158"/>
    <x v="17"/>
    <n v="202.11"/>
    <n v="170.67"/>
    <n v="31.44"/>
  </r>
  <r>
    <x v="61"/>
    <x v="9"/>
    <x v="167"/>
    <x v="17"/>
    <n v="249.66"/>
    <n v="210.83"/>
    <n v="38.83"/>
  </r>
  <r>
    <x v="33"/>
    <x v="5"/>
    <x v="168"/>
    <x v="17"/>
    <n v="205.93"/>
    <n v="173.9"/>
    <n v="32.03"/>
  </r>
  <r>
    <x v="34"/>
    <x v="5"/>
    <x v="169"/>
    <x v="17"/>
    <n v="131.24"/>
    <n v="110.83"/>
    <n v="20.41"/>
  </r>
  <r>
    <x v="12"/>
    <x v="2"/>
    <x v="170"/>
    <x v="17"/>
    <n v="221.74"/>
    <n v="187.25"/>
    <n v="34.49"/>
  </r>
  <r>
    <x v="1"/>
    <x v="1"/>
    <x v="171"/>
    <x v="17"/>
    <n v="256.89"/>
    <n v="216.94"/>
    <n v="39.95"/>
  </r>
  <r>
    <x v="51"/>
    <x v="8"/>
    <x v="172"/>
    <x v="17"/>
    <n v="207.41"/>
    <n v="175.14"/>
    <n v="32.27"/>
  </r>
  <r>
    <x v="62"/>
    <x v="9"/>
    <x v="137"/>
    <x v="17"/>
    <n v="293.68"/>
    <n v="248"/>
    <n v="45.68"/>
  </r>
  <r>
    <x v="47"/>
    <x v="7"/>
    <x v="138"/>
    <x v="17"/>
    <n v="247.74"/>
    <n v="209.2"/>
    <n v="38.54"/>
  </r>
  <r>
    <x v="9"/>
    <x v="2"/>
    <x v="139"/>
    <x v="17"/>
    <n v="156.11"/>
    <n v="131.83"/>
    <n v="24.28"/>
  </r>
  <r>
    <x v="24"/>
    <x v="4"/>
    <x v="140"/>
    <x v="17"/>
    <n v="168.12"/>
    <n v="141.97"/>
    <n v="26.15"/>
  </r>
  <r>
    <x v="4"/>
    <x v="1"/>
    <x v="141"/>
    <x v="17"/>
    <n v="298.26"/>
    <n v="251.86"/>
    <n v="46.4"/>
  </r>
  <r>
    <x v="29"/>
    <x v="5"/>
    <x v="142"/>
    <x v="17"/>
    <n v="269.89"/>
    <n v="227.91"/>
    <n v="41.98"/>
  </r>
  <r>
    <x v="51"/>
    <x v="8"/>
    <x v="143"/>
    <x v="17"/>
    <n v="176.97"/>
    <n v="149.44"/>
    <n v="27.53"/>
  </r>
  <r>
    <x v="60"/>
    <x v="9"/>
    <x v="144"/>
    <x v="17"/>
    <n v="159.69"/>
    <n v="134.85"/>
    <n v="24.84"/>
  </r>
  <r>
    <x v="22"/>
    <x v="4"/>
    <x v="145"/>
    <x v="17"/>
    <n v="270.52"/>
    <n v="228.44"/>
    <n v="42.08"/>
  </r>
  <r>
    <x v="22"/>
    <x v="4"/>
    <x v="146"/>
    <x v="17"/>
    <n v="189.65"/>
    <n v="160.15"/>
    <n v="29.5"/>
  </r>
  <r>
    <x v="73"/>
    <x v="11"/>
    <x v="148"/>
    <x v="17"/>
    <n v="142.03"/>
    <n v="119.94"/>
    <n v="22.09"/>
  </r>
  <r>
    <x v="57"/>
    <x v="9"/>
    <x v="149"/>
    <x v="17"/>
    <n v="151.56"/>
    <n v="127.99"/>
    <n v="23.57"/>
  </r>
  <r>
    <x v="55"/>
    <x v="8"/>
    <x v="150"/>
    <x v="17"/>
    <n v="283.33"/>
    <n v="239.26"/>
    <n v="44.07"/>
  </r>
  <r>
    <x v="16"/>
    <x v="3"/>
    <x v="151"/>
    <x v="17"/>
    <n v="144.64"/>
    <n v="122.14"/>
    <n v="22.5"/>
  </r>
  <r>
    <x v="24"/>
    <x v="4"/>
    <x v="152"/>
    <x v="17"/>
    <n v="214.66"/>
    <n v="181.27"/>
    <n v="33.39"/>
  </r>
  <r>
    <x v="15"/>
    <x v="3"/>
    <x v="153"/>
    <x v="17"/>
    <n v="203.03"/>
    <n v="171.45"/>
    <n v="31.58"/>
  </r>
  <r>
    <x v="66"/>
    <x v="10"/>
    <x v="154"/>
    <x v="17"/>
    <n v="225.57"/>
    <n v="190.48"/>
    <n v="35.09"/>
  </r>
  <r>
    <x v="6"/>
    <x v="1"/>
    <x v="155"/>
    <x v="17"/>
    <n v="249.26"/>
    <n v="210.49"/>
    <n v="38.77"/>
  </r>
  <r>
    <x v="28"/>
    <x v="4"/>
    <x v="156"/>
    <x v="17"/>
    <n v="246.99"/>
    <n v="208.57"/>
    <n v="38.42"/>
  </r>
  <r>
    <x v="46"/>
    <x v="7"/>
    <x v="157"/>
    <x v="17"/>
    <n v="255.31"/>
    <n v="215.6"/>
    <n v="39.71"/>
  </r>
  <r>
    <x v="81"/>
    <x v="12"/>
    <x v="159"/>
    <x v="17"/>
    <n v="186.42"/>
    <n v="157.42"/>
    <n v="29"/>
  </r>
  <r>
    <x v="42"/>
    <x v="6"/>
    <x v="160"/>
    <x v="17"/>
    <n v="281.87"/>
    <n v="238.03"/>
    <n v="43.84"/>
  </r>
  <r>
    <x v="67"/>
    <x v="10"/>
    <x v="161"/>
    <x v="17"/>
    <n v="242.38"/>
    <n v="204.68"/>
    <n v="37.7"/>
  </r>
  <r>
    <x v="28"/>
    <x v="4"/>
    <x v="162"/>
    <x v="17"/>
    <n v="276.89"/>
    <n v="233.82"/>
    <n v="43.07"/>
  </r>
  <r>
    <x v="78"/>
    <x v="12"/>
    <x v="163"/>
    <x v="17"/>
    <n v="205.78"/>
    <n v="173.77"/>
    <n v="32.01"/>
  </r>
  <r>
    <x v="14"/>
    <x v="2"/>
    <x v="164"/>
    <x v="17"/>
    <n v="170.7"/>
    <n v="144.15"/>
    <n v="26.55"/>
  </r>
  <r>
    <x v="48"/>
    <x v="7"/>
    <x v="165"/>
    <x v="17"/>
    <n v="235.63"/>
    <n v="198.98"/>
    <n v="36.65"/>
  </r>
  <r>
    <x v="0"/>
    <x v="0"/>
    <x v="166"/>
    <x v="17"/>
    <n v="174.76"/>
    <n v="147.58"/>
    <n v="27.18"/>
  </r>
  <r>
    <x v="50"/>
    <x v="8"/>
    <x v="173"/>
    <x v="11"/>
    <n v="1033.36"/>
    <n v="830.53"/>
    <n v="202.83"/>
  </r>
  <r>
    <x v="62"/>
    <x v="9"/>
    <x v="174"/>
    <x v="11"/>
    <n v="685.45"/>
    <n v="550.91"/>
    <n v="134.54"/>
  </r>
  <r>
    <x v="12"/>
    <x v="2"/>
    <x v="185"/>
    <x v="11"/>
    <n v="532.92"/>
    <n v="428.32"/>
    <n v="104.6"/>
  </r>
  <r>
    <x v="4"/>
    <x v="1"/>
    <x v="186"/>
    <x v="11"/>
    <n v="1017.72"/>
    <n v="817.96"/>
    <n v="199.76"/>
  </r>
  <r>
    <x v="44"/>
    <x v="7"/>
    <x v="187"/>
    <x v="11"/>
    <n v="800.87"/>
    <n v="643.67"/>
    <n v="157.2"/>
  </r>
  <r>
    <x v="44"/>
    <x v="7"/>
    <x v="188"/>
    <x v="11"/>
    <n v="932.7"/>
    <n v="749.63"/>
    <n v="183.07"/>
  </r>
  <r>
    <x v="68"/>
    <x v="10"/>
    <x v="189"/>
    <x v="11"/>
    <n v="891.54"/>
    <n v="716.55"/>
    <n v="174.99"/>
  </r>
  <r>
    <x v="19"/>
    <x v="3"/>
    <x v="190"/>
    <x v="11"/>
    <n v="472.8"/>
    <n v="380"/>
    <n v="92.8"/>
  </r>
  <r>
    <x v="87"/>
    <x v="13"/>
    <x v="191"/>
    <x v="11"/>
    <n v="470.26"/>
    <n v="377.96"/>
    <n v="92.3"/>
  </r>
  <r>
    <x v="57"/>
    <x v="9"/>
    <x v="192"/>
    <x v="11"/>
    <n v="573.89"/>
    <n v="461.25"/>
    <n v="112.64"/>
  </r>
  <r>
    <x v="14"/>
    <x v="2"/>
    <x v="175"/>
    <x v="11"/>
    <n v="453.18"/>
    <n v="364.23"/>
    <n v="88.95"/>
  </r>
  <r>
    <x v="55"/>
    <x v="8"/>
    <x v="176"/>
    <x v="11"/>
    <n v="823.83"/>
    <n v="662.13"/>
    <n v="161.7"/>
  </r>
  <r>
    <x v="80"/>
    <x v="12"/>
    <x v="177"/>
    <x v="11"/>
    <n v="596.33"/>
    <n v="479.28"/>
    <n v="117.05"/>
  </r>
  <r>
    <x v="24"/>
    <x v="4"/>
    <x v="178"/>
    <x v="11"/>
    <n v="967.35"/>
    <n v="777.48"/>
    <n v="189.87"/>
  </r>
  <r>
    <x v="32"/>
    <x v="5"/>
    <x v="179"/>
    <x v="11"/>
    <n v="812.6799999999999"/>
    <n v="653.17"/>
    <n v="159.51"/>
  </r>
  <r>
    <x v="28"/>
    <x v="4"/>
    <x v="180"/>
    <x v="11"/>
    <n v="567.6900000000001"/>
    <n v="456.26"/>
    <n v="111.43"/>
  </r>
  <r>
    <x v="64"/>
    <x v="10"/>
    <x v="181"/>
    <x v="11"/>
    <n v="848.04"/>
    <n v="681.59"/>
    <n v="166.45"/>
  </r>
  <r>
    <x v="88"/>
    <x v="13"/>
    <x v="182"/>
    <x v="11"/>
    <n v="562.27"/>
    <n v="451.91"/>
    <n v="110.36"/>
  </r>
  <r>
    <x v="43"/>
    <x v="7"/>
    <x v="183"/>
    <x v="11"/>
    <n v="497.01"/>
    <n v="399.45"/>
    <n v="97.56"/>
  </r>
  <r>
    <x v="71"/>
    <x v="11"/>
    <x v="184"/>
    <x v="11"/>
    <n v="838.67"/>
    <n v="674.0599999999999"/>
    <n v="164.61"/>
  </r>
  <r>
    <x v="52"/>
    <x v="8"/>
    <x v="193"/>
    <x v="13"/>
    <n v="463.15"/>
    <n v="368.12"/>
    <n v="95.03"/>
  </r>
  <r>
    <x v="56"/>
    <x v="8"/>
    <x v="194"/>
    <x v="13"/>
    <n v="541.24"/>
    <n v="430.2"/>
    <n v="111.04"/>
  </r>
  <r>
    <x v="31"/>
    <x v="5"/>
    <x v="205"/>
    <x v="13"/>
    <n v="529.34"/>
    <n v="420.74"/>
    <n v="108.6"/>
  </r>
  <r>
    <x v="18"/>
    <x v="3"/>
    <x v="216"/>
    <x v="13"/>
    <n v="553.79"/>
    <n v="440.17"/>
    <n v="113.62"/>
  </r>
  <r>
    <x v="12"/>
    <x v="2"/>
    <x v="225"/>
    <x v="13"/>
    <n v="313.58"/>
    <n v="249.24"/>
    <n v="64.34"/>
  </r>
  <r>
    <x v="86"/>
    <x v="13"/>
    <x v="226"/>
    <x v="13"/>
    <n v="335.02"/>
    <n v="266.28"/>
    <n v="68.73999999999999"/>
  </r>
  <r>
    <x v="32"/>
    <x v="5"/>
    <x v="227"/>
    <x v="13"/>
    <n v="545.09"/>
    <n v="433.25"/>
    <n v="111.84"/>
  </r>
  <r>
    <x v="51"/>
    <x v="8"/>
    <x v="228"/>
    <x v="13"/>
    <n v="379.31"/>
    <n v="301.49"/>
    <n v="77.81999999999999"/>
  </r>
  <r>
    <x v="89"/>
    <x v="13"/>
    <x v="229"/>
    <x v="13"/>
    <n v="506.76"/>
    <n v="402.79"/>
    <n v="103.97"/>
  </r>
  <r>
    <x v="63"/>
    <x v="9"/>
    <x v="230"/>
    <x v="13"/>
    <n v="411.9"/>
    <n v="327.39"/>
    <n v="84.51000000000001"/>
  </r>
  <r>
    <x v="10"/>
    <x v="2"/>
    <x v="195"/>
    <x v="13"/>
    <n v="322.73"/>
    <n v="256.52"/>
    <n v="66.20999999999999"/>
  </r>
  <r>
    <x v="26"/>
    <x v="4"/>
    <x v="196"/>
    <x v="13"/>
    <n v="376.42"/>
    <n v="299.19"/>
    <n v="77.23"/>
  </r>
  <r>
    <x v="64"/>
    <x v="10"/>
    <x v="197"/>
    <x v="13"/>
    <n v="489.17"/>
    <n v="388.81"/>
    <n v="100.36"/>
  </r>
  <r>
    <x v="62"/>
    <x v="9"/>
    <x v="198"/>
    <x v="13"/>
    <n v="566.63"/>
    <n v="450.37"/>
    <n v="116.26"/>
  </r>
  <r>
    <x v="77"/>
    <x v="11"/>
    <x v="199"/>
    <x v="13"/>
    <n v="392.05"/>
    <n v="311.62"/>
    <n v="80.43000000000001"/>
  </r>
  <r>
    <x v="27"/>
    <x v="4"/>
    <x v="200"/>
    <x v="13"/>
    <n v="418.12"/>
    <n v="332.34"/>
    <n v="85.78"/>
  </r>
  <r>
    <x v="20"/>
    <x v="3"/>
    <x v="201"/>
    <x v="13"/>
    <n v="412.84"/>
    <n v="328.14"/>
    <n v="84.7"/>
  </r>
  <r>
    <x v="21"/>
    <x v="3"/>
    <x v="202"/>
    <x v="13"/>
    <n v="641.6"/>
    <n v="509.97"/>
    <n v="131.63"/>
  </r>
  <r>
    <x v="53"/>
    <x v="8"/>
    <x v="203"/>
    <x v="13"/>
    <n v="442.21"/>
    <n v="351.48"/>
    <n v="90.73"/>
  </r>
  <r>
    <x v="26"/>
    <x v="4"/>
    <x v="204"/>
    <x v="13"/>
    <n v="394.29"/>
    <n v="313.4"/>
    <n v="80.89"/>
  </r>
  <r>
    <x v="17"/>
    <x v="3"/>
    <x v="206"/>
    <x v="13"/>
    <n v="318.73"/>
    <n v="253.34"/>
    <n v="65.39"/>
  </r>
  <r>
    <x v="23"/>
    <x v="4"/>
    <x v="207"/>
    <x v="13"/>
    <n v="375.63"/>
    <n v="298.56"/>
    <n v="77.06999999999999"/>
  </r>
  <r>
    <x v="87"/>
    <x v="13"/>
    <x v="208"/>
    <x v="13"/>
    <n v="567.12"/>
    <n v="450.76"/>
    <n v="116.36"/>
  </r>
  <r>
    <x v="29"/>
    <x v="5"/>
    <x v="209"/>
    <x v="13"/>
    <n v="504.13"/>
    <n v="400.7"/>
    <n v="103.43"/>
  </r>
  <r>
    <x v="62"/>
    <x v="9"/>
    <x v="210"/>
    <x v="13"/>
    <n v="367.46"/>
    <n v="292.07"/>
    <n v="75.39"/>
  </r>
  <r>
    <x v="54"/>
    <x v="8"/>
    <x v="211"/>
    <x v="13"/>
    <n v="493.02"/>
    <n v="391.87"/>
    <n v="101.15"/>
  </r>
  <r>
    <x v="85"/>
    <x v="13"/>
    <x v="212"/>
    <x v="13"/>
    <n v="655.64"/>
    <n v="521.12"/>
    <n v="134.52"/>
  </r>
  <r>
    <x v="74"/>
    <x v="11"/>
    <x v="213"/>
    <x v="13"/>
    <n v="465.95"/>
    <n v="370.35"/>
    <n v="95.59999999999999"/>
  </r>
  <r>
    <x v="56"/>
    <x v="8"/>
    <x v="214"/>
    <x v="13"/>
    <n v="301.05"/>
    <n v="239.29"/>
    <n v="61.76"/>
  </r>
  <r>
    <x v="14"/>
    <x v="2"/>
    <x v="215"/>
    <x v="13"/>
    <n v="355.72"/>
    <n v="282.74"/>
    <n v="72.98"/>
  </r>
  <r>
    <x v="10"/>
    <x v="2"/>
    <x v="217"/>
    <x v="13"/>
    <n v="505.81"/>
    <n v="402.03"/>
    <n v="103.78"/>
  </r>
  <r>
    <x v="29"/>
    <x v="5"/>
    <x v="218"/>
    <x v="13"/>
    <n v="288.17"/>
    <n v="229.05"/>
    <n v="59.12"/>
  </r>
  <r>
    <x v="82"/>
    <x v="12"/>
    <x v="219"/>
    <x v="13"/>
    <n v="627.8099999999999"/>
    <n v="499"/>
    <n v="128.81"/>
  </r>
  <r>
    <x v="59"/>
    <x v="9"/>
    <x v="220"/>
    <x v="13"/>
    <n v="462.3"/>
    <n v="367.45"/>
    <n v="94.84999999999999"/>
  </r>
  <r>
    <x v="68"/>
    <x v="10"/>
    <x v="221"/>
    <x v="13"/>
    <n v="438.16"/>
    <n v="348.26"/>
    <n v="89.90000000000001"/>
  </r>
  <r>
    <x v="79"/>
    <x v="12"/>
    <x v="222"/>
    <x v="13"/>
    <n v="641.97"/>
    <n v="510.26"/>
    <n v="131.71"/>
  </r>
  <r>
    <x v="66"/>
    <x v="10"/>
    <x v="223"/>
    <x v="13"/>
    <n v="560.83"/>
    <n v="445.76"/>
    <n v="115.07"/>
  </r>
  <r>
    <x v="50"/>
    <x v="8"/>
    <x v="224"/>
    <x v="13"/>
    <n v="571.1799999999999"/>
    <n v="454"/>
    <n v="117.18"/>
  </r>
  <r>
    <x v="23"/>
    <x v="4"/>
    <x v="231"/>
    <x v="10"/>
    <n v="203.61"/>
    <n v="187.72"/>
    <n v="15.89"/>
  </r>
  <r>
    <x v="82"/>
    <x v="12"/>
    <x v="232"/>
    <x v="10"/>
    <n v="263.1"/>
    <n v="242.57"/>
    <n v="20.53"/>
  </r>
  <r>
    <x v="8"/>
    <x v="2"/>
    <x v="243"/>
    <x v="10"/>
    <n v="132.28"/>
    <n v="121.96"/>
    <n v="10.32"/>
  </r>
  <r>
    <x v="1"/>
    <x v="1"/>
    <x v="252"/>
    <x v="10"/>
    <n v="195.71"/>
    <n v="180.44"/>
    <n v="15.27"/>
  </r>
  <r>
    <x v="87"/>
    <x v="13"/>
    <x v="253"/>
    <x v="10"/>
    <n v="202.53"/>
    <n v="186.73"/>
    <n v="15.8"/>
  </r>
  <r>
    <x v="0"/>
    <x v="0"/>
    <x v="254"/>
    <x v="10"/>
    <n v="284"/>
    <n v="261.85"/>
    <n v="22.15"/>
  </r>
  <r>
    <x v="55"/>
    <x v="8"/>
    <x v="255"/>
    <x v="10"/>
    <n v="203.49"/>
    <n v="187.62"/>
    <n v="15.87"/>
  </r>
  <r>
    <x v="13"/>
    <x v="2"/>
    <x v="256"/>
    <x v="10"/>
    <n v="262.8"/>
    <n v="242.3"/>
    <n v="20.5"/>
  </r>
  <r>
    <x v="35"/>
    <x v="5"/>
    <x v="257"/>
    <x v="10"/>
    <n v="162.5"/>
    <n v="149.83"/>
    <n v="12.67"/>
  </r>
  <r>
    <x v="5"/>
    <x v="1"/>
    <x v="258"/>
    <x v="10"/>
    <n v="177.85"/>
    <n v="163.98"/>
    <n v="13.87"/>
  </r>
  <r>
    <x v="34"/>
    <x v="5"/>
    <x v="233"/>
    <x v="10"/>
    <n v="223.76"/>
    <n v="206.3"/>
    <n v="17.46"/>
  </r>
  <r>
    <x v="70"/>
    <x v="10"/>
    <x v="234"/>
    <x v="10"/>
    <n v="170.54"/>
    <n v="157.23"/>
    <n v="13.31"/>
  </r>
  <r>
    <x v="57"/>
    <x v="9"/>
    <x v="235"/>
    <x v="10"/>
    <n v="172.92"/>
    <n v="159.43"/>
    <n v="13.49"/>
  </r>
  <r>
    <x v="67"/>
    <x v="10"/>
    <x v="236"/>
    <x v="10"/>
    <n v="174.12"/>
    <n v="160.54"/>
    <n v="13.58"/>
  </r>
  <r>
    <x v="61"/>
    <x v="9"/>
    <x v="237"/>
    <x v="10"/>
    <n v="267.41"/>
    <n v="246.55"/>
    <n v="20.86"/>
  </r>
  <r>
    <x v="53"/>
    <x v="8"/>
    <x v="238"/>
    <x v="10"/>
    <n v="206.68"/>
    <n v="190.55"/>
    <n v="16.13"/>
  </r>
  <r>
    <x v="10"/>
    <x v="2"/>
    <x v="239"/>
    <x v="10"/>
    <n v="206.5"/>
    <n v="190.39"/>
    <n v="16.11"/>
  </r>
  <r>
    <x v="73"/>
    <x v="11"/>
    <x v="240"/>
    <x v="10"/>
    <n v="284.28"/>
    <n v="262.11"/>
    <n v="22.17"/>
  </r>
  <r>
    <x v="42"/>
    <x v="6"/>
    <x v="241"/>
    <x v="10"/>
    <n v="176.53"/>
    <n v="162.76"/>
    <n v="13.77"/>
  </r>
  <r>
    <x v="43"/>
    <x v="7"/>
    <x v="242"/>
    <x v="10"/>
    <n v="258.31"/>
    <n v="238.16"/>
    <n v="20.15"/>
  </r>
  <r>
    <x v="58"/>
    <x v="9"/>
    <x v="244"/>
    <x v="10"/>
    <n v="233.66"/>
    <n v="215.43"/>
    <n v="18.23"/>
  </r>
  <r>
    <x v="60"/>
    <x v="9"/>
    <x v="245"/>
    <x v="10"/>
    <n v="268.8"/>
    <n v="247.83"/>
    <n v="20.97"/>
  </r>
  <r>
    <x v="28"/>
    <x v="4"/>
    <x v="246"/>
    <x v="10"/>
    <n v="234.11"/>
    <n v="215.85"/>
    <n v="18.26"/>
  </r>
  <r>
    <x v="19"/>
    <x v="3"/>
    <x v="247"/>
    <x v="10"/>
    <n v="152.82"/>
    <n v="140.9"/>
    <n v="11.92"/>
  </r>
  <r>
    <x v="19"/>
    <x v="3"/>
    <x v="248"/>
    <x v="10"/>
    <n v="250.22"/>
    <n v="230.7"/>
    <n v="19.52"/>
  </r>
  <r>
    <x v="13"/>
    <x v="2"/>
    <x v="249"/>
    <x v="10"/>
    <n v="241.31"/>
    <n v="222.49"/>
    <n v="18.82"/>
  </r>
  <r>
    <x v="77"/>
    <x v="11"/>
    <x v="250"/>
    <x v="10"/>
    <n v="263.21"/>
    <n v="242.68"/>
    <n v="20.53"/>
  </r>
  <r>
    <x v="52"/>
    <x v="8"/>
    <x v="251"/>
    <x v="10"/>
    <n v="246.06"/>
    <n v="226.86"/>
    <n v="19.2"/>
  </r>
  <r>
    <x v="55"/>
    <x v="8"/>
    <x v="259"/>
    <x v="14"/>
    <n v="714.24"/>
    <n v="579.86"/>
    <n v="134.38"/>
  </r>
  <r>
    <x v="18"/>
    <x v="3"/>
    <x v="260"/>
    <x v="14"/>
    <n v="1462.5"/>
    <n v="1187.34"/>
    <n v="275.16"/>
  </r>
  <r>
    <x v="12"/>
    <x v="2"/>
    <x v="271"/>
    <x v="14"/>
    <n v="1449.64"/>
    <n v="1176.9"/>
    <n v="272.74"/>
  </r>
  <r>
    <x v="18"/>
    <x v="3"/>
    <x v="278"/>
    <x v="14"/>
    <n v="1205.29"/>
    <n v="978.52"/>
    <n v="226.77"/>
  </r>
  <r>
    <x v="75"/>
    <x v="11"/>
    <x v="279"/>
    <x v="14"/>
    <n v="686.1799999999999"/>
    <n v="557.08"/>
    <n v="129.1"/>
  </r>
  <r>
    <x v="54"/>
    <x v="8"/>
    <x v="280"/>
    <x v="14"/>
    <n v="1281.33"/>
    <n v="1040.26"/>
    <n v="241.07"/>
  </r>
  <r>
    <x v="30"/>
    <x v="5"/>
    <x v="281"/>
    <x v="14"/>
    <n v="1192.12"/>
    <n v="967.83"/>
    <n v="224.29"/>
  </r>
  <r>
    <x v="85"/>
    <x v="13"/>
    <x v="282"/>
    <x v="14"/>
    <n v="1095.48"/>
    <n v="889.37"/>
    <n v="206.11"/>
  </r>
  <r>
    <x v="80"/>
    <x v="12"/>
    <x v="283"/>
    <x v="14"/>
    <n v="1542.59"/>
    <n v="1252.36"/>
    <n v="290.23"/>
  </r>
  <r>
    <x v="60"/>
    <x v="9"/>
    <x v="284"/>
    <x v="14"/>
    <n v="1289.54"/>
    <n v="1046.92"/>
    <n v="242.62"/>
  </r>
  <r>
    <x v="40"/>
    <x v="6"/>
    <x v="261"/>
    <x v="14"/>
    <n v="1097.16"/>
    <n v="890.73"/>
    <n v="206.43"/>
  </r>
  <r>
    <x v="44"/>
    <x v="7"/>
    <x v="262"/>
    <x v="14"/>
    <n v="936.95"/>
    <n v="760.66"/>
    <n v="176.29"/>
  </r>
  <r>
    <x v="17"/>
    <x v="3"/>
    <x v="263"/>
    <x v="14"/>
    <n v="958.47"/>
    <n v="778.14"/>
    <n v="180.33"/>
  </r>
  <r>
    <x v="8"/>
    <x v="2"/>
    <x v="264"/>
    <x v="14"/>
    <n v="702.51"/>
    <n v="570.34"/>
    <n v="132.17"/>
  </r>
  <r>
    <x v="70"/>
    <x v="10"/>
    <x v="265"/>
    <x v="14"/>
    <n v="1537.18"/>
    <n v="1247.97"/>
    <n v="289.21"/>
  </r>
  <r>
    <x v="80"/>
    <x v="12"/>
    <x v="266"/>
    <x v="14"/>
    <n v="1259.75"/>
    <n v="1022.73"/>
    <n v="237.02"/>
  </r>
  <r>
    <x v="16"/>
    <x v="3"/>
    <x v="267"/>
    <x v="14"/>
    <n v="1062.91"/>
    <n v="862.9299999999999"/>
    <n v="199.98"/>
  </r>
  <r>
    <x v="16"/>
    <x v="3"/>
    <x v="268"/>
    <x v="14"/>
    <n v="1164.87"/>
    <n v="945.71"/>
    <n v="219.16"/>
  </r>
  <r>
    <x v="41"/>
    <x v="6"/>
    <x v="269"/>
    <x v="14"/>
    <n v="1563.94"/>
    <n v="1269.69"/>
    <n v="294.25"/>
  </r>
  <r>
    <x v="26"/>
    <x v="4"/>
    <x v="270"/>
    <x v="14"/>
    <n v="900.92"/>
    <n v="731.42"/>
    <n v="169.5"/>
  </r>
  <r>
    <x v="83"/>
    <x v="12"/>
    <x v="272"/>
    <x v="14"/>
    <n v="1224.83"/>
    <n v="994.38"/>
    <n v="230.45"/>
  </r>
  <r>
    <x v="72"/>
    <x v="11"/>
    <x v="273"/>
    <x v="14"/>
    <n v="1148.04"/>
    <n v="932.04"/>
    <n v="216"/>
  </r>
  <r>
    <x v="8"/>
    <x v="2"/>
    <x v="274"/>
    <x v="14"/>
    <n v="1201.77"/>
    <n v="975.67"/>
    <n v="226.1"/>
  </r>
  <r>
    <x v="49"/>
    <x v="7"/>
    <x v="275"/>
    <x v="14"/>
    <n v="1018.71"/>
    <n v="827.05"/>
    <n v="191.66"/>
  </r>
  <r>
    <x v="82"/>
    <x v="12"/>
    <x v="276"/>
    <x v="14"/>
    <n v="1448.83"/>
    <n v="1176.24"/>
    <n v="272.59"/>
  </r>
  <r>
    <x v="26"/>
    <x v="4"/>
    <x v="277"/>
    <x v="14"/>
    <n v="1337.88"/>
    <n v="1086.17"/>
    <n v="251.71"/>
  </r>
  <r>
    <x v="51"/>
    <x v="8"/>
    <x v="285"/>
    <x v="12"/>
    <n v="281.71"/>
    <n v="243.63"/>
    <n v="38.08"/>
  </r>
  <r>
    <x v="63"/>
    <x v="9"/>
    <x v="286"/>
    <x v="12"/>
    <n v="217.85"/>
    <n v="188.41"/>
    <n v="29.44"/>
  </r>
  <r>
    <x v="70"/>
    <x v="10"/>
    <x v="297"/>
    <x v="12"/>
    <n v="162.5"/>
    <n v="140.53"/>
    <n v="21.97"/>
  </r>
  <r>
    <x v="87"/>
    <x v="13"/>
    <x v="308"/>
    <x v="12"/>
    <n v="325.01"/>
    <n v="281.08"/>
    <n v="43.93"/>
  </r>
  <r>
    <x v="21"/>
    <x v="3"/>
    <x v="315"/>
    <x v="12"/>
    <n v="267"/>
    <n v="230.91"/>
    <n v="36.09"/>
  </r>
  <r>
    <x v="61"/>
    <x v="9"/>
    <x v="316"/>
    <x v="12"/>
    <n v="319.34"/>
    <n v="276.18"/>
    <n v="43.16"/>
  </r>
  <r>
    <x v="1"/>
    <x v="1"/>
    <x v="317"/>
    <x v="12"/>
    <n v="289.67"/>
    <n v="250.52"/>
    <n v="39.15"/>
  </r>
  <r>
    <x v="45"/>
    <x v="7"/>
    <x v="318"/>
    <x v="12"/>
    <n v="311.59"/>
    <n v="269.47"/>
    <n v="42.12"/>
  </r>
  <r>
    <x v="6"/>
    <x v="1"/>
    <x v="319"/>
    <x v="12"/>
    <n v="186.59"/>
    <n v="161.37"/>
    <n v="25.22"/>
  </r>
  <r>
    <x v="15"/>
    <x v="3"/>
    <x v="320"/>
    <x v="12"/>
    <n v="333.6"/>
    <n v="288.51"/>
    <n v="45.09"/>
  </r>
  <r>
    <x v="88"/>
    <x v="13"/>
    <x v="287"/>
    <x v="12"/>
    <n v="352.57"/>
    <n v="304.91"/>
    <n v="47.66"/>
  </r>
  <r>
    <x v="2"/>
    <x v="1"/>
    <x v="288"/>
    <x v="12"/>
    <n v="279.61"/>
    <n v="241.82"/>
    <n v="37.79"/>
  </r>
  <r>
    <x v="2"/>
    <x v="1"/>
    <x v="289"/>
    <x v="12"/>
    <n v="193.92"/>
    <n v="167.71"/>
    <n v="26.21"/>
  </r>
  <r>
    <x v="36"/>
    <x v="6"/>
    <x v="290"/>
    <x v="12"/>
    <n v="300.16"/>
    <n v="259.59"/>
    <n v="40.57"/>
  </r>
  <r>
    <x v="6"/>
    <x v="1"/>
    <x v="291"/>
    <x v="12"/>
    <n v="247.98"/>
    <n v="214.46"/>
    <n v="33.52"/>
  </r>
  <r>
    <x v="64"/>
    <x v="10"/>
    <x v="292"/>
    <x v="12"/>
    <n v="343.29"/>
    <n v="296.89"/>
    <n v="46.4"/>
  </r>
  <r>
    <x v="38"/>
    <x v="6"/>
    <x v="293"/>
    <x v="12"/>
    <n v="249.02"/>
    <n v="215.36"/>
    <n v="33.66"/>
  </r>
  <r>
    <x v="15"/>
    <x v="3"/>
    <x v="294"/>
    <x v="12"/>
    <n v="264.58"/>
    <n v="228.82"/>
    <n v="35.76"/>
  </r>
  <r>
    <x v="33"/>
    <x v="5"/>
    <x v="295"/>
    <x v="12"/>
    <n v="302.05"/>
    <n v="261.23"/>
    <n v="40.82"/>
  </r>
  <r>
    <x v="67"/>
    <x v="10"/>
    <x v="296"/>
    <x v="12"/>
    <n v="245.27"/>
    <n v="212.12"/>
    <n v="33.15"/>
  </r>
  <r>
    <x v="55"/>
    <x v="8"/>
    <x v="298"/>
    <x v="12"/>
    <n v="261.28"/>
    <n v="225.96"/>
    <n v="35.32"/>
  </r>
  <r>
    <x v="45"/>
    <x v="7"/>
    <x v="299"/>
    <x v="12"/>
    <n v="244.17"/>
    <n v="211.17"/>
    <n v="33"/>
  </r>
  <r>
    <x v="18"/>
    <x v="3"/>
    <x v="300"/>
    <x v="12"/>
    <n v="239.7"/>
    <n v="207.3"/>
    <n v="32.4"/>
  </r>
  <r>
    <x v="11"/>
    <x v="2"/>
    <x v="301"/>
    <x v="12"/>
    <n v="240.4"/>
    <n v="207.91"/>
    <n v="32.49"/>
  </r>
  <r>
    <x v="88"/>
    <x v="13"/>
    <x v="302"/>
    <x v="12"/>
    <n v="343.71"/>
    <n v="297.25"/>
    <n v="46.46"/>
  </r>
  <r>
    <x v="3"/>
    <x v="1"/>
    <x v="303"/>
    <x v="12"/>
    <n v="196.24"/>
    <n v="169.71"/>
    <n v="26.53"/>
  </r>
  <r>
    <x v="44"/>
    <x v="7"/>
    <x v="304"/>
    <x v="12"/>
    <n v="250.77"/>
    <n v="216.87"/>
    <n v="33.9"/>
  </r>
  <r>
    <x v="23"/>
    <x v="4"/>
    <x v="305"/>
    <x v="12"/>
    <n v="345.14"/>
    <n v="298.49"/>
    <n v="46.65"/>
  </r>
  <r>
    <x v="34"/>
    <x v="5"/>
    <x v="306"/>
    <x v="12"/>
    <n v="220.91"/>
    <n v="191.05"/>
    <n v="29.86"/>
  </r>
  <r>
    <x v="2"/>
    <x v="1"/>
    <x v="307"/>
    <x v="12"/>
    <n v="269.05"/>
    <n v="232.68"/>
    <n v="36.37"/>
  </r>
  <r>
    <x v="21"/>
    <x v="3"/>
    <x v="309"/>
    <x v="12"/>
    <n v="311"/>
    <n v="268.96"/>
    <n v="42.04"/>
  </r>
  <r>
    <x v="68"/>
    <x v="10"/>
    <x v="310"/>
    <x v="12"/>
    <n v="186.67"/>
    <n v="161.44"/>
    <n v="25.23"/>
  </r>
  <r>
    <x v="79"/>
    <x v="12"/>
    <x v="311"/>
    <x v="12"/>
    <n v="205.47"/>
    <n v="177.7"/>
    <n v="27.77"/>
  </r>
  <r>
    <x v="60"/>
    <x v="9"/>
    <x v="312"/>
    <x v="12"/>
    <n v="239.41"/>
    <n v="207.05"/>
    <n v="32.36"/>
  </r>
  <r>
    <x v="19"/>
    <x v="3"/>
    <x v="313"/>
    <x v="12"/>
    <n v="247.23"/>
    <n v="213.82"/>
    <n v="33.41"/>
  </r>
  <r>
    <x v="40"/>
    <x v="6"/>
    <x v="314"/>
    <x v="12"/>
    <n v="195.88"/>
    <n v="169.41"/>
    <n v="26.47"/>
  </r>
  <r>
    <x v="68"/>
    <x v="10"/>
    <x v="321"/>
    <x v="21"/>
    <n v="566.99"/>
    <n v="526.38"/>
    <n v="40.61"/>
  </r>
  <r>
    <x v="77"/>
    <x v="11"/>
    <x v="322"/>
    <x v="21"/>
    <n v="940.36"/>
    <n v="873.02"/>
    <n v="67.34"/>
  </r>
  <r>
    <x v="21"/>
    <x v="3"/>
    <x v="333"/>
    <x v="21"/>
    <n v="1185.37"/>
    <n v="1100.47"/>
    <n v="84.90000000000001"/>
  </r>
  <r>
    <x v="67"/>
    <x v="10"/>
    <x v="344"/>
    <x v="21"/>
    <n v="1023.02"/>
    <n v="949.75"/>
    <n v="73.27"/>
  </r>
  <r>
    <x v="57"/>
    <x v="9"/>
    <x v="352"/>
    <x v="21"/>
    <n v="914.61"/>
    <n v="849.11"/>
    <n v="65.5"/>
  </r>
  <r>
    <x v="35"/>
    <x v="5"/>
    <x v="353"/>
    <x v="21"/>
    <n v="912.66"/>
    <n v="847.29"/>
    <n v="65.37"/>
  </r>
  <r>
    <x v="71"/>
    <x v="11"/>
    <x v="354"/>
    <x v="21"/>
    <n v="1006.67"/>
    <n v="934.5700000000001"/>
    <n v="72.09999999999999"/>
  </r>
  <r>
    <x v="25"/>
    <x v="4"/>
    <x v="355"/>
    <x v="21"/>
    <n v="690.0700000000001"/>
    <n v="640.65"/>
    <n v="49.42"/>
  </r>
  <r>
    <x v="54"/>
    <x v="8"/>
    <x v="356"/>
    <x v="21"/>
    <n v="548.89"/>
    <n v="509.57"/>
    <n v="39.32"/>
  </r>
  <r>
    <x v="73"/>
    <x v="11"/>
    <x v="357"/>
    <x v="21"/>
    <n v="1020.88"/>
    <n v="947.76"/>
    <n v="73.12"/>
  </r>
  <r>
    <x v="67"/>
    <x v="10"/>
    <x v="323"/>
    <x v="21"/>
    <n v="704.09"/>
    <n v="653.67"/>
    <n v="50.42"/>
  </r>
  <r>
    <x v="2"/>
    <x v="1"/>
    <x v="324"/>
    <x v="21"/>
    <n v="685.49"/>
    <n v="636.4"/>
    <n v="49.09"/>
  </r>
  <r>
    <x v="19"/>
    <x v="3"/>
    <x v="325"/>
    <x v="21"/>
    <n v="987.41"/>
    <n v="916.6900000000001"/>
    <n v="70.72"/>
  </r>
  <r>
    <x v="17"/>
    <x v="3"/>
    <x v="326"/>
    <x v="21"/>
    <n v="1078.72"/>
    <n v="1001.46"/>
    <n v="77.26000000000001"/>
  </r>
  <r>
    <x v="80"/>
    <x v="12"/>
    <x v="327"/>
    <x v="21"/>
    <n v="708.16"/>
    <n v="657.4400000000001"/>
    <n v="50.72"/>
  </r>
  <r>
    <x v="27"/>
    <x v="4"/>
    <x v="328"/>
    <x v="21"/>
    <n v="874.16"/>
    <n v="811.5599999999999"/>
    <n v="62.6"/>
  </r>
  <r>
    <x v="76"/>
    <x v="11"/>
    <x v="329"/>
    <x v="21"/>
    <n v="1087.18"/>
    <n v="1009.31"/>
    <n v="77.87"/>
  </r>
  <r>
    <x v="49"/>
    <x v="7"/>
    <x v="330"/>
    <x v="21"/>
    <n v="1018.81"/>
    <n v="945.84"/>
    <n v="72.97"/>
  </r>
  <r>
    <x v="22"/>
    <x v="4"/>
    <x v="331"/>
    <x v="21"/>
    <n v="1091.83"/>
    <n v="1013.64"/>
    <n v="78.19"/>
  </r>
  <r>
    <x v="24"/>
    <x v="4"/>
    <x v="332"/>
    <x v="21"/>
    <n v="958.79"/>
    <n v="890.12"/>
    <n v="68.67"/>
  </r>
  <r>
    <x v="26"/>
    <x v="4"/>
    <x v="334"/>
    <x v="21"/>
    <n v="902.03"/>
    <n v="837.4299999999999"/>
    <n v="64.59999999999999"/>
  </r>
  <r>
    <x v="38"/>
    <x v="6"/>
    <x v="335"/>
    <x v="21"/>
    <n v="851.1900000000001"/>
    <n v="790.22"/>
    <n v="60.97"/>
  </r>
  <r>
    <x v="79"/>
    <x v="12"/>
    <x v="336"/>
    <x v="21"/>
    <n v="699.78"/>
    <n v="649.66"/>
    <n v="50.12"/>
  </r>
  <r>
    <x v="56"/>
    <x v="8"/>
    <x v="337"/>
    <x v="21"/>
    <n v="580.78"/>
    <n v="539.1799999999999"/>
    <n v="41.6"/>
  </r>
  <r>
    <x v="60"/>
    <x v="9"/>
    <x v="338"/>
    <x v="21"/>
    <n v="716.8200000000001"/>
    <n v="665.48"/>
    <n v="51.34"/>
  </r>
  <r>
    <x v="78"/>
    <x v="12"/>
    <x v="339"/>
    <x v="21"/>
    <n v="771.83"/>
    <n v="716.55"/>
    <n v="55.28"/>
  </r>
  <r>
    <x v="66"/>
    <x v="10"/>
    <x v="340"/>
    <x v="21"/>
    <n v="911.6900000000001"/>
    <n v="846.39"/>
    <n v="65.3"/>
  </r>
  <r>
    <x v="86"/>
    <x v="13"/>
    <x v="341"/>
    <x v="21"/>
    <n v="1084.87"/>
    <n v="1007.17"/>
    <n v="77.7"/>
  </r>
  <r>
    <x v="60"/>
    <x v="9"/>
    <x v="342"/>
    <x v="21"/>
    <n v="674.9299999999999"/>
    <n v="626.59"/>
    <n v="48.34"/>
  </r>
  <r>
    <x v="53"/>
    <x v="8"/>
    <x v="343"/>
    <x v="21"/>
    <n v="996.53"/>
    <n v="925.16"/>
    <n v="71.37"/>
  </r>
  <r>
    <x v="69"/>
    <x v="10"/>
    <x v="345"/>
    <x v="21"/>
    <n v="577.5700000000001"/>
    <n v="536.21"/>
    <n v="41.36"/>
  </r>
  <r>
    <x v="80"/>
    <x v="12"/>
    <x v="346"/>
    <x v="21"/>
    <n v="666.64"/>
    <n v="618.9"/>
    <n v="47.74"/>
  </r>
  <r>
    <x v="20"/>
    <x v="3"/>
    <x v="347"/>
    <x v="21"/>
    <n v="920.54"/>
    <n v="854.61"/>
    <n v="65.93000000000001"/>
  </r>
  <r>
    <x v="28"/>
    <x v="4"/>
    <x v="348"/>
    <x v="21"/>
    <n v="776.26"/>
    <n v="720.66"/>
    <n v="55.6"/>
  </r>
  <r>
    <x v="47"/>
    <x v="7"/>
    <x v="349"/>
    <x v="21"/>
    <n v="623.36"/>
    <n v="578.71"/>
    <n v="44.65"/>
  </r>
  <r>
    <x v="30"/>
    <x v="5"/>
    <x v="350"/>
    <x v="21"/>
    <n v="615.85"/>
    <n v="571.74"/>
    <n v="44.11"/>
  </r>
  <r>
    <x v="23"/>
    <x v="4"/>
    <x v="351"/>
    <x v="21"/>
    <n v="837.3200000000001"/>
    <n v="777.35"/>
    <n v="59.97"/>
  </r>
  <r>
    <x v="89"/>
    <x v="13"/>
    <x v="358"/>
    <x v="23"/>
    <n v="546.9"/>
    <n v="464.49"/>
    <n v="82.41"/>
  </r>
  <r>
    <x v="41"/>
    <x v="6"/>
    <x v="359"/>
    <x v="23"/>
    <n v="604.08"/>
    <n v="513.05"/>
    <n v="91.03"/>
  </r>
  <r>
    <x v="50"/>
    <x v="8"/>
    <x v="369"/>
    <x v="23"/>
    <n v="512.0599999999999"/>
    <n v="434.9"/>
    <n v="77.16"/>
  </r>
  <r>
    <x v="16"/>
    <x v="3"/>
    <x v="370"/>
    <x v="23"/>
    <n v="970.9299999999999"/>
    <n v="824.63"/>
    <n v="146.3"/>
  </r>
  <r>
    <x v="47"/>
    <x v="7"/>
    <x v="371"/>
    <x v="23"/>
    <n v="727.04"/>
    <n v="617.49"/>
    <n v="109.55"/>
  </r>
  <r>
    <x v="39"/>
    <x v="6"/>
    <x v="372"/>
    <x v="23"/>
    <n v="503.1"/>
    <n v="427.29"/>
    <n v="75.81"/>
  </r>
  <r>
    <x v="53"/>
    <x v="8"/>
    <x v="373"/>
    <x v="23"/>
    <n v="710.35"/>
    <n v="603.3200000000001"/>
    <n v="107.03"/>
  </r>
  <r>
    <x v="59"/>
    <x v="9"/>
    <x v="374"/>
    <x v="23"/>
    <n v="966.39"/>
    <n v="820.77"/>
    <n v="145.62"/>
  </r>
  <r>
    <x v="6"/>
    <x v="1"/>
    <x v="375"/>
    <x v="23"/>
    <n v="712.2"/>
    <n v="604.88"/>
    <n v="107.32"/>
  </r>
  <r>
    <x v="65"/>
    <x v="10"/>
    <x v="376"/>
    <x v="23"/>
    <n v="738.17"/>
    <n v="626.9400000000001"/>
    <n v="111.23"/>
  </r>
  <r>
    <x v="78"/>
    <x v="12"/>
    <x v="360"/>
    <x v="23"/>
    <n v="532.08"/>
    <n v="451.9"/>
    <n v="80.18000000000001"/>
  </r>
  <r>
    <x v="36"/>
    <x v="6"/>
    <x v="361"/>
    <x v="23"/>
    <n v="915.74"/>
    <n v="777.75"/>
    <n v="137.99"/>
  </r>
  <r>
    <x v="58"/>
    <x v="9"/>
    <x v="362"/>
    <x v="23"/>
    <n v="629.11"/>
    <n v="534.3200000000001"/>
    <n v="94.79000000000001"/>
  </r>
  <r>
    <x v="32"/>
    <x v="5"/>
    <x v="363"/>
    <x v="23"/>
    <n v="903.1900000000001"/>
    <n v="767.09"/>
    <n v="136.1"/>
  </r>
  <r>
    <x v="17"/>
    <x v="3"/>
    <x v="364"/>
    <x v="23"/>
    <n v="596.3200000000001"/>
    <n v="506.47"/>
    <n v="89.84999999999999"/>
  </r>
  <r>
    <x v="80"/>
    <x v="12"/>
    <x v="365"/>
    <x v="23"/>
    <n v="913.0700000000001"/>
    <n v="775.49"/>
    <n v="137.58"/>
  </r>
  <r>
    <x v="0"/>
    <x v="0"/>
    <x v="366"/>
    <x v="23"/>
    <n v="676.5"/>
    <n v="574.5700000000001"/>
    <n v="101.93"/>
  </r>
  <r>
    <x v="26"/>
    <x v="4"/>
    <x v="367"/>
    <x v="23"/>
    <n v="603.58"/>
    <n v="512.63"/>
    <n v="90.95"/>
  </r>
  <r>
    <x v="18"/>
    <x v="3"/>
    <x v="368"/>
    <x v="23"/>
    <n v="678.78"/>
    <n v="576.5"/>
    <n v="102.28"/>
  </r>
  <r>
    <x v="60"/>
    <x v="9"/>
    <x v="377"/>
    <x v="20"/>
    <n v="1439.02"/>
    <n v="1284.83"/>
    <n v="154.19"/>
  </r>
  <r>
    <x v="89"/>
    <x v="13"/>
    <x v="378"/>
    <x v="20"/>
    <n v="1042.84"/>
    <n v="931.1"/>
    <n v="111.74"/>
  </r>
  <r>
    <x v="47"/>
    <x v="7"/>
    <x v="389"/>
    <x v="20"/>
    <n v="1200.12"/>
    <n v="1071.53"/>
    <n v="128.59"/>
  </r>
  <r>
    <x v="65"/>
    <x v="10"/>
    <x v="396"/>
    <x v="20"/>
    <n v="965.8200000000001"/>
    <n v="862.33"/>
    <n v="103.49"/>
  </r>
  <r>
    <x v="40"/>
    <x v="6"/>
    <x v="397"/>
    <x v="20"/>
    <n v="1392.68"/>
    <n v="1243.46"/>
    <n v="149.22"/>
  </r>
  <r>
    <x v="49"/>
    <x v="7"/>
    <x v="398"/>
    <x v="20"/>
    <n v="1095.19"/>
    <n v="977.84"/>
    <n v="117.35"/>
  </r>
  <r>
    <x v="38"/>
    <x v="6"/>
    <x v="399"/>
    <x v="20"/>
    <n v="1490.71"/>
    <n v="1330.98"/>
    <n v="159.73"/>
  </r>
  <r>
    <x v="3"/>
    <x v="1"/>
    <x v="400"/>
    <x v="20"/>
    <n v="1295.65"/>
    <n v="1156.82"/>
    <n v="138.83"/>
  </r>
  <r>
    <x v="77"/>
    <x v="11"/>
    <x v="401"/>
    <x v="20"/>
    <n v="941.1900000000001"/>
    <n v="840.34"/>
    <n v="100.85"/>
  </r>
  <r>
    <x v="0"/>
    <x v="0"/>
    <x v="402"/>
    <x v="20"/>
    <n v="1319.8"/>
    <n v="1178.39"/>
    <n v="141.41"/>
  </r>
  <r>
    <x v="66"/>
    <x v="10"/>
    <x v="379"/>
    <x v="20"/>
    <n v="1536.8"/>
    <n v="1372.13"/>
    <n v="164.67"/>
  </r>
  <r>
    <x v="40"/>
    <x v="6"/>
    <x v="380"/>
    <x v="20"/>
    <n v="1389.9"/>
    <n v="1240.97"/>
    <n v="148.93"/>
  </r>
  <r>
    <x v="82"/>
    <x v="12"/>
    <x v="381"/>
    <x v="20"/>
    <n v="1543.12"/>
    <n v="1377.77"/>
    <n v="165.35"/>
  </r>
  <r>
    <x v="27"/>
    <x v="4"/>
    <x v="382"/>
    <x v="20"/>
    <n v="1602.6"/>
    <n v="1430.88"/>
    <n v="171.72"/>
  </r>
  <r>
    <x v="27"/>
    <x v="4"/>
    <x v="383"/>
    <x v="20"/>
    <n v="726.17"/>
    <n v="648.36"/>
    <n v="77.81"/>
  </r>
  <r>
    <x v="83"/>
    <x v="12"/>
    <x v="384"/>
    <x v="20"/>
    <n v="1543.21"/>
    <n v="1377.85"/>
    <n v="165.36"/>
  </r>
  <r>
    <x v="63"/>
    <x v="9"/>
    <x v="385"/>
    <x v="20"/>
    <n v="1041.99"/>
    <n v="930.34"/>
    <n v="111.65"/>
  </r>
  <r>
    <x v="19"/>
    <x v="3"/>
    <x v="386"/>
    <x v="20"/>
    <n v="768.05"/>
    <n v="685.75"/>
    <n v="82.3"/>
  </r>
  <r>
    <x v="20"/>
    <x v="3"/>
    <x v="387"/>
    <x v="20"/>
    <n v="713.16"/>
    <n v="636.75"/>
    <n v="76.41"/>
  </r>
  <r>
    <x v="78"/>
    <x v="12"/>
    <x v="388"/>
    <x v="20"/>
    <n v="1099.4"/>
    <n v="981.59"/>
    <n v="117.81"/>
  </r>
  <r>
    <x v="74"/>
    <x v="11"/>
    <x v="390"/>
    <x v="20"/>
    <n v="1348.88"/>
    <n v="1204.35"/>
    <n v="144.53"/>
  </r>
  <r>
    <x v="23"/>
    <x v="4"/>
    <x v="391"/>
    <x v="20"/>
    <n v="773.6900000000001"/>
    <n v="690.79"/>
    <n v="82.90000000000001"/>
  </r>
  <r>
    <x v="49"/>
    <x v="7"/>
    <x v="392"/>
    <x v="20"/>
    <n v="846.48"/>
    <n v="755.78"/>
    <n v="90.7"/>
  </r>
  <r>
    <x v="79"/>
    <x v="12"/>
    <x v="393"/>
    <x v="20"/>
    <n v="1388.39"/>
    <n v="1239.63"/>
    <n v="148.76"/>
  </r>
  <r>
    <x v="48"/>
    <x v="7"/>
    <x v="394"/>
    <x v="20"/>
    <n v="1143.79"/>
    <n v="1021.23"/>
    <n v="122.56"/>
  </r>
  <r>
    <x v="82"/>
    <x v="12"/>
    <x v="395"/>
    <x v="20"/>
    <n v="1055.41"/>
    <n v="942.3200000000001"/>
    <n v="113.09"/>
  </r>
  <r>
    <x v="3"/>
    <x v="1"/>
    <x v="403"/>
    <x v="24"/>
    <n v="385.85"/>
    <n v="315.06"/>
    <n v="70.79000000000001"/>
  </r>
  <r>
    <x v="40"/>
    <x v="6"/>
    <x v="404"/>
    <x v="24"/>
    <n v="515.67"/>
    <n v="421.07"/>
    <n v="94.59999999999999"/>
  </r>
  <r>
    <x v="11"/>
    <x v="2"/>
    <x v="406"/>
    <x v="24"/>
    <n v="369.75"/>
    <n v="301.91"/>
    <n v="67.84"/>
  </r>
  <r>
    <x v="44"/>
    <x v="7"/>
    <x v="407"/>
    <x v="24"/>
    <n v="766.37"/>
    <n v="625.77"/>
    <n v="140.6"/>
  </r>
  <r>
    <x v="47"/>
    <x v="7"/>
    <x v="408"/>
    <x v="24"/>
    <n v="366.65"/>
    <n v="299.38"/>
    <n v="67.27"/>
  </r>
  <r>
    <x v="82"/>
    <x v="12"/>
    <x v="409"/>
    <x v="24"/>
    <n v="738.05"/>
    <n v="602.65"/>
    <n v="135.4"/>
  </r>
  <r>
    <x v="23"/>
    <x v="4"/>
    <x v="410"/>
    <x v="24"/>
    <n v="761.4400000000001"/>
    <n v="621.75"/>
    <n v="139.69"/>
  </r>
  <r>
    <x v="31"/>
    <x v="5"/>
    <x v="411"/>
    <x v="24"/>
    <n v="649.45"/>
    <n v="530.3"/>
    <n v="119.15"/>
  </r>
  <r>
    <x v="82"/>
    <x v="12"/>
    <x v="412"/>
    <x v="24"/>
    <n v="690.08"/>
    <n v="563.48"/>
    <n v="126.6"/>
  </r>
  <r>
    <x v="42"/>
    <x v="6"/>
    <x v="413"/>
    <x v="24"/>
    <n v="761.62"/>
    <n v="621.89"/>
    <n v="139.73"/>
  </r>
  <r>
    <x v="54"/>
    <x v="8"/>
    <x v="405"/>
    <x v="24"/>
    <n v="725.33"/>
    <n v="592.26"/>
    <n v="133.07"/>
  </r>
  <r>
    <x v="17"/>
    <x v="3"/>
    <x v="414"/>
    <x v="22"/>
    <n v="273.98"/>
    <n v="229.53"/>
    <n v="44.45"/>
  </r>
  <r>
    <x v="77"/>
    <x v="11"/>
    <x v="415"/>
    <x v="22"/>
    <n v="204.44"/>
    <n v="171.27"/>
    <n v="33.17"/>
  </r>
  <r>
    <x v="74"/>
    <x v="11"/>
    <x v="426"/>
    <x v="22"/>
    <n v="174.65"/>
    <n v="146.31"/>
    <n v="28.34"/>
  </r>
  <r>
    <x v="76"/>
    <x v="11"/>
    <x v="433"/>
    <x v="22"/>
    <n v="302.62"/>
    <n v="253.53"/>
    <n v="49.09"/>
  </r>
  <r>
    <x v="85"/>
    <x v="13"/>
    <x v="434"/>
    <x v="22"/>
    <n v="221.66"/>
    <n v="185.7"/>
    <n v="35.96"/>
  </r>
  <r>
    <x v="52"/>
    <x v="8"/>
    <x v="435"/>
    <x v="22"/>
    <n v="196.87"/>
    <n v="164.93"/>
    <n v="31.94"/>
  </r>
  <r>
    <x v="41"/>
    <x v="6"/>
    <x v="436"/>
    <x v="22"/>
    <n v="262.89"/>
    <n v="220.24"/>
    <n v="42.65"/>
  </r>
  <r>
    <x v="27"/>
    <x v="4"/>
    <x v="437"/>
    <x v="22"/>
    <n v="315.91"/>
    <n v="264.66"/>
    <n v="51.25"/>
  </r>
  <r>
    <x v="47"/>
    <x v="7"/>
    <x v="438"/>
    <x v="22"/>
    <n v="168.33"/>
    <n v="141.02"/>
    <n v="27.31"/>
  </r>
  <r>
    <x v="19"/>
    <x v="3"/>
    <x v="439"/>
    <x v="22"/>
    <n v="149.49"/>
    <n v="125.24"/>
    <n v="24.25"/>
  </r>
  <r>
    <x v="61"/>
    <x v="9"/>
    <x v="416"/>
    <x v="22"/>
    <n v="189.92"/>
    <n v="159.11"/>
    <n v="30.81"/>
  </r>
  <r>
    <x v="36"/>
    <x v="6"/>
    <x v="417"/>
    <x v="22"/>
    <n v="325.33"/>
    <n v="272.55"/>
    <n v="52.78"/>
  </r>
  <r>
    <x v="35"/>
    <x v="5"/>
    <x v="418"/>
    <x v="22"/>
    <n v="258.38"/>
    <n v="216.46"/>
    <n v="41.92"/>
  </r>
  <r>
    <x v="17"/>
    <x v="3"/>
    <x v="419"/>
    <x v="22"/>
    <n v="184.85"/>
    <n v="154.86"/>
    <n v="29.99"/>
  </r>
  <r>
    <x v="51"/>
    <x v="8"/>
    <x v="420"/>
    <x v="22"/>
    <n v="293.41"/>
    <n v="245.81"/>
    <n v="47.6"/>
  </r>
  <r>
    <x v="88"/>
    <x v="13"/>
    <x v="421"/>
    <x v="22"/>
    <n v="152.29"/>
    <n v="127.58"/>
    <n v="24.71"/>
  </r>
  <r>
    <x v="8"/>
    <x v="2"/>
    <x v="422"/>
    <x v="22"/>
    <n v="200.94"/>
    <n v="168.34"/>
    <n v="32.6"/>
  </r>
  <r>
    <x v="47"/>
    <x v="7"/>
    <x v="423"/>
    <x v="22"/>
    <n v="160.29"/>
    <n v="134.29"/>
    <n v="26"/>
  </r>
  <r>
    <x v="1"/>
    <x v="1"/>
    <x v="424"/>
    <x v="22"/>
    <n v="165.66"/>
    <n v="138.79"/>
    <n v="26.87"/>
  </r>
  <r>
    <x v="85"/>
    <x v="13"/>
    <x v="425"/>
    <x v="22"/>
    <n v="200.69"/>
    <n v="168.13"/>
    <n v="32.56"/>
  </r>
  <r>
    <x v="20"/>
    <x v="3"/>
    <x v="427"/>
    <x v="22"/>
    <n v="159.03"/>
    <n v="133.23"/>
    <n v="25.8"/>
  </r>
  <r>
    <x v="23"/>
    <x v="4"/>
    <x v="428"/>
    <x v="22"/>
    <n v="271.52"/>
    <n v="227.47"/>
    <n v="44.05"/>
  </r>
  <r>
    <x v="56"/>
    <x v="8"/>
    <x v="429"/>
    <x v="22"/>
    <n v="336.42"/>
    <n v="281.84"/>
    <n v="54.58"/>
  </r>
  <r>
    <x v="59"/>
    <x v="9"/>
    <x v="430"/>
    <x v="22"/>
    <n v="178.89"/>
    <n v="149.86"/>
    <n v="29.03"/>
  </r>
  <r>
    <x v="70"/>
    <x v="10"/>
    <x v="431"/>
    <x v="22"/>
    <n v="207.5"/>
    <n v="173.84"/>
    <n v="33.66"/>
  </r>
  <r>
    <x v="65"/>
    <x v="10"/>
    <x v="432"/>
    <x v="22"/>
    <n v="162.15"/>
    <n v="135.85"/>
    <n v="26.3"/>
  </r>
  <r>
    <x v="1"/>
    <x v="1"/>
    <x v="440"/>
    <x v="31"/>
    <n v="9760.290000000001"/>
    <n v="8642.950000000001"/>
    <n v="1117.34"/>
  </r>
  <r>
    <x v="59"/>
    <x v="9"/>
    <x v="441"/>
    <x v="31"/>
    <n v="12711.6"/>
    <n v="11256.4"/>
    <n v="1455.2"/>
  </r>
  <r>
    <x v="19"/>
    <x v="3"/>
    <x v="442"/>
    <x v="31"/>
    <n v="10086.8"/>
    <n v="8932.08"/>
    <n v="1154.72"/>
  </r>
  <r>
    <x v="53"/>
    <x v="8"/>
    <x v="443"/>
    <x v="31"/>
    <n v="6899.87"/>
    <n v="6109.99"/>
    <n v="789.88"/>
  </r>
  <r>
    <x v="67"/>
    <x v="10"/>
    <x v="444"/>
    <x v="31"/>
    <n v="6585.25"/>
    <n v="5831.39"/>
    <n v="753.86"/>
  </r>
  <r>
    <x v="18"/>
    <x v="3"/>
    <x v="445"/>
    <x v="33"/>
    <n v="1268.98"/>
    <n v="1151.18"/>
    <n v="117.8"/>
  </r>
  <r>
    <x v="80"/>
    <x v="12"/>
    <x v="446"/>
    <x v="33"/>
    <n v="1197.53"/>
    <n v="1086.36"/>
    <n v="111.17"/>
  </r>
  <r>
    <x v="78"/>
    <x v="12"/>
    <x v="449"/>
    <x v="33"/>
    <n v="1082.38"/>
    <n v="981.9"/>
    <n v="100.48"/>
  </r>
  <r>
    <x v="48"/>
    <x v="7"/>
    <x v="450"/>
    <x v="33"/>
    <n v="893.6900000000001"/>
    <n v="810.72"/>
    <n v="82.97"/>
  </r>
  <r>
    <x v="68"/>
    <x v="10"/>
    <x v="451"/>
    <x v="33"/>
    <n v="1524.87"/>
    <n v="1383.31"/>
    <n v="141.56"/>
  </r>
  <r>
    <x v="30"/>
    <x v="5"/>
    <x v="452"/>
    <x v="33"/>
    <n v="967.39"/>
    <n v="877.58"/>
    <n v="89.81"/>
  </r>
  <r>
    <x v="27"/>
    <x v="4"/>
    <x v="453"/>
    <x v="33"/>
    <n v="1558.78"/>
    <n v="1414.07"/>
    <n v="144.71"/>
  </r>
  <r>
    <x v="4"/>
    <x v="1"/>
    <x v="454"/>
    <x v="33"/>
    <n v="1637.53"/>
    <n v="1485.51"/>
    <n v="152.02"/>
  </r>
  <r>
    <x v="18"/>
    <x v="3"/>
    <x v="455"/>
    <x v="33"/>
    <n v="1731.52"/>
    <n v="1570.78"/>
    <n v="160.74"/>
  </r>
  <r>
    <x v="85"/>
    <x v="13"/>
    <x v="456"/>
    <x v="33"/>
    <n v="816.2"/>
    <n v="740.4299999999999"/>
    <n v="75.77"/>
  </r>
  <r>
    <x v="15"/>
    <x v="3"/>
    <x v="447"/>
    <x v="33"/>
    <n v="940.98"/>
    <n v="853.63"/>
    <n v="87.34999999999999"/>
  </r>
  <r>
    <x v="15"/>
    <x v="3"/>
    <x v="448"/>
    <x v="33"/>
    <n v="955.6799999999999"/>
    <n v="866.96"/>
    <n v="88.72"/>
  </r>
  <r>
    <x v="85"/>
    <x v="13"/>
    <x v="457"/>
    <x v="30"/>
    <n v="175.47"/>
    <n v="147.92"/>
    <n v="27.55"/>
  </r>
  <r>
    <x v="71"/>
    <x v="11"/>
    <x v="458"/>
    <x v="30"/>
    <n v="142.8"/>
    <n v="120.38"/>
    <n v="22.42"/>
  </r>
  <r>
    <x v="72"/>
    <x v="11"/>
    <x v="469"/>
    <x v="30"/>
    <n v="91.06"/>
    <n v="76.76000000000001"/>
    <n v="14.3"/>
  </r>
  <r>
    <x v="84"/>
    <x v="12"/>
    <x v="480"/>
    <x v="30"/>
    <n v="119.43"/>
    <n v="100.68"/>
    <n v="18.75"/>
  </r>
  <r>
    <x v="39"/>
    <x v="6"/>
    <x v="485"/>
    <x v="30"/>
    <n v="149.86"/>
    <n v="126.33"/>
    <n v="23.53"/>
  </r>
  <r>
    <x v="60"/>
    <x v="9"/>
    <x v="486"/>
    <x v="30"/>
    <n v="169.92"/>
    <n v="143.24"/>
    <n v="26.68"/>
  </r>
  <r>
    <x v="34"/>
    <x v="5"/>
    <x v="487"/>
    <x v="30"/>
    <n v="127.62"/>
    <n v="107.58"/>
    <n v="20.04"/>
  </r>
  <r>
    <x v="0"/>
    <x v="0"/>
    <x v="488"/>
    <x v="30"/>
    <n v="105.49"/>
    <n v="88.92"/>
    <n v="16.57"/>
  </r>
  <r>
    <x v="80"/>
    <x v="12"/>
    <x v="489"/>
    <x v="30"/>
    <n v="191.84"/>
    <n v="161.72"/>
    <n v="30.12"/>
  </r>
  <r>
    <x v="70"/>
    <x v="10"/>
    <x v="490"/>
    <x v="30"/>
    <n v="128.25"/>
    <n v="108.11"/>
    <n v="20.14"/>
  </r>
  <r>
    <x v="24"/>
    <x v="4"/>
    <x v="459"/>
    <x v="30"/>
    <n v="150.36"/>
    <n v="126.76"/>
    <n v="23.6"/>
  </r>
  <r>
    <x v="66"/>
    <x v="10"/>
    <x v="460"/>
    <x v="30"/>
    <n v="161.78"/>
    <n v="136.38"/>
    <n v="25.4"/>
  </r>
  <r>
    <x v="47"/>
    <x v="7"/>
    <x v="461"/>
    <x v="30"/>
    <n v="164.92"/>
    <n v="139.02"/>
    <n v="25.9"/>
  </r>
  <r>
    <x v="3"/>
    <x v="1"/>
    <x v="462"/>
    <x v="30"/>
    <n v="99.73999999999999"/>
    <n v="84.08"/>
    <n v="15.66"/>
  </r>
  <r>
    <x v="68"/>
    <x v="10"/>
    <x v="463"/>
    <x v="30"/>
    <n v="150.73"/>
    <n v="127.06"/>
    <n v="23.67"/>
  </r>
  <r>
    <x v="66"/>
    <x v="10"/>
    <x v="464"/>
    <x v="30"/>
    <n v="173.11"/>
    <n v="145.93"/>
    <n v="27.18"/>
  </r>
  <r>
    <x v="26"/>
    <x v="4"/>
    <x v="465"/>
    <x v="30"/>
    <n v="136.97"/>
    <n v="115.47"/>
    <n v="21.5"/>
  </r>
  <r>
    <x v="62"/>
    <x v="9"/>
    <x v="466"/>
    <x v="30"/>
    <n v="105.87"/>
    <n v="89.23999999999999"/>
    <n v="16.63"/>
  </r>
  <r>
    <x v="45"/>
    <x v="7"/>
    <x v="467"/>
    <x v="30"/>
    <n v="189.82"/>
    <n v="160.02"/>
    <n v="29.8"/>
  </r>
  <r>
    <x v="75"/>
    <x v="11"/>
    <x v="468"/>
    <x v="30"/>
    <n v="133.57"/>
    <n v="112.6"/>
    <n v="20.97"/>
  </r>
  <r>
    <x v="77"/>
    <x v="11"/>
    <x v="470"/>
    <x v="30"/>
    <n v="98.37"/>
    <n v="82.92"/>
    <n v="15.45"/>
  </r>
  <r>
    <x v="28"/>
    <x v="4"/>
    <x v="471"/>
    <x v="30"/>
    <n v="177.98"/>
    <n v="150.04"/>
    <n v="27.94"/>
  </r>
  <r>
    <x v="3"/>
    <x v="1"/>
    <x v="472"/>
    <x v="30"/>
    <n v="165.5"/>
    <n v="139.51"/>
    <n v="25.99"/>
  </r>
  <r>
    <x v="13"/>
    <x v="2"/>
    <x v="473"/>
    <x v="30"/>
    <n v="142.06"/>
    <n v="119.75"/>
    <n v="22.31"/>
  </r>
  <r>
    <x v="81"/>
    <x v="12"/>
    <x v="474"/>
    <x v="30"/>
    <n v="176.12"/>
    <n v="148.47"/>
    <n v="27.65"/>
  </r>
  <r>
    <x v="44"/>
    <x v="7"/>
    <x v="475"/>
    <x v="30"/>
    <n v="193.45"/>
    <n v="163.08"/>
    <n v="30.37"/>
  </r>
  <r>
    <x v="62"/>
    <x v="9"/>
    <x v="476"/>
    <x v="30"/>
    <n v="100.32"/>
    <n v="84.56999999999999"/>
    <n v="15.75"/>
  </r>
  <r>
    <x v="86"/>
    <x v="13"/>
    <x v="477"/>
    <x v="30"/>
    <n v="157.87"/>
    <n v="133.08"/>
    <n v="24.79"/>
  </r>
  <r>
    <x v="76"/>
    <x v="11"/>
    <x v="478"/>
    <x v="30"/>
    <n v="147.51"/>
    <n v="124.35"/>
    <n v="23.16"/>
  </r>
  <r>
    <x v="55"/>
    <x v="8"/>
    <x v="479"/>
    <x v="30"/>
    <n v="152.24"/>
    <n v="128.34"/>
    <n v="23.9"/>
  </r>
  <r>
    <x v="2"/>
    <x v="1"/>
    <x v="481"/>
    <x v="30"/>
    <n v="174.98"/>
    <n v="147.5"/>
    <n v="27.48"/>
  </r>
  <r>
    <x v="9"/>
    <x v="2"/>
    <x v="482"/>
    <x v="30"/>
    <n v="185.03"/>
    <n v="155.98"/>
    <n v="29.05"/>
  </r>
  <r>
    <x v="42"/>
    <x v="6"/>
    <x v="483"/>
    <x v="30"/>
    <n v="139.77"/>
    <n v="117.83"/>
    <n v="21.94"/>
  </r>
  <r>
    <x v="24"/>
    <x v="4"/>
    <x v="484"/>
    <x v="30"/>
    <n v="98.73"/>
    <n v="83.23"/>
    <n v="15.5"/>
  </r>
  <r>
    <x v="17"/>
    <x v="3"/>
    <x v="491"/>
    <x v="34"/>
    <n v="116.4"/>
    <n v="96.37"/>
    <n v="20.03"/>
  </r>
  <r>
    <x v="27"/>
    <x v="4"/>
    <x v="492"/>
    <x v="34"/>
    <n v="184.66"/>
    <n v="152.88"/>
    <n v="31.78"/>
  </r>
  <r>
    <x v="45"/>
    <x v="7"/>
    <x v="503"/>
    <x v="34"/>
    <n v="115.51"/>
    <n v="95.63"/>
    <n v="19.88"/>
  </r>
  <r>
    <x v="36"/>
    <x v="6"/>
    <x v="506"/>
    <x v="34"/>
    <n v="192.33"/>
    <n v="159.23"/>
    <n v="33.1"/>
  </r>
  <r>
    <x v="60"/>
    <x v="9"/>
    <x v="507"/>
    <x v="34"/>
    <n v="114.53"/>
    <n v="94.81999999999999"/>
    <n v="19.71"/>
  </r>
  <r>
    <x v="57"/>
    <x v="9"/>
    <x v="508"/>
    <x v="34"/>
    <n v="193.05"/>
    <n v="159.83"/>
    <n v="33.22"/>
  </r>
  <r>
    <x v="74"/>
    <x v="11"/>
    <x v="509"/>
    <x v="34"/>
    <n v="153.43"/>
    <n v="127.03"/>
    <n v="26.4"/>
  </r>
  <r>
    <x v="40"/>
    <x v="6"/>
    <x v="510"/>
    <x v="34"/>
    <n v="170.53"/>
    <n v="141.18"/>
    <n v="29.35"/>
  </r>
  <r>
    <x v="37"/>
    <x v="6"/>
    <x v="511"/>
    <x v="34"/>
    <n v="134.5"/>
    <n v="111.35"/>
    <n v="23.15"/>
  </r>
  <r>
    <x v="42"/>
    <x v="6"/>
    <x v="512"/>
    <x v="34"/>
    <n v="146.3"/>
    <n v="121.13"/>
    <n v="25.17"/>
  </r>
  <r>
    <x v="49"/>
    <x v="7"/>
    <x v="493"/>
    <x v="34"/>
    <n v="154.45"/>
    <n v="127.87"/>
    <n v="26.58"/>
  </r>
  <r>
    <x v="3"/>
    <x v="1"/>
    <x v="494"/>
    <x v="34"/>
    <n v="153.99"/>
    <n v="127.49"/>
    <n v="26.5"/>
  </r>
  <r>
    <x v="2"/>
    <x v="1"/>
    <x v="495"/>
    <x v="34"/>
    <n v="140.55"/>
    <n v="116.36"/>
    <n v="24.19"/>
  </r>
  <r>
    <x v="46"/>
    <x v="7"/>
    <x v="496"/>
    <x v="34"/>
    <n v="204.5"/>
    <n v="169.3"/>
    <n v="35.2"/>
  </r>
  <r>
    <x v="75"/>
    <x v="11"/>
    <x v="497"/>
    <x v="34"/>
    <n v="129.85"/>
    <n v="107.5"/>
    <n v="22.35"/>
  </r>
  <r>
    <x v="61"/>
    <x v="9"/>
    <x v="498"/>
    <x v="34"/>
    <n v="189.5"/>
    <n v="156.89"/>
    <n v="32.61"/>
  </r>
  <r>
    <x v="11"/>
    <x v="2"/>
    <x v="499"/>
    <x v="34"/>
    <n v="180.18"/>
    <n v="149.17"/>
    <n v="31.01"/>
  </r>
  <r>
    <x v="54"/>
    <x v="8"/>
    <x v="500"/>
    <x v="34"/>
    <n v="165.42"/>
    <n v="136.95"/>
    <n v="28.47"/>
  </r>
  <r>
    <x v="82"/>
    <x v="12"/>
    <x v="501"/>
    <x v="34"/>
    <n v="187.48"/>
    <n v="155.22"/>
    <n v="32.26"/>
  </r>
  <r>
    <x v="37"/>
    <x v="6"/>
    <x v="502"/>
    <x v="34"/>
    <n v="133.74"/>
    <n v="110.73"/>
    <n v="23.01"/>
  </r>
  <r>
    <x v="28"/>
    <x v="4"/>
    <x v="504"/>
    <x v="34"/>
    <n v="139.96"/>
    <n v="115.88"/>
    <n v="24.08"/>
  </r>
  <r>
    <x v="57"/>
    <x v="9"/>
    <x v="505"/>
    <x v="34"/>
    <n v="208.72"/>
    <n v="172.8"/>
    <n v="35.92"/>
  </r>
  <r>
    <x v="53"/>
    <x v="8"/>
    <x v="513"/>
    <x v="32"/>
    <n v="887.96"/>
    <n v="818.98"/>
    <n v="68.98"/>
  </r>
  <r>
    <x v="12"/>
    <x v="2"/>
    <x v="514"/>
    <x v="32"/>
    <n v="842.24"/>
    <n v="776.8099999999999"/>
    <n v="65.43000000000001"/>
  </r>
  <r>
    <x v="30"/>
    <x v="5"/>
    <x v="525"/>
    <x v="32"/>
    <n v="1042.5"/>
    <n v="961.51"/>
    <n v="80.98999999999999"/>
  </r>
  <r>
    <x v="27"/>
    <x v="4"/>
    <x v="527"/>
    <x v="32"/>
    <n v="1304.74"/>
    <n v="1203.38"/>
    <n v="101.36"/>
  </r>
  <r>
    <x v="17"/>
    <x v="3"/>
    <x v="528"/>
    <x v="32"/>
    <n v="1128.08"/>
    <n v="1040.45"/>
    <n v="87.63"/>
  </r>
  <r>
    <x v="17"/>
    <x v="3"/>
    <x v="529"/>
    <x v="32"/>
    <n v="648.12"/>
    <n v="597.77"/>
    <n v="50.35"/>
  </r>
  <r>
    <x v="8"/>
    <x v="2"/>
    <x v="530"/>
    <x v="32"/>
    <n v="937.36"/>
    <n v="864.54"/>
    <n v="72.81999999999999"/>
  </r>
  <r>
    <x v="58"/>
    <x v="9"/>
    <x v="531"/>
    <x v="32"/>
    <n v="1315.86"/>
    <n v="1213.63"/>
    <n v="102.23"/>
  </r>
  <r>
    <x v="9"/>
    <x v="2"/>
    <x v="532"/>
    <x v="32"/>
    <n v="813.63"/>
    <n v="750.42"/>
    <n v="63.21"/>
  </r>
  <r>
    <x v="36"/>
    <x v="6"/>
    <x v="533"/>
    <x v="32"/>
    <n v="813.84"/>
    <n v="750.62"/>
    <n v="63.22"/>
  </r>
  <r>
    <x v="78"/>
    <x v="12"/>
    <x v="515"/>
    <x v="32"/>
    <n v="1041.35"/>
    <n v="960.45"/>
    <n v="80.90000000000001"/>
  </r>
  <r>
    <x v="60"/>
    <x v="9"/>
    <x v="516"/>
    <x v="32"/>
    <n v="642.96"/>
    <n v="593.01"/>
    <n v="49.95"/>
  </r>
  <r>
    <x v="87"/>
    <x v="13"/>
    <x v="517"/>
    <x v="32"/>
    <n v="869.28"/>
    <n v="801.75"/>
    <n v="67.53"/>
  </r>
  <r>
    <x v="9"/>
    <x v="2"/>
    <x v="518"/>
    <x v="32"/>
    <n v="968.01"/>
    <n v="892.8099999999999"/>
    <n v="75.2"/>
  </r>
  <r>
    <x v="15"/>
    <x v="3"/>
    <x v="519"/>
    <x v="32"/>
    <n v="831.49"/>
    <n v="766.89"/>
    <n v="64.59999999999999"/>
  </r>
  <r>
    <x v="54"/>
    <x v="8"/>
    <x v="520"/>
    <x v="32"/>
    <n v="648.47"/>
    <n v="598.09"/>
    <n v="50.38"/>
  </r>
  <r>
    <x v="79"/>
    <x v="12"/>
    <x v="521"/>
    <x v="32"/>
    <n v="1417.96"/>
    <n v="1307.81"/>
    <n v="110.15"/>
  </r>
  <r>
    <x v="69"/>
    <x v="10"/>
    <x v="522"/>
    <x v="32"/>
    <n v="983.41"/>
    <n v="907.01"/>
    <n v="76.40000000000001"/>
  </r>
  <r>
    <x v="22"/>
    <x v="4"/>
    <x v="523"/>
    <x v="32"/>
    <n v="1095.89"/>
    <n v="1010.75"/>
    <n v="85.14"/>
  </r>
  <r>
    <x v="75"/>
    <x v="11"/>
    <x v="524"/>
    <x v="32"/>
    <n v="1274.49"/>
    <n v="1175.48"/>
    <n v="99.01000000000001"/>
  </r>
  <r>
    <x v="23"/>
    <x v="4"/>
    <x v="526"/>
    <x v="32"/>
    <n v="1318.89"/>
    <n v="1216.43"/>
    <n v="102.46"/>
  </r>
  <r>
    <x v="49"/>
    <x v="7"/>
    <x v="534"/>
    <x v="6"/>
    <n v="783.0599999999999"/>
    <n v="707.4400000000001"/>
    <n v="75.62"/>
  </r>
  <r>
    <x v="13"/>
    <x v="2"/>
    <x v="535"/>
    <x v="6"/>
    <n v="567.71"/>
    <n v="512.89"/>
    <n v="54.82"/>
  </r>
  <r>
    <x v="37"/>
    <x v="6"/>
    <x v="546"/>
    <x v="6"/>
    <n v="441.44"/>
    <n v="398.81"/>
    <n v="42.63"/>
  </r>
  <r>
    <x v="10"/>
    <x v="2"/>
    <x v="549"/>
    <x v="6"/>
    <n v="738.15"/>
    <n v="666.87"/>
    <n v="71.28"/>
  </r>
  <r>
    <x v="77"/>
    <x v="11"/>
    <x v="550"/>
    <x v="6"/>
    <n v="658.5599999999999"/>
    <n v="594.96"/>
    <n v="63.6"/>
  </r>
  <r>
    <x v="37"/>
    <x v="6"/>
    <x v="551"/>
    <x v="6"/>
    <n v="616.73"/>
    <n v="557.17"/>
    <n v="59.56"/>
  </r>
  <r>
    <x v="13"/>
    <x v="2"/>
    <x v="552"/>
    <x v="6"/>
    <n v="507.51"/>
    <n v="458.5"/>
    <n v="49.01"/>
  </r>
  <r>
    <x v="20"/>
    <x v="3"/>
    <x v="553"/>
    <x v="6"/>
    <n v="721.6"/>
    <n v="651.92"/>
    <n v="69.68000000000001"/>
  </r>
  <r>
    <x v="45"/>
    <x v="7"/>
    <x v="554"/>
    <x v="6"/>
    <n v="845.11"/>
    <n v="763.5"/>
    <n v="81.61"/>
  </r>
  <r>
    <x v="27"/>
    <x v="4"/>
    <x v="555"/>
    <x v="6"/>
    <n v="702.17"/>
    <n v="634.36"/>
    <n v="67.81"/>
  </r>
  <r>
    <x v="30"/>
    <x v="5"/>
    <x v="536"/>
    <x v="6"/>
    <n v="627.11"/>
    <n v="566.55"/>
    <n v="60.56"/>
  </r>
  <r>
    <x v="22"/>
    <x v="4"/>
    <x v="537"/>
    <x v="6"/>
    <n v="710.6799999999999"/>
    <n v="642.05"/>
    <n v="68.63"/>
  </r>
  <r>
    <x v="70"/>
    <x v="10"/>
    <x v="538"/>
    <x v="6"/>
    <n v="446.74"/>
    <n v="403.6"/>
    <n v="43.14"/>
  </r>
  <r>
    <x v="88"/>
    <x v="13"/>
    <x v="539"/>
    <x v="6"/>
    <n v="573.73"/>
    <n v="518.3200000000001"/>
    <n v="55.41"/>
  </r>
  <r>
    <x v="18"/>
    <x v="3"/>
    <x v="540"/>
    <x v="6"/>
    <n v="553.5599999999999"/>
    <n v="500.11"/>
    <n v="53.45"/>
  </r>
  <r>
    <x v="87"/>
    <x v="13"/>
    <x v="541"/>
    <x v="6"/>
    <n v="505.68"/>
    <n v="456.85"/>
    <n v="48.83"/>
  </r>
  <r>
    <x v="60"/>
    <x v="9"/>
    <x v="542"/>
    <x v="6"/>
    <n v="517.9400000000001"/>
    <n v="467.92"/>
    <n v="50.02"/>
  </r>
  <r>
    <x v="6"/>
    <x v="1"/>
    <x v="543"/>
    <x v="6"/>
    <n v="683.9"/>
    <n v="617.86"/>
    <n v="66.04000000000001"/>
  </r>
  <r>
    <x v="60"/>
    <x v="9"/>
    <x v="544"/>
    <x v="6"/>
    <n v="813.71"/>
    <n v="735.13"/>
    <n v="78.58"/>
  </r>
  <r>
    <x v="17"/>
    <x v="3"/>
    <x v="545"/>
    <x v="6"/>
    <n v="586.63"/>
    <n v="529.99"/>
    <n v="56.64"/>
  </r>
  <r>
    <x v="77"/>
    <x v="11"/>
    <x v="547"/>
    <x v="6"/>
    <n v="816.98"/>
    <n v="738.08"/>
    <n v="78.90000000000001"/>
  </r>
  <r>
    <x v="26"/>
    <x v="4"/>
    <x v="548"/>
    <x v="6"/>
    <n v="642.54"/>
    <n v="580.49"/>
    <n v="62.05"/>
  </r>
  <r>
    <x v="1"/>
    <x v="1"/>
    <x v="556"/>
    <x v="8"/>
    <n v="412.96"/>
    <n v="364.64"/>
    <n v="48.32"/>
  </r>
  <r>
    <x v="2"/>
    <x v="1"/>
    <x v="557"/>
    <x v="8"/>
    <n v="454.91"/>
    <n v="401.68"/>
    <n v="53.23"/>
  </r>
  <r>
    <x v="11"/>
    <x v="2"/>
    <x v="568"/>
    <x v="8"/>
    <n v="264.8"/>
    <n v="233.81"/>
    <n v="30.99"/>
  </r>
  <r>
    <x v="38"/>
    <x v="6"/>
    <x v="579"/>
    <x v="8"/>
    <n v="472.06"/>
    <n v="416.82"/>
    <n v="55.24"/>
  </r>
  <r>
    <x v="67"/>
    <x v="10"/>
    <x v="580"/>
    <x v="8"/>
    <n v="253.97"/>
    <n v="224.25"/>
    <n v="29.72"/>
  </r>
  <r>
    <x v="6"/>
    <x v="1"/>
    <x v="581"/>
    <x v="8"/>
    <n v="477.19"/>
    <n v="421.35"/>
    <n v="55.84"/>
  </r>
  <r>
    <x v="51"/>
    <x v="8"/>
    <x v="582"/>
    <x v="8"/>
    <n v="464.6"/>
    <n v="410.23"/>
    <n v="54.37"/>
  </r>
  <r>
    <x v="33"/>
    <x v="5"/>
    <x v="583"/>
    <x v="8"/>
    <n v="429.42"/>
    <n v="379.17"/>
    <n v="50.25"/>
  </r>
  <r>
    <x v="42"/>
    <x v="6"/>
    <x v="584"/>
    <x v="8"/>
    <n v="447.91"/>
    <n v="395.5"/>
    <n v="52.41"/>
  </r>
  <r>
    <x v="86"/>
    <x v="13"/>
    <x v="585"/>
    <x v="8"/>
    <n v="248.77"/>
    <n v="219.66"/>
    <n v="29.11"/>
  </r>
  <r>
    <x v="14"/>
    <x v="2"/>
    <x v="558"/>
    <x v="8"/>
    <n v="443.34"/>
    <n v="391.46"/>
    <n v="51.88"/>
  </r>
  <r>
    <x v="74"/>
    <x v="11"/>
    <x v="559"/>
    <x v="8"/>
    <n v="224.55"/>
    <n v="198.28"/>
    <n v="26.27"/>
  </r>
  <r>
    <x v="80"/>
    <x v="12"/>
    <x v="560"/>
    <x v="8"/>
    <n v="346.48"/>
    <n v="305.93"/>
    <n v="40.55"/>
  </r>
  <r>
    <x v="10"/>
    <x v="2"/>
    <x v="561"/>
    <x v="8"/>
    <n v="241.43"/>
    <n v="213.17"/>
    <n v="28.26"/>
  </r>
  <r>
    <x v="48"/>
    <x v="7"/>
    <x v="562"/>
    <x v="8"/>
    <n v="498.97"/>
    <n v="440.58"/>
    <n v="58.39"/>
  </r>
  <r>
    <x v="41"/>
    <x v="6"/>
    <x v="563"/>
    <x v="8"/>
    <n v="442.31"/>
    <n v="390.55"/>
    <n v="51.76"/>
  </r>
  <r>
    <x v="44"/>
    <x v="7"/>
    <x v="564"/>
    <x v="8"/>
    <n v="266.93"/>
    <n v="235.69"/>
    <n v="31.24"/>
  </r>
  <r>
    <x v="74"/>
    <x v="11"/>
    <x v="565"/>
    <x v="8"/>
    <n v="495.31"/>
    <n v="437.34"/>
    <n v="57.97"/>
  </r>
  <r>
    <x v="47"/>
    <x v="7"/>
    <x v="566"/>
    <x v="8"/>
    <n v="222.15"/>
    <n v="196.16"/>
    <n v="25.99"/>
  </r>
  <r>
    <x v="27"/>
    <x v="4"/>
    <x v="567"/>
    <x v="8"/>
    <n v="275.42"/>
    <n v="243.19"/>
    <n v="32.23"/>
  </r>
  <r>
    <x v="89"/>
    <x v="13"/>
    <x v="569"/>
    <x v="8"/>
    <n v="429.21"/>
    <n v="378.98"/>
    <n v="50.23"/>
  </r>
  <r>
    <x v="86"/>
    <x v="13"/>
    <x v="570"/>
    <x v="8"/>
    <n v="416.65"/>
    <n v="367.89"/>
    <n v="48.76"/>
  </r>
  <r>
    <x v="18"/>
    <x v="3"/>
    <x v="571"/>
    <x v="8"/>
    <n v="311.3"/>
    <n v="274.87"/>
    <n v="36.43"/>
  </r>
  <r>
    <x v="72"/>
    <x v="11"/>
    <x v="572"/>
    <x v="8"/>
    <n v="271.44"/>
    <n v="239.68"/>
    <n v="31.76"/>
  </r>
  <r>
    <x v="11"/>
    <x v="2"/>
    <x v="573"/>
    <x v="8"/>
    <n v="434.03"/>
    <n v="383.24"/>
    <n v="50.79"/>
  </r>
  <r>
    <x v="44"/>
    <x v="7"/>
    <x v="574"/>
    <x v="8"/>
    <n v="342.19"/>
    <n v="302.15"/>
    <n v="40.04"/>
  </r>
  <r>
    <x v="62"/>
    <x v="9"/>
    <x v="575"/>
    <x v="8"/>
    <n v="366.46"/>
    <n v="323.57"/>
    <n v="42.89"/>
  </r>
  <r>
    <x v="76"/>
    <x v="11"/>
    <x v="576"/>
    <x v="8"/>
    <n v="414.42"/>
    <n v="365.92"/>
    <n v="48.5"/>
  </r>
  <r>
    <x v="2"/>
    <x v="1"/>
    <x v="577"/>
    <x v="8"/>
    <n v="287.11"/>
    <n v="253.51"/>
    <n v="33.6"/>
  </r>
  <r>
    <x v="7"/>
    <x v="1"/>
    <x v="578"/>
    <x v="8"/>
    <n v="412.07"/>
    <n v="363.85"/>
    <n v="48.22"/>
  </r>
  <r>
    <x v="6"/>
    <x v="1"/>
    <x v="586"/>
    <x v="5"/>
    <n v="511.23"/>
    <n v="460.17"/>
    <n v="51.06"/>
  </r>
  <r>
    <x v="25"/>
    <x v="4"/>
    <x v="587"/>
    <x v="5"/>
    <n v="748.71"/>
    <n v="673.9299999999999"/>
    <n v="74.78"/>
  </r>
  <r>
    <x v="32"/>
    <x v="5"/>
    <x v="592"/>
    <x v="5"/>
    <n v="648.03"/>
    <n v="583.3200000000001"/>
    <n v="64.70999999999999"/>
  </r>
  <r>
    <x v="87"/>
    <x v="13"/>
    <x v="593"/>
    <x v="5"/>
    <n v="796.21"/>
    <n v="716.7"/>
    <n v="79.51000000000001"/>
  </r>
  <r>
    <x v="53"/>
    <x v="8"/>
    <x v="594"/>
    <x v="5"/>
    <n v="453.22"/>
    <n v="407.95"/>
    <n v="45.27"/>
  </r>
  <r>
    <x v="66"/>
    <x v="10"/>
    <x v="595"/>
    <x v="5"/>
    <n v="595.25"/>
    <n v="535.8"/>
    <n v="59.45"/>
  </r>
  <r>
    <x v="88"/>
    <x v="13"/>
    <x v="596"/>
    <x v="5"/>
    <n v="804.47"/>
    <n v="724.13"/>
    <n v="80.34"/>
  </r>
  <r>
    <x v="40"/>
    <x v="6"/>
    <x v="597"/>
    <x v="5"/>
    <n v="1014.96"/>
    <n v="913.6"/>
    <n v="101.36"/>
  </r>
  <r>
    <x v="4"/>
    <x v="1"/>
    <x v="598"/>
    <x v="5"/>
    <n v="577.5700000000001"/>
    <n v="519.89"/>
    <n v="57.68"/>
  </r>
  <r>
    <x v="45"/>
    <x v="7"/>
    <x v="599"/>
    <x v="5"/>
    <n v="557.3099999999999"/>
    <n v="501.65"/>
    <n v="55.66"/>
  </r>
  <r>
    <x v="46"/>
    <x v="7"/>
    <x v="588"/>
    <x v="5"/>
    <n v="667.37"/>
    <n v="600.72"/>
    <n v="66.65000000000001"/>
  </r>
  <r>
    <x v="31"/>
    <x v="5"/>
    <x v="589"/>
    <x v="5"/>
    <n v="602.74"/>
    <n v="542.54"/>
    <n v="60.2"/>
  </r>
  <r>
    <x v="82"/>
    <x v="12"/>
    <x v="590"/>
    <x v="5"/>
    <n v="815.61"/>
    <n v="734.16"/>
    <n v="81.45"/>
  </r>
  <r>
    <x v="29"/>
    <x v="5"/>
    <x v="591"/>
    <x v="5"/>
    <n v="926.1799999999999"/>
    <n v="833.6799999999999"/>
    <n v="92.5"/>
  </r>
  <r>
    <x v="55"/>
    <x v="8"/>
    <x v="600"/>
    <x v="9"/>
    <n v="334.82"/>
    <n v="283.29"/>
    <n v="51.53"/>
  </r>
  <r>
    <x v="50"/>
    <x v="8"/>
    <x v="601"/>
    <x v="9"/>
    <n v="236.03"/>
    <n v="199.7"/>
    <n v="36.33"/>
  </r>
  <r>
    <x v="64"/>
    <x v="10"/>
    <x v="607"/>
    <x v="9"/>
    <n v="362.33"/>
    <n v="306.57"/>
    <n v="55.76"/>
  </r>
  <r>
    <x v="29"/>
    <x v="5"/>
    <x v="608"/>
    <x v="9"/>
    <n v="376.33"/>
    <n v="318.41"/>
    <n v="57.92"/>
  </r>
  <r>
    <x v="5"/>
    <x v="1"/>
    <x v="609"/>
    <x v="9"/>
    <n v="483"/>
    <n v="408.67"/>
    <n v="74.33"/>
  </r>
  <r>
    <x v="18"/>
    <x v="3"/>
    <x v="610"/>
    <x v="9"/>
    <n v="323.36"/>
    <n v="273.59"/>
    <n v="49.77"/>
  </r>
  <r>
    <x v="67"/>
    <x v="10"/>
    <x v="611"/>
    <x v="9"/>
    <n v="427.24"/>
    <n v="361.48"/>
    <n v="65.76000000000001"/>
  </r>
  <r>
    <x v="40"/>
    <x v="6"/>
    <x v="612"/>
    <x v="9"/>
    <n v="258.69"/>
    <n v="218.88"/>
    <n v="39.81"/>
  </r>
  <r>
    <x v="68"/>
    <x v="10"/>
    <x v="613"/>
    <x v="9"/>
    <n v="521.67"/>
    <n v="441.38"/>
    <n v="80.29000000000001"/>
  </r>
  <r>
    <x v="68"/>
    <x v="10"/>
    <x v="614"/>
    <x v="9"/>
    <n v="490.25"/>
    <n v="414.8"/>
    <n v="75.45"/>
  </r>
  <r>
    <x v="4"/>
    <x v="1"/>
    <x v="602"/>
    <x v="9"/>
    <n v="348.59"/>
    <n v="294.94"/>
    <n v="53.65"/>
  </r>
  <r>
    <x v="80"/>
    <x v="12"/>
    <x v="603"/>
    <x v="9"/>
    <n v="446.63"/>
    <n v="377.89"/>
    <n v="68.73999999999999"/>
  </r>
  <r>
    <x v="3"/>
    <x v="1"/>
    <x v="604"/>
    <x v="9"/>
    <n v="417.75"/>
    <n v="353.46"/>
    <n v="64.29000000000001"/>
  </r>
  <r>
    <x v="35"/>
    <x v="5"/>
    <x v="605"/>
    <x v="9"/>
    <n v="531.13"/>
    <n v="449.39"/>
    <n v="81.73999999999999"/>
  </r>
  <r>
    <x v="23"/>
    <x v="4"/>
    <x v="606"/>
    <x v="9"/>
    <n v="317.55"/>
    <n v="268.68"/>
    <n v="48.87"/>
  </r>
  <r>
    <x v="32"/>
    <x v="5"/>
    <x v="615"/>
    <x v="7"/>
    <n v="1066.53"/>
    <n v="919.47"/>
    <n v="147.06"/>
  </r>
  <r>
    <x v="67"/>
    <x v="10"/>
    <x v="616"/>
    <x v="7"/>
    <n v="972.6"/>
    <n v="838.49"/>
    <n v="134.11"/>
  </r>
  <r>
    <x v="39"/>
    <x v="6"/>
    <x v="627"/>
    <x v="7"/>
    <n v="1037.8"/>
    <n v="894.7"/>
    <n v="143.1"/>
  </r>
  <r>
    <x v="47"/>
    <x v="7"/>
    <x v="638"/>
    <x v="7"/>
    <n v="729.8"/>
    <n v="629.17"/>
    <n v="100.63"/>
  </r>
  <r>
    <x v="28"/>
    <x v="4"/>
    <x v="643"/>
    <x v="7"/>
    <n v="1280.18"/>
    <n v="1103.65"/>
    <n v="176.53"/>
  </r>
  <r>
    <x v="32"/>
    <x v="5"/>
    <x v="644"/>
    <x v="7"/>
    <n v="725.6900000000001"/>
    <n v="625.63"/>
    <n v="100.06"/>
  </r>
  <r>
    <x v="62"/>
    <x v="9"/>
    <x v="645"/>
    <x v="7"/>
    <n v="1165.39"/>
    <n v="1004.7"/>
    <n v="160.69"/>
  </r>
  <r>
    <x v="79"/>
    <x v="12"/>
    <x v="646"/>
    <x v="7"/>
    <n v="1267.92"/>
    <n v="1093.08"/>
    <n v="174.84"/>
  </r>
  <r>
    <x v="72"/>
    <x v="11"/>
    <x v="647"/>
    <x v="7"/>
    <n v="886.27"/>
    <n v="764.0700000000001"/>
    <n v="122.2"/>
  </r>
  <r>
    <x v="16"/>
    <x v="3"/>
    <x v="648"/>
    <x v="7"/>
    <n v="700.41"/>
    <n v="603.83"/>
    <n v="96.58"/>
  </r>
  <r>
    <x v="31"/>
    <x v="5"/>
    <x v="617"/>
    <x v="7"/>
    <n v="860.09"/>
    <n v="741.49"/>
    <n v="118.6"/>
  </r>
  <r>
    <x v="1"/>
    <x v="1"/>
    <x v="618"/>
    <x v="7"/>
    <n v="681.99"/>
    <n v="587.95"/>
    <n v="94.04000000000001"/>
  </r>
  <r>
    <x v="74"/>
    <x v="11"/>
    <x v="619"/>
    <x v="7"/>
    <n v="732.8099999999999"/>
    <n v="631.76"/>
    <n v="101.05"/>
  </r>
  <r>
    <x v="45"/>
    <x v="7"/>
    <x v="620"/>
    <x v="7"/>
    <n v="658.0599999999999"/>
    <n v="567.3200000000001"/>
    <n v="90.73999999999999"/>
  </r>
  <r>
    <x v="61"/>
    <x v="9"/>
    <x v="621"/>
    <x v="7"/>
    <n v="1087.61"/>
    <n v="937.64"/>
    <n v="149.97"/>
  </r>
  <r>
    <x v="15"/>
    <x v="3"/>
    <x v="622"/>
    <x v="7"/>
    <n v="774.39"/>
    <n v="667.61"/>
    <n v="106.78"/>
  </r>
  <r>
    <x v="15"/>
    <x v="3"/>
    <x v="623"/>
    <x v="7"/>
    <n v="945.48"/>
    <n v="815.11"/>
    <n v="130.37"/>
  </r>
  <r>
    <x v="25"/>
    <x v="4"/>
    <x v="624"/>
    <x v="7"/>
    <n v="1451.27"/>
    <n v="1251.15"/>
    <n v="200.12"/>
  </r>
  <r>
    <x v="45"/>
    <x v="7"/>
    <x v="625"/>
    <x v="7"/>
    <n v="1407.02"/>
    <n v="1213.01"/>
    <n v="194.01"/>
  </r>
  <r>
    <x v="71"/>
    <x v="11"/>
    <x v="626"/>
    <x v="7"/>
    <n v="764.1"/>
    <n v="658.74"/>
    <n v="105.36"/>
  </r>
  <r>
    <x v="75"/>
    <x v="11"/>
    <x v="628"/>
    <x v="7"/>
    <n v="984.3099999999999"/>
    <n v="848.58"/>
    <n v="135.73"/>
  </r>
  <r>
    <x v="51"/>
    <x v="8"/>
    <x v="629"/>
    <x v="7"/>
    <n v="1345.09"/>
    <n v="1159.61"/>
    <n v="185.48"/>
  </r>
  <r>
    <x v="18"/>
    <x v="3"/>
    <x v="630"/>
    <x v="7"/>
    <n v="833.9299999999999"/>
    <n v="718.9400000000001"/>
    <n v="114.99"/>
  </r>
  <r>
    <x v="56"/>
    <x v="8"/>
    <x v="631"/>
    <x v="7"/>
    <n v="781.97"/>
    <n v="674.14"/>
    <n v="107.83"/>
  </r>
  <r>
    <x v="79"/>
    <x v="12"/>
    <x v="632"/>
    <x v="7"/>
    <n v="739.85"/>
    <n v="637.83"/>
    <n v="102.02"/>
  </r>
  <r>
    <x v="36"/>
    <x v="6"/>
    <x v="633"/>
    <x v="7"/>
    <n v="1053.39"/>
    <n v="908.14"/>
    <n v="145.25"/>
  </r>
  <r>
    <x v="86"/>
    <x v="13"/>
    <x v="634"/>
    <x v="7"/>
    <n v="803.98"/>
    <n v="693.12"/>
    <n v="110.86"/>
  </r>
  <r>
    <x v="7"/>
    <x v="1"/>
    <x v="635"/>
    <x v="7"/>
    <n v="886.52"/>
    <n v="764.28"/>
    <n v="122.24"/>
  </r>
  <r>
    <x v="28"/>
    <x v="4"/>
    <x v="636"/>
    <x v="7"/>
    <n v="815.3200000000001"/>
    <n v="702.89"/>
    <n v="112.43"/>
  </r>
  <r>
    <x v="5"/>
    <x v="1"/>
    <x v="637"/>
    <x v="7"/>
    <n v="998.42"/>
    <n v="860.75"/>
    <n v="137.67"/>
  </r>
  <r>
    <x v="35"/>
    <x v="5"/>
    <x v="639"/>
    <x v="7"/>
    <n v="741.0599999999999"/>
    <n v="638.87"/>
    <n v="102.19"/>
  </r>
  <r>
    <x v="28"/>
    <x v="4"/>
    <x v="640"/>
    <x v="7"/>
    <n v="899.92"/>
    <n v="775.83"/>
    <n v="124.09"/>
  </r>
  <r>
    <x v="43"/>
    <x v="7"/>
    <x v="641"/>
    <x v="7"/>
    <n v="996.4400000000001"/>
    <n v="859.04"/>
    <n v="137.4"/>
  </r>
  <r>
    <x v="26"/>
    <x v="4"/>
    <x v="642"/>
    <x v="7"/>
    <n v="1177.67"/>
    <n v="1015.28"/>
    <n v="162.39"/>
  </r>
  <r>
    <x v="74"/>
    <x v="11"/>
    <x v="649"/>
    <x v="36"/>
    <n v="1952.73"/>
    <n v="1686.69"/>
    <n v="266.04"/>
  </r>
  <r>
    <x v="21"/>
    <x v="3"/>
    <x v="650"/>
    <x v="36"/>
    <n v="2030.37"/>
    <n v="1753.75"/>
    <n v="276.62"/>
  </r>
  <r>
    <x v="58"/>
    <x v="9"/>
    <x v="661"/>
    <x v="36"/>
    <n v="1275.91"/>
    <n v="1102.08"/>
    <n v="173.83"/>
  </r>
  <r>
    <x v="40"/>
    <x v="6"/>
    <x v="662"/>
    <x v="36"/>
    <n v="1372.05"/>
    <n v="1185.12"/>
    <n v="186.93"/>
  </r>
  <r>
    <x v="25"/>
    <x v="4"/>
    <x v="663"/>
    <x v="36"/>
    <n v="1338.6"/>
    <n v="1156.23"/>
    <n v="182.37"/>
  </r>
  <r>
    <x v="70"/>
    <x v="10"/>
    <x v="664"/>
    <x v="36"/>
    <n v="1084.27"/>
    <n v="936.55"/>
    <n v="147.72"/>
  </r>
  <r>
    <x v="54"/>
    <x v="8"/>
    <x v="665"/>
    <x v="36"/>
    <n v="2269.74"/>
    <n v="1960.51"/>
    <n v="309.23"/>
  </r>
  <r>
    <x v="54"/>
    <x v="8"/>
    <x v="666"/>
    <x v="36"/>
    <n v="1521.7"/>
    <n v="1314.38"/>
    <n v="207.32"/>
  </r>
  <r>
    <x v="63"/>
    <x v="9"/>
    <x v="667"/>
    <x v="36"/>
    <n v="1299.03"/>
    <n v="1122.05"/>
    <n v="176.98"/>
  </r>
  <r>
    <x v="67"/>
    <x v="10"/>
    <x v="668"/>
    <x v="36"/>
    <n v="1800.66"/>
    <n v="1555.34"/>
    <n v="245.32"/>
  </r>
  <r>
    <x v="31"/>
    <x v="5"/>
    <x v="651"/>
    <x v="36"/>
    <n v="1880.15"/>
    <n v="1624"/>
    <n v="256.15"/>
  </r>
  <r>
    <x v="73"/>
    <x v="11"/>
    <x v="652"/>
    <x v="36"/>
    <n v="1244.23"/>
    <n v="1074.72"/>
    <n v="169.51"/>
  </r>
  <r>
    <x v="79"/>
    <x v="12"/>
    <x v="653"/>
    <x v="36"/>
    <n v="1691.64"/>
    <n v="1461.17"/>
    <n v="230.47"/>
  </r>
  <r>
    <x v="11"/>
    <x v="2"/>
    <x v="654"/>
    <x v="36"/>
    <n v="2146.7"/>
    <n v="1854.24"/>
    <n v="292.46"/>
  </r>
  <r>
    <x v="81"/>
    <x v="12"/>
    <x v="655"/>
    <x v="36"/>
    <n v="996.72"/>
    <n v="860.9299999999999"/>
    <n v="135.79"/>
  </r>
  <r>
    <x v="66"/>
    <x v="10"/>
    <x v="656"/>
    <x v="36"/>
    <n v="1692.35"/>
    <n v="1461.79"/>
    <n v="230.56"/>
  </r>
  <r>
    <x v="37"/>
    <x v="6"/>
    <x v="657"/>
    <x v="36"/>
    <n v="1501.36"/>
    <n v="1296.82"/>
    <n v="204.54"/>
  </r>
  <r>
    <x v="49"/>
    <x v="7"/>
    <x v="658"/>
    <x v="36"/>
    <n v="1977.93"/>
    <n v="1708.46"/>
    <n v="269.47"/>
  </r>
  <r>
    <x v="0"/>
    <x v="0"/>
    <x v="659"/>
    <x v="36"/>
    <n v="1317.8"/>
    <n v="1138.26"/>
    <n v="179.54"/>
  </r>
  <r>
    <x v="55"/>
    <x v="8"/>
    <x v="660"/>
    <x v="36"/>
    <n v="2269.97"/>
    <n v="1960.71"/>
    <n v="309.26"/>
  </r>
  <r>
    <x v="65"/>
    <x v="10"/>
    <x v="669"/>
    <x v="38"/>
    <n v="1552.47"/>
    <n v="1266.42"/>
    <n v="286.05"/>
  </r>
  <r>
    <x v="52"/>
    <x v="8"/>
    <x v="670"/>
    <x v="38"/>
    <n v="1788.83"/>
    <n v="1459.23"/>
    <n v="329.6"/>
  </r>
  <r>
    <x v="42"/>
    <x v="6"/>
    <x v="678"/>
    <x v="38"/>
    <n v="1110.65"/>
    <n v="906.01"/>
    <n v="204.64"/>
  </r>
  <r>
    <x v="0"/>
    <x v="0"/>
    <x v="679"/>
    <x v="38"/>
    <n v="1489.33"/>
    <n v="1214.91"/>
    <n v="274.42"/>
  </r>
  <r>
    <x v="63"/>
    <x v="9"/>
    <x v="680"/>
    <x v="38"/>
    <n v="1396.8"/>
    <n v="1139.43"/>
    <n v="257.37"/>
  </r>
  <r>
    <x v="83"/>
    <x v="12"/>
    <x v="681"/>
    <x v="38"/>
    <n v="1632.03"/>
    <n v="1331.32"/>
    <n v="300.71"/>
  </r>
  <r>
    <x v="53"/>
    <x v="8"/>
    <x v="682"/>
    <x v="38"/>
    <n v="842.98"/>
    <n v="687.66"/>
    <n v="155.32"/>
  </r>
  <r>
    <x v="89"/>
    <x v="13"/>
    <x v="683"/>
    <x v="38"/>
    <n v="1579.49"/>
    <n v="1288.46"/>
    <n v="291.03"/>
  </r>
  <r>
    <x v="6"/>
    <x v="1"/>
    <x v="684"/>
    <x v="38"/>
    <n v="1020.41"/>
    <n v="832.4"/>
    <n v="188.01"/>
  </r>
  <r>
    <x v="49"/>
    <x v="7"/>
    <x v="685"/>
    <x v="38"/>
    <n v="1390.71"/>
    <n v="1134.46"/>
    <n v="256.25"/>
  </r>
  <r>
    <x v="16"/>
    <x v="3"/>
    <x v="671"/>
    <x v="38"/>
    <n v="938.92"/>
    <n v="765.92"/>
    <n v="173"/>
  </r>
  <r>
    <x v="48"/>
    <x v="7"/>
    <x v="672"/>
    <x v="38"/>
    <n v="1219.37"/>
    <n v="994.6900000000001"/>
    <n v="224.68"/>
  </r>
  <r>
    <x v="56"/>
    <x v="8"/>
    <x v="673"/>
    <x v="38"/>
    <n v="1024.6"/>
    <n v="835.8099999999999"/>
    <n v="188.79"/>
  </r>
  <r>
    <x v="30"/>
    <x v="5"/>
    <x v="674"/>
    <x v="38"/>
    <n v="1241.8"/>
    <n v="1012.99"/>
    <n v="228.81"/>
  </r>
  <r>
    <x v="64"/>
    <x v="10"/>
    <x v="675"/>
    <x v="38"/>
    <n v="1161.16"/>
    <n v="947.21"/>
    <n v="213.95"/>
  </r>
  <r>
    <x v="47"/>
    <x v="7"/>
    <x v="676"/>
    <x v="38"/>
    <n v="1280.18"/>
    <n v="1044.3"/>
    <n v="235.88"/>
  </r>
  <r>
    <x v="72"/>
    <x v="11"/>
    <x v="677"/>
    <x v="38"/>
    <n v="1890.83"/>
    <n v="1542.43"/>
    <n v="348.4"/>
  </r>
  <r>
    <x v="85"/>
    <x v="13"/>
    <x v="686"/>
    <x v="35"/>
    <n v="1536.99"/>
    <n v="1322.11"/>
    <n v="214.88"/>
  </r>
  <r>
    <x v="72"/>
    <x v="11"/>
    <x v="687"/>
    <x v="35"/>
    <n v="1944.78"/>
    <n v="1672.88"/>
    <n v="271.9"/>
  </r>
  <r>
    <x v="42"/>
    <x v="6"/>
    <x v="694"/>
    <x v="35"/>
    <n v="3031.94"/>
    <n v="2608.05"/>
    <n v="423.89"/>
  </r>
  <r>
    <x v="43"/>
    <x v="7"/>
    <x v="695"/>
    <x v="35"/>
    <n v="2377.71"/>
    <n v="2045.28"/>
    <n v="332.43"/>
  </r>
  <r>
    <x v="34"/>
    <x v="5"/>
    <x v="696"/>
    <x v="35"/>
    <n v="2503.32"/>
    <n v="2153.34"/>
    <n v="349.98"/>
  </r>
  <r>
    <x v="17"/>
    <x v="3"/>
    <x v="697"/>
    <x v="35"/>
    <n v="2998.25"/>
    <n v="2579.07"/>
    <n v="419.18"/>
  </r>
  <r>
    <x v="88"/>
    <x v="13"/>
    <x v="698"/>
    <x v="35"/>
    <n v="2333.8"/>
    <n v="2007.51"/>
    <n v="326.29"/>
  </r>
  <r>
    <x v="50"/>
    <x v="8"/>
    <x v="699"/>
    <x v="35"/>
    <n v="2537.26"/>
    <n v="2182.53"/>
    <n v="354.73"/>
  </r>
  <r>
    <x v="21"/>
    <x v="3"/>
    <x v="700"/>
    <x v="35"/>
    <n v="1875"/>
    <n v="1612.86"/>
    <n v="262.14"/>
  </r>
  <r>
    <x v="41"/>
    <x v="6"/>
    <x v="701"/>
    <x v="35"/>
    <n v="2029.46"/>
    <n v="1745.72"/>
    <n v="283.74"/>
  </r>
  <r>
    <x v="65"/>
    <x v="10"/>
    <x v="688"/>
    <x v="35"/>
    <n v="2094.62"/>
    <n v="1801.78"/>
    <n v="292.84"/>
  </r>
  <r>
    <x v="49"/>
    <x v="7"/>
    <x v="689"/>
    <x v="35"/>
    <n v="2962.35"/>
    <n v="2548.19"/>
    <n v="414.16"/>
  </r>
  <r>
    <x v="57"/>
    <x v="9"/>
    <x v="690"/>
    <x v="35"/>
    <n v="2694.52"/>
    <n v="2317.8"/>
    <n v="376.72"/>
  </r>
  <r>
    <x v="82"/>
    <x v="12"/>
    <x v="691"/>
    <x v="35"/>
    <n v="2959.25"/>
    <n v="2545.52"/>
    <n v="413.73"/>
  </r>
  <r>
    <x v="50"/>
    <x v="8"/>
    <x v="692"/>
    <x v="35"/>
    <n v="2502.96"/>
    <n v="2153.03"/>
    <n v="349.93"/>
  </r>
  <r>
    <x v="36"/>
    <x v="6"/>
    <x v="693"/>
    <x v="35"/>
    <n v="3013.68"/>
    <n v="2592.34"/>
    <n v="421.34"/>
  </r>
  <r>
    <x v="14"/>
    <x v="2"/>
    <x v="702"/>
    <x v="39"/>
    <n v="1048"/>
    <n v="833.91"/>
    <n v="214.09"/>
  </r>
  <r>
    <x v="10"/>
    <x v="2"/>
    <x v="703"/>
    <x v="39"/>
    <n v="633.1"/>
    <n v="503.77"/>
    <n v="129.33"/>
  </r>
  <r>
    <x v="66"/>
    <x v="10"/>
    <x v="714"/>
    <x v="39"/>
    <n v="799.72"/>
    <n v="636.35"/>
    <n v="163.37"/>
  </r>
  <r>
    <x v="13"/>
    <x v="2"/>
    <x v="725"/>
    <x v="39"/>
    <n v="913.96"/>
    <n v="727.25"/>
    <n v="186.71"/>
  </r>
  <r>
    <x v="47"/>
    <x v="7"/>
    <x v="734"/>
    <x v="39"/>
    <n v="1053.76"/>
    <n v="838.49"/>
    <n v="215.27"/>
  </r>
  <r>
    <x v="86"/>
    <x v="13"/>
    <x v="735"/>
    <x v="39"/>
    <n v="1054.02"/>
    <n v="838.7"/>
    <n v="215.32"/>
  </r>
  <r>
    <x v="78"/>
    <x v="12"/>
    <x v="736"/>
    <x v="39"/>
    <n v="588"/>
    <n v="467.88"/>
    <n v="120.12"/>
  </r>
  <r>
    <x v="70"/>
    <x v="10"/>
    <x v="737"/>
    <x v="39"/>
    <n v="566.5700000000001"/>
    <n v="450.83"/>
    <n v="115.74"/>
  </r>
  <r>
    <x v="5"/>
    <x v="1"/>
    <x v="738"/>
    <x v="39"/>
    <n v="875.42"/>
    <n v="696.59"/>
    <n v="178.83"/>
  </r>
  <r>
    <x v="15"/>
    <x v="3"/>
    <x v="739"/>
    <x v="39"/>
    <n v="648.83"/>
    <n v="516.28"/>
    <n v="132.55"/>
  </r>
  <r>
    <x v="71"/>
    <x v="11"/>
    <x v="704"/>
    <x v="39"/>
    <n v="538.78"/>
    <n v="428.71"/>
    <n v="110.07"/>
  </r>
  <r>
    <x v="53"/>
    <x v="8"/>
    <x v="705"/>
    <x v="39"/>
    <n v="1144.06"/>
    <n v="910.35"/>
    <n v="233.71"/>
  </r>
  <r>
    <x v="20"/>
    <x v="3"/>
    <x v="706"/>
    <x v="39"/>
    <n v="504.71"/>
    <n v="401.61"/>
    <n v="103.1"/>
  </r>
  <r>
    <x v="70"/>
    <x v="10"/>
    <x v="707"/>
    <x v="39"/>
    <n v="1141.95"/>
    <n v="908.67"/>
    <n v="233.28"/>
  </r>
  <r>
    <x v="56"/>
    <x v="8"/>
    <x v="708"/>
    <x v="39"/>
    <n v="916.87"/>
    <n v="729.5700000000001"/>
    <n v="187.3"/>
  </r>
  <r>
    <x v="86"/>
    <x v="13"/>
    <x v="709"/>
    <x v="39"/>
    <n v="519.62"/>
    <n v="413.47"/>
    <n v="106.15"/>
  </r>
  <r>
    <x v="27"/>
    <x v="4"/>
    <x v="710"/>
    <x v="39"/>
    <n v="672.51"/>
    <n v="535.12"/>
    <n v="137.39"/>
  </r>
  <r>
    <x v="84"/>
    <x v="12"/>
    <x v="711"/>
    <x v="39"/>
    <n v="1144.56"/>
    <n v="910.74"/>
    <n v="233.82"/>
  </r>
  <r>
    <x v="38"/>
    <x v="6"/>
    <x v="712"/>
    <x v="39"/>
    <n v="906.03"/>
    <n v="720.9400000000001"/>
    <n v="185.09"/>
  </r>
  <r>
    <x v="56"/>
    <x v="8"/>
    <x v="713"/>
    <x v="39"/>
    <n v="658.63"/>
    <n v="524.08"/>
    <n v="134.55"/>
  </r>
  <r>
    <x v="35"/>
    <x v="5"/>
    <x v="715"/>
    <x v="39"/>
    <n v="548.0700000000001"/>
    <n v="436.11"/>
    <n v="111.96"/>
  </r>
  <r>
    <x v="0"/>
    <x v="0"/>
    <x v="716"/>
    <x v="39"/>
    <n v="1073.51"/>
    <n v="854.21"/>
    <n v="219.3"/>
  </r>
  <r>
    <x v="50"/>
    <x v="8"/>
    <x v="717"/>
    <x v="39"/>
    <n v="745.87"/>
    <n v="593.5"/>
    <n v="152.37"/>
  </r>
  <r>
    <x v="69"/>
    <x v="10"/>
    <x v="718"/>
    <x v="39"/>
    <n v="839.4299999999999"/>
    <n v="667.95"/>
    <n v="171.48"/>
  </r>
  <r>
    <x v="77"/>
    <x v="11"/>
    <x v="719"/>
    <x v="39"/>
    <n v="588.14"/>
    <n v="467.99"/>
    <n v="120.15"/>
  </r>
  <r>
    <x v="8"/>
    <x v="2"/>
    <x v="720"/>
    <x v="39"/>
    <n v="1041.27"/>
    <n v="828.5599999999999"/>
    <n v="212.71"/>
  </r>
  <r>
    <x v="24"/>
    <x v="4"/>
    <x v="721"/>
    <x v="39"/>
    <n v="1112.73"/>
    <n v="885.42"/>
    <n v="227.31"/>
  </r>
  <r>
    <x v="18"/>
    <x v="3"/>
    <x v="722"/>
    <x v="39"/>
    <n v="974.03"/>
    <n v="775.05"/>
    <n v="198.98"/>
  </r>
  <r>
    <x v="51"/>
    <x v="8"/>
    <x v="723"/>
    <x v="39"/>
    <n v="962.91"/>
    <n v="766.2"/>
    <n v="196.71"/>
  </r>
  <r>
    <x v="39"/>
    <x v="6"/>
    <x v="724"/>
    <x v="39"/>
    <n v="934.5599999999999"/>
    <n v="743.64"/>
    <n v="190.92"/>
  </r>
  <r>
    <x v="28"/>
    <x v="4"/>
    <x v="726"/>
    <x v="39"/>
    <n v="1029.08"/>
    <n v="818.86"/>
    <n v="210.22"/>
  </r>
  <r>
    <x v="55"/>
    <x v="8"/>
    <x v="727"/>
    <x v="39"/>
    <n v="1166.99"/>
    <n v="928.59"/>
    <n v="238.4"/>
  </r>
  <r>
    <x v="32"/>
    <x v="5"/>
    <x v="728"/>
    <x v="39"/>
    <n v="624.05"/>
    <n v="496.57"/>
    <n v="127.48"/>
  </r>
  <r>
    <x v="26"/>
    <x v="4"/>
    <x v="729"/>
    <x v="39"/>
    <n v="559.14"/>
    <n v="444.92"/>
    <n v="114.22"/>
  </r>
  <r>
    <x v="48"/>
    <x v="7"/>
    <x v="730"/>
    <x v="39"/>
    <n v="600.92"/>
    <n v="478.16"/>
    <n v="122.76"/>
  </r>
  <r>
    <x v="85"/>
    <x v="13"/>
    <x v="731"/>
    <x v="39"/>
    <n v="1092.29"/>
    <n v="869.15"/>
    <n v="223.14"/>
  </r>
  <r>
    <x v="64"/>
    <x v="10"/>
    <x v="732"/>
    <x v="39"/>
    <n v="972.08"/>
    <n v="773.5"/>
    <n v="198.58"/>
  </r>
  <r>
    <x v="33"/>
    <x v="5"/>
    <x v="733"/>
    <x v="39"/>
    <n v="789.85"/>
    <n v="628.49"/>
    <n v="161.36"/>
  </r>
  <r>
    <x v="83"/>
    <x v="12"/>
    <x v="740"/>
    <x v="37"/>
    <n v="625.6799999999999"/>
    <n v="519.15"/>
    <n v="106.53"/>
  </r>
  <r>
    <x v="41"/>
    <x v="6"/>
    <x v="741"/>
    <x v="37"/>
    <n v="725.59"/>
    <n v="602.05"/>
    <n v="123.54"/>
  </r>
  <r>
    <x v="39"/>
    <x v="6"/>
    <x v="752"/>
    <x v="37"/>
    <n v="580.62"/>
    <n v="481.77"/>
    <n v="98.84999999999999"/>
  </r>
  <r>
    <x v="6"/>
    <x v="1"/>
    <x v="761"/>
    <x v="37"/>
    <n v="522.39"/>
    <n v="433.45"/>
    <n v="88.94"/>
  </r>
  <r>
    <x v="34"/>
    <x v="5"/>
    <x v="762"/>
    <x v="37"/>
    <n v="718.0700000000001"/>
    <n v="595.8099999999999"/>
    <n v="122.26"/>
  </r>
  <r>
    <x v="54"/>
    <x v="8"/>
    <x v="763"/>
    <x v="37"/>
    <n v="380.51"/>
    <n v="315.73"/>
    <n v="64.78"/>
  </r>
  <r>
    <x v="39"/>
    <x v="6"/>
    <x v="764"/>
    <x v="37"/>
    <n v="549.1799999999999"/>
    <n v="455.67"/>
    <n v="93.51000000000001"/>
  </r>
  <r>
    <x v="25"/>
    <x v="4"/>
    <x v="765"/>
    <x v="37"/>
    <n v="655.53"/>
    <n v="543.92"/>
    <n v="111.61"/>
  </r>
  <r>
    <x v="6"/>
    <x v="1"/>
    <x v="766"/>
    <x v="37"/>
    <n v="614.98"/>
    <n v="510.27"/>
    <n v="104.71"/>
  </r>
  <r>
    <x v="41"/>
    <x v="6"/>
    <x v="767"/>
    <x v="37"/>
    <n v="719.29"/>
    <n v="596.8200000000001"/>
    <n v="122.47"/>
  </r>
  <r>
    <x v="37"/>
    <x v="6"/>
    <x v="742"/>
    <x v="37"/>
    <n v="534.52"/>
    <n v="443.51"/>
    <n v="91.01000000000001"/>
  </r>
  <r>
    <x v="16"/>
    <x v="3"/>
    <x v="743"/>
    <x v="37"/>
    <n v="782.0599999999999"/>
    <n v="648.91"/>
    <n v="133.15"/>
  </r>
  <r>
    <x v="2"/>
    <x v="1"/>
    <x v="744"/>
    <x v="37"/>
    <n v="630.39"/>
    <n v="523.0599999999999"/>
    <n v="107.33"/>
  </r>
  <r>
    <x v="63"/>
    <x v="9"/>
    <x v="745"/>
    <x v="37"/>
    <n v="482.81"/>
    <n v="400.61"/>
    <n v="82.2"/>
  </r>
  <r>
    <x v="25"/>
    <x v="4"/>
    <x v="746"/>
    <x v="37"/>
    <n v="781.49"/>
    <n v="648.4299999999999"/>
    <n v="133.06"/>
  </r>
  <r>
    <x v="29"/>
    <x v="5"/>
    <x v="747"/>
    <x v="37"/>
    <n v="672.04"/>
    <n v="557.62"/>
    <n v="114.42"/>
  </r>
  <r>
    <x v="8"/>
    <x v="2"/>
    <x v="748"/>
    <x v="37"/>
    <n v="642.98"/>
    <n v="533.51"/>
    <n v="109.47"/>
  </r>
  <r>
    <x v="86"/>
    <x v="13"/>
    <x v="749"/>
    <x v="37"/>
    <n v="349.37"/>
    <n v="289.89"/>
    <n v="59.48"/>
  </r>
  <r>
    <x v="76"/>
    <x v="11"/>
    <x v="750"/>
    <x v="37"/>
    <n v="584.6799999999999"/>
    <n v="485.13"/>
    <n v="99.55"/>
  </r>
  <r>
    <x v="33"/>
    <x v="5"/>
    <x v="751"/>
    <x v="37"/>
    <n v="652.13"/>
    <n v="541.1"/>
    <n v="111.03"/>
  </r>
  <r>
    <x v="56"/>
    <x v="8"/>
    <x v="753"/>
    <x v="37"/>
    <n v="728.3099999999999"/>
    <n v="604.3099999999999"/>
    <n v="124"/>
  </r>
  <r>
    <x v="18"/>
    <x v="3"/>
    <x v="754"/>
    <x v="37"/>
    <n v="490.57"/>
    <n v="407.04"/>
    <n v="83.53"/>
  </r>
  <r>
    <x v="67"/>
    <x v="10"/>
    <x v="755"/>
    <x v="37"/>
    <n v="681.3"/>
    <n v="565.3"/>
    <n v="116"/>
  </r>
  <r>
    <x v="86"/>
    <x v="13"/>
    <x v="756"/>
    <x v="37"/>
    <n v="459.88"/>
    <n v="381.58"/>
    <n v="78.3"/>
  </r>
  <r>
    <x v="83"/>
    <x v="12"/>
    <x v="757"/>
    <x v="37"/>
    <n v="677.16"/>
    <n v="561.87"/>
    <n v="115.29"/>
  </r>
  <r>
    <x v="71"/>
    <x v="11"/>
    <x v="758"/>
    <x v="37"/>
    <n v="645.99"/>
    <n v="536"/>
    <n v="109.99"/>
  </r>
  <r>
    <x v="28"/>
    <x v="4"/>
    <x v="759"/>
    <x v="37"/>
    <n v="608.6900000000001"/>
    <n v="505.06"/>
    <n v="103.63"/>
  </r>
  <r>
    <x v="30"/>
    <x v="5"/>
    <x v="760"/>
    <x v="37"/>
    <n v="536.9"/>
    <n v="445.49"/>
    <n v="91.41"/>
  </r>
  <r>
    <x v="71"/>
    <x v="11"/>
    <x v="768"/>
    <x v="1"/>
    <n v="1161.11"/>
    <n v="1047.15"/>
    <n v="113.96"/>
  </r>
  <r>
    <x v="19"/>
    <x v="3"/>
    <x v="769"/>
    <x v="1"/>
    <n v="1564.77"/>
    <n v="1411.2"/>
    <n v="153.57"/>
  </r>
  <r>
    <x v="69"/>
    <x v="10"/>
    <x v="780"/>
    <x v="1"/>
    <n v="928.88"/>
    <n v="837.72"/>
    <n v="91.16"/>
  </r>
  <r>
    <x v="30"/>
    <x v="5"/>
    <x v="782"/>
    <x v="1"/>
    <n v="776.21"/>
    <n v="700.03"/>
    <n v="76.18000000000001"/>
  </r>
  <r>
    <x v="0"/>
    <x v="0"/>
    <x v="783"/>
    <x v="1"/>
    <n v="1296.01"/>
    <n v="1168.82"/>
    <n v="127.19"/>
  </r>
  <r>
    <x v="52"/>
    <x v="8"/>
    <x v="784"/>
    <x v="1"/>
    <n v="1478.05"/>
    <n v="1332.99"/>
    <n v="145.06"/>
  </r>
  <r>
    <x v="67"/>
    <x v="10"/>
    <x v="785"/>
    <x v="1"/>
    <n v="1193.38"/>
    <n v="1076.26"/>
    <n v="117.12"/>
  </r>
  <r>
    <x v="40"/>
    <x v="6"/>
    <x v="786"/>
    <x v="1"/>
    <n v="1055.63"/>
    <n v="952.03"/>
    <n v="103.6"/>
  </r>
  <r>
    <x v="43"/>
    <x v="7"/>
    <x v="787"/>
    <x v="1"/>
    <n v="1199.29"/>
    <n v="1081.59"/>
    <n v="117.7"/>
  </r>
  <r>
    <x v="62"/>
    <x v="9"/>
    <x v="788"/>
    <x v="1"/>
    <n v="724.34"/>
    <n v="653.25"/>
    <n v="71.09"/>
  </r>
  <r>
    <x v="66"/>
    <x v="10"/>
    <x v="770"/>
    <x v="1"/>
    <n v="1363.98"/>
    <n v="1230.11"/>
    <n v="133.87"/>
  </r>
  <r>
    <x v="75"/>
    <x v="11"/>
    <x v="771"/>
    <x v="1"/>
    <n v="705.11"/>
    <n v="635.91"/>
    <n v="69.2"/>
  </r>
  <r>
    <x v="79"/>
    <x v="12"/>
    <x v="772"/>
    <x v="1"/>
    <n v="1395.4"/>
    <n v="1258.45"/>
    <n v="136.95"/>
  </r>
  <r>
    <x v="86"/>
    <x v="13"/>
    <x v="773"/>
    <x v="1"/>
    <n v="1419.84"/>
    <n v="1280.49"/>
    <n v="139.35"/>
  </r>
  <r>
    <x v="18"/>
    <x v="3"/>
    <x v="774"/>
    <x v="1"/>
    <n v="1531.9"/>
    <n v="1381.56"/>
    <n v="150.34"/>
  </r>
  <r>
    <x v="70"/>
    <x v="10"/>
    <x v="775"/>
    <x v="1"/>
    <n v="1273.52"/>
    <n v="1148.54"/>
    <n v="124.98"/>
  </r>
  <r>
    <x v="56"/>
    <x v="8"/>
    <x v="776"/>
    <x v="1"/>
    <n v="762.45"/>
    <n v="687.62"/>
    <n v="74.83"/>
  </r>
  <r>
    <x v="20"/>
    <x v="3"/>
    <x v="777"/>
    <x v="1"/>
    <n v="1070.8"/>
    <n v="965.71"/>
    <n v="105.09"/>
  </r>
  <r>
    <x v="0"/>
    <x v="0"/>
    <x v="778"/>
    <x v="1"/>
    <n v="1404.57"/>
    <n v="1266.72"/>
    <n v="137.85"/>
  </r>
  <r>
    <x v="15"/>
    <x v="3"/>
    <x v="779"/>
    <x v="1"/>
    <n v="1495.45"/>
    <n v="1348.69"/>
    <n v="146.76"/>
  </r>
  <r>
    <x v="47"/>
    <x v="7"/>
    <x v="781"/>
    <x v="1"/>
    <n v="1142.02"/>
    <n v="1029.94"/>
    <n v="112.08"/>
  </r>
  <r>
    <x v="53"/>
    <x v="8"/>
    <x v="789"/>
    <x v="3"/>
    <n v="898.67"/>
    <n v="775.0700000000001"/>
    <n v="123.6"/>
  </r>
  <r>
    <x v="23"/>
    <x v="4"/>
    <x v="790"/>
    <x v="3"/>
    <n v="505.91"/>
    <n v="436.33"/>
    <n v="69.58"/>
  </r>
  <r>
    <x v="79"/>
    <x v="12"/>
    <x v="801"/>
    <x v="3"/>
    <n v="799.41"/>
    <n v="689.46"/>
    <n v="109.95"/>
  </r>
  <r>
    <x v="51"/>
    <x v="8"/>
    <x v="804"/>
    <x v="3"/>
    <n v="448.01"/>
    <n v="386.39"/>
    <n v="61.62"/>
  </r>
  <r>
    <x v="21"/>
    <x v="3"/>
    <x v="805"/>
    <x v="3"/>
    <n v="801.5700000000001"/>
    <n v="691.33"/>
    <n v="110.24"/>
  </r>
  <r>
    <x v="34"/>
    <x v="5"/>
    <x v="806"/>
    <x v="3"/>
    <n v="863.3200000000001"/>
    <n v="744.58"/>
    <n v="118.74"/>
  </r>
  <r>
    <x v="57"/>
    <x v="9"/>
    <x v="807"/>
    <x v="3"/>
    <n v="531.0599999999999"/>
    <n v="458.02"/>
    <n v="73.04000000000001"/>
  </r>
  <r>
    <x v="82"/>
    <x v="12"/>
    <x v="808"/>
    <x v="3"/>
    <n v="532.05"/>
    <n v="458.88"/>
    <n v="73.17"/>
  </r>
  <r>
    <x v="10"/>
    <x v="2"/>
    <x v="809"/>
    <x v="3"/>
    <n v="925.78"/>
    <n v="798.45"/>
    <n v="127.33"/>
  </r>
  <r>
    <x v="79"/>
    <x v="12"/>
    <x v="810"/>
    <x v="3"/>
    <n v="459.76"/>
    <n v="396.52"/>
    <n v="63.24"/>
  </r>
  <r>
    <x v="29"/>
    <x v="5"/>
    <x v="791"/>
    <x v="3"/>
    <n v="824.53"/>
    <n v="711.13"/>
    <n v="113.4"/>
  </r>
  <r>
    <x v="47"/>
    <x v="7"/>
    <x v="792"/>
    <x v="3"/>
    <n v="540.39"/>
    <n v="466.07"/>
    <n v="74.31999999999999"/>
  </r>
  <r>
    <x v="36"/>
    <x v="6"/>
    <x v="793"/>
    <x v="3"/>
    <n v="440"/>
    <n v="379.48"/>
    <n v="60.52"/>
  </r>
  <r>
    <x v="51"/>
    <x v="8"/>
    <x v="794"/>
    <x v="3"/>
    <n v="734.4"/>
    <n v="633.39"/>
    <n v="101.01"/>
  </r>
  <r>
    <x v="34"/>
    <x v="5"/>
    <x v="795"/>
    <x v="3"/>
    <n v="582.09"/>
    <n v="502.03"/>
    <n v="80.06"/>
  </r>
  <r>
    <x v="6"/>
    <x v="1"/>
    <x v="796"/>
    <x v="3"/>
    <n v="820.3200000000001"/>
    <n v="707.49"/>
    <n v="112.83"/>
  </r>
  <r>
    <x v="1"/>
    <x v="1"/>
    <x v="797"/>
    <x v="3"/>
    <n v="637.48"/>
    <n v="549.8"/>
    <n v="87.68000000000001"/>
  </r>
  <r>
    <x v="21"/>
    <x v="3"/>
    <x v="798"/>
    <x v="3"/>
    <n v="435.12"/>
    <n v="375.27"/>
    <n v="59.85"/>
  </r>
  <r>
    <x v="43"/>
    <x v="7"/>
    <x v="799"/>
    <x v="3"/>
    <n v="856.34"/>
    <n v="738.5599999999999"/>
    <n v="117.78"/>
  </r>
  <r>
    <x v="31"/>
    <x v="5"/>
    <x v="800"/>
    <x v="3"/>
    <n v="681.47"/>
    <n v="587.74"/>
    <n v="93.73"/>
  </r>
  <r>
    <x v="88"/>
    <x v="13"/>
    <x v="802"/>
    <x v="3"/>
    <n v="548.92"/>
    <n v="473.42"/>
    <n v="75.5"/>
  </r>
  <r>
    <x v="88"/>
    <x v="13"/>
    <x v="803"/>
    <x v="3"/>
    <n v="914.42"/>
    <n v="788.65"/>
    <n v="125.77"/>
  </r>
  <r>
    <x v="40"/>
    <x v="6"/>
    <x v="811"/>
    <x v="0"/>
    <n v="8204.190000000001"/>
    <n v="6764.63"/>
    <n v="1439.56"/>
  </r>
  <r>
    <x v="22"/>
    <x v="4"/>
    <x v="812"/>
    <x v="0"/>
    <n v="8725.040000000001"/>
    <n v="7194.09"/>
    <n v="1530.95"/>
  </r>
  <r>
    <x v="37"/>
    <x v="6"/>
    <x v="813"/>
    <x v="0"/>
    <n v="7560.72"/>
    <n v="6234.06"/>
    <n v="1326.66"/>
  </r>
  <r>
    <x v="29"/>
    <x v="5"/>
    <x v="814"/>
    <x v="0"/>
    <n v="7272.45"/>
    <n v="5996.38"/>
    <n v="1276.07"/>
  </r>
  <r>
    <x v="40"/>
    <x v="6"/>
    <x v="815"/>
    <x v="0"/>
    <n v="7405.01"/>
    <n v="6105.68"/>
    <n v="1299.33"/>
  </r>
  <r>
    <x v="0"/>
    <x v="0"/>
    <x v="816"/>
    <x v="0"/>
    <n v="6853.58"/>
    <n v="5651.01"/>
    <n v="1202.57"/>
  </r>
  <r>
    <x v="13"/>
    <x v="2"/>
    <x v="817"/>
    <x v="0"/>
    <n v="7733.69"/>
    <n v="6376.69"/>
    <n v="1357"/>
  </r>
  <r>
    <x v="51"/>
    <x v="8"/>
    <x v="818"/>
    <x v="4"/>
    <n v="374.97"/>
    <n v="336.2"/>
    <n v="38.77"/>
  </r>
  <r>
    <x v="50"/>
    <x v="8"/>
    <x v="819"/>
    <x v="4"/>
    <n v="577.83"/>
    <n v="518.08"/>
    <n v="59.75"/>
  </r>
  <r>
    <x v="43"/>
    <x v="7"/>
    <x v="830"/>
    <x v="4"/>
    <n v="397.23"/>
    <n v="356.16"/>
    <n v="41.07"/>
  </r>
  <r>
    <x v="12"/>
    <x v="2"/>
    <x v="831"/>
    <x v="4"/>
    <n v="625.26"/>
    <n v="560.6"/>
    <n v="64.66"/>
  </r>
  <r>
    <x v="11"/>
    <x v="2"/>
    <x v="832"/>
    <x v="4"/>
    <n v="680.3099999999999"/>
    <n v="609.96"/>
    <n v="70.34999999999999"/>
  </r>
  <r>
    <x v="62"/>
    <x v="9"/>
    <x v="833"/>
    <x v="4"/>
    <n v="773.75"/>
    <n v="693.74"/>
    <n v="80.01000000000001"/>
  </r>
  <r>
    <x v="35"/>
    <x v="5"/>
    <x v="834"/>
    <x v="4"/>
    <n v="784.38"/>
    <n v="703.28"/>
    <n v="81.09999999999999"/>
  </r>
  <r>
    <x v="49"/>
    <x v="7"/>
    <x v="835"/>
    <x v="4"/>
    <n v="380.44"/>
    <n v="341.1"/>
    <n v="39.34"/>
  </r>
  <r>
    <x v="31"/>
    <x v="5"/>
    <x v="836"/>
    <x v="4"/>
    <n v="461.84"/>
    <n v="414.08"/>
    <n v="47.76"/>
  </r>
  <r>
    <x v="75"/>
    <x v="11"/>
    <x v="837"/>
    <x v="4"/>
    <n v="749"/>
    <n v="671.55"/>
    <n v="77.45"/>
  </r>
  <r>
    <x v="89"/>
    <x v="13"/>
    <x v="820"/>
    <x v="4"/>
    <n v="705.88"/>
    <n v="632.89"/>
    <n v="72.98999999999999"/>
  </r>
  <r>
    <x v="9"/>
    <x v="2"/>
    <x v="821"/>
    <x v="4"/>
    <n v="658.55"/>
    <n v="590.45"/>
    <n v="68.09999999999999"/>
  </r>
  <r>
    <x v="25"/>
    <x v="4"/>
    <x v="822"/>
    <x v="4"/>
    <n v="598.5599999999999"/>
    <n v="536.67"/>
    <n v="61.89"/>
  </r>
  <r>
    <x v="29"/>
    <x v="5"/>
    <x v="823"/>
    <x v="4"/>
    <n v="364.47"/>
    <n v="326.78"/>
    <n v="37.69"/>
  </r>
  <r>
    <x v="47"/>
    <x v="7"/>
    <x v="824"/>
    <x v="4"/>
    <n v="355.94"/>
    <n v="319.14"/>
    <n v="36.8"/>
  </r>
  <r>
    <x v="35"/>
    <x v="5"/>
    <x v="825"/>
    <x v="4"/>
    <n v="411.32"/>
    <n v="368.79"/>
    <n v="42.53"/>
  </r>
  <r>
    <x v="34"/>
    <x v="5"/>
    <x v="826"/>
    <x v="4"/>
    <n v="434.69"/>
    <n v="389.74"/>
    <n v="44.95"/>
  </r>
  <r>
    <x v="70"/>
    <x v="10"/>
    <x v="827"/>
    <x v="4"/>
    <n v="564.9299999999999"/>
    <n v="506.51"/>
    <n v="58.42"/>
  </r>
  <r>
    <x v="83"/>
    <x v="12"/>
    <x v="828"/>
    <x v="4"/>
    <n v="566.87"/>
    <n v="508.25"/>
    <n v="58.62"/>
  </r>
  <r>
    <x v="11"/>
    <x v="2"/>
    <x v="829"/>
    <x v="4"/>
    <n v="779.3099999999999"/>
    <n v="698.73"/>
    <n v="80.58"/>
  </r>
  <r>
    <x v="70"/>
    <x v="10"/>
    <x v="838"/>
    <x v="2"/>
    <n v="641.4"/>
    <n v="579.1900000000001"/>
    <n v="62.21"/>
  </r>
  <r>
    <x v="83"/>
    <x v="12"/>
    <x v="839"/>
    <x v="2"/>
    <n v="765.22"/>
    <n v="691.01"/>
    <n v="74.20999999999999"/>
  </r>
  <r>
    <x v="42"/>
    <x v="6"/>
    <x v="850"/>
    <x v="2"/>
    <n v="818.12"/>
    <n v="738.77"/>
    <n v="79.34999999999999"/>
  </r>
  <r>
    <x v="58"/>
    <x v="9"/>
    <x v="854"/>
    <x v="2"/>
    <n v="580.21"/>
    <n v="523.9400000000001"/>
    <n v="56.27"/>
  </r>
  <r>
    <x v="2"/>
    <x v="1"/>
    <x v="855"/>
    <x v="2"/>
    <n v="690.8099999999999"/>
    <n v="623.8099999999999"/>
    <n v="67"/>
  </r>
  <r>
    <x v="45"/>
    <x v="7"/>
    <x v="856"/>
    <x v="2"/>
    <n v="554.78"/>
    <n v="500.97"/>
    <n v="53.81"/>
  </r>
  <r>
    <x v="80"/>
    <x v="12"/>
    <x v="857"/>
    <x v="2"/>
    <n v="928.29"/>
    <n v="838.26"/>
    <n v="90.03"/>
  </r>
  <r>
    <x v="22"/>
    <x v="4"/>
    <x v="858"/>
    <x v="2"/>
    <n v="816.63"/>
    <n v="737.4299999999999"/>
    <n v="79.2"/>
  </r>
  <r>
    <x v="61"/>
    <x v="9"/>
    <x v="859"/>
    <x v="2"/>
    <n v="582.25"/>
    <n v="525.78"/>
    <n v="56.47"/>
  </r>
  <r>
    <x v="66"/>
    <x v="10"/>
    <x v="860"/>
    <x v="2"/>
    <n v="553.91"/>
    <n v="500.19"/>
    <n v="53.72"/>
  </r>
  <r>
    <x v="25"/>
    <x v="4"/>
    <x v="840"/>
    <x v="2"/>
    <n v="454.91"/>
    <n v="410.79"/>
    <n v="44.12"/>
  </r>
  <r>
    <x v="66"/>
    <x v="10"/>
    <x v="841"/>
    <x v="2"/>
    <n v="539.16"/>
    <n v="486.87"/>
    <n v="52.29"/>
  </r>
  <r>
    <x v="86"/>
    <x v="13"/>
    <x v="842"/>
    <x v="2"/>
    <n v="818.23"/>
    <n v="738.87"/>
    <n v="79.36"/>
  </r>
  <r>
    <x v="58"/>
    <x v="9"/>
    <x v="843"/>
    <x v="2"/>
    <n v="567.33"/>
    <n v="512.3099999999999"/>
    <n v="55.02"/>
  </r>
  <r>
    <x v="10"/>
    <x v="2"/>
    <x v="844"/>
    <x v="2"/>
    <n v="648.6799999999999"/>
    <n v="585.76"/>
    <n v="62.92"/>
  </r>
  <r>
    <x v="71"/>
    <x v="11"/>
    <x v="845"/>
    <x v="2"/>
    <n v="726.39"/>
    <n v="655.9400000000001"/>
    <n v="70.45"/>
  </r>
  <r>
    <x v="17"/>
    <x v="3"/>
    <x v="846"/>
    <x v="2"/>
    <n v="748.09"/>
    <n v="675.53"/>
    <n v="72.56"/>
  </r>
  <r>
    <x v="76"/>
    <x v="11"/>
    <x v="847"/>
    <x v="2"/>
    <n v="946.17"/>
    <n v="854.4"/>
    <n v="91.77"/>
  </r>
  <r>
    <x v="49"/>
    <x v="7"/>
    <x v="848"/>
    <x v="2"/>
    <n v="900.41"/>
    <n v="813.09"/>
    <n v="87.31999999999999"/>
  </r>
  <r>
    <x v="89"/>
    <x v="13"/>
    <x v="849"/>
    <x v="2"/>
    <n v="883.5599999999999"/>
    <n v="797.87"/>
    <n v="85.69"/>
  </r>
  <r>
    <x v="10"/>
    <x v="2"/>
    <x v="851"/>
    <x v="2"/>
    <n v="769.6"/>
    <n v="694.96"/>
    <n v="74.64"/>
  </r>
  <r>
    <x v="59"/>
    <x v="9"/>
    <x v="852"/>
    <x v="2"/>
    <n v="496.3"/>
    <n v="448.16"/>
    <n v="48.14"/>
  </r>
  <r>
    <x v="54"/>
    <x v="8"/>
    <x v="853"/>
    <x v="2"/>
    <n v="839.8200000000001"/>
    <n v="758.37"/>
    <n v="81.45"/>
  </r>
  <r>
    <x v="67"/>
    <x v="10"/>
    <x v="861"/>
    <x v="26"/>
    <n v="1091.22"/>
    <n v="887.66"/>
    <n v="203.56"/>
  </r>
  <r>
    <x v="79"/>
    <x v="12"/>
    <x v="862"/>
    <x v="26"/>
    <n v="633.08"/>
    <n v="514.99"/>
    <n v="118.09"/>
  </r>
  <r>
    <x v="72"/>
    <x v="11"/>
    <x v="873"/>
    <x v="26"/>
    <n v="757.88"/>
    <n v="616.5"/>
    <n v="141.38"/>
  </r>
  <r>
    <x v="82"/>
    <x v="12"/>
    <x v="882"/>
    <x v="26"/>
    <n v="745.39"/>
    <n v="606.34"/>
    <n v="139.05"/>
  </r>
  <r>
    <x v="36"/>
    <x v="6"/>
    <x v="883"/>
    <x v="26"/>
    <n v="551.11"/>
    <n v="448.3"/>
    <n v="102.81"/>
  </r>
  <r>
    <x v="11"/>
    <x v="2"/>
    <x v="884"/>
    <x v="26"/>
    <n v="888.72"/>
    <n v="722.9400000000001"/>
    <n v="165.78"/>
  </r>
  <r>
    <x v="10"/>
    <x v="2"/>
    <x v="885"/>
    <x v="26"/>
    <n v="681.66"/>
    <n v="554.5"/>
    <n v="127.16"/>
  </r>
  <r>
    <x v="24"/>
    <x v="4"/>
    <x v="886"/>
    <x v="26"/>
    <n v="886.65"/>
    <n v="721.25"/>
    <n v="165.4"/>
  </r>
  <r>
    <x v="85"/>
    <x v="13"/>
    <x v="887"/>
    <x v="26"/>
    <n v="790.87"/>
    <n v="643.34"/>
    <n v="147.53"/>
  </r>
  <r>
    <x v="60"/>
    <x v="9"/>
    <x v="888"/>
    <x v="26"/>
    <n v="915.59"/>
    <n v="744.79"/>
    <n v="170.8"/>
  </r>
  <r>
    <x v="12"/>
    <x v="2"/>
    <x v="863"/>
    <x v="26"/>
    <n v="964.11"/>
    <n v="784.26"/>
    <n v="179.85"/>
  </r>
  <r>
    <x v="14"/>
    <x v="2"/>
    <x v="864"/>
    <x v="26"/>
    <n v="647.5"/>
    <n v="526.71"/>
    <n v="120.79"/>
  </r>
  <r>
    <x v="51"/>
    <x v="8"/>
    <x v="865"/>
    <x v="26"/>
    <n v="1010.22"/>
    <n v="821.77"/>
    <n v="188.45"/>
  </r>
  <r>
    <x v="46"/>
    <x v="7"/>
    <x v="866"/>
    <x v="26"/>
    <n v="1011.68"/>
    <n v="822.96"/>
    <n v="188.72"/>
  </r>
  <r>
    <x v="54"/>
    <x v="8"/>
    <x v="867"/>
    <x v="26"/>
    <n v="893.12"/>
    <n v="726.51"/>
    <n v="166.61"/>
  </r>
  <r>
    <x v="82"/>
    <x v="12"/>
    <x v="868"/>
    <x v="26"/>
    <n v="682.72"/>
    <n v="555.36"/>
    <n v="127.36"/>
  </r>
  <r>
    <x v="74"/>
    <x v="11"/>
    <x v="869"/>
    <x v="26"/>
    <n v="566.12"/>
    <n v="460.52"/>
    <n v="105.6"/>
  </r>
  <r>
    <x v="53"/>
    <x v="8"/>
    <x v="870"/>
    <x v="26"/>
    <n v="809.62"/>
    <n v="658.59"/>
    <n v="151.03"/>
  </r>
  <r>
    <x v="19"/>
    <x v="3"/>
    <x v="871"/>
    <x v="26"/>
    <n v="913.37"/>
    <n v="742.99"/>
    <n v="170.38"/>
  </r>
  <r>
    <x v="16"/>
    <x v="3"/>
    <x v="872"/>
    <x v="26"/>
    <n v="535.1900000000001"/>
    <n v="435.35"/>
    <n v="99.84"/>
  </r>
  <r>
    <x v="69"/>
    <x v="10"/>
    <x v="874"/>
    <x v="26"/>
    <n v="1172.84"/>
    <n v="954.0599999999999"/>
    <n v="218.78"/>
  </r>
  <r>
    <x v="80"/>
    <x v="12"/>
    <x v="875"/>
    <x v="26"/>
    <n v="575.62"/>
    <n v="468.24"/>
    <n v="107.38"/>
  </r>
  <r>
    <x v="40"/>
    <x v="6"/>
    <x v="876"/>
    <x v="26"/>
    <n v="876.53"/>
    <n v="713.02"/>
    <n v="163.51"/>
  </r>
  <r>
    <x v="82"/>
    <x v="12"/>
    <x v="877"/>
    <x v="26"/>
    <n v="1080.95"/>
    <n v="879.3099999999999"/>
    <n v="201.64"/>
  </r>
  <r>
    <x v="42"/>
    <x v="6"/>
    <x v="878"/>
    <x v="26"/>
    <n v="669.74"/>
    <n v="544.8"/>
    <n v="124.94"/>
  </r>
  <r>
    <x v="53"/>
    <x v="8"/>
    <x v="879"/>
    <x v="26"/>
    <n v="1105.86"/>
    <n v="899.5700000000001"/>
    <n v="206.29"/>
  </r>
  <r>
    <x v="89"/>
    <x v="13"/>
    <x v="880"/>
    <x v="26"/>
    <n v="997.62"/>
    <n v="811.52"/>
    <n v="186.1"/>
  </r>
  <r>
    <x v="70"/>
    <x v="10"/>
    <x v="881"/>
    <x v="26"/>
    <n v="578.3"/>
    <n v="470.42"/>
    <n v="107.88"/>
  </r>
  <r>
    <x v="78"/>
    <x v="12"/>
    <x v="889"/>
    <x v="28"/>
    <n v="4842.86"/>
    <n v="4224.33"/>
    <n v="618.53"/>
  </r>
  <r>
    <x v="27"/>
    <x v="4"/>
    <x v="890"/>
    <x v="28"/>
    <n v="3553.23"/>
    <n v="3099.41"/>
    <n v="453.82"/>
  </r>
  <r>
    <x v="24"/>
    <x v="4"/>
    <x v="891"/>
    <x v="28"/>
    <n v="2678.25"/>
    <n v="2336.18"/>
    <n v="342.07"/>
  </r>
  <r>
    <x v="63"/>
    <x v="9"/>
    <x v="892"/>
    <x v="28"/>
    <n v="5626.11"/>
    <n v="4907.54"/>
    <n v="718.5700000000001"/>
  </r>
  <r>
    <x v="87"/>
    <x v="13"/>
    <x v="893"/>
    <x v="28"/>
    <n v="3480"/>
    <n v="3035.53"/>
    <n v="444.47"/>
  </r>
  <r>
    <x v="33"/>
    <x v="5"/>
    <x v="894"/>
    <x v="28"/>
    <n v="4746.63"/>
    <n v="4140.39"/>
    <n v="606.24"/>
  </r>
  <r>
    <x v="87"/>
    <x v="13"/>
    <x v="895"/>
    <x v="28"/>
    <n v="4051.96"/>
    <n v="3534.44"/>
    <n v="517.52"/>
  </r>
  <r>
    <x v="33"/>
    <x v="5"/>
    <x v="896"/>
    <x v="28"/>
    <n v="5425.93"/>
    <n v="4732.93"/>
    <n v="693"/>
  </r>
  <r>
    <x v="66"/>
    <x v="10"/>
    <x v="897"/>
    <x v="25"/>
    <n v="1193.75"/>
    <n v="1109.93"/>
    <n v="83.81999999999999"/>
  </r>
  <r>
    <x v="58"/>
    <x v="9"/>
    <x v="898"/>
    <x v="25"/>
    <n v="1497.9"/>
    <n v="1392.72"/>
    <n v="105.18"/>
  </r>
  <r>
    <x v="52"/>
    <x v="8"/>
    <x v="902"/>
    <x v="25"/>
    <n v="1290.39"/>
    <n v="1199.78"/>
    <n v="90.61"/>
  </r>
  <r>
    <x v="87"/>
    <x v="13"/>
    <x v="903"/>
    <x v="25"/>
    <n v="1009.91"/>
    <n v="939"/>
    <n v="70.91"/>
  </r>
  <r>
    <x v="68"/>
    <x v="10"/>
    <x v="904"/>
    <x v="25"/>
    <n v="976.9400000000001"/>
    <n v="908.34"/>
    <n v="68.59999999999999"/>
  </r>
  <r>
    <x v="51"/>
    <x v="8"/>
    <x v="905"/>
    <x v="25"/>
    <n v="1153.78"/>
    <n v="1072.77"/>
    <n v="81.01000000000001"/>
  </r>
  <r>
    <x v="47"/>
    <x v="7"/>
    <x v="906"/>
    <x v="25"/>
    <n v="957.52"/>
    <n v="890.28"/>
    <n v="67.23999999999999"/>
  </r>
  <r>
    <x v="73"/>
    <x v="11"/>
    <x v="907"/>
    <x v="25"/>
    <n v="995.8099999999999"/>
    <n v="925.89"/>
    <n v="69.92"/>
  </r>
  <r>
    <x v="60"/>
    <x v="9"/>
    <x v="908"/>
    <x v="25"/>
    <n v="665.66"/>
    <n v="618.92"/>
    <n v="46.74"/>
  </r>
  <r>
    <x v="20"/>
    <x v="3"/>
    <x v="909"/>
    <x v="25"/>
    <n v="1462.39"/>
    <n v="1359.7"/>
    <n v="102.69"/>
  </r>
  <r>
    <x v="17"/>
    <x v="3"/>
    <x v="899"/>
    <x v="25"/>
    <n v="718.76"/>
    <n v="668.29"/>
    <n v="50.47"/>
  </r>
  <r>
    <x v="43"/>
    <x v="7"/>
    <x v="900"/>
    <x v="25"/>
    <n v="1279.37"/>
    <n v="1189.54"/>
    <n v="89.83"/>
  </r>
  <r>
    <x v="39"/>
    <x v="6"/>
    <x v="901"/>
    <x v="25"/>
    <n v="1184.6"/>
    <n v="1101.42"/>
    <n v="83.18000000000001"/>
  </r>
  <r>
    <x v="31"/>
    <x v="5"/>
    <x v="910"/>
    <x v="29"/>
    <n v="4708.41"/>
    <n v="4302.06"/>
    <n v="406.35"/>
  </r>
  <r>
    <x v="60"/>
    <x v="9"/>
    <x v="911"/>
    <x v="29"/>
    <n v="4260.25"/>
    <n v="3892.57"/>
    <n v="367.68"/>
  </r>
  <r>
    <x v="2"/>
    <x v="1"/>
    <x v="912"/>
    <x v="29"/>
    <n v="3176.62"/>
    <n v="2902.46"/>
    <n v="274.16"/>
  </r>
  <r>
    <x v="15"/>
    <x v="3"/>
    <x v="913"/>
    <x v="29"/>
    <n v="3564.08"/>
    <n v="3256.48"/>
    <n v="307.6"/>
  </r>
  <r>
    <x v="71"/>
    <x v="11"/>
    <x v="914"/>
    <x v="29"/>
    <n v="4142.3"/>
    <n v="3784.8"/>
    <n v="357.5"/>
  </r>
  <r>
    <x v="26"/>
    <x v="4"/>
    <x v="915"/>
    <x v="27"/>
    <n v="23.64"/>
    <n v="20.84"/>
    <n v="2.8"/>
  </r>
  <r>
    <x v="27"/>
    <x v="4"/>
    <x v="916"/>
    <x v="27"/>
    <n v="23.99"/>
    <n v="21.15"/>
    <n v="2.84"/>
  </r>
  <r>
    <x v="17"/>
    <x v="3"/>
    <x v="927"/>
    <x v="27"/>
    <n v="14.31"/>
    <n v="12.62"/>
    <n v="1.69"/>
  </r>
  <r>
    <x v="84"/>
    <x v="12"/>
    <x v="938"/>
    <x v="27"/>
    <n v="13.89"/>
    <n v="12.24"/>
    <n v="1.65"/>
  </r>
  <r>
    <x v="38"/>
    <x v="6"/>
    <x v="949"/>
    <x v="27"/>
    <n v="18.05"/>
    <n v="15.91"/>
    <n v="2.14"/>
  </r>
  <r>
    <x v="35"/>
    <x v="5"/>
    <x v="960"/>
    <x v="27"/>
    <n v="22.38"/>
    <n v="19.73"/>
    <n v="2.65"/>
  </r>
  <r>
    <x v="17"/>
    <x v="3"/>
    <x v="971"/>
    <x v="27"/>
    <n v="13.93"/>
    <n v="12.28"/>
    <n v="1.65"/>
  </r>
  <r>
    <x v="27"/>
    <x v="4"/>
    <x v="978"/>
    <x v="27"/>
    <n v="25.47"/>
    <n v="22.45"/>
    <n v="3.02"/>
  </r>
  <r>
    <x v="47"/>
    <x v="7"/>
    <x v="979"/>
    <x v="27"/>
    <n v="13.28"/>
    <n v="11.71"/>
    <n v="1.57"/>
  </r>
  <r>
    <x v="66"/>
    <x v="10"/>
    <x v="980"/>
    <x v="27"/>
    <n v="13.06"/>
    <n v="11.51"/>
    <n v="1.55"/>
  </r>
  <r>
    <x v="35"/>
    <x v="5"/>
    <x v="917"/>
    <x v="27"/>
    <n v="14.13"/>
    <n v="12.45"/>
    <n v="1.68"/>
  </r>
  <r>
    <x v="31"/>
    <x v="5"/>
    <x v="918"/>
    <x v="27"/>
    <n v="13.82"/>
    <n v="12.18"/>
    <n v="1.64"/>
  </r>
  <r>
    <x v="25"/>
    <x v="4"/>
    <x v="919"/>
    <x v="27"/>
    <n v="18.92"/>
    <n v="16.68"/>
    <n v="2.24"/>
  </r>
  <r>
    <x v="55"/>
    <x v="8"/>
    <x v="920"/>
    <x v="27"/>
    <n v="19.8"/>
    <n v="17.45"/>
    <n v="2.35"/>
  </r>
  <r>
    <x v="21"/>
    <x v="3"/>
    <x v="921"/>
    <x v="27"/>
    <n v="22.82"/>
    <n v="20.11"/>
    <n v="2.71"/>
  </r>
  <r>
    <x v="71"/>
    <x v="11"/>
    <x v="922"/>
    <x v="27"/>
    <n v="20.55"/>
    <n v="18.12"/>
    <n v="2.43"/>
  </r>
  <r>
    <x v="78"/>
    <x v="12"/>
    <x v="923"/>
    <x v="27"/>
    <n v="17.65"/>
    <n v="15.56"/>
    <n v="2.09"/>
  </r>
  <r>
    <x v="31"/>
    <x v="5"/>
    <x v="924"/>
    <x v="27"/>
    <n v="16.8"/>
    <n v="14.81"/>
    <n v="1.99"/>
  </r>
  <r>
    <x v="28"/>
    <x v="4"/>
    <x v="925"/>
    <x v="27"/>
    <n v="24.39"/>
    <n v="21.5"/>
    <n v="2.89"/>
  </r>
  <r>
    <x v="57"/>
    <x v="9"/>
    <x v="926"/>
    <x v="27"/>
    <n v="22.36"/>
    <n v="19.71"/>
    <n v="2.65"/>
  </r>
  <r>
    <x v="2"/>
    <x v="1"/>
    <x v="928"/>
    <x v="27"/>
    <n v="26.13"/>
    <n v="23.03"/>
    <n v="3.1"/>
  </r>
  <r>
    <x v="37"/>
    <x v="6"/>
    <x v="929"/>
    <x v="27"/>
    <n v="13.98"/>
    <n v="12.32"/>
    <n v="1.66"/>
  </r>
  <r>
    <x v="39"/>
    <x v="6"/>
    <x v="930"/>
    <x v="27"/>
    <n v="17.79"/>
    <n v="15.68"/>
    <n v="2.11"/>
  </r>
  <r>
    <x v="40"/>
    <x v="6"/>
    <x v="931"/>
    <x v="27"/>
    <n v="23.85"/>
    <n v="21.02"/>
    <n v="2.83"/>
  </r>
  <r>
    <x v="13"/>
    <x v="2"/>
    <x v="932"/>
    <x v="27"/>
    <n v="23.79"/>
    <n v="20.97"/>
    <n v="2.82"/>
  </r>
  <r>
    <x v="0"/>
    <x v="0"/>
    <x v="933"/>
    <x v="27"/>
    <n v="22.63"/>
    <n v="19.95"/>
    <n v="2.68"/>
  </r>
  <r>
    <x v="3"/>
    <x v="1"/>
    <x v="934"/>
    <x v="27"/>
    <n v="26.24"/>
    <n v="23.14"/>
    <n v="3.1"/>
  </r>
  <r>
    <x v="67"/>
    <x v="10"/>
    <x v="935"/>
    <x v="27"/>
    <n v="11.28"/>
    <n v="9.94"/>
    <n v="1.34"/>
  </r>
  <r>
    <x v="58"/>
    <x v="9"/>
    <x v="936"/>
    <x v="27"/>
    <n v="17"/>
    <n v="14.99"/>
    <n v="2.01"/>
  </r>
  <r>
    <x v="9"/>
    <x v="2"/>
    <x v="937"/>
    <x v="27"/>
    <n v="11.36"/>
    <n v="10.01"/>
    <n v="1.35"/>
  </r>
  <r>
    <x v="13"/>
    <x v="2"/>
    <x v="939"/>
    <x v="27"/>
    <n v="11.36"/>
    <n v="10.01"/>
    <n v="1.35"/>
  </r>
  <r>
    <x v="27"/>
    <x v="4"/>
    <x v="940"/>
    <x v="27"/>
    <n v="19.38"/>
    <n v="17.08"/>
    <n v="2.3"/>
  </r>
  <r>
    <x v="82"/>
    <x v="12"/>
    <x v="941"/>
    <x v="27"/>
    <n v="13"/>
    <n v="11.46"/>
    <n v="1.54"/>
  </r>
  <r>
    <x v="41"/>
    <x v="6"/>
    <x v="942"/>
    <x v="27"/>
    <n v="12.16"/>
    <n v="10.72"/>
    <n v="1.44"/>
  </r>
  <r>
    <x v="38"/>
    <x v="6"/>
    <x v="943"/>
    <x v="27"/>
    <n v="18.51"/>
    <n v="16.32"/>
    <n v="2.19"/>
  </r>
  <r>
    <x v="36"/>
    <x v="6"/>
    <x v="944"/>
    <x v="27"/>
    <n v="20.39"/>
    <n v="17.97"/>
    <n v="2.42"/>
  </r>
  <r>
    <x v="78"/>
    <x v="12"/>
    <x v="945"/>
    <x v="27"/>
    <n v="17.63"/>
    <n v="15.54"/>
    <n v="2.09"/>
  </r>
  <r>
    <x v="44"/>
    <x v="7"/>
    <x v="946"/>
    <x v="27"/>
    <n v="16.55"/>
    <n v="14.59"/>
    <n v="1.96"/>
  </r>
  <r>
    <x v="11"/>
    <x v="2"/>
    <x v="947"/>
    <x v="27"/>
    <n v="15.7"/>
    <n v="13.84"/>
    <n v="1.86"/>
  </r>
  <r>
    <x v="29"/>
    <x v="5"/>
    <x v="948"/>
    <x v="27"/>
    <n v="23.03"/>
    <n v="20.3"/>
    <n v="2.73"/>
  </r>
  <r>
    <x v="72"/>
    <x v="11"/>
    <x v="950"/>
    <x v="27"/>
    <n v="18.14"/>
    <n v="15.99"/>
    <n v="2.15"/>
  </r>
  <r>
    <x v="55"/>
    <x v="8"/>
    <x v="951"/>
    <x v="27"/>
    <n v="18.8"/>
    <n v="16.57"/>
    <n v="2.23"/>
  </r>
  <r>
    <x v="23"/>
    <x v="4"/>
    <x v="952"/>
    <x v="27"/>
    <n v="16.83"/>
    <n v="14.84"/>
    <n v="1.99"/>
  </r>
  <r>
    <x v="2"/>
    <x v="1"/>
    <x v="953"/>
    <x v="27"/>
    <n v="12.6"/>
    <n v="11.11"/>
    <n v="1.49"/>
  </r>
  <r>
    <x v="29"/>
    <x v="5"/>
    <x v="954"/>
    <x v="27"/>
    <n v="15.8"/>
    <n v="13.93"/>
    <n v="1.87"/>
  </r>
  <r>
    <x v="31"/>
    <x v="5"/>
    <x v="955"/>
    <x v="27"/>
    <n v="20.77"/>
    <n v="18.31"/>
    <n v="2.46"/>
  </r>
  <r>
    <x v="3"/>
    <x v="1"/>
    <x v="956"/>
    <x v="27"/>
    <n v="13.4"/>
    <n v="11.82"/>
    <n v="1.58"/>
  </r>
  <r>
    <x v="53"/>
    <x v="8"/>
    <x v="957"/>
    <x v="27"/>
    <n v="20.26"/>
    <n v="17.86"/>
    <n v="2.4"/>
  </r>
  <r>
    <x v="78"/>
    <x v="12"/>
    <x v="958"/>
    <x v="27"/>
    <n v="19.28"/>
    <n v="17"/>
    <n v="2.28"/>
  </r>
  <r>
    <x v="9"/>
    <x v="2"/>
    <x v="959"/>
    <x v="27"/>
    <n v="24.02"/>
    <n v="21.17"/>
    <n v="2.85"/>
  </r>
  <r>
    <x v="37"/>
    <x v="6"/>
    <x v="961"/>
    <x v="27"/>
    <n v="18.75"/>
    <n v="16.53"/>
    <n v="2.22"/>
  </r>
  <r>
    <x v="9"/>
    <x v="2"/>
    <x v="962"/>
    <x v="27"/>
    <n v="22.74"/>
    <n v="20.04"/>
    <n v="2.7"/>
  </r>
  <r>
    <x v="62"/>
    <x v="9"/>
    <x v="963"/>
    <x v="27"/>
    <n v="24.79"/>
    <n v="21.86"/>
    <n v="2.93"/>
  </r>
  <r>
    <x v="86"/>
    <x v="13"/>
    <x v="964"/>
    <x v="27"/>
    <n v="19.97"/>
    <n v="17.61"/>
    <n v="2.36"/>
  </r>
  <r>
    <x v="22"/>
    <x v="4"/>
    <x v="965"/>
    <x v="27"/>
    <n v="24.93"/>
    <n v="21.98"/>
    <n v="2.95"/>
  </r>
  <r>
    <x v="33"/>
    <x v="5"/>
    <x v="966"/>
    <x v="27"/>
    <n v="20.06"/>
    <n v="17.69"/>
    <n v="2.37"/>
  </r>
  <r>
    <x v="43"/>
    <x v="7"/>
    <x v="967"/>
    <x v="27"/>
    <n v="16.54"/>
    <n v="14.58"/>
    <n v="1.96"/>
  </r>
  <r>
    <x v="20"/>
    <x v="3"/>
    <x v="968"/>
    <x v="27"/>
    <n v="20.47"/>
    <n v="18.04"/>
    <n v="2.43"/>
  </r>
  <r>
    <x v="83"/>
    <x v="12"/>
    <x v="969"/>
    <x v="27"/>
    <n v="19.83"/>
    <n v="17.48"/>
    <n v="2.35"/>
  </r>
  <r>
    <x v="69"/>
    <x v="10"/>
    <x v="970"/>
    <x v="27"/>
    <n v="12.51"/>
    <n v="11.02"/>
    <n v="1.49"/>
  </r>
  <r>
    <x v="46"/>
    <x v="7"/>
    <x v="972"/>
    <x v="27"/>
    <n v="12.92"/>
    <n v="11.39"/>
    <n v="1.53"/>
  </r>
  <r>
    <x v="9"/>
    <x v="2"/>
    <x v="973"/>
    <x v="27"/>
    <n v="18.51"/>
    <n v="16.32"/>
    <n v="2.19"/>
  </r>
  <r>
    <x v="19"/>
    <x v="3"/>
    <x v="974"/>
    <x v="27"/>
    <n v="21.13"/>
    <n v="18.63"/>
    <n v="2.5"/>
  </r>
  <r>
    <x v="3"/>
    <x v="1"/>
    <x v="975"/>
    <x v="27"/>
    <n v="16.15"/>
    <n v="14.23"/>
    <n v="1.92"/>
  </r>
  <r>
    <x v="22"/>
    <x v="4"/>
    <x v="976"/>
    <x v="27"/>
    <n v="11.63"/>
    <n v="10.26"/>
    <n v="1.37"/>
  </r>
  <r>
    <x v="2"/>
    <x v="1"/>
    <x v="977"/>
    <x v="27"/>
    <n v="18.19"/>
    <n v="16.04"/>
    <n v="2.15"/>
  </r>
</pivotCacheRecords>
</file>

<file path=xl/pivotCache/pivotCacheRecords2.xml><?xml version="1.0" encoding="utf-8"?>
<pivotCacheRecords xmlns="http://schemas.openxmlformats.org/spreadsheetml/2006/main" count="981">
  <r>
    <x v="35"/>
    <x v="5"/>
    <x v="0"/>
    <x v="16"/>
    <n v="59.53"/>
    <n v="52.87"/>
    <n v="6.66"/>
  </r>
  <r>
    <x v="6"/>
    <x v="1"/>
    <x v="1"/>
    <x v="16"/>
    <n v="74.19"/>
    <n v="65.89"/>
    <n v="8.300000000000001"/>
  </r>
  <r>
    <x v="43"/>
    <x v="7"/>
    <x v="12"/>
    <x v="16"/>
    <n v="94.17"/>
    <n v="83.63"/>
    <n v="10.54"/>
  </r>
  <r>
    <x v="43"/>
    <x v="7"/>
    <x v="23"/>
    <x v="16"/>
    <n v="63.29"/>
    <n v="56.2"/>
    <n v="7.09"/>
  </r>
  <r>
    <x v="40"/>
    <x v="6"/>
    <x v="34"/>
    <x v="16"/>
    <n v="65.33"/>
    <n v="58.02"/>
    <n v="7.31"/>
  </r>
  <r>
    <x v="17"/>
    <x v="3"/>
    <x v="45"/>
    <x v="16"/>
    <n v="68.09999999999999"/>
    <n v="60.48"/>
    <n v="7.62"/>
  </r>
  <r>
    <x v="82"/>
    <x v="12"/>
    <x v="46"/>
    <x v="16"/>
    <n v="63.13"/>
    <n v="56.07"/>
    <n v="7.06"/>
  </r>
  <r>
    <x v="8"/>
    <x v="2"/>
    <x v="47"/>
    <x v="16"/>
    <n v="109.8"/>
    <n v="97.52"/>
    <n v="12.28"/>
  </r>
  <r>
    <x v="27"/>
    <x v="4"/>
    <x v="48"/>
    <x v="16"/>
    <n v="80.20999999999999"/>
    <n v="71.23"/>
    <n v="8.98"/>
  </r>
  <r>
    <x v="27"/>
    <x v="4"/>
    <x v="49"/>
    <x v="16"/>
    <n v="70.19"/>
    <n v="62.34"/>
    <n v="7.85"/>
  </r>
  <r>
    <x v="61"/>
    <x v="9"/>
    <x v="2"/>
    <x v="16"/>
    <n v="80.64"/>
    <n v="71.62"/>
    <n v="9.02"/>
  </r>
  <r>
    <x v="78"/>
    <x v="12"/>
    <x v="3"/>
    <x v="16"/>
    <n v="109.12"/>
    <n v="96.91"/>
    <n v="12.21"/>
  </r>
  <r>
    <x v="87"/>
    <x v="13"/>
    <x v="4"/>
    <x v="16"/>
    <n v="69.15000000000001"/>
    <n v="61.41"/>
    <n v="7.74"/>
  </r>
  <r>
    <x v="24"/>
    <x v="4"/>
    <x v="5"/>
    <x v="16"/>
    <n v="66.84"/>
    <n v="59.36"/>
    <n v="7.48"/>
  </r>
  <r>
    <x v="1"/>
    <x v="1"/>
    <x v="6"/>
    <x v="16"/>
    <n v="70.56999999999999"/>
    <n v="62.67"/>
    <n v="7.9"/>
  </r>
  <r>
    <x v="22"/>
    <x v="4"/>
    <x v="7"/>
    <x v="16"/>
    <n v="98.91"/>
    <n v="87.84"/>
    <n v="11.07"/>
  </r>
  <r>
    <x v="40"/>
    <x v="6"/>
    <x v="8"/>
    <x v="16"/>
    <n v="111.22"/>
    <n v="98.78"/>
    <n v="12.44"/>
  </r>
  <r>
    <x v="76"/>
    <x v="11"/>
    <x v="9"/>
    <x v="16"/>
    <n v="101.86"/>
    <n v="90.45999999999999"/>
    <n v="11.4"/>
  </r>
  <r>
    <x v="9"/>
    <x v="2"/>
    <x v="10"/>
    <x v="16"/>
    <n v="115.95"/>
    <n v="102.97"/>
    <n v="12.98"/>
  </r>
  <r>
    <x v="77"/>
    <x v="11"/>
    <x v="11"/>
    <x v="16"/>
    <n v="91.92"/>
    <n v="81.63"/>
    <n v="10.29"/>
  </r>
  <r>
    <x v="75"/>
    <x v="11"/>
    <x v="13"/>
    <x v="16"/>
    <n v="52.29"/>
    <n v="46.44"/>
    <n v="5.85"/>
  </r>
  <r>
    <x v="79"/>
    <x v="12"/>
    <x v="14"/>
    <x v="16"/>
    <n v="73.06999999999999"/>
    <n v="64.89"/>
    <n v="8.18"/>
  </r>
  <r>
    <x v="78"/>
    <x v="12"/>
    <x v="15"/>
    <x v="16"/>
    <n v="55.44"/>
    <n v="49.24"/>
    <n v="6.2"/>
  </r>
  <r>
    <x v="39"/>
    <x v="6"/>
    <x v="16"/>
    <x v="16"/>
    <n v="103.19"/>
    <n v="91.64"/>
    <n v="11.55"/>
  </r>
  <r>
    <x v="28"/>
    <x v="4"/>
    <x v="17"/>
    <x v="16"/>
    <n v="97.37"/>
    <n v="86.48"/>
    <n v="10.89"/>
  </r>
  <r>
    <x v="17"/>
    <x v="3"/>
    <x v="18"/>
    <x v="16"/>
    <n v="66.25"/>
    <n v="58.83"/>
    <n v="7.42"/>
  </r>
  <r>
    <x v="77"/>
    <x v="11"/>
    <x v="19"/>
    <x v="16"/>
    <n v="89.67"/>
    <n v="79.64"/>
    <n v="10.03"/>
  </r>
  <r>
    <x v="68"/>
    <x v="10"/>
    <x v="20"/>
    <x v="16"/>
    <n v="102.69"/>
    <n v="91.2"/>
    <n v="11.49"/>
  </r>
  <r>
    <x v="52"/>
    <x v="8"/>
    <x v="21"/>
    <x v="16"/>
    <n v="66.81"/>
    <n v="59.33"/>
    <n v="7.48"/>
  </r>
  <r>
    <x v="1"/>
    <x v="1"/>
    <x v="22"/>
    <x v="16"/>
    <n v="102.72"/>
    <n v="91.22"/>
    <n v="11.5"/>
  </r>
  <r>
    <x v="19"/>
    <x v="3"/>
    <x v="24"/>
    <x v="16"/>
    <n v="69.54000000000001"/>
    <n v="61.75"/>
    <n v="7.79"/>
  </r>
  <r>
    <x v="31"/>
    <x v="5"/>
    <x v="25"/>
    <x v="16"/>
    <n v="59.89"/>
    <n v="53.19"/>
    <n v="6.7"/>
  </r>
  <r>
    <x v="11"/>
    <x v="2"/>
    <x v="26"/>
    <x v="16"/>
    <n v="101.64"/>
    <n v="90.26000000000001"/>
    <n v="11.38"/>
  </r>
  <r>
    <x v="49"/>
    <x v="7"/>
    <x v="27"/>
    <x v="16"/>
    <n v="103.74"/>
    <n v="92.13"/>
    <n v="11.61"/>
  </r>
  <r>
    <x v="26"/>
    <x v="4"/>
    <x v="28"/>
    <x v="16"/>
    <n v="56.91"/>
    <n v="50.54"/>
    <n v="6.37"/>
  </r>
  <r>
    <x v="11"/>
    <x v="2"/>
    <x v="29"/>
    <x v="16"/>
    <n v="79.89"/>
    <n v="70.95"/>
    <n v="8.94"/>
  </r>
  <r>
    <x v="51"/>
    <x v="8"/>
    <x v="30"/>
    <x v="16"/>
    <n v="77.16"/>
    <n v="68.52"/>
    <n v="8.640000000000001"/>
  </r>
  <r>
    <x v="42"/>
    <x v="6"/>
    <x v="31"/>
    <x v="16"/>
    <n v="106.89"/>
    <n v="94.92"/>
    <n v="11.97"/>
  </r>
  <r>
    <x v="74"/>
    <x v="11"/>
    <x v="32"/>
    <x v="16"/>
    <n v="52.66"/>
    <n v="46.77"/>
    <n v="5.89"/>
  </r>
  <r>
    <x v="0"/>
    <x v="0"/>
    <x v="33"/>
    <x v="16"/>
    <n v="97.08"/>
    <n v="86.20999999999999"/>
    <n v="10.87"/>
  </r>
  <r>
    <x v="41"/>
    <x v="6"/>
    <x v="35"/>
    <x v="16"/>
    <n v="78.65000000000001"/>
    <n v="69.84999999999999"/>
    <n v="8.800000000000001"/>
  </r>
  <r>
    <x v="53"/>
    <x v="8"/>
    <x v="36"/>
    <x v="16"/>
    <n v="73.75"/>
    <n v="65.5"/>
    <n v="8.25"/>
  </r>
  <r>
    <x v="44"/>
    <x v="7"/>
    <x v="37"/>
    <x v="16"/>
    <n v="98.73999999999999"/>
    <n v="87.69"/>
    <n v="11.05"/>
  </r>
  <r>
    <x v="35"/>
    <x v="5"/>
    <x v="38"/>
    <x v="16"/>
    <n v="110.39"/>
    <n v="98.04000000000001"/>
    <n v="12.35"/>
  </r>
  <r>
    <x v="57"/>
    <x v="9"/>
    <x v="39"/>
    <x v="16"/>
    <n v="99.19"/>
    <n v="88.09"/>
    <n v="11.1"/>
  </r>
  <r>
    <x v="57"/>
    <x v="9"/>
    <x v="40"/>
    <x v="16"/>
    <n v="103.38"/>
    <n v="91.81"/>
    <n v="11.57"/>
  </r>
  <r>
    <x v="7"/>
    <x v="1"/>
    <x v="41"/>
    <x v="16"/>
    <n v="107.43"/>
    <n v="95.41"/>
    <n v="12.02"/>
  </r>
  <r>
    <x v="2"/>
    <x v="1"/>
    <x v="42"/>
    <x v="16"/>
    <n v="61.87"/>
    <n v="54.95"/>
    <n v="6.92"/>
  </r>
  <r>
    <x v="63"/>
    <x v="9"/>
    <x v="43"/>
    <x v="16"/>
    <n v="83.02"/>
    <n v="73.73"/>
    <n v="9.289999999999999"/>
  </r>
  <r>
    <x v="49"/>
    <x v="7"/>
    <x v="44"/>
    <x v="16"/>
    <n v="60.32"/>
    <n v="53.57"/>
    <n v="6.75"/>
  </r>
  <r>
    <x v="46"/>
    <x v="7"/>
    <x v="50"/>
    <x v="18"/>
    <n v="67.22"/>
    <n v="62.9"/>
    <n v="4.32"/>
  </r>
  <r>
    <x v="59"/>
    <x v="9"/>
    <x v="51"/>
    <x v="18"/>
    <n v="78.14"/>
    <n v="73.11"/>
    <n v="5.03"/>
  </r>
  <r>
    <x v="37"/>
    <x v="6"/>
    <x v="62"/>
    <x v="18"/>
    <n v="39.91"/>
    <n v="37.35"/>
    <n v="2.56"/>
  </r>
  <r>
    <x v="65"/>
    <x v="10"/>
    <x v="73"/>
    <x v="18"/>
    <n v="59.8"/>
    <n v="55.96"/>
    <n v="3.84"/>
  </r>
  <r>
    <x v="1"/>
    <x v="1"/>
    <x v="84"/>
    <x v="18"/>
    <n v="64.56"/>
    <n v="60.41"/>
    <n v="4.15"/>
  </r>
  <r>
    <x v="67"/>
    <x v="10"/>
    <x v="95"/>
    <x v="18"/>
    <n v="39.19"/>
    <n v="36.67"/>
    <n v="2.52"/>
  </r>
  <r>
    <x v="59"/>
    <x v="9"/>
    <x v="106"/>
    <x v="18"/>
    <n v="54.81"/>
    <n v="51.29"/>
    <n v="3.52"/>
  </r>
  <r>
    <x v="29"/>
    <x v="5"/>
    <x v="117"/>
    <x v="18"/>
    <n v="66.95999999999999"/>
    <n v="62.66"/>
    <n v="4.3"/>
  </r>
  <r>
    <x v="35"/>
    <x v="5"/>
    <x v="122"/>
    <x v="18"/>
    <n v="65.76000000000001"/>
    <n v="61.53"/>
    <n v="4.23"/>
  </r>
  <r>
    <x v="21"/>
    <x v="3"/>
    <x v="123"/>
    <x v="18"/>
    <n v="70.91"/>
    <n v="66.34999999999999"/>
    <n v="4.56"/>
  </r>
  <r>
    <x v="6"/>
    <x v="1"/>
    <x v="52"/>
    <x v="18"/>
    <n v="85.34999999999999"/>
    <n v="79.87"/>
    <n v="5.48"/>
  </r>
  <r>
    <x v="2"/>
    <x v="1"/>
    <x v="53"/>
    <x v="18"/>
    <n v="58.6"/>
    <n v="54.83"/>
    <n v="3.77"/>
  </r>
  <r>
    <x v="76"/>
    <x v="11"/>
    <x v="54"/>
    <x v="18"/>
    <n v="41.38"/>
    <n v="38.72"/>
    <n v="2.66"/>
  </r>
  <r>
    <x v="69"/>
    <x v="10"/>
    <x v="55"/>
    <x v="18"/>
    <n v="58.25"/>
    <n v="54.51"/>
    <n v="3.74"/>
  </r>
  <r>
    <x v="47"/>
    <x v="7"/>
    <x v="56"/>
    <x v="18"/>
    <n v="78.69"/>
    <n v="73.63"/>
    <n v="5.06"/>
  </r>
  <r>
    <x v="76"/>
    <x v="11"/>
    <x v="57"/>
    <x v="18"/>
    <n v="56.94"/>
    <n v="53.28"/>
    <n v="3.66"/>
  </r>
  <r>
    <x v="44"/>
    <x v="7"/>
    <x v="58"/>
    <x v="18"/>
    <n v="51.47"/>
    <n v="48.17"/>
    <n v="3.3"/>
  </r>
  <r>
    <x v="15"/>
    <x v="3"/>
    <x v="59"/>
    <x v="18"/>
    <n v="77.76000000000001"/>
    <n v="72.76000000000001"/>
    <n v="5"/>
  </r>
  <r>
    <x v="86"/>
    <x v="13"/>
    <x v="60"/>
    <x v="18"/>
    <n v="83.01000000000001"/>
    <n v="77.67"/>
    <n v="5.34"/>
  </r>
  <r>
    <x v="69"/>
    <x v="10"/>
    <x v="61"/>
    <x v="18"/>
    <n v="66.88"/>
    <n v="62.58"/>
    <n v="4.3"/>
  </r>
  <r>
    <x v="59"/>
    <x v="9"/>
    <x v="63"/>
    <x v="18"/>
    <n v="73.56"/>
    <n v="68.83"/>
    <n v="4.73"/>
  </r>
  <r>
    <x v="55"/>
    <x v="8"/>
    <x v="64"/>
    <x v="18"/>
    <n v="84.55"/>
    <n v="79.11"/>
    <n v="5.44"/>
  </r>
  <r>
    <x v="85"/>
    <x v="13"/>
    <x v="65"/>
    <x v="18"/>
    <n v="78.59999999999999"/>
    <n v="73.55"/>
    <n v="5.05"/>
  </r>
  <r>
    <x v="70"/>
    <x v="10"/>
    <x v="66"/>
    <x v="18"/>
    <n v="79.84999999999999"/>
    <n v="74.70999999999999"/>
    <n v="5.14"/>
  </r>
  <r>
    <x v="12"/>
    <x v="2"/>
    <x v="67"/>
    <x v="18"/>
    <n v="70.20999999999999"/>
    <n v="65.7"/>
    <n v="4.51"/>
  </r>
  <r>
    <x v="48"/>
    <x v="7"/>
    <x v="68"/>
    <x v="18"/>
    <n v="82.73"/>
    <n v="77.41"/>
    <n v="5.32"/>
  </r>
  <r>
    <x v="10"/>
    <x v="2"/>
    <x v="69"/>
    <x v="18"/>
    <n v="53.65"/>
    <n v="50.2"/>
    <n v="3.45"/>
  </r>
  <r>
    <x v="31"/>
    <x v="5"/>
    <x v="70"/>
    <x v="18"/>
    <n v="85.29000000000001"/>
    <n v="79.81"/>
    <n v="5.48"/>
  </r>
  <r>
    <x v="73"/>
    <x v="11"/>
    <x v="71"/>
    <x v="18"/>
    <n v="60.42"/>
    <n v="56.54"/>
    <n v="3.88"/>
  </r>
  <r>
    <x v="72"/>
    <x v="11"/>
    <x v="72"/>
    <x v="18"/>
    <n v="83.48"/>
    <n v="78.11"/>
    <n v="5.37"/>
  </r>
  <r>
    <x v="60"/>
    <x v="9"/>
    <x v="74"/>
    <x v="18"/>
    <n v="46.14"/>
    <n v="43.17"/>
    <n v="2.97"/>
  </r>
  <r>
    <x v="60"/>
    <x v="9"/>
    <x v="75"/>
    <x v="18"/>
    <n v="56.02"/>
    <n v="52.42"/>
    <n v="3.6"/>
  </r>
  <r>
    <x v="52"/>
    <x v="8"/>
    <x v="76"/>
    <x v="18"/>
    <n v="57.13"/>
    <n v="53.45"/>
    <n v="3.68"/>
  </r>
  <r>
    <x v="10"/>
    <x v="2"/>
    <x v="77"/>
    <x v="18"/>
    <n v="54.18"/>
    <n v="50.69"/>
    <n v="3.49"/>
  </r>
  <r>
    <x v="87"/>
    <x v="13"/>
    <x v="78"/>
    <x v="18"/>
    <n v="38.08"/>
    <n v="35.63"/>
    <n v="2.45"/>
  </r>
  <r>
    <x v="82"/>
    <x v="12"/>
    <x v="79"/>
    <x v="18"/>
    <n v="84.2"/>
    <n v="78.79000000000001"/>
    <n v="5.41"/>
  </r>
  <r>
    <x v="76"/>
    <x v="11"/>
    <x v="80"/>
    <x v="18"/>
    <n v="40.11"/>
    <n v="37.54"/>
    <n v="2.57"/>
  </r>
  <r>
    <x v="80"/>
    <x v="12"/>
    <x v="81"/>
    <x v="18"/>
    <n v="54.55"/>
    <n v="51.04"/>
    <n v="3.51"/>
  </r>
  <r>
    <x v="88"/>
    <x v="13"/>
    <x v="82"/>
    <x v="18"/>
    <n v="72.75"/>
    <n v="68.06999999999999"/>
    <n v="4.68"/>
  </r>
  <r>
    <x v="36"/>
    <x v="6"/>
    <x v="83"/>
    <x v="18"/>
    <n v="86.98999999999999"/>
    <n v="81.40000000000001"/>
    <n v="5.59"/>
  </r>
  <r>
    <x v="63"/>
    <x v="9"/>
    <x v="85"/>
    <x v="18"/>
    <n v="82.02"/>
    <n v="76.75"/>
    <n v="5.27"/>
  </r>
  <r>
    <x v="4"/>
    <x v="1"/>
    <x v="86"/>
    <x v="18"/>
    <n v="69.06999999999999"/>
    <n v="64.63"/>
    <n v="4.44"/>
  </r>
  <r>
    <x v="48"/>
    <x v="7"/>
    <x v="87"/>
    <x v="18"/>
    <n v="72.43000000000001"/>
    <n v="67.77"/>
    <n v="4.66"/>
  </r>
  <r>
    <x v="24"/>
    <x v="4"/>
    <x v="88"/>
    <x v="18"/>
    <n v="61.43"/>
    <n v="57.48"/>
    <n v="3.95"/>
  </r>
  <r>
    <x v="16"/>
    <x v="3"/>
    <x v="89"/>
    <x v="18"/>
    <n v="43.21"/>
    <n v="40.44"/>
    <n v="2.77"/>
  </r>
  <r>
    <x v="28"/>
    <x v="4"/>
    <x v="90"/>
    <x v="18"/>
    <n v="55.37"/>
    <n v="51.81"/>
    <n v="3.56"/>
  </r>
  <r>
    <x v="79"/>
    <x v="12"/>
    <x v="91"/>
    <x v="18"/>
    <n v="46.92"/>
    <n v="43.9"/>
    <n v="3.02"/>
  </r>
  <r>
    <x v="78"/>
    <x v="12"/>
    <x v="92"/>
    <x v="18"/>
    <n v="87.58"/>
    <n v="81.95"/>
    <n v="5.63"/>
  </r>
  <r>
    <x v="32"/>
    <x v="5"/>
    <x v="93"/>
    <x v="18"/>
    <n v="63.07"/>
    <n v="59.02"/>
    <n v="4.05"/>
  </r>
  <r>
    <x v="13"/>
    <x v="2"/>
    <x v="94"/>
    <x v="18"/>
    <n v="86.08"/>
    <n v="80.55"/>
    <n v="5.53"/>
  </r>
  <r>
    <x v="0"/>
    <x v="0"/>
    <x v="96"/>
    <x v="18"/>
    <n v="67.43000000000001"/>
    <n v="63.1"/>
    <n v="4.33"/>
  </r>
  <r>
    <x v="25"/>
    <x v="4"/>
    <x v="97"/>
    <x v="18"/>
    <n v="38.17"/>
    <n v="35.71"/>
    <n v="2.46"/>
  </r>
  <r>
    <x v="3"/>
    <x v="1"/>
    <x v="98"/>
    <x v="18"/>
    <n v="55.25"/>
    <n v="51.69"/>
    <n v="3.56"/>
  </r>
  <r>
    <x v="46"/>
    <x v="7"/>
    <x v="99"/>
    <x v="18"/>
    <n v="85.53"/>
    <n v="80.03"/>
    <n v="5.5"/>
  </r>
  <r>
    <x v="4"/>
    <x v="1"/>
    <x v="100"/>
    <x v="18"/>
    <n v="48.38"/>
    <n v="45.27"/>
    <n v="3.11"/>
  </r>
  <r>
    <x v="61"/>
    <x v="9"/>
    <x v="101"/>
    <x v="18"/>
    <n v="42.59"/>
    <n v="39.85"/>
    <n v="2.74"/>
  </r>
  <r>
    <x v="52"/>
    <x v="8"/>
    <x v="102"/>
    <x v="18"/>
    <n v="48.06"/>
    <n v="44.97"/>
    <n v="3.09"/>
  </r>
  <r>
    <x v="2"/>
    <x v="1"/>
    <x v="103"/>
    <x v="18"/>
    <n v="42.05"/>
    <n v="39.34"/>
    <n v="2.71"/>
  </r>
  <r>
    <x v="28"/>
    <x v="4"/>
    <x v="104"/>
    <x v="18"/>
    <n v="43.53"/>
    <n v="40.73"/>
    <n v="2.8"/>
  </r>
  <r>
    <x v="64"/>
    <x v="10"/>
    <x v="105"/>
    <x v="18"/>
    <n v="67.43000000000001"/>
    <n v="63.09"/>
    <n v="4.34"/>
  </r>
  <r>
    <x v="46"/>
    <x v="7"/>
    <x v="107"/>
    <x v="18"/>
    <n v="55.92"/>
    <n v="52.32"/>
    <n v="3.6"/>
  </r>
  <r>
    <x v="63"/>
    <x v="9"/>
    <x v="108"/>
    <x v="18"/>
    <n v="52.34"/>
    <n v="48.97"/>
    <n v="3.37"/>
  </r>
  <r>
    <x v="66"/>
    <x v="10"/>
    <x v="109"/>
    <x v="18"/>
    <n v="77.09"/>
    <n v="72.13"/>
    <n v="4.96"/>
  </r>
  <r>
    <x v="62"/>
    <x v="9"/>
    <x v="110"/>
    <x v="18"/>
    <n v="64.86"/>
    <n v="60.69"/>
    <n v="4.17"/>
  </r>
  <r>
    <x v="60"/>
    <x v="9"/>
    <x v="111"/>
    <x v="18"/>
    <n v="62.07"/>
    <n v="58.08"/>
    <n v="3.99"/>
  </r>
  <r>
    <x v="67"/>
    <x v="10"/>
    <x v="112"/>
    <x v="18"/>
    <n v="56.63"/>
    <n v="52.99"/>
    <n v="3.64"/>
  </r>
  <r>
    <x v="4"/>
    <x v="1"/>
    <x v="113"/>
    <x v="18"/>
    <n v="53.25"/>
    <n v="49.82"/>
    <n v="3.43"/>
  </r>
  <r>
    <x v="38"/>
    <x v="6"/>
    <x v="114"/>
    <x v="18"/>
    <n v="48.59"/>
    <n v="45.47"/>
    <n v="3.12"/>
  </r>
  <r>
    <x v="18"/>
    <x v="3"/>
    <x v="115"/>
    <x v="18"/>
    <n v="69.73"/>
    <n v="65.25"/>
    <n v="4.48"/>
  </r>
  <r>
    <x v="72"/>
    <x v="11"/>
    <x v="116"/>
    <x v="18"/>
    <n v="51.06"/>
    <n v="47.78"/>
    <n v="3.28"/>
  </r>
  <r>
    <x v="44"/>
    <x v="7"/>
    <x v="118"/>
    <x v="18"/>
    <n v="68.34"/>
    <n v="63.95"/>
    <n v="4.39"/>
  </r>
  <r>
    <x v="83"/>
    <x v="12"/>
    <x v="119"/>
    <x v="18"/>
    <n v="83.91"/>
    <n v="78.52"/>
    <n v="5.39"/>
  </r>
  <r>
    <x v="10"/>
    <x v="2"/>
    <x v="120"/>
    <x v="18"/>
    <n v="78.13"/>
    <n v="73.11"/>
    <n v="5.02"/>
  </r>
  <r>
    <x v="88"/>
    <x v="13"/>
    <x v="121"/>
    <x v="18"/>
    <n v="48.85"/>
    <n v="45.71"/>
    <n v="3.14"/>
  </r>
  <r>
    <x v="20"/>
    <x v="3"/>
    <x v="124"/>
    <x v="15"/>
    <n v="2115.67"/>
    <n v="1886.7"/>
    <n v="228.97"/>
  </r>
  <r>
    <x v="17"/>
    <x v="3"/>
    <x v="125"/>
    <x v="15"/>
    <n v="2460.44"/>
    <n v="2194.16"/>
    <n v="266.28"/>
  </r>
  <r>
    <x v="39"/>
    <x v="6"/>
    <x v="126"/>
    <x v="15"/>
    <n v="1428.04"/>
    <n v="1273.49"/>
    <n v="154.55"/>
  </r>
  <r>
    <x v="79"/>
    <x v="12"/>
    <x v="127"/>
    <x v="15"/>
    <n v="2186.66"/>
    <n v="1950"/>
    <n v="236.66"/>
  </r>
  <r>
    <x v="36"/>
    <x v="6"/>
    <x v="128"/>
    <x v="15"/>
    <n v="1921.33"/>
    <n v="1713.4"/>
    <n v="207.93"/>
  </r>
  <r>
    <x v="10"/>
    <x v="2"/>
    <x v="129"/>
    <x v="19"/>
    <n v="2235"/>
    <n v="1835.63"/>
    <n v="399.37"/>
  </r>
  <r>
    <x v="54"/>
    <x v="8"/>
    <x v="130"/>
    <x v="19"/>
    <n v="2836.07"/>
    <n v="2329.3"/>
    <n v="506.77"/>
  </r>
  <r>
    <x v="63"/>
    <x v="9"/>
    <x v="131"/>
    <x v="19"/>
    <n v="2372.32"/>
    <n v="1948.41"/>
    <n v="423.91"/>
  </r>
  <r>
    <x v="1"/>
    <x v="1"/>
    <x v="132"/>
    <x v="19"/>
    <n v="1797.15"/>
    <n v="1476.02"/>
    <n v="321.13"/>
  </r>
  <r>
    <x v="19"/>
    <x v="3"/>
    <x v="133"/>
    <x v="19"/>
    <n v="2379.86"/>
    <n v="1954.6"/>
    <n v="425.26"/>
  </r>
  <r>
    <x v="19"/>
    <x v="3"/>
    <x v="134"/>
    <x v="19"/>
    <n v="1762.54"/>
    <n v="1447.6"/>
    <n v="314.94"/>
  </r>
  <r>
    <x v="82"/>
    <x v="12"/>
    <x v="135"/>
    <x v="17"/>
    <n v="207.92"/>
    <n v="175.58"/>
    <n v="32.34"/>
  </r>
  <r>
    <x v="49"/>
    <x v="7"/>
    <x v="136"/>
    <x v="17"/>
    <n v="233.59"/>
    <n v="197.26"/>
    <n v="36.33"/>
  </r>
  <r>
    <x v="58"/>
    <x v="9"/>
    <x v="147"/>
    <x v="17"/>
    <n v="234.01"/>
    <n v="197.61"/>
    <n v="36.4"/>
  </r>
  <r>
    <x v="28"/>
    <x v="4"/>
    <x v="158"/>
    <x v="17"/>
    <n v="202.11"/>
    <n v="170.67"/>
    <n v="31.44"/>
  </r>
  <r>
    <x v="61"/>
    <x v="9"/>
    <x v="167"/>
    <x v="17"/>
    <n v="249.66"/>
    <n v="210.83"/>
    <n v="38.83"/>
  </r>
  <r>
    <x v="33"/>
    <x v="5"/>
    <x v="168"/>
    <x v="17"/>
    <n v="205.93"/>
    <n v="173.9"/>
    <n v="32.03"/>
  </r>
  <r>
    <x v="34"/>
    <x v="5"/>
    <x v="169"/>
    <x v="17"/>
    <n v="131.24"/>
    <n v="110.83"/>
    <n v="20.41"/>
  </r>
  <r>
    <x v="12"/>
    <x v="2"/>
    <x v="170"/>
    <x v="17"/>
    <n v="221.74"/>
    <n v="187.25"/>
    <n v="34.49"/>
  </r>
  <r>
    <x v="1"/>
    <x v="1"/>
    <x v="171"/>
    <x v="17"/>
    <n v="256.89"/>
    <n v="216.94"/>
    <n v="39.95"/>
  </r>
  <r>
    <x v="51"/>
    <x v="8"/>
    <x v="172"/>
    <x v="17"/>
    <n v="207.41"/>
    <n v="175.14"/>
    <n v="32.27"/>
  </r>
  <r>
    <x v="62"/>
    <x v="9"/>
    <x v="137"/>
    <x v="17"/>
    <n v="293.68"/>
    <n v="248"/>
    <n v="45.68"/>
  </r>
  <r>
    <x v="47"/>
    <x v="7"/>
    <x v="138"/>
    <x v="17"/>
    <n v="247.74"/>
    <n v="209.2"/>
    <n v="38.54"/>
  </r>
  <r>
    <x v="9"/>
    <x v="2"/>
    <x v="139"/>
    <x v="17"/>
    <n v="156.11"/>
    <n v="131.83"/>
    <n v="24.28"/>
  </r>
  <r>
    <x v="24"/>
    <x v="4"/>
    <x v="140"/>
    <x v="17"/>
    <n v="168.12"/>
    <n v="141.97"/>
    <n v="26.15"/>
  </r>
  <r>
    <x v="4"/>
    <x v="1"/>
    <x v="141"/>
    <x v="17"/>
    <n v="298.26"/>
    <n v="251.86"/>
    <n v="46.4"/>
  </r>
  <r>
    <x v="29"/>
    <x v="5"/>
    <x v="142"/>
    <x v="17"/>
    <n v="269.89"/>
    <n v="227.91"/>
    <n v="41.98"/>
  </r>
  <r>
    <x v="51"/>
    <x v="8"/>
    <x v="143"/>
    <x v="17"/>
    <n v="176.97"/>
    <n v="149.44"/>
    <n v="27.53"/>
  </r>
  <r>
    <x v="60"/>
    <x v="9"/>
    <x v="144"/>
    <x v="17"/>
    <n v="159.69"/>
    <n v="134.85"/>
    <n v="24.84"/>
  </r>
  <r>
    <x v="22"/>
    <x v="4"/>
    <x v="145"/>
    <x v="17"/>
    <n v="270.52"/>
    <n v="228.44"/>
    <n v="42.08"/>
  </r>
  <r>
    <x v="22"/>
    <x v="4"/>
    <x v="146"/>
    <x v="17"/>
    <n v="189.65"/>
    <n v="160.15"/>
    <n v="29.5"/>
  </r>
  <r>
    <x v="73"/>
    <x v="11"/>
    <x v="148"/>
    <x v="17"/>
    <n v="142.03"/>
    <n v="119.94"/>
    <n v="22.09"/>
  </r>
  <r>
    <x v="57"/>
    <x v="9"/>
    <x v="149"/>
    <x v="17"/>
    <n v="151.56"/>
    <n v="127.99"/>
    <n v="23.57"/>
  </r>
  <r>
    <x v="55"/>
    <x v="8"/>
    <x v="150"/>
    <x v="17"/>
    <n v="283.33"/>
    <n v="239.26"/>
    <n v="44.07"/>
  </r>
  <r>
    <x v="16"/>
    <x v="3"/>
    <x v="151"/>
    <x v="17"/>
    <n v="144.64"/>
    <n v="122.14"/>
    <n v="22.5"/>
  </r>
  <r>
    <x v="24"/>
    <x v="4"/>
    <x v="152"/>
    <x v="17"/>
    <n v="214.66"/>
    <n v="181.27"/>
    <n v="33.39"/>
  </r>
  <r>
    <x v="15"/>
    <x v="3"/>
    <x v="153"/>
    <x v="17"/>
    <n v="203.03"/>
    <n v="171.45"/>
    <n v="31.58"/>
  </r>
  <r>
    <x v="66"/>
    <x v="10"/>
    <x v="154"/>
    <x v="17"/>
    <n v="225.57"/>
    <n v="190.48"/>
    <n v="35.09"/>
  </r>
  <r>
    <x v="6"/>
    <x v="1"/>
    <x v="155"/>
    <x v="17"/>
    <n v="249.26"/>
    <n v="210.49"/>
    <n v="38.77"/>
  </r>
  <r>
    <x v="28"/>
    <x v="4"/>
    <x v="156"/>
    <x v="17"/>
    <n v="246.99"/>
    <n v="208.57"/>
    <n v="38.42"/>
  </r>
  <r>
    <x v="46"/>
    <x v="7"/>
    <x v="157"/>
    <x v="17"/>
    <n v="255.31"/>
    <n v="215.6"/>
    <n v="39.71"/>
  </r>
  <r>
    <x v="81"/>
    <x v="12"/>
    <x v="159"/>
    <x v="17"/>
    <n v="186.42"/>
    <n v="157.42"/>
    <n v="29"/>
  </r>
  <r>
    <x v="42"/>
    <x v="6"/>
    <x v="160"/>
    <x v="17"/>
    <n v="281.87"/>
    <n v="238.03"/>
    <n v="43.84"/>
  </r>
  <r>
    <x v="67"/>
    <x v="10"/>
    <x v="161"/>
    <x v="17"/>
    <n v="242.38"/>
    <n v="204.68"/>
    <n v="37.7"/>
  </r>
  <r>
    <x v="28"/>
    <x v="4"/>
    <x v="162"/>
    <x v="17"/>
    <n v="276.89"/>
    <n v="233.82"/>
    <n v="43.07"/>
  </r>
  <r>
    <x v="78"/>
    <x v="12"/>
    <x v="163"/>
    <x v="17"/>
    <n v="205.78"/>
    <n v="173.77"/>
    <n v="32.01"/>
  </r>
  <r>
    <x v="14"/>
    <x v="2"/>
    <x v="164"/>
    <x v="17"/>
    <n v="170.7"/>
    <n v="144.15"/>
    <n v="26.55"/>
  </r>
  <r>
    <x v="48"/>
    <x v="7"/>
    <x v="165"/>
    <x v="17"/>
    <n v="235.63"/>
    <n v="198.98"/>
    <n v="36.65"/>
  </r>
  <r>
    <x v="0"/>
    <x v="0"/>
    <x v="166"/>
    <x v="17"/>
    <n v="174.76"/>
    <n v="147.58"/>
    <n v="27.18"/>
  </r>
  <r>
    <x v="50"/>
    <x v="8"/>
    <x v="173"/>
    <x v="11"/>
    <n v="1033.36"/>
    <n v="830.53"/>
    <n v="202.83"/>
  </r>
  <r>
    <x v="62"/>
    <x v="9"/>
    <x v="174"/>
    <x v="11"/>
    <n v="685.45"/>
    <n v="550.91"/>
    <n v="134.54"/>
  </r>
  <r>
    <x v="12"/>
    <x v="2"/>
    <x v="185"/>
    <x v="11"/>
    <n v="532.92"/>
    <n v="428.32"/>
    <n v="104.6"/>
  </r>
  <r>
    <x v="4"/>
    <x v="1"/>
    <x v="186"/>
    <x v="11"/>
    <n v="1017.72"/>
    <n v="817.96"/>
    <n v="199.76"/>
  </r>
  <r>
    <x v="44"/>
    <x v="7"/>
    <x v="187"/>
    <x v="11"/>
    <n v="800.87"/>
    <n v="643.67"/>
    <n v="157.2"/>
  </r>
  <r>
    <x v="44"/>
    <x v="7"/>
    <x v="188"/>
    <x v="11"/>
    <n v="932.7"/>
    <n v="749.63"/>
    <n v="183.07"/>
  </r>
  <r>
    <x v="68"/>
    <x v="10"/>
    <x v="189"/>
    <x v="11"/>
    <n v="891.54"/>
    <n v="716.55"/>
    <n v="174.99"/>
  </r>
  <r>
    <x v="19"/>
    <x v="3"/>
    <x v="190"/>
    <x v="11"/>
    <n v="472.8"/>
    <n v="380"/>
    <n v="92.8"/>
  </r>
  <r>
    <x v="87"/>
    <x v="13"/>
    <x v="191"/>
    <x v="11"/>
    <n v="470.26"/>
    <n v="377.96"/>
    <n v="92.3"/>
  </r>
  <r>
    <x v="57"/>
    <x v="9"/>
    <x v="192"/>
    <x v="11"/>
    <n v="573.89"/>
    <n v="461.25"/>
    <n v="112.64"/>
  </r>
  <r>
    <x v="14"/>
    <x v="2"/>
    <x v="175"/>
    <x v="11"/>
    <n v="453.18"/>
    <n v="364.23"/>
    <n v="88.95"/>
  </r>
  <r>
    <x v="55"/>
    <x v="8"/>
    <x v="176"/>
    <x v="11"/>
    <n v="823.83"/>
    <n v="662.13"/>
    <n v="161.7"/>
  </r>
  <r>
    <x v="80"/>
    <x v="12"/>
    <x v="177"/>
    <x v="11"/>
    <n v="596.33"/>
    <n v="479.28"/>
    <n v="117.05"/>
  </r>
  <r>
    <x v="24"/>
    <x v="4"/>
    <x v="178"/>
    <x v="11"/>
    <n v="967.35"/>
    <n v="777.48"/>
    <n v="189.87"/>
  </r>
  <r>
    <x v="32"/>
    <x v="5"/>
    <x v="179"/>
    <x v="11"/>
    <n v="812.6799999999999"/>
    <n v="653.17"/>
    <n v="159.51"/>
  </r>
  <r>
    <x v="28"/>
    <x v="4"/>
    <x v="180"/>
    <x v="11"/>
    <n v="567.6900000000001"/>
    <n v="456.26"/>
    <n v="111.43"/>
  </r>
  <r>
    <x v="64"/>
    <x v="10"/>
    <x v="181"/>
    <x v="11"/>
    <n v="848.04"/>
    <n v="681.59"/>
    <n v="166.45"/>
  </r>
  <r>
    <x v="88"/>
    <x v="13"/>
    <x v="182"/>
    <x v="11"/>
    <n v="562.27"/>
    <n v="451.91"/>
    <n v="110.36"/>
  </r>
  <r>
    <x v="43"/>
    <x v="7"/>
    <x v="183"/>
    <x v="11"/>
    <n v="497.01"/>
    <n v="399.45"/>
    <n v="97.56"/>
  </r>
  <r>
    <x v="71"/>
    <x v="11"/>
    <x v="184"/>
    <x v="11"/>
    <n v="838.67"/>
    <n v="674.0599999999999"/>
    <n v="164.61"/>
  </r>
  <r>
    <x v="52"/>
    <x v="8"/>
    <x v="193"/>
    <x v="13"/>
    <n v="463.15"/>
    <n v="368.12"/>
    <n v="95.03"/>
  </r>
  <r>
    <x v="56"/>
    <x v="8"/>
    <x v="194"/>
    <x v="13"/>
    <n v="541.24"/>
    <n v="430.2"/>
    <n v="111.04"/>
  </r>
  <r>
    <x v="31"/>
    <x v="5"/>
    <x v="205"/>
    <x v="13"/>
    <n v="529.34"/>
    <n v="420.74"/>
    <n v="108.6"/>
  </r>
  <r>
    <x v="18"/>
    <x v="3"/>
    <x v="216"/>
    <x v="13"/>
    <n v="553.79"/>
    <n v="440.17"/>
    <n v="113.62"/>
  </r>
  <r>
    <x v="12"/>
    <x v="2"/>
    <x v="225"/>
    <x v="13"/>
    <n v="313.58"/>
    <n v="249.24"/>
    <n v="64.34"/>
  </r>
  <r>
    <x v="86"/>
    <x v="13"/>
    <x v="226"/>
    <x v="13"/>
    <n v="335.02"/>
    <n v="266.28"/>
    <n v="68.73999999999999"/>
  </r>
  <r>
    <x v="32"/>
    <x v="5"/>
    <x v="227"/>
    <x v="13"/>
    <n v="545.09"/>
    <n v="433.25"/>
    <n v="111.84"/>
  </r>
  <r>
    <x v="51"/>
    <x v="8"/>
    <x v="228"/>
    <x v="13"/>
    <n v="379.31"/>
    <n v="301.49"/>
    <n v="77.81999999999999"/>
  </r>
  <r>
    <x v="89"/>
    <x v="13"/>
    <x v="229"/>
    <x v="13"/>
    <n v="506.76"/>
    <n v="402.79"/>
    <n v="103.97"/>
  </r>
  <r>
    <x v="63"/>
    <x v="9"/>
    <x v="230"/>
    <x v="13"/>
    <n v="411.9"/>
    <n v="327.39"/>
    <n v="84.51000000000001"/>
  </r>
  <r>
    <x v="10"/>
    <x v="2"/>
    <x v="195"/>
    <x v="13"/>
    <n v="322.73"/>
    <n v="256.52"/>
    <n v="66.20999999999999"/>
  </r>
  <r>
    <x v="26"/>
    <x v="4"/>
    <x v="196"/>
    <x v="13"/>
    <n v="376.42"/>
    <n v="299.19"/>
    <n v="77.23"/>
  </r>
  <r>
    <x v="64"/>
    <x v="10"/>
    <x v="197"/>
    <x v="13"/>
    <n v="489.17"/>
    <n v="388.81"/>
    <n v="100.36"/>
  </r>
  <r>
    <x v="62"/>
    <x v="9"/>
    <x v="198"/>
    <x v="13"/>
    <n v="566.63"/>
    <n v="450.37"/>
    <n v="116.26"/>
  </r>
  <r>
    <x v="77"/>
    <x v="11"/>
    <x v="199"/>
    <x v="13"/>
    <n v="392.05"/>
    <n v="311.62"/>
    <n v="80.43000000000001"/>
  </r>
  <r>
    <x v="27"/>
    <x v="4"/>
    <x v="200"/>
    <x v="13"/>
    <n v="418.12"/>
    <n v="332.34"/>
    <n v="85.78"/>
  </r>
  <r>
    <x v="20"/>
    <x v="3"/>
    <x v="201"/>
    <x v="13"/>
    <n v="412.84"/>
    <n v="328.14"/>
    <n v="84.7"/>
  </r>
  <r>
    <x v="21"/>
    <x v="3"/>
    <x v="202"/>
    <x v="13"/>
    <n v="641.6"/>
    <n v="509.97"/>
    <n v="131.63"/>
  </r>
  <r>
    <x v="53"/>
    <x v="8"/>
    <x v="203"/>
    <x v="13"/>
    <n v="442.21"/>
    <n v="351.48"/>
    <n v="90.73"/>
  </r>
  <r>
    <x v="26"/>
    <x v="4"/>
    <x v="204"/>
    <x v="13"/>
    <n v="394.29"/>
    <n v="313.4"/>
    <n v="80.89"/>
  </r>
  <r>
    <x v="17"/>
    <x v="3"/>
    <x v="206"/>
    <x v="13"/>
    <n v="318.73"/>
    <n v="253.34"/>
    <n v="65.39"/>
  </r>
  <r>
    <x v="23"/>
    <x v="4"/>
    <x v="207"/>
    <x v="13"/>
    <n v="375.63"/>
    <n v="298.56"/>
    <n v="77.06999999999999"/>
  </r>
  <r>
    <x v="87"/>
    <x v="13"/>
    <x v="208"/>
    <x v="13"/>
    <n v="567.12"/>
    <n v="450.76"/>
    <n v="116.36"/>
  </r>
  <r>
    <x v="29"/>
    <x v="5"/>
    <x v="209"/>
    <x v="13"/>
    <n v="504.13"/>
    <n v="400.7"/>
    <n v="103.43"/>
  </r>
  <r>
    <x v="62"/>
    <x v="9"/>
    <x v="210"/>
    <x v="13"/>
    <n v="367.46"/>
    <n v="292.07"/>
    <n v="75.39"/>
  </r>
  <r>
    <x v="54"/>
    <x v="8"/>
    <x v="211"/>
    <x v="13"/>
    <n v="493.02"/>
    <n v="391.87"/>
    <n v="101.15"/>
  </r>
  <r>
    <x v="85"/>
    <x v="13"/>
    <x v="212"/>
    <x v="13"/>
    <n v="655.64"/>
    <n v="521.12"/>
    <n v="134.52"/>
  </r>
  <r>
    <x v="74"/>
    <x v="11"/>
    <x v="213"/>
    <x v="13"/>
    <n v="465.95"/>
    <n v="370.35"/>
    <n v="95.59999999999999"/>
  </r>
  <r>
    <x v="56"/>
    <x v="8"/>
    <x v="214"/>
    <x v="13"/>
    <n v="301.05"/>
    <n v="239.29"/>
    <n v="61.76"/>
  </r>
  <r>
    <x v="14"/>
    <x v="2"/>
    <x v="215"/>
    <x v="13"/>
    <n v="355.72"/>
    <n v="282.74"/>
    <n v="72.98"/>
  </r>
  <r>
    <x v="10"/>
    <x v="2"/>
    <x v="217"/>
    <x v="13"/>
    <n v="505.81"/>
    <n v="402.03"/>
    <n v="103.78"/>
  </r>
  <r>
    <x v="29"/>
    <x v="5"/>
    <x v="218"/>
    <x v="13"/>
    <n v="288.17"/>
    <n v="229.05"/>
    <n v="59.12"/>
  </r>
  <r>
    <x v="82"/>
    <x v="12"/>
    <x v="219"/>
    <x v="13"/>
    <n v="627.8099999999999"/>
    <n v="499"/>
    <n v="128.81"/>
  </r>
  <r>
    <x v="59"/>
    <x v="9"/>
    <x v="220"/>
    <x v="13"/>
    <n v="462.3"/>
    <n v="367.45"/>
    <n v="94.84999999999999"/>
  </r>
  <r>
    <x v="68"/>
    <x v="10"/>
    <x v="221"/>
    <x v="13"/>
    <n v="438.16"/>
    <n v="348.26"/>
    <n v="89.90000000000001"/>
  </r>
  <r>
    <x v="79"/>
    <x v="12"/>
    <x v="222"/>
    <x v="13"/>
    <n v="641.97"/>
    <n v="510.26"/>
    <n v="131.71"/>
  </r>
  <r>
    <x v="66"/>
    <x v="10"/>
    <x v="223"/>
    <x v="13"/>
    <n v="560.83"/>
    <n v="445.76"/>
    <n v="115.07"/>
  </r>
  <r>
    <x v="50"/>
    <x v="8"/>
    <x v="224"/>
    <x v="13"/>
    <n v="571.1799999999999"/>
    <n v="454"/>
    <n v="117.18"/>
  </r>
  <r>
    <x v="23"/>
    <x v="4"/>
    <x v="231"/>
    <x v="10"/>
    <n v="203.61"/>
    <n v="187.72"/>
    <n v="15.89"/>
  </r>
  <r>
    <x v="82"/>
    <x v="12"/>
    <x v="232"/>
    <x v="10"/>
    <n v="263.1"/>
    <n v="242.57"/>
    <n v="20.53"/>
  </r>
  <r>
    <x v="8"/>
    <x v="2"/>
    <x v="243"/>
    <x v="10"/>
    <n v="132.28"/>
    <n v="121.96"/>
    <n v="10.32"/>
  </r>
  <r>
    <x v="1"/>
    <x v="1"/>
    <x v="252"/>
    <x v="10"/>
    <n v="195.71"/>
    <n v="180.44"/>
    <n v="15.27"/>
  </r>
  <r>
    <x v="87"/>
    <x v="13"/>
    <x v="253"/>
    <x v="10"/>
    <n v="202.53"/>
    <n v="186.73"/>
    <n v="15.8"/>
  </r>
  <r>
    <x v="0"/>
    <x v="0"/>
    <x v="254"/>
    <x v="10"/>
    <n v="284"/>
    <n v="261.85"/>
    <n v="22.15"/>
  </r>
  <r>
    <x v="55"/>
    <x v="8"/>
    <x v="255"/>
    <x v="10"/>
    <n v="203.49"/>
    <n v="187.62"/>
    <n v="15.87"/>
  </r>
  <r>
    <x v="13"/>
    <x v="2"/>
    <x v="256"/>
    <x v="10"/>
    <n v="262.8"/>
    <n v="242.3"/>
    <n v="20.5"/>
  </r>
  <r>
    <x v="35"/>
    <x v="5"/>
    <x v="257"/>
    <x v="10"/>
    <n v="162.5"/>
    <n v="149.83"/>
    <n v="12.67"/>
  </r>
  <r>
    <x v="5"/>
    <x v="1"/>
    <x v="258"/>
    <x v="10"/>
    <n v="177.85"/>
    <n v="163.98"/>
    <n v="13.87"/>
  </r>
  <r>
    <x v="34"/>
    <x v="5"/>
    <x v="233"/>
    <x v="10"/>
    <n v="223.76"/>
    <n v="206.3"/>
    <n v="17.46"/>
  </r>
  <r>
    <x v="70"/>
    <x v="10"/>
    <x v="234"/>
    <x v="10"/>
    <n v="170.54"/>
    <n v="157.23"/>
    <n v="13.31"/>
  </r>
  <r>
    <x v="57"/>
    <x v="9"/>
    <x v="235"/>
    <x v="10"/>
    <n v="172.92"/>
    <n v="159.43"/>
    <n v="13.49"/>
  </r>
  <r>
    <x v="67"/>
    <x v="10"/>
    <x v="236"/>
    <x v="10"/>
    <n v="174.12"/>
    <n v="160.54"/>
    <n v="13.58"/>
  </r>
  <r>
    <x v="61"/>
    <x v="9"/>
    <x v="237"/>
    <x v="10"/>
    <n v="267.41"/>
    <n v="246.55"/>
    <n v="20.86"/>
  </r>
  <r>
    <x v="53"/>
    <x v="8"/>
    <x v="238"/>
    <x v="10"/>
    <n v="206.68"/>
    <n v="190.55"/>
    <n v="16.13"/>
  </r>
  <r>
    <x v="10"/>
    <x v="2"/>
    <x v="239"/>
    <x v="10"/>
    <n v="206.5"/>
    <n v="190.39"/>
    <n v="16.11"/>
  </r>
  <r>
    <x v="73"/>
    <x v="11"/>
    <x v="240"/>
    <x v="10"/>
    <n v="284.28"/>
    <n v="262.11"/>
    <n v="22.17"/>
  </r>
  <r>
    <x v="42"/>
    <x v="6"/>
    <x v="241"/>
    <x v="10"/>
    <n v="176.53"/>
    <n v="162.76"/>
    <n v="13.77"/>
  </r>
  <r>
    <x v="43"/>
    <x v="7"/>
    <x v="242"/>
    <x v="10"/>
    <n v="258.31"/>
    <n v="238.16"/>
    <n v="20.15"/>
  </r>
  <r>
    <x v="58"/>
    <x v="9"/>
    <x v="244"/>
    <x v="10"/>
    <n v="233.66"/>
    <n v="215.43"/>
    <n v="18.23"/>
  </r>
  <r>
    <x v="60"/>
    <x v="9"/>
    <x v="245"/>
    <x v="10"/>
    <n v="268.8"/>
    <n v="247.83"/>
    <n v="20.97"/>
  </r>
  <r>
    <x v="28"/>
    <x v="4"/>
    <x v="246"/>
    <x v="10"/>
    <n v="234.11"/>
    <n v="215.85"/>
    <n v="18.26"/>
  </r>
  <r>
    <x v="19"/>
    <x v="3"/>
    <x v="247"/>
    <x v="10"/>
    <n v="152.82"/>
    <n v="140.9"/>
    <n v="11.92"/>
  </r>
  <r>
    <x v="19"/>
    <x v="3"/>
    <x v="248"/>
    <x v="10"/>
    <n v="250.22"/>
    <n v="230.7"/>
    <n v="19.52"/>
  </r>
  <r>
    <x v="13"/>
    <x v="2"/>
    <x v="249"/>
    <x v="10"/>
    <n v="241.31"/>
    <n v="222.49"/>
    <n v="18.82"/>
  </r>
  <r>
    <x v="77"/>
    <x v="11"/>
    <x v="250"/>
    <x v="10"/>
    <n v="263.21"/>
    <n v="242.68"/>
    <n v="20.53"/>
  </r>
  <r>
    <x v="52"/>
    <x v="8"/>
    <x v="251"/>
    <x v="10"/>
    <n v="246.06"/>
    <n v="226.86"/>
    <n v="19.2"/>
  </r>
  <r>
    <x v="55"/>
    <x v="8"/>
    <x v="259"/>
    <x v="14"/>
    <n v="714.24"/>
    <n v="579.86"/>
    <n v="134.38"/>
  </r>
  <r>
    <x v="18"/>
    <x v="3"/>
    <x v="260"/>
    <x v="14"/>
    <n v="1462.5"/>
    <n v="1187.34"/>
    <n v="275.16"/>
  </r>
  <r>
    <x v="12"/>
    <x v="2"/>
    <x v="271"/>
    <x v="14"/>
    <n v="1449.64"/>
    <n v="1176.9"/>
    <n v="272.74"/>
  </r>
  <r>
    <x v="18"/>
    <x v="3"/>
    <x v="278"/>
    <x v="14"/>
    <n v="1205.29"/>
    <n v="978.52"/>
    <n v="226.77"/>
  </r>
  <r>
    <x v="75"/>
    <x v="11"/>
    <x v="279"/>
    <x v="14"/>
    <n v="686.1799999999999"/>
    <n v="557.08"/>
    <n v="129.1"/>
  </r>
  <r>
    <x v="54"/>
    <x v="8"/>
    <x v="280"/>
    <x v="14"/>
    <n v="1281.33"/>
    <n v="1040.26"/>
    <n v="241.07"/>
  </r>
  <r>
    <x v="30"/>
    <x v="5"/>
    <x v="281"/>
    <x v="14"/>
    <n v="1192.12"/>
    <n v="967.83"/>
    <n v="224.29"/>
  </r>
  <r>
    <x v="85"/>
    <x v="13"/>
    <x v="282"/>
    <x v="14"/>
    <n v="1095.48"/>
    <n v="889.37"/>
    <n v="206.11"/>
  </r>
  <r>
    <x v="80"/>
    <x v="12"/>
    <x v="283"/>
    <x v="14"/>
    <n v="1542.59"/>
    <n v="1252.36"/>
    <n v="290.23"/>
  </r>
  <r>
    <x v="60"/>
    <x v="9"/>
    <x v="284"/>
    <x v="14"/>
    <n v="1289.54"/>
    <n v="1046.92"/>
    <n v="242.62"/>
  </r>
  <r>
    <x v="40"/>
    <x v="6"/>
    <x v="261"/>
    <x v="14"/>
    <n v="1097.16"/>
    <n v="890.73"/>
    <n v="206.43"/>
  </r>
  <r>
    <x v="44"/>
    <x v="7"/>
    <x v="262"/>
    <x v="14"/>
    <n v="936.95"/>
    <n v="760.66"/>
    <n v="176.29"/>
  </r>
  <r>
    <x v="17"/>
    <x v="3"/>
    <x v="263"/>
    <x v="14"/>
    <n v="958.47"/>
    <n v="778.14"/>
    <n v="180.33"/>
  </r>
  <r>
    <x v="8"/>
    <x v="2"/>
    <x v="264"/>
    <x v="14"/>
    <n v="702.51"/>
    <n v="570.34"/>
    <n v="132.17"/>
  </r>
  <r>
    <x v="70"/>
    <x v="10"/>
    <x v="265"/>
    <x v="14"/>
    <n v="1537.18"/>
    <n v="1247.97"/>
    <n v="289.21"/>
  </r>
  <r>
    <x v="80"/>
    <x v="12"/>
    <x v="266"/>
    <x v="14"/>
    <n v="1259.75"/>
    <n v="1022.73"/>
    <n v="237.02"/>
  </r>
  <r>
    <x v="16"/>
    <x v="3"/>
    <x v="267"/>
    <x v="14"/>
    <n v="1062.91"/>
    <n v="862.9299999999999"/>
    <n v="199.98"/>
  </r>
  <r>
    <x v="16"/>
    <x v="3"/>
    <x v="268"/>
    <x v="14"/>
    <n v="1164.87"/>
    <n v="945.71"/>
    <n v="219.16"/>
  </r>
  <r>
    <x v="41"/>
    <x v="6"/>
    <x v="269"/>
    <x v="14"/>
    <n v="1563.94"/>
    <n v="1269.69"/>
    <n v="294.25"/>
  </r>
  <r>
    <x v="26"/>
    <x v="4"/>
    <x v="270"/>
    <x v="14"/>
    <n v="900.92"/>
    <n v="731.42"/>
    <n v="169.5"/>
  </r>
  <r>
    <x v="83"/>
    <x v="12"/>
    <x v="272"/>
    <x v="14"/>
    <n v="1224.83"/>
    <n v="994.38"/>
    <n v="230.45"/>
  </r>
  <r>
    <x v="72"/>
    <x v="11"/>
    <x v="273"/>
    <x v="14"/>
    <n v="1148.04"/>
    <n v="932.04"/>
    <n v="216"/>
  </r>
  <r>
    <x v="8"/>
    <x v="2"/>
    <x v="274"/>
    <x v="14"/>
    <n v="1201.77"/>
    <n v="975.67"/>
    <n v="226.1"/>
  </r>
  <r>
    <x v="49"/>
    <x v="7"/>
    <x v="275"/>
    <x v="14"/>
    <n v="1018.71"/>
    <n v="827.05"/>
    <n v="191.66"/>
  </r>
  <r>
    <x v="82"/>
    <x v="12"/>
    <x v="276"/>
    <x v="14"/>
    <n v="1448.83"/>
    <n v="1176.24"/>
    <n v="272.59"/>
  </r>
  <r>
    <x v="26"/>
    <x v="4"/>
    <x v="277"/>
    <x v="14"/>
    <n v="1337.88"/>
    <n v="1086.17"/>
    <n v="251.71"/>
  </r>
  <r>
    <x v="51"/>
    <x v="8"/>
    <x v="285"/>
    <x v="12"/>
    <n v="281.71"/>
    <n v="243.63"/>
    <n v="38.08"/>
  </r>
  <r>
    <x v="63"/>
    <x v="9"/>
    <x v="286"/>
    <x v="12"/>
    <n v="217.85"/>
    <n v="188.41"/>
    <n v="29.44"/>
  </r>
  <r>
    <x v="70"/>
    <x v="10"/>
    <x v="297"/>
    <x v="12"/>
    <n v="162.5"/>
    <n v="140.53"/>
    <n v="21.97"/>
  </r>
  <r>
    <x v="87"/>
    <x v="13"/>
    <x v="308"/>
    <x v="12"/>
    <n v="325.01"/>
    <n v="281.08"/>
    <n v="43.93"/>
  </r>
  <r>
    <x v="21"/>
    <x v="3"/>
    <x v="315"/>
    <x v="12"/>
    <n v="267"/>
    <n v="230.91"/>
    <n v="36.09"/>
  </r>
  <r>
    <x v="61"/>
    <x v="9"/>
    <x v="316"/>
    <x v="12"/>
    <n v="319.34"/>
    <n v="276.18"/>
    <n v="43.16"/>
  </r>
  <r>
    <x v="1"/>
    <x v="1"/>
    <x v="317"/>
    <x v="12"/>
    <n v="289.67"/>
    <n v="250.52"/>
    <n v="39.15"/>
  </r>
  <r>
    <x v="45"/>
    <x v="7"/>
    <x v="318"/>
    <x v="12"/>
    <n v="311.59"/>
    <n v="269.47"/>
    <n v="42.12"/>
  </r>
  <r>
    <x v="6"/>
    <x v="1"/>
    <x v="319"/>
    <x v="12"/>
    <n v="186.59"/>
    <n v="161.37"/>
    <n v="25.22"/>
  </r>
  <r>
    <x v="15"/>
    <x v="3"/>
    <x v="320"/>
    <x v="12"/>
    <n v="333.6"/>
    <n v="288.51"/>
    <n v="45.09"/>
  </r>
  <r>
    <x v="88"/>
    <x v="13"/>
    <x v="287"/>
    <x v="12"/>
    <n v="352.57"/>
    <n v="304.91"/>
    <n v="47.66"/>
  </r>
  <r>
    <x v="2"/>
    <x v="1"/>
    <x v="288"/>
    <x v="12"/>
    <n v="279.61"/>
    <n v="241.82"/>
    <n v="37.79"/>
  </r>
  <r>
    <x v="2"/>
    <x v="1"/>
    <x v="289"/>
    <x v="12"/>
    <n v="193.92"/>
    <n v="167.71"/>
    <n v="26.21"/>
  </r>
  <r>
    <x v="36"/>
    <x v="6"/>
    <x v="290"/>
    <x v="12"/>
    <n v="300.16"/>
    <n v="259.59"/>
    <n v="40.57"/>
  </r>
  <r>
    <x v="6"/>
    <x v="1"/>
    <x v="291"/>
    <x v="12"/>
    <n v="247.98"/>
    <n v="214.46"/>
    <n v="33.52"/>
  </r>
  <r>
    <x v="64"/>
    <x v="10"/>
    <x v="292"/>
    <x v="12"/>
    <n v="343.29"/>
    <n v="296.89"/>
    <n v="46.4"/>
  </r>
  <r>
    <x v="38"/>
    <x v="6"/>
    <x v="293"/>
    <x v="12"/>
    <n v="249.02"/>
    <n v="215.36"/>
    <n v="33.66"/>
  </r>
  <r>
    <x v="15"/>
    <x v="3"/>
    <x v="294"/>
    <x v="12"/>
    <n v="264.58"/>
    <n v="228.82"/>
    <n v="35.76"/>
  </r>
  <r>
    <x v="33"/>
    <x v="5"/>
    <x v="295"/>
    <x v="12"/>
    <n v="302.05"/>
    <n v="261.23"/>
    <n v="40.82"/>
  </r>
  <r>
    <x v="67"/>
    <x v="10"/>
    <x v="296"/>
    <x v="12"/>
    <n v="245.27"/>
    <n v="212.12"/>
    <n v="33.15"/>
  </r>
  <r>
    <x v="55"/>
    <x v="8"/>
    <x v="298"/>
    <x v="12"/>
    <n v="261.28"/>
    <n v="225.96"/>
    <n v="35.32"/>
  </r>
  <r>
    <x v="45"/>
    <x v="7"/>
    <x v="299"/>
    <x v="12"/>
    <n v="244.17"/>
    <n v="211.17"/>
    <n v="33"/>
  </r>
  <r>
    <x v="18"/>
    <x v="3"/>
    <x v="300"/>
    <x v="12"/>
    <n v="239.7"/>
    <n v="207.3"/>
    <n v="32.4"/>
  </r>
  <r>
    <x v="11"/>
    <x v="2"/>
    <x v="301"/>
    <x v="12"/>
    <n v="240.4"/>
    <n v="207.91"/>
    <n v="32.49"/>
  </r>
  <r>
    <x v="88"/>
    <x v="13"/>
    <x v="302"/>
    <x v="12"/>
    <n v="343.71"/>
    <n v="297.25"/>
    <n v="46.46"/>
  </r>
  <r>
    <x v="3"/>
    <x v="1"/>
    <x v="303"/>
    <x v="12"/>
    <n v="196.24"/>
    <n v="169.71"/>
    <n v="26.53"/>
  </r>
  <r>
    <x v="44"/>
    <x v="7"/>
    <x v="304"/>
    <x v="12"/>
    <n v="250.77"/>
    <n v="216.87"/>
    <n v="33.9"/>
  </r>
  <r>
    <x v="23"/>
    <x v="4"/>
    <x v="305"/>
    <x v="12"/>
    <n v="345.14"/>
    <n v="298.49"/>
    <n v="46.65"/>
  </r>
  <r>
    <x v="34"/>
    <x v="5"/>
    <x v="306"/>
    <x v="12"/>
    <n v="220.91"/>
    <n v="191.05"/>
    <n v="29.86"/>
  </r>
  <r>
    <x v="2"/>
    <x v="1"/>
    <x v="307"/>
    <x v="12"/>
    <n v="269.05"/>
    <n v="232.68"/>
    <n v="36.37"/>
  </r>
  <r>
    <x v="21"/>
    <x v="3"/>
    <x v="309"/>
    <x v="12"/>
    <n v="311"/>
    <n v="268.96"/>
    <n v="42.04"/>
  </r>
  <r>
    <x v="68"/>
    <x v="10"/>
    <x v="310"/>
    <x v="12"/>
    <n v="186.67"/>
    <n v="161.44"/>
    <n v="25.23"/>
  </r>
  <r>
    <x v="79"/>
    <x v="12"/>
    <x v="311"/>
    <x v="12"/>
    <n v="205.47"/>
    <n v="177.7"/>
    <n v="27.77"/>
  </r>
  <r>
    <x v="60"/>
    <x v="9"/>
    <x v="312"/>
    <x v="12"/>
    <n v="239.41"/>
    <n v="207.05"/>
    <n v="32.36"/>
  </r>
  <r>
    <x v="19"/>
    <x v="3"/>
    <x v="313"/>
    <x v="12"/>
    <n v="247.23"/>
    <n v="213.82"/>
    <n v="33.41"/>
  </r>
  <r>
    <x v="40"/>
    <x v="6"/>
    <x v="314"/>
    <x v="12"/>
    <n v="195.88"/>
    <n v="169.41"/>
    <n v="26.47"/>
  </r>
  <r>
    <x v="68"/>
    <x v="10"/>
    <x v="321"/>
    <x v="21"/>
    <n v="566.99"/>
    <n v="526.38"/>
    <n v="40.61"/>
  </r>
  <r>
    <x v="77"/>
    <x v="11"/>
    <x v="322"/>
    <x v="21"/>
    <n v="940.36"/>
    <n v="873.02"/>
    <n v="67.34"/>
  </r>
  <r>
    <x v="21"/>
    <x v="3"/>
    <x v="333"/>
    <x v="21"/>
    <n v="1185.37"/>
    <n v="1100.47"/>
    <n v="84.90000000000001"/>
  </r>
  <r>
    <x v="67"/>
    <x v="10"/>
    <x v="344"/>
    <x v="21"/>
    <n v="1023.02"/>
    <n v="949.75"/>
    <n v="73.27"/>
  </r>
  <r>
    <x v="57"/>
    <x v="9"/>
    <x v="352"/>
    <x v="21"/>
    <n v="914.61"/>
    <n v="849.11"/>
    <n v="65.5"/>
  </r>
  <r>
    <x v="35"/>
    <x v="5"/>
    <x v="353"/>
    <x v="21"/>
    <n v="912.66"/>
    <n v="847.29"/>
    <n v="65.37"/>
  </r>
  <r>
    <x v="71"/>
    <x v="11"/>
    <x v="354"/>
    <x v="21"/>
    <n v="1006.67"/>
    <n v="934.5700000000001"/>
    <n v="72.09999999999999"/>
  </r>
  <r>
    <x v="25"/>
    <x v="4"/>
    <x v="355"/>
    <x v="21"/>
    <n v="690.0700000000001"/>
    <n v="640.65"/>
    <n v="49.42"/>
  </r>
  <r>
    <x v="54"/>
    <x v="8"/>
    <x v="356"/>
    <x v="21"/>
    <n v="548.89"/>
    <n v="509.57"/>
    <n v="39.32"/>
  </r>
  <r>
    <x v="73"/>
    <x v="11"/>
    <x v="357"/>
    <x v="21"/>
    <n v="1020.88"/>
    <n v="947.76"/>
    <n v="73.12"/>
  </r>
  <r>
    <x v="67"/>
    <x v="10"/>
    <x v="323"/>
    <x v="21"/>
    <n v="704.09"/>
    <n v="653.67"/>
    <n v="50.42"/>
  </r>
  <r>
    <x v="2"/>
    <x v="1"/>
    <x v="324"/>
    <x v="21"/>
    <n v="685.49"/>
    <n v="636.4"/>
    <n v="49.09"/>
  </r>
  <r>
    <x v="19"/>
    <x v="3"/>
    <x v="325"/>
    <x v="21"/>
    <n v="987.41"/>
    <n v="916.6900000000001"/>
    <n v="70.72"/>
  </r>
  <r>
    <x v="17"/>
    <x v="3"/>
    <x v="326"/>
    <x v="21"/>
    <n v="1078.72"/>
    <n v="1001.46"/>
    <n v="77.26000000000001"/>
  </r>
  <r>
    <x v="80"/>
    <x v="12"/>
    <x v="327"/>
    <x v="21"/>
    <n v="708.16"/>
    <n v="657.4400000000001"/>
    <n v="50.72"/>
  </r>
  <r>
    <x v="27"/>
    <x v="4"/>
    <x v="328"/>
    <x v="21"/>
    <n v="874.16"/>
    <n v="811.5599999999999"/>
    <n v="62.6"/>
  </r>
  <r>
    <x v="76"/>
    <x v="11"/>
    <x v="329"/>
    <x v="21"/>
    <n v="1087.18"/>
    <n v="1009.31"/>
    <n v="77.87"/>
  </r>
  <r>
    <x v="49"/>
    <x v="7"/>
    <x v="330"/>
    <x v="21"/>
    <n v="1018.81"/>
    <n v="945.84"/>
    <n v="72.97"/>
  </r>
  <r>
    <x v="22"/>
    <x v="4"/>
    <x v="331"/>
    <x v="21"/>
    <n v="1091.83"/>
    <n v="1013.64"/>
    <n v="78.19"/>
  </r>
  <r>
    <x v="24"/>
    <x v="4"/>
    <x v="332"/>
    <x v="21"/>
    <n v="958.79"/>
    <n v="890.12"/>
    <n v="68.67"/>
  </r>
  <r>
    <x v="26"/>
    <x v="4"/>
    <x v="334"/>
    <x v="21"/>
    <n v="902.03"/>
    <n v="837.4299999999999"/>
    <n v="64.59999999999999"/>
  </r>
  <r>
    <x v="38"/>
    <x v="6"/>
    <x v="335"/>
    <x v="21"/>
    <n v="851.1900000000001"/>
    <n v="790.22"/>
    <n v="60.97"/>
  </r>
  <r>
    <x v="79"/>
    <x v="12"/>
    <x v="336"/>
    <x v="21"/>
    <n v="699.78"/>
    <n v="649.66"/>
    <n v="50.12"/>
  </r>
  <r>
    <x v="56"/>
    <x v="8"/>
    <x v="337"/>
    <x v="21"/>
    <n v="580.78"/>
    <n v="539.1799999999999"/>
    <n v="41.6"/>
  </r>
  <r>
    <x v="60"/>
    <x v="9"/>
    <x v="338"/>
    <x v="21"/>
    <n v="716.8200000000001"/>
    <n v="665.48"/>
    <n v="51.34"/>
  </r>
  <r>
    <x v="78"/>
    <x v="12"/>
    <x v="339"/>
    <x v="21"/>
    <n v="771.83"/>
    <n v="716.55"/>
    <n v="55.28"/>
  </r>
  <r>
    <x v="66"/>
    <x v="10"/>
    <x v="340"/>
    <x v="21"/>
    <n v="911.6900000000001"/>
    <n v="846.39"/>
    <n v="65.3"/>
  </r>
  <r>
    <x v="86"/>
    <x v="13"/>
    <x v="341"/>
    <x v="21"/>
    <n v="1084.87"/>
    <n v="1007.17"/>
    <n v="77.7"/>
  </r>
  <r>
    <x v="60"/>
    <x v="9"/>
    <x v="342"/>
    <x v="21"/>
    <n v="674.9299999999999"/>
    <n v="626.59"/>
    <n v="48.34"/>
  </r>
  <r>
    <x v="53"/>
    <x v="8"/>
    <x v="343"/>
    <x v="21"/>
    <n v="996.53"/>
    <n v="925.16"/>
    <n v="71.37"/>
  </r>
  <r>
    <x v="69"/>
    <x v="10"/>
    <x v="345"/>
    <x v="21"/>
    <n v="577.5700000000001"/>
    <n v="536.21"/>
    <n v="41.36"/>
  </r>
  <r>
    <x v="80"/>
    <x v="12"/>
    <x v="346"/>
    <x v="21"/>
    <n v="666.64"/>
    <n v="618.9"/>
    <n v="47.74"/>
  </r>
  <r>
    <x v="20"/>
    <x v="3"/>
    <x v="347"/>
    <x v="21"/>
    <n v="920.54"/>
    <n v="854.61"/>
    <n v="65.93000000000001"/>
  </r>
  <r>
    <x v="28"/>
    <x v="4"/>
    <x v="348"/>
    <x v="21"/>
    <n v="776.26"/>
    <n v="720.66"/>
    <n v="55.6"/>
  </r>
  <r>
    <x v="47"/>
    <x v="7"/>
    <x v="349"/>
    <x v="21"/>
    <n v="623.36"/>
    <n v="578.71"/>
    <n v="44.65"/>
  </r>
  <r>
    <x v="30"/>
    <x v="5"/>
    <x v="350"/>
    <x v="21"/>
    <n v="615.85"/>
    <n v="571.74"/>
    <n v="44.11"/>
  </r>
  <r>
    <x v="23"/>
    <x v="4"/>
    <x v="351"/>
    <x v="21"/>
    <n v="837.3200000000001"/>
    <n v="777.35"/>
    <n v="59.97"/>
  </r>
  <r>
    <x v="89"/>
    <x v="13"/>
    <x v="358"/>
    <x v="23"/>
    <n v="546.9"/>
    <n v="464.49"/>
    <n v="82.41"/>
  </r>
  <r>
    <x v="41"/>
    <x v="6"/>
    <x v="359"/>
    <x v="23"/>
    <n v="604.08"/>
    <n v="513.05"/>
    <n v="91.03"/>
  </r>
  <r>
    <x v="50"/>
    <x v="8"/>
    <x v="369"/>
    <x v="23"/>
    <n v="512.0599999999999"/>
    <n v="434.9"/>
    <n v="77.16"/>
  </r>
  <r>
    <x v="16"/>
    <x v="3"/>
    <x v="370"/>
    <x v="23"/>
    <n v="970.9299999999999"/>
    <n v="824.63"/>
    <n v="146.3"/>
  </r>
  <r>
    <x v="47"/>
    <x v="7"/>
    <x v="371"/>
    <x v="23"/>
    <n v="727.04"/>
    <n v="617.49"/>
    <n v="109.55"/>
  </r>
  <r>
    <x v="39"/>
    <x v="6"/>
    <x v="372"/>
    <x v="23"/>
    <n v="503.1"/>
    <n v="427.29"/>
    <n v="75.81"/>
  </r>
  <r>
    <x v="53"/>
    <x v="8"/>
    <x v="373"/>
    <x v="23"/>
    <n v="710.35"/>
    <n v="603.3200000000001"/>
    <n v="107.03"/>
  </r>
  <r>
    <x v="59"/>
    <x v="9"/>
    <x v="374"/>
    <x v="23"/>
    <n v="966.39"/>
    <n v="820.77"/>
    <n v="145.62"/>
  </r>
  <r>
    <x v="6"/>
    <x v="1"/>
    <x v="375"/>
    <x v="23"/>
    <n v="712.2"/>
    <n v="604.88"/>
    <n v="107.32"/>
  </r>
  <r>
    <x v="65"/>
    <x v="10"/>
    <x v="376"/>
    <x v="23"/>
    <n v="738.17"/>
    <n v="626.9400000000001"/>
    <n v="111.23"/>
  </r>
  <r>
    <x v="78"/>
    <x v="12"/>
    <x v="360"/>
    <x v="23"/>
    <n v="532.08"/>
    <n v="451.9"/>
    <n v="80.18000000000001"/>
  </r>
  <r>
    <x v="36"/>
    <x v="6"/>
    <x v="361"/>
    <x v="23"/>
    <n v="915.74"/>
    <n v="777.75"/>
    <n v="137.99"/>
  </r>
  <r>
    <x v="58"/>
    <x v="9"/>
    <x v="362"/>
    <x v="23"/>
    <n v="629.11"/>
    <n v="534.3200000000001"/>
    <n v="94.79000000000001"/>
  </r>
  <r>
    <x v="32"/>
    <x v="5"/>
    <x v="363"/>
    <x v="23"/>
    <n v="903.1900000000001"/>
    <n v="767.09"/>
    <n v="136.1"/>
  </r>
  <r>
    <x v="17"/>
    <x v="3"/>
    <x v="364"/>
    <x v="23"/>
    <n v="596.3200000000001"/>
    <n v="506.47"/>
    <n v="89.84999999999999"/>
  </r>
  <r>
    <x v="80"/>
    <x v="12"/>
    <x v="365"/>
    <x v="23"/>
    <n v="913.0700000000001"/>
    <n v="775.49"/>
    <n v="137.58"/>
  </r>
  <r>
    <x v="0"/>
    <x v="0"/>
    <x v="366"/>
    <x v="23"/>
    <n v="676.5"/>
    <n v="574.5700000000001"/>
    <n v="101.93"/>
  </r>
  <r>
    <x v="26"/>
    <x v="4"/>
    <x v="367"/>
    <x v="23"/>
    <n v="603.58"/>
    <n v="512.63"/>
    <n v="90.95"/>
  </r>
  <r>
    <x v="18"/>
    <x v="3"/>
    <x v="368"/>
    <x v="23"/>
    <n v="678.78"/>
    <n v="576.5"/>
    <n v="102.28"/>
  </r>
  <r>
    <x v="60"/>
    <x v="9"/>
    <x v="377"/>
    <x v="20"/>
    <n v="1439.02"/>
    <n v="1284.83"/>
    <n v="154.19"/>
  </r>
  <r>
    <x v="89"/>
    <x v="13"/>
    <x v="378"/>
    <x v="20"/>
    <n v="1042.84"/>
    <n v="931.1"/>
    <n v="111.74"/>
  </r>
  <r>
    <x v="47"/>
    <x v="7"/>
    <x v="389"/>
    <x v="20"/>
    <n v="1200.12"/>
    <n v="1071.53"/>
    <n v="128.59"/>
  </r>
  <r>
    <x v="65"/>
    <x v="10"/>
    <x v="396"/>
    <x v="20"/>
    <n v="965.8200000000001"/>
    <n v="862.33"/>
    <n v="103.49"/>
  </r>
  <r>
    <x v="40"/>
    <x v="6"/>
    <x v="397"/>
    <x v="20"/>
    <n v="1392.68"/>
    <n v="1243.46"/>
    <n v="149.22"/>
  </r>
  <r>
    <x v="49"/>
    <x v="7"/>
    <x v="398"/>
    <x v="20"/>
    <n v="1095.19"/>
    <n v="977.84"/>
    <n v="117.35"/>
  </r>
  <r>
    <x v="38"/>
    <x v="6"/>
    <x v="399"/>
    <x v="20"/>
    <n v="1490.71"/>
    <n v="1330.98"/>
    <n v="159.73"/>
  </r>
  <r>
    <x v="3"/>
    <x v="1"/>
    <x v="400"/>
    <x v="20"/>
    <n v="1295.65"/>
    <n v="1156.82"/>
    <n v="138.83"/>
  </r>
  <r>
    <x v="77"/>
    <x v="11"/>
    <x v="401"/>
    <x v="20"/>
    <n v="941.1900000000001"/>
    <n v="840.34"/>
    <n v="100.85"/>
  </r>
  <r>
    <x v="0"/>
    <x v="0"/>
    <x v="402"/>
    <x v="20"/>
    <n v="1319.8"/>
    <n v="1178.39"/>
    <n v="141.41"/>
  </r>
  <r>
    <x v="66"/>
    <x v="10"/>
    <x v="379"/>
    <x v="20"/>
    <n v="1536.8"/>
    <n v="1372.13"/>
    <n v="164.67"/>
  </r>
  <r>
    <x v="40"/>
    <x v="6"/>
    <x v="380"/>
    <x v="20"/>
    <n v="1389.9"/>
    <n v="1240.97"/>
    <n v="148.93"/>
  </r>
  <r>
    <x v="82"/>
    <x v="12"/>
    <x v="381"/>
    <x v="20"/>
    <n v="1543.12"/>
    <n v="1377.77"/>
    <n v="165.35"/>
  </r>
  <r>
    <x v="27"/>
    <x v="4"/>
    <x v="382"/>
    <x v="20"/>
    <n v="1602.6"/>
    <n v="1430.88"/>
    <n v="171.72"/>
  </r>
  <r>
    <x v="27"/>
    <x v="4"/>
    <x v="383"/>
    <x v="20"/>
    <n v="726.17"/>
    <n v="648.36"/>
    <n v="77.81"/>
  </r>
  <r>
    <x v="83"/>
    <x v="12"/>
    <x v="384"/>
    <x v="20"/>
    <n v="1543.21"/>
    <n v="1377.85"/>
    <n v="165.36"/>
  </r>
  <r>
    <x v="63"/>
    <x v="9"/>
    <x v="385"/>
    <x v="20"/>
    <n v="1041.99"/>
    <n v="930.34"/>
    <n v="111.65"/>
  </r>
  <r>
    <x v="19"/>
    <x v="3"/>
    <x v="386"/>
    <x v="20"/>
    <n v="768.05"/>
    <n v="685.75"/>
    <n v="82.3"/>
  </r>
  <r>
    <x v="20"/>
    <x v="3"/>
    <x v="387"/>
    <x v="20"/>
    <n v="713.16"/>
    <n v="636.75"/>
    <n v="76.41"/>
  </r>
  <r>
    <x v="78"/>
    <x v="12"/>
    <x v="388"/>
    <x v="20"/>
    <n v="1099.4"/>
    <n v="981.59"/>
    <n v="117.81"/>
  </r>
  <r>
    <x v="74"/>
    <x v="11"/>
    <x v="390"/>
    <x v="20"/>
    <n v="1348.88"/>
    <n v="1204.35"/>
    <n v="144.53"/>
  </r>
  <r>
    <x v="23"/>
    <x v="4"/>
    <x v="391"/>
    <x v="20"/>
    <n v="773.6900000000001"/>
    <n v="690.79"/>
    <n v="82.90000000000001"/>
  </r>
  <r>
    <x v="49"/>
    <x v="7"/>
    <x v="392"/>
    <x v="20"/>
    <n v="846.48"/>
    <n v="755.78"/>
    <n v="90.7"/>
  </r>
  <r>
    <x v="79"/>
    <x v="12"/>
    <x v="393"/>
    <x v="20"/>
    <n v="1388.39"/>
    <n v="1239.63"/>
    <n v="148.76"/>
  </r>
  <r>
    <x v="48"/>
    <x v="7"/>
    <x v="394"/>
    <x v="20"/>
    <n v="1143.79"/>
    <n v="1021.23"/>
    <n v="122.56"/>
  </r>
  <r>
    <x v="82"/>
    <x v="12"/>
    <x v="395"/>
    <x v="20"/>
    <n v="1055.41"/>
    <n v="942.3200000000001"/>
    <n v="113.09"/>
  </r>
  <r>
    <x v="3"/>
    <x v="1"/>
    <x v="403"/>
    <x v="24"/>
    <n v="385.85"/>
    <n v="315.06"/>
    <n v="70.79000000000001"/>
  </r>
  <r>
    <x v="40"/>
    <x v="6"/>
    <x v="404"/>
    <x v="24"/>
    <n v="515.67"/>
    <n v="421.07"/>
    <n v="94.59999999999999"/>
  </r>
  <r>
    <x v="11"/>
    <x v="2"/>
    <x v="406"/>
    <x v="24"/>
    <n v="369.75"/>
    <n v="301.91"/>
    <n v="67.84"/>
  </r>
  <r>
    <x v="44"/>
    <x v="7"/>
    <x v="407"/>
    <x v="24"/>
    <n v="766.37"/>
    <n v="625.77"/>
    <n v="140.6"/>
  </r>
  <r>
    <x v="47"/>
    <x v="7"/>
    <x v="408"/>
    <x v="24"/>
    <n v="366.65"/>
    <n v="299.38"/>
    <n v="67.27"/>
  </r>
  <r>
    <x v="82"/>
    <x v="12"/>
    <x v="409"/>
    <x v="24"/>
    <n v="738.05"/>
    <n v="602.65"/>
    <n v="135.4"/>
  </r>
  <r>
    <x v="23"/>
    <x v="4"/>
    <x v="410"/>
    <x v="24"/>
    <n v="761.4400000000001"/>
    <n v="621.75"/>
    <n v="139.69"/>
  </r>
  <r>
    <x v="31"/>
    <x v="5"/>
    <x v="411"/>
    <x v="24"/>
    <n v="649.45"/>
    <n v="530.3"/>
    <n v="119.15"/>
  </r>
  <r>
    <x v="82"/>
    <x v="12"/>
    <x v="412"/>
    <x v="24"/>
    <n v="690.08"/>
    <n v="563.48"/>
    <n v="126.6"/>
  </r>
  <r>
    <x v="42"/>
    <x v="6"/>
    <x v="413"/>
    <x v="24"/>
    <n v="761.62"/>
    <n v="621.89"/>
    <n v="139.73"/>
  </r>
  <r>
    <x v="54"/>
    <x v="8"/>
    <x v="405"/>
    <x v="24"/>
    <n v="725.33"/>
    <n v="592.26"/>
    <n v="133.07"/>
  </r>
  <r>
    <x v="17"/>
    <x v="3"/>
    <x v="414"/>
    <x v="22"/>
    <n v="273.98"/>
    <n v="229.53"/>
    <n v="44.45"/>
  </r>
  <r>
    <x v="77"/>
    <x v="11"/>
    <x v="415"/>
    <x v="22"/>
    <n v="204.44"/>
    <n v="171.27"/>
    <n v="33.17"/>
  </r>
  <r>
    <x v="74"/>
    <x v="11"/>
    <x v="426"/>
    <x v="22"/>
    <n v="174.65"/>
    <n v="146.31"/>
    <n v="28.34"/>
  </r>
  <r>
    <x v="76"/>
    <x v="11"/>
    <x v="433"/>
    <x v="22"/>
    <n v="302.62"/>
    <n v="253.53"/>
    <n v="49.09"/>
  </r>
  <r>
    <x v="85"/>
    <x v="13"/>
    <x v="434"/>
    <x v="22"/>
    <n v="221.66"/>
    <n v="185.7"/>
    <n v="35.96"/>
  </r>
  <r>
    <x v="52"/>
    <x v="8"/>
    <x v="435"/>
    <x v="22"/>
    <n v="196.87"/>
    <n v="164.93"/>
    <n v="31.94"/>
  </r>
  <r>
    <x v="41"/>
    <x v="6"/>
    <x v="436"/>
    <x v="22"/>
    <n v="262.89"/>
    <n v="220.24"/>
    <n v="42.65"/>
  </r>
  <r>
    <x v="27"/>
    <x v="4"/>
    <x v="437"/>
    <x v="22"/>
    <n v="315.91"/>
    <n v="264.66"/>
    <n v="51.25"/>
  </r>
  <r>
    <x v="47"/>
    <x v="7"/>
    <x v="438"/>
    <x v="22"/>
    <n v="168.33"/>
    <n v="141.02"/>
    <n v="27.31"/>
  </r>
  <r>
    <x v="19"/>
    <x v="3"/>
    <x v="439"/>
    <x v="22"/>
    <n v="149.49"/>
    <n v="125.24"/>
    <n v="24.25"/>
  </r>
  <r>
    <x v="61"/>
    <x v="9"/>
    <x v="416"/>
    <x v="22"/>
    <n v="189.92"/>
    <n v="159.11"/>
    <n v="30.81"/>
  </r>
  <r>
    <x v="36"/>
    <x v="6"/>
    <x v="417"/>
    <x v="22"/>
    <n v="325.33"/>
    <n v="272.55"/>
    <n v="52.78"/>
  </r>
  <r>
    <x v="35"/>
    <x v="5"/>
    <x v="418"/>
    <x v="22"/>
    <n v="258.38"/>
    <n v="216.46"/>
    <n v="41.92"/>
  </r>
  <r>
    <x v="17"/>
    <x v="3"/>
    <x v="419"/>
    <x v="22"/>
    <n v="184.85"/>
    <n v="154.86"/>
    <n v="29.99"/>
  </r>
  <r>
    <x v="51"/>
    <x v="8"/>
    <x v="420"/>
    <x v="22"/>
    <n v="293.41"/>
    <n v="245.81"/>
    <n v="47.6"/>
  </r>
  <r>
    <x v="88"/>
    <x v="13"/>
    <x v="421"/>
    <x v="22"/>
    <n v="152.29"/>
    <n v="127.58"/>
    <n v="24.71"/>
  </r>
  <r>
    <x v="8"/>
    <x v="2"/>
    <x v="422"/>
    <x v="22"/>
    <n v="200.94"/>
    <n v="168.34"/>
    <n v="32.6"/>
  </r>
  <r>
    <x v="47"/>
    <x v="7"/>
    <x v="423"/>
    <x v="22"/>
    <n v="160.29"/>
    <n v="134.29"/>
    <n v="26"/>
  </r>
  <r>
    <x v="1"/>
    <x v="1"/>
    <x v="424"/>
    <x v="22"/>
    <n v="165.66"/>
    <n v="138.79"/>
    <n v="26.87"/>
  </r>
  <r>
    <x v="85"/>
    <x v="13"/>
    <x v="425"/>
    <x v="22"/>
    <n v="200.69"/>
    <n v="168.13"/>
    <n v="32.56"/>
  </r>
  <r>
    <x v="20"/>
    <x v="3"/>
    <x v="427"/>
    <x v="22"/>
    <n v="159.03"/>
    <n v="133.23"/>
    <n v="25.8"/>
  </r>
  <r>
    <x v="23"/>
    <x v="4"/>
    <x v="428"/>
    <x v="22"/>
    <n v="271.52"/>
    <n v="227.47"/>
    <n v="44.05"/>
  </r>
  <r>
    <x v="56"/>
    <x v="8"/>
    <x v="429"/>
    <x v="22"/>
    <n v="336.42"/>
    <n v="281.84"/>
    <n v="54.58"/>
  </r>
  <r>
    <x v="59"/>
    <x v="9"/>
    <x v="430"/>
    <x v="22"/>
    <n v="178.89"/>
    <n v="149.86"/>
    <n v="29.03"/>
  </r>
  <r>
    <x v="70"/>
    <x v="10"/>
    <x v="431"/>
    <x v="22"/>
    <n v="207.5"/>
    <n v="173.84"/>
    <n v="33.66"/>
  </r>
  <r>
    <x v="65"/>
    <x v="10"/>
    <x v="432"/>
    <x v="22"/>
    <n v="162.15"/>
    <n v="135.85"/>
    <n v="26.3"/>
  </r>
  <r>
    <x v="1"/>
    <x v="1"/>
    <x v="440"/>
    <x v="31"/>
    <n v="9760.290000000001"/>
    <n v="8642.950000000001"/>
    <n v="1117.34"/>
  </r>
  <r>
    <x v="59"/>
    <x v="9"/>
    <x v="441"/>
    <x v="31"/>
    <n v="12711.6"/>
    <n v="11256.4"/>
    <n v="1455.2"/>
  </r>
  <r>
    <x v="19"/>
    <x v="3"/>
    <x v="442"/>
    <x v="31"/>
    <n v="10086.8"/>
    <n v="8932.08"/>
    <n v="1154.72"/>
  </r>
  <r>
    <x v="53"/>
    <x v="8"/>
    <x v="443"/>
    <x v="31"/>
    <n v="6899.87"/>
    <n v="6109.99"/>
    <n v="789.88"/>
  </r>
  <r>
    <x v="67"/>
    <x v="10"/>
    <x v="444"/>
    <x v="31"/>
    <n v="6585.25"/>
    <n v="5831.39"/>
    <n v="753.86"/>
  </r>
  <r>
    <x v="18"/>
    <x v="3"/>
    <x v="445"/>
    <x v="33"/>
    <n v="1268.98"/>
    <n v="1151.18"/>
    <n v="117.8"/>
  </r>
  <r>
    <x v="80"/>
    <x v="12"/>
    <x v="446"/>
    <x v="33"/>
    <n v="1197.53"/>
    <n v="1086.36"/>
    <n v="111.17"/>
  </r>
  <r>
    <x v="78"/>
    <x v="12"/>
    <x v="449"/>
    <x v="33"/>
    <n v="1082.38"/>
    <n v="981.9"/>
    <n v="100.48"/>
  </r>
  <r>
    <x v="48"/>
    <x v="7"/>
    <x v="450"/>
    <x v="33"/>
    <n v="893.6900000000001"/>
    <n v="810.72"/>
    <n v="82.97"/>
  </r>
  <r>
    <x v="68"/>
    <x v="10"/>
    <x v="451"/>
    <x v="33"/>
    <n v="1524.87"/>
    <n v="1383.31"/>
    <n v="141.56"/>
  </r>
  <r>
    <x v="30"/>
    <x v="5"/>
    <x v="452"/>
    <x v="33"/>
    <n v="967.39"/>
    <n v="877.58"/>
    <n v="89.81"/>
  </r>
  <r>
    <x v="27"/>
    <x v="4"/>
    <x v="453"/>
    <x v="33"/>
    <n v="1558.78"/>
    <n v="1414.07"/>
    <n v="144.71"/>
  </r>
  <r>
    <x v="4"/>
    <x v="1"/>
    <x v="454"/>
    <x v="33"/>
    <n v="1637.53"/>
    <n v="1485.51"/>
    <n v="152.02"/>
  </r>
  <r>
    <x v="18"/>
    <x v="3"/>
    <x v="455"/>
    <x v="33"/>
    <n v="1731.52"/>
    <n v="1570.78"/>
    <n v="160.74"/>
  </r>
  <r>
    <x v="85"/>
    <x v="13"/>
    <x v="456"/>
    <x v="33"/>
    <n v="816.2"/>
    <n v="740.4299999999999"/>
    <n v="75.77"/>
  </r>
  <r>
    <x v="15"/>
    <x v="3"/>
    <x v="447"/>
    <x v="33"/>
    <n v="940.98"/>
    <n v="853.63"/>
    <n v="87.34999999999999"/>
  </r>
  <r>
    <x v="15"/>
    <x v="3"/>
    <x v="448"/>
    <x v="33"/>
    <n v="955.6799999999999"/>
    <n v="866.96"/>
    <n v="88.72"/>
  </r>
  <r>
    <x v="85"/>
    <x v="13"/>
    <x v="457"/>
    <x v="30"/>
    <n v="175.47"/>
    <n v="147.92"/>
    <n v="27.55"/>
  </r>
  <r>
    <x v="71"/>
    <x v="11"/>
    <x v="458"/>
    <x v="30"/>
    <n v="142.8"/>
    <n v="120.38"/>
    <n v="22.42"/>
  </r>
  <r>
    <x v="72"/>
    <x v="11"/>
    <x v="469"/>
    <x v="30"/>
    <n v="91.06"/>
    <n v="76.76000000000001"/>
    <n v="14.3"/>
  </r>
  <r>
    <x v="84"/>
    <x v="12"/>
    <x v="480"/>
    <x v="30"/>
    <n v="119.43"/>
    <n v="100.68"/>
    <n v="18.75"/>
  </r>
  <r>
    <x v="39"/>
    <x v="6"/>
    <x v="485"/>
    <x v="30"/>
    <n v="149.86"/>
    <n v="126.33"/>
    <n v="23.53"/>
  </r>
  <r>
    <x v="60"/>
    <x v="9"/>
    <x v="486"/>
    <x v="30"/>
    <n v="169.92"/>
    <n v="143.24"/>
    <n v="26.68"/>
  </r>
  <r>
    <x v="34"/>
    <x v="5"/>
    <x v="487"/>
    <x v="30"/>
    <n v="127.62"/>
    <n v="107.58"/>
    <n v="20.04"/>
  </r>
  <r>
    <x v="0"/>
    <x v="0"/>
    <x v="488"/>
    <x v="30"/>
    <n v="105.49"/>
    <n v="88.92"/>
    <n v="16.57"/>
  </r>
  <r>
    <x v="80"/>
    <x v="12"/>
    <x v="489"/>
    <x v="30"/>
    <n v="191.84"/>
    <n v="161.72"/>
    <n v="30.12"/>
  </r>
  <r>
    <x v="70"/>
    <x v="10"/>
    <x v="490"/>
    <x v="30"/>
    <n v="128.25"/>
    <n v="108.11"/>
    <n v="20.14"/>
  </r>
  <r>
    <x v="24"/>
    <x v="4"/>
    <x v="459"/>
    <x v="30"/>
    <n v="150.36"/>
    <n v="126.76"/>
    <n v="23.6"/>
  </r>
  <r>
    <x v="66"/>
    <x v="10"/>
    <x v="460"/>
    <x v="30"/>
    <n v="161.78"/>
    <n v="136.38"/>
    <n v="25.4"/>
  </r>
  <r>
    <x v="47"/>
    <x v="7"/>
    <x v="461"/>
    <x v="30"/>
    <n v="164.92"/>
    <n v="139.02"/>
    <n v="25.9"/>
  </r>
  <r>
    <x v="3"/>
    <x v="1"/>
    <x v="462"/>
    <x v="30"/>
    <n v="99.73999999999999"/>
    <n v="84.08"/>
    <n v="15.66"/>
  </r>
  <r>
    <x v="68"/>
    <x v="10"/>
    <x v="463"/>
    <x v="30"/>
    <n v="150.73"/>
    <n v="127.06"/>
    <n v="23.67"/>
  </r>
  <r>
    <x v="66"/>
    <x v="10"/>
    <x v="464"/>
    <x v="30"/>
    <n v="173.11"/>
    <n v="145.93"/>
    <n v="27.18"/>
  </r>
  <r>
    <x v="26"/>
    <x v="4"/>
    <x v="465"/>
    <x v="30"/>
    <n v="136.97"/>
    <n v="115.47"/>
    <n v="21.5"/>
  </r>
  <r>
    <x v="62"/>
    <x v="9"/>
    <x v="466"/>
    <x v="30"/>
    <n v="105.87"/>
    <n v="89.23999999999999"/>
    <n v="16.63"/>
  </r>
  <r>
    <x v="45"/>
    <x v="7"/>
    <x v="467"/>
    <x v="30"/>
    <n v="189.82"/>
    <n v="160.02"/>
    <n v="29.8"/>
  </r>
  <r>
    <x v="75"/>
    <x v="11"/>
    <x v="468"/>
    <x v="30"/>
    <n v="133.57"/>
    <n v="112.6"/>
    <n v="20.97"/>
  </r>
  <r>
    <x v="77"/>
    <x v="11"/>
    <x v="470"/>
    <x v="30"/>
    <n v="98.37"/>
    <n v="82.92"/>
    <n v="15.45"/>
  </r>
  <r>
    <x v="28"/>
    <x v="4"/>
    <x v="471"/>
    <x v="30"/>
    <n v="177.98"/>
    <n v="150.04"/>
    <n v="27.94"/>
  </r>
  <r>
    <x v="3"/>
    <x v="1"/>
    <x v="472"/>
    <x v="30"/>
    <n v="165.5"/>
    <n v="139.51"/>
    <n v="25.99"/>
  </r>
  <r>
    <x v="13"/>
    <x v="2"/>
    <x v="473"/>
    <x v="30"/>
    <n v="142.06"/>
    <n v="119.75"/>
    <n v="22.31"/>
  </r>
  <r>
    <x v="81"/>
    <x v="12"/>
    <x v="474"/>
    <x v="30"/>
    <n v="176.12"/>
    <n v="148.47"/>
    <n v="27.65"/>
  </r>
  <r>
    <x v="44"/>
    <x v="7"/>
    <x v="475"/>
    <x v="30"/>
    <n v="193.45"/>
    <n v="163.08"/>
    <n v="30.37"/>
  </r>
  <r>
    <x v="62"/>
    <x v="9"/>
    <x v="476"/>
    <x v="30"/>
    <n v="100.32"/>
    <n v="84.56999999999999"/>
    <n v="15.75"/>
  </r>
  <r>
    <x v="86"/>
    <x v="13"/>
    <x v="477"/>
    <x v="30"/>
    <n v="157.87"/>
    <n v="133.08"/>
    <n v="24.79"/>
  </r>
  <r>
    <x v="76"/>
    <x v="11"/>
    <x v="478"/>
    <x v="30"/>
    <n v="147.51"/>
    <n v="124.35"/>
    <n v="23.16"/>
  </r>
  <r>
    <x v="55"/>
    <x v="8"/>
    <x v="479"/>
    <x v="30"/>
    <n v="152.24"/>
    <n v="128.34"/>
    <n v="23.9"/>
  </r>
  <r>
    <x v="2"/>
    <x v="1"/>
    <x v="481"/>
    <x v="30"/>
    <n v="174.98"/>
    <n v="147.5"/>
    <n v="27.48"/>
  </r>
  <r>
    <x v="9"/>
    <x v="2"/>
    <x v="482"/>
    <x v="30"/>
    <n v="185.03"/>
    <n v="155.98"/>
    <n v="29.05"/>
  </r>
  <r>
    <x v="42"/>
    <x v="6"/>
    <x v="483"/>
    <x v="30"/>
    <n v="139.77"/>
    <n v="117.83"/>
    <n v="21.94"/>
  </r>
  <r>
    <x v="24"/>
    <x v="4"/>
    <x v="484"/>
    <x v="30"/>
    <n v="98.73"/>
    <n v="83.23"/>
    <n v="15.5"/>
  </r>
  <r>
    <x v="17"/>
    <x v="3"/>
    <x v="491"/>
    <x v="34"/>
    <n v="116.4"/>
    <n v="96.37"/>
    <n v="20.03"/>
  </r>
  <r>
    <x v="27"/>
    <x v="4"/>
    <x v="492"/>
    <x v="34"/>
    <n v="184.66"/>
    <n v="152.88"/>
    <n v="31.78"/>
  </r>
  <r>
    <x v="45"/>
    <x v="7"/>
    <x v="503"/>
    <x v="34"/>
    <n v="115.51"/>
    <n v="95.63"/>
    <n v="19.88"/>
  </r>
  <r>
    <x v="36"/>
    <x v="6"/>
    <x v="506"/>
    <x v="34"/>
    <n v="192.33"/>
    <n v="159.23"/>
    <n v="33.1"/>
  </r>
  <r>
    <x v="60"/>
    <x v="9"/>
    <x v="507"/>
    <x v="34"/>
    <n v="114.53"/>
    <n v="94.81999999999999"/>
    <n v="19.71"/>
  </r>
  <r>
    <x v="57"/>
    <x v="9"/>
    <x v="508"/>
    <x v="34"/>
    <n v="193.05"/>
    <n v="159.83"/>
    <n v="33.22"/>
  </r>
  <r>
    <x v="74"/>
    <x v="11"/>
    <x v="509"/>
    <x v="34"/>
    <n v="153.43"/>
    <n v="127.03"/>
    <n v="26.4"/>
  </r>
  <r>
    <x v="40"/>
    <x v="6"/>
    <x v="510"/>
    <x v="34"/>
    <n v="170.53"/>
    <n v="141.18"/>
    <n v="29.35"/>
  </r>
  <r>
    <x v="37"/>
    <x v="6"/>
    <x v="511"/>
    <x v="34"/>
    <n v="134.5"/>
    <n v="111.35"/>
    <n v="23.15"/>
  </r>
  <r>
    <x v="42"/>
    <x v="6"/>
    <x v="512"/>
    <x v="34"/>
    <n v="146.3"/>
    <n v="121.13"/>
    <n v="25.17"/>
  </r>
  <r>
    <x v="49"/>
    <x v="7"/>
    <x v="493"/>
    <x v="34"/>
    <n v="154.45"/>
    <n v="127.87"/>
    <n v="26.58"/>
  </r>
  <r>
    <x v="3"/>
    <x v="1"/>
    <x v="494"/>
    <x v="34"/>
    <n v="153.99"/>
    <n v="127.49"/>
    <n v="26.5"/>
  </r>
  <r>
    <x v="2"/>
    <x v="1"/>
    <x v="495"/>
    <x v="34"/>
    <n v="140.55"/>
    <n v="116.36"/>
    <n v="24.19"/>
  </r>
  <r>
    <x v="46"/>
    <x v="7"/>
    <x v="496"/>
    <x v="34"/>
    <n v="204.5"/>
    <n v="169.3"/>
    <n v="35.2"/>
  </r>
  <r>
    <x v="75"/>
    <x v="11"/>
    <x v="497"/>
    <x v="34"/>
    <n v="129.85"/>
    <n v="107.5"/>
    <n v="22.35"/>
  </r>
  <r>
    <x v="61"/>
    <x v="9"/>
    <x v="498"/>
    <x v="34"/>
    <n v="189.5"/>
    <n v="156.89"/>
    <n v="32.61"/>
  </r>
  <r>
    <x v="11"/>
    <x v="2"/>
    <x v="499"/>
    <x v="34"/>
    <n v="180.18"/>
    <n v="149.17"/>
    <n v="31.01"/>
  </r>
  <r>
    <x v="54"/>
    <x v="8"/>
    <x v="500"/>
    <x v="34"/>
    <n v="165.42"/>
    <n v="136.95"/>
    <n v="28.47"/>
  </r>
  <r>
    <x v="82"/>
    <x v="12"/>
    <x v="501"/>
    <x v="34"/>
    <n v="187.48"/>
    <n v="155.22"/>
    <n v="32.26"/>
  </r>
  <r>
    <x v="37"/>
    <x v="6"/>
    <x v="502"/>
    <x v="34"/>
    <n v="133.74"/>
    <n v="110.73"/>
    <n v="23.01"/>
  </r>
  <r>
    <x v="28"/>
    <x v="4"/>
    <x v="504"/>
    <x v="34"/>
    <n v="139.96"/>
    <n v="115.88"/>
    <n v="24.08"/>
  </r>
  <r>
    <x v="57"/>
    <x v="9"/>
    <x v="505"/>
    <x v="34"/>
    <n v="208.72"/>
    <n v="172.8"/>
    <n v="35.92"/>
  </r>
  <r>
    <x v="53"/>
    <x v="8"/>
    <x v="513"/>
    <x v="32"/>
    <n v="887.96"/>
    <n v="818.98"/>
    <n v="68.98"/>
  </r>
  <r>
    <x v="12"/>
    <x v="2"/>
    <x v="514"/>
    <x v="32"/>
    <n v="842.24"/>
    <n v="776.8099999999999"/>
    <n v="65.43000000000001"/>
  </r>
  <r>
    <x v="30"/>
    <x v="5"/>
    <x v="525"/>
    <x v="32"/>
    <n v="1042.5"/>
    <n v="961.51"/>
    <n v="80.98999999999999"/>
  </r>
  <r>
    <x v="27"/>
    <x v="4"/>
    <x v="527"/>
    <x v="32"/>
    <n v="1304.74"/>
    <n v="1203.38"/>
    <n v="101.36"/>
  </r>
  <r>
    <x v="17"/>
    <x v="3"/>
    <x v="528"/>
    <x v="32"/>
    <n v="1128.08"/>
    <n v="1040.45"/>
    <n v="87.63"/>
  </r>
  <r>
    <x v="17"/>
    <x v="3"/>
    <x v="529"/>
    <x v="32"/>
    <n v="648.12"/>
    <n v="597.77"/>
    <n v="50.35"/>
  </r>
  <r>
    <x v="8"/>
    <x v="2"/>
    <x v="530"/>
    <x v="32"/>
    <n v="937.36"/>
    <n v="864.54"/>
    <n v="72.81999999999999"/>
  </r>
  <r>
    <x v="58"/>
    <x v="9"/>
    <x v="531"/>
    <x v="32"/>
    <n v="1315.86"/>
    <n v="1213.63"/>
    <n v="102.23"/>
  </r>
  <r>
    <x v="9"/>
    <x v="2"/>
    <x v="532"/>
    <x v="32"/>
    <n v="813.63"/>
    <n v="750.42"/>
    <n v="63.21"/>
  </r>
  <r>
    <x v="36"/>
    <x v="6"/>
    <x v="533"/>
    <x v="32"/>
    <n v="813.84"/>
    <n v="750.62"/>
    <n v="63.22"/>
  </r>
  <r>
    <x v="78"/>
    <x v="12"/>
    <x v="515"/>
    <x v="32"/>
    <n v="1041.35"/>
    <n v="960.45"/>
    <n v="80.90000000000001"/>
  </r>
  <r>
    <x v="60"/>
    <x v="9"/>
    <x v="516"/>
    <x v="32"/>
    <n v="642.96"/>
    <n v="593.01"/>
    <n v="49.95"/>
  </r>
  <r>
    <x v="87"/>
    <x v="13"/>
    <x v="517"/>
    <x v="32"/>
    <n v="869.28"/>
    <n v="801.75"/>
    <n v="67.53"/>
  </r>
  <r>
    <x v="9"/>
    <x v="2"/>
    <x v="518"/>
    <x v="32"/>
    <n v="968.01"/>
    <n v="892.8099999999999"/>
    <n v="75.2"/>
  </r>
  <r>
    <x v="15"/>
    <x v="3"/>
    <x v="519"/>
    <x v="32"/>
    <n v="831.49"/>
    <n v="766.89"/>
    <n v="64.59999999999999"/>
  </r>
  <r>
    <x v="54"/>
    <x v="8"/>
    <x v="520"/>
    <x v="32"/>
    <n v="648.47"/>
    <n v="598.09"/>
    <n v="50.38"/>
  </r>
  <r>
    <x v="79"/>
    <x v="12"/>
    <x v="521"/>
    <x v="32"/>
    <n v="1417.96"/>
    <n v="1307.81"/>
    <n v="110.15"/>
  </r>
  <r>
    <x v="69"/>
    <x v="10"/>
    <x v="522"/>
    <x v="32"/>
    <n v="983.41"/>
    <n v="907.01"/>
    <n v="76.40000000000001"/>
  </r>
  <r>
    <x v="22"/>
    <x v="4"/>
    <x v="523"/>
    <x v="32"/>
    <n v="1095.89"/>
    <n v="1010.75"/>
    <n v="85.14"/>
  </r>
  <r>
    <x v="75"/>
    <x v="11"/>
    <x v="524"/>
    <x v="32"/>
    <n v="1274.49"/>
    <n v="1175.48"/>
    <n v="99.01000000000001"/>
  </r>
  <r>
    <x v="23"/>
    <x v="4"/>
    <x v="526"/>
    <x v="32"/>
    <n v="1318.89"/>
    <n v="1216.43"/>
    <n v="102.46"/>
  </r>
  <r>
    <x v="49"/>
    <x v="7"/>
    <x v="534"/>
    <x v="6"/>
    <n v="783.0599999999999"/>
    <n v="707.4400000000001"/>
    <n v="75.62"/>
  </r>
  <r>
    <x v="13"/>
    <x v="2"/>
    <x v="535"/>
    <x v="6"/>
    <n v="567.71"/>
    <n v="512.89"/>
    <n v="54.82"/>
  </r>
  <r>
    <x v="37"/>
    <x v="6"/>
    <x v="546"/>
    <x v="6"/>
    <n v="441.44"/>
    <n v="398.81"/>
    <n v="42.63"/>
  </r>
  <r>
    <x v="10"/>
    <x v="2"/>
    <x v="549"/>
    <x v="6"/>
    <n v="738.15"/>
    <n v="666.87"/>
    <n v="71.28"/>
  </r>
  <r>
    <x v="77"/>
    <x v="11"/>
    <x v="550"/>
    <x v="6"/>
    <n v="658.5599999999999"/>
    <n v="594.96"/>
    <n v="63.6"/>
  </r>
  <r>
    <x v="37"/>
    <x v="6"/>
    <x v="551"/>
    <x v="6"/>
    <n v="616.73"/>
    <n v="557.17"/>
    <n v="59.56"/>
  </r>
  <r>
    <x v="13"/>
    <x v="2"/>
    <x v="552"/>
    <x v="6"/>
    <n v="507.51"/>
    <n v="458.5"/>
    <n v="49.01"/>
  </r>
  <r>
    <x v="20"/>
    <x v="3"/>
    <x v="553"/>
    <x v="6"/>
    <n v="721.6"/>
    <n v="651.92"/>
    <n v="69.68000000000001"/>
  </r>
  <r>
    <x v="45"/>
    <x v="7"/>
    <x v="554"/>
    <x v="6"/>
    <n v="845.11"/>
    <n v="763.5"/>
    <n v="81.61"/>
  </r>
  <r>
    <x v="27"/>
    <x v="4"/>
    <x v="555"/>
    <x v="6"/>
    <n v="702.17"/>
    <n v="634.36"/>
    <n v="67.81"/>
  </r>
  <r>
    <x v="30"/>
    <x v="5"/>
    <x v="536"/>
    <x v="6"/>
    <n v="627.11"/>
    <n v="566.55"/>
    <n v="60.56"/>
  </r>
  <r>
    <x v="22"/>
    <x v="4"/>
    <x v="537"/>
    <x v="6"/>
    <n v="710.6799999999999"/>
    <n v="642.05"/>
    <n v="68.63"/>
  </r>
  <r>
    <x v="70"/>
    <x v="10"/>
    <x v="538"/>
    <x v="6"/>
    <n v="446.74"/>
    <n v="403.6"/>
    <n v="43.14"/>
  </r>
  <r>
    <x v="88"/>
    <x v="13"/>
    <x v="539"/>
    <x v="6"/>
    <n v="573.73"/>
    <n v="518.3200000000001"/>
    <n v="55.41"/>
  </r>
  <r>
    <x v="18"/>
    <x v="3"/>
    <x v="540"/>
    <x v="6"/>
    <n v="553.5599999999999"/>
    <n v="500.11"/>
    <n v="53.45"/>
  </r>
  <r>
    <x v="87"/>
    <x v="13"/>
    <x v="541"/>
    <x v="6"/>
    <n v="505.68"/>
    <n v="456.85"/>
    <n v="48.83"/>
  </r>
  <r>
    <x v="60"/>
    <x v="9"/>
    <x v="542"/>
    <x v="6"/>
    <n v="517.9400000000001"/>
    <n v="467.92"/>
    <n v="50.02"/>
  </r>
  <r>
    <x v="6"/>
    <x v="1"/>
    <x v="543"/>
    <x v="6"/>
    <n v="683.9"/>
    <n v="617.86"/>
    <n v="66.04000000000001"/>
  </r>
  <r>
    <x v="60"/>
    <x v="9"/>
    <x v="544"/>
    <x v="6"/>
    <n v="813.71"/>
    <n v="735.13"/>
    <n v="78.58"/>
  </r>
  <r>
    <x v="17"/>
    <x v="3"/>
    <x v="545"/>
    <x v="6"/>
    <n v="586.63"/>
    <n v="529.99"/>
    <n v="56.64"/>
  </r>
  <r>
    <x v="77"/>
    <x v="11"/>
    <x v="547"/>
    <x v="6"/>
    <n v="816.98"/>
    <n v="738.08"/>
    <n v="78.90000000000001"/>
  </r>
  <r>
    <x v="26"/>
    <x v="4"/>
    <x v="548"/>
    <x v="6"/>
    <n v="642.54"/>
    <n v="580.49"/>
    <n v="62.05"/>
  </r>
  <r>
    <x v="1"/>
    <x v="1"/>
    <x v="556"/>
    <x v="8"/>
    <n v="412.96"/>
    <n v="364.64"/>
    <n v="48.32"/>
  </r>
  <r>
    <x v="2"/>
    <x v="1"/>
    <x v="557"/>
    <x v="8"/>
    <n v="454.91"/>
    <n v="401.68"/>
    <n v="53.23"/>
  </r>
  <r>
    <x v="11"/>
    <x v="2"/>
    <x v="568"/>
    <x v="8"/>
    <n v="264.8"/>
    <n v="233.81"/>
    <n v="30.99"/>
  </r>
  <r>
    <x v="38"/>
    <x v="6"/>
    <x v="579"/>
    <x v="8"/>
    <n v="472.06"/>
    <n v="416.82"/>
    <n v="55.24"/>
  </r>
  <r>
    <x v="67"/>
    <x v="10"/>
    <x v="580"/>
    <x v="8"/>
    <n v="253.97"/>
    <n v="224.25"/>
    <n v="29.72"/>
  </r>
  <r>
    <x v="6"/>
    <x v="1"/>
    <x v="581"/>
    <x v="8"/>
    <n v="477.19"/>
    <n v="421.35"/>
    <n v="55.84"/>
  </r>
  <r>
    <x v="51"/>
    <x v="8"/>
    <x v="582"/>
    <x v="8"/>
    <n v="464.6"/>
    <n v="410.23"/>
    <n v="54.37"/>
  </r>
  <r>
    <x v="33"/>
    <x v="5"/>
    <x v="583"/>
    <x v="8"/>
    <n v="429.42"/>
    <n v="379.17"/>
    <n v="50.25"/>
  </r>
  <r>
    <x v="42"/>
    <x v="6"/>
    <x v="584"/>
    <x v="8"/>
    <n v="447.91"/>
    <n v="395.5"/>
    <n v="52.41"/>
  </r>
  <r>
    <x v="86"/>
    <x v="13"/>
    <x v="585"/>
    <x v="8"/>
    <n v="248.77"/>
    <n v="219.66"/>
    <n v="29.11"/>
  </r>
  <r>
    <x v="14"/>
    <x v="2"/>
    <x v="558"/>
    <x v="8"/>
    <n v="443.34"/>
    <n v="391.46"/>
    <n v="51.88"/>
  </r>
  <r>
    <x v="74"/>
    <x v="11"/>
    <x v="559"/>
    <x v="8"/>
    <n v="224.55"/>
    <n v="198.28"/>
    <n v="26.27"/>
  </r>
  <r>
    <x v="80"/>
    <x v="12"/>
    <x v="560"/>
    <x v="8"/>
    <n v="346.48"/>
    <n v="305.93"/>
    <n v="40.55"/>
  </r>
  <r>
    <x v="10"/>
    <x v="2"/>
    <x v="561"/>
    <x v="8"/>
    <n v="241.43"/>
    <n v="213.17"/>
    <n v="28.26"/>
  </r>
  <r>
    <x v="48"/>
    <x v="7"/>
    <x v="562"/>
    <x v="8"/>
    <n v="498.97"/>
    <n v="440.58"/>
    <n v="58.39"/>
  </r>
  <r>
    <x v="41"/>
    <x v="6"/>
    <x v="563"/>
    <x v="8"/>
    <n v="442.31"/>
    <n v="390.55"/>
    <n v="51.76"/>
  </r>
  <r>
    <x v="44"/>
    <x v="7"/>
    <x v="564"/>
    <x v="8"/>
    <n v="266.93"/>
    <n v="235.69"/>
    <n v="31.24"/>
  </r>
  <r>
    <x v="74"/>
    <x v="11"/>
    <x v="565"/>
    <x v="8"/>
    <n v="495.31"/>
    <n v="437.34"/>
    <n v="57.97"/>
  </r>
  <r>
    <x v="47"/>
    <x v="7"/>
    <x v="566"/>
    <x v="8"/>
    <n v="222.15"/>
    <n v="196.16"/>
    <n v="25.99"/>
  </r>
  <r>
    <x v="27"/>
    <x v="4"/>
    <x v="567"/>
    <x v="8"/>
    <n v="275.42"/>
    <n v="243.19"/>
    <n v="32.23"/>
  </r>
  <r>
    <x v="89"/>
    <x v="13"/>
    <x v="569"/>
    <x v="8"/>
    <n v="429.21"/>
    <n v="378.98"/>
    <n v="50.23"/>
  </r>
  <r>
    <x v="86"/>
    <x v="13"/>
    <x v="570"/>
    <x v="8"/>
    <n v="416.65"/>
    <n v="367.89"/>
    <n v="48.76"/>
  </r>
  <r>
    <x v="18"/>
    <x v="3"/>
    <x v="571"/>
    <x v="8"/>
    <n v="311.3"/>
    <n v="274.87"/>
    <n v="36.43"/>
  </r>
  <r>
    <x v="72"/>
    <x v="11"/>
    <x v="572"/>
    <x v="8"/>
    <n v="271.44"/>
    <n v="239.68"/>
    <n v="31.76"/>
  </r>
  <r>
    <x v="11"/>
    <x v="2"/>
    <x v="573"/>
    <x v="8"/>
    <n v="434.03"/>
    <n v="383.24"/>
    <n v="50.79"/>
  </r>
  <r>
    <x v="44"/>
    <x v="7"/>
    <x v="574"/>
    <x v="8"/>
    <n v="342.19"/>
    <n v="302.15"/>
    <n v="40.04"/>
  </r>
  <r>
    <x v="62"/>
    <x v="9"/>
    <x v="575"/>
    <x v="8"/>
    <n v="366.46"/>
    <n v="323.57"/>
    <n v="42.89"/>
  </r>
  <r>
    <x v="76"/>
    <x v="11"/>
    <x v="576"/>
    <x v="8"/>
    <n v="414.42"/>
    <n v="365.92"/>
    <n v="48.5"/>
  </r>
  <r>
    <x v="2"/>
    <x v="1"/>
    <x v="577"/>
    <x v="8"/>
    <n v="287.11"/>
    <n v="253.51"/>
    <n v="33.6"/>
  </r>
  <r>
    <x v="7"/>
    <x v="1"/>
    <x v="578"/>
    <x v="8"/>
    <n v="412.07"/>
    <n v="363.85"/>
    <n v="48.22"/>
  </r>
  <r>
    <x v="6"/>
    <x v="1"/>
    <x v="586"/>
    <x v="5"/>
    <n v="511.23"/>
    <n v="460.17"/>
    <n v="51.06"/>
  </r>
  <r>
    <x v="25"/>
    <x v="4"/>
    <x v="587"/>
    <x v="5"/>
    <n v="748.71"/>
    <n v="673.9299999999999"/>
    <n v="74.78"/>
  </r>
  <r>
    <x v="32"/>
    <x v="5"/>
    <x v="592"/>
    <x v="5"/>
    <n v="648.03"/>
    <n v="583.3200000000001"/>
    <n v="64.70999999999999"/>
  </r>
  <r>
    <x v="87"/>
    <x v="13"/>
    <x v="593"/>
    <x v="5"/>
    <n v="796.21"/>
    <n v="716.7"/>
    <n v="79.51000000000001"/>
  </r>
  <r>
    <x v="53"/>
    <x v="8"/>
    <x v="594"/>
    <x v="5"/>
    <n v="453.22"/>
    <n v="407.95"/>
    <n v="45.27"/>
  </r>
  <r>
    <x v="66"/>
    <x v="10"/>
    <x v="595"/>
    <x v="5"/>
    <n v="595.25"/>
    <n v="535.8"/>
    <n v="59.45"/>
  </r>
  <r>
    <x v="88"/>
    <x v="13"/>
    <x v="596"/>
    <x v="5"/>
    <n v="804.47"/>
    <n v="724.13"/>
    <n v="80.34"/>
  </r>
  <r>
    <x v="40"/>
    <x v="6"/>
    <x v="597"/>
    <x v="5"/>
    <n v="1014.96"/>
    <n v="913.6"/>
    <n v="101.36"/>
  </r>
  <r>
    <x v="4"/>
    <x v="1"/>
    <x v="598"/>
    <x v="5"/>
    <n v="577.5700000000001"/>
    <n v="519.89"/>
    <n v="57.68"/>
  </r>
  <r>
    <x v="45"/>
    <x v="7"/>
    <x v="599"/>
    <x v="5"/>
    <n v="557.3099999999999"/>
    <n v="501.65"/>
    <n v="55.66"/>
  </r>
  <r>
    <x v="46"/>
    <x v="7"/>
    <x v="588"/>
    <x v="5"/>
    <n v="667.37"/>
    <n v="600.72"/>
    <n v="66.65000000000001"/>
  </r>
  <r>
    <x v="31"/>
    <x v="5"/>
    <x v="589"/>
    <x v="5"/>
    <n v="602.74"/>
    <n v="542.54"/>
    <n v="60.2"/>
  </r>
  <r>
    <x v="82"/>
    <x v="12"/>
    <x v="590"/>
    <x v="5"/>
    <n v="815.61"/>
    <n v="734.16"/>
    <n v="81.45"/>
  </r>
  <r>
    <x v="29"/>
    <x v="5"/>
    <x v="591"/>
    <x v="5"/>
    <n v="926.1799999999999"/>
    <n v="833.6799999999999"/>
    <n v="92.5"/>
  </r>
  <r>
    <x v="55"/>
    <x v="8"/>
    <x v="600"/>
    <x v="9"/>
    <n v="334.82"/>
    <n v="283.29"/>
    <n v="51.53"/>
  </r>
  <r>
    <x v="50"/>
    <x v="8"/>
    <x v="601"/>
    <x v="9"/>
    <n v="236.03"/>
    <n v="199.7"/>
    <n v="36.33"/>
  </r>
  <r>
    <x v="64"/>
    <x v="10"/>
    <x v="607"/>
    <x v="9"/>
    <n v="362.33"/>
    <n v="306.57"/>
    <n v="55.76"/>
  </r>
  <r>
    <x v="29"/>
    <x v="5"/>
    <x v="608"/>
    <x v="9"/>
    <n v="376.33"/>
    <n v="318.41"/>
    <n v="57.92"/>
  </r>
  <r>
    <x v="5"/>
    <x v="1"/>
    <x v="609"/>
    <x v="9"/>
    <n v="483"/>
    <n v="408.67"/>
    <n v="74.33"/>
  </r>
  <r>
    <x v="18"/>
    <x v="3"/>
    <x v="610"/>
    <x v="9"/>
    <n v="323.36"/>
    <n v="273.59"/>
    <n v="49.77"/>
  </r>
  <r>
    <x v="67"/>
    <x v="10"/>
    <x v="611"/>
    <x v="9"/>
    <n v="427.24"/>
    <n v="361.48"/>
    <n v="65.76000000000001"/>
  </r>
  <r>
    <x v="40"/>
    <x v="6"/>
    <x v="612"/>
    <x v="9"/>
    <n v="258.69"/>
    <n v="218.88"/>
    <n v="39.81"/>
  </r>
  <r>
    <x v="68"/>
    <x v="10"/>
    <x v="613"/>
    <x v="9"/>
    <n v="521.67"/>
    <n v="441.38"/>
    <n v="80.29000000000001"/>
  </r>
  <r>
    <x v="68"/>
    <x v="10"/>
    <x v="614"/>
    <x v="9"/>
    <n v="490.25"/>
    <n v="414.8"/>
    <n v="75.45"/>
  </r>
  <r>
    <x v="4"/>
    <x v="1"/>
    <x v="602"/>
    <x v="9"/>
    <n v="348.59"/>
    <n v="294.94"/>
    <n v="53.65"/>
  </r>
  <r>
    <x v="80"/>
    <x v="12"/>
    <x v="603"/>
    <x v="9"/>
    <n v="446.63"/>
    <n v="377.89"/>
    <n v="68.73999999999999"/>
  </r>
  <r>
    <x v="3"/>
    <x v="1"/>
    <x v="604"/>
    <x v="9"/>
    <n v="417.75"/>
    <n v="353.46"/>
    <n v="64.29000000000001"/>
  </r>
  <r>
    <x v="35"/>
    <x v="5"/>
    <x v="605"/>
    <x v="9"/>
    <n v="531.13"/>
    <n v="449.39"/>
    <n v="81.73999999999999"/>
  </r>
  <r>
    <x v="23"/>
    <x v="4"/>
    <x v="606"/>
    <x v="9"/>
    <n v="317.55"/>
    <n v="268.68"/>
    <n v="48.87"/>
  </r>
  <r>
    <x v="32"/>
    <x v="5"/>
    <x v="615"/>
    <x v="7"/>
    <n v="1066.53"/>
    <n v="919.47"/>
    <n v="147.06"/>
  </r>
  <r>
    <x v="67"/>
    <x v="10"/>
    <x v="616"/>
    <x v="7"/>
    <n v="972.6"/>
    <n v="838.49"/>
    <n v="134.11"/>
  </r>
  <r>
    <x v="39"/>
    <x v="6"/>
    <x v="627"/>
    <x v="7"/>
    <n v="1037.8"/>
    <n v="894.7"/>
    <n v="143.1"/>
  </r>
  <r>
    <x v="47"/>
    <x v="7"/>
    <x v="638"/>
    <x v="7"/>
    <n v="729.8"/>
    <n v="629.17"/>
    <n v="100.63"/>
  </r>
  <r>
    <x v="28"/>
    <x v="4"/>
    <x v="643"/>
    <x v="7"/>
    <n v="1280.18"/>
    <n v="1103.65"/>
    <n v="176.53"/>
  </r>
  <r>
    <x v="32"/>
    <x v="5"/>
    <x v="644"/>
    <x v="7"/>
    <n v="725.6900000000001"/>
    <n v="625.63"/>
    <n v="100.06"/>
  </r>
  <r>
    <x v="62"/>
    <x v="9"/>
    <x v="645"/>
    <x v="7"/>
    <n v="1165.39"/>
    <n v="1004.7"/>
    <n v="160.69"/>
  </r>
  <r>
    <x v="79"/>
    <x v="12"/>
    <x v="646"/>
    <x v="7"/>
    <n v="1267.92"/>
    <n v="1093.08"/>
    <n v="174.84"/>
  </r>
  <r>
    <x v="72"/>
    <x v="11"/>
    <x v="647"/>
    <x v="7"/>
    <n v="886.27"/>
    <n v="764.0700000000001"/>
    <n v="122.2"/>
  </r>
  <r>
    <x v="16"/>
    <x v="3"/>
    <x v="648"/>
    <x v="7"/>
    <n v="700.41"/>
    <n v="603.83"/>
    <n v="96.58"/>
  </r>
  <r>
    <x v="31"/>
    <x v="5"/>
    <x v="617"/>
    <x v="7"/>
    <n v="860.09"/>
    <n v="741.49"/>
    <n v="118.6"/>
  </r>
  <r>
    <x v="1"/>
    <x v="1"/>
    <x v="618"/>
    <x v="7"/>
    <n v="681.99"/>
    <n v="587.95"/>
    <n v="94.04000000000001"/>
  </r>
  <r>
    <x v="74"/>
    <x v="11"/>
    <x v="619"/>
    <x v="7"/>
    <n v="732.8099999999999"/>
    <n v="631.76"/>
    <n v="101.05"/>
  </r>
  <r>
    <x v="45"/>
    <x v="7"/>
    <x v="620"/>
    <x v="7"/>
    <n v="658.0599999999999"/>
    <n v="567.3200000000001"/>
    <n v="90.73999999999999"/>
  </r>
  <r>
    <x v="61"/>
    <x v="9"/>
    <x v="621"/>
    <x v="7"/>
    <n v="1087.61"/>
    <n v="937.64"/>
    <n v="149.97"/>
  </r>
  <r>
    <x v="15"/>
    <x v="3"/>
    <x v="622"/>
    <x v="7"/>
    <n v="774.39"/>
    <n v="667.61"/>
    <n v="106.78"/>
  </r>
  <r>
    <x v="15"/>
    <x v="3"/>
    <x v="623"/>
    <x v="7"/>
    <n v="945.48"/>
    <n v="815.11"/>
    <n v="130.37"/>
  </r>
  <r>
    <x v="25"/>
    <x v="4"/>
    <x v="624"/>
    <x v="7"/>
    <n v="1451.27"/>
    <n v="1251.15"/>
    <n v="200.12"/>
  </r>
  <r>
    <x v="45"/>
    <x v="7"/>
    <x v="625"/>
    <x v="7"/>
    <n v="1407.02"/>
    <n v="1213.01"/>
    <n v="194.01"/>
  </r>
  <r>
    <x v="71"/>
    <x v="11"/>
    <x v="626"/>
    <x v="7"/>
    <n v="764.1"/>
    <n v="658.74"/>
    <n v="105.36"/>
  </r>
  <r>
    <x v="75"/>
    <x v="11"/>
    <x v="628"/>
    <x v="7"/>
    <n v="984.3099999999999"/>
    <n v="848.58"/>
    <n v="135.73"/>
  </r>
  <r>
    <x v="51"/>
    <x v="8"/>
    <x v="629"/>
    <x v="7"/>
    <n v="1345.09"/>
    <n v="1159.61"/>
    <n v="185.48"/>
  </r>
  <r>
    <x v="18"/>
    <x v="3"/>
    <x v="630"/>
    <x v="7"/>
    <n v="833.9299999999999"/>
    <n v="718.9400000000001"/>
    <n v="114.99"/>
  </r>
  <r>
    <x v="56"/>
    <x v="8"/>
    <x v="631"/>
    <x v="7"/>
    <n v="781.97"/>
    <n v="674.14"/>
    <n v="107.83"/>
  </r>
  <r>
    <x v="79"/>
    <x v="12"/>
    <x v="632"/>
    <x v="7"/>
    <n v="739.85"/>
    <n v="637.83"/>
    <n v="102.02"/>
  </r>
  <r>
    <x v="36"/>
    <x v="6"/>
    <x v="633"/>
    <x v="7"/>
    <n v="1053.39"/>
    <n v="908.14"/>
    <n v="145.25"/>
  </r>
  <r>
    <x v="86"/>
    <x v="13"/>
    <x v="634"/>
    <x v="7"/>
    <n v="803.98"/>
    <n v="693.12"/>
    <n v="110.86"/>
  </r>
  <r>
    <x v="7"/>
    <x v="1"/>
    <x v="635"/>
    <x v="7"/>
    <n v="886.52"/>
    <n v="764.28"/>
    <n v="122.24"/>
  </r>
  <r>
    <x v="28"/>
    <x v="4"/>
    <x v="636"/>
    <x v="7"/>
    <n v="815.3200000000001"/>
    <n v="702.89"/>
    <n v="112.43"/>
  </r>
  <r>
    <x v="5"/>
    <x v="1"/>
    <x v="637"/>
    <x v="7"/>
    <n v="998.42"/>
    <n v="860.75"/>
    <n v="137.67"/>
  </r>
  <r>
    <x v="35"/>
    <x v="5"/>
    <x v="639"/>
    <x v="7"/>
    <n v="741.0599999999999"/>
    <n v="638.87"/>
    <n v="102.19"/>
  </r>
  <r>
    <x v="28"/>
    <x v="4"/>
    <x v="640"/>
    <x v="7"/>
    <n v="899.92"/>
    <n v="775.83"/>
    <n v="124.09"/>
  </r>
  <r>
    <x v="43"/>
    <x v="7"/>
    <x v="641"/>
    <x v="7"/>
    <n v="996.4400000000001"/>
    <n v="859.04"/>
    <n v="137.4"/>
  </r>
  <r>
    <x v="26"/>
    <x v="4"/>
    <x v="642"/>
    <x v="7"/>
    <n v="1177.67"/>
    <n v="1015.28"/>
    <n v="162.39"/>
  </r>
  <r>
    <x v="74"/>
    <x v="11"/>
    <x v="649"/>
    <x v="36"/>
    <n v="1952.73"/>
    <n v="1686.69"/>
    <n v="266.04"/>
  </r>
  <r>
    <x v="21"/>
    <x v="3"/>
    <x v="650"/>
    <x v="36"/>
    <n v="2030.37"/>
    <n v="1753.75"/>
    <n v="276.62"/>
  </r>
  <r>
    <x v="58"/>
    <x v="9"/>
    <x v="661"/>
    <x v="36"/>
    <n v="1275.91"/>
    <n v="1102.08"/>
    <n v="173.83"/>
  </r>
  <r>
    <x v="40"/>
    <x v="6"/>
    <x v="662"/>
    <x v="36"/>
    <n v="1372.05"/>
    <n v="1185.12"/>
    <n v="186.93"/>
  </r>
  <r>
    <x v="25"/>
    <x v="4"/>
    <x v="663"/>
    <x v="36"/>
    <n v="1338.6"/>
    <n v="1156.23"/>
    <n v="182.37"/>
  </r>
  <r>
    <x v="70"/>
    <x v="10"/>
    <x v="664"/>
    <x v="36"/>
    <n v="1084.27"/>
    <n v="936.55"/>
    <n v="147.72"/>
  </r>
  <r>
    <x v="54"/>
    <x v="8"/>
    <x v="665"/>
    <x v="36"/>
    <n v="2269.74"/>
    <n v="1960.51"/>
    <n v="309.23"/>
  </r>
  <r>
    <x v="54"/>
    <x v="8"/>
    <x v="666"/>
    <x v="36"/>
    <n v="1521.7"/>
    <n v="1314.38"/>
    <n v="207.32"/>
  </r>
  <r>
    <x v="63"/>
    <x v="9"/>
    <x v="667"/>
    <x v="36"/>
    <n v="1299.03"/>
    <n v="1122.05"/>
    <n v="176.98"/>
  </r>
  <r>
    <x v="67"/>
    <x v="10"/>
    <x v="668"/>
    <x v="36"/>
    <n v="1800.66"/>
    <n v="1555.34"/>
    <n v="245.32"/>
  </r>
  <r>
    <x v="31"/>
    <x v="5"/>
    <x v="651"/>
    <x v="36"/>
    <n v="1880.15"/>
    <n v="1624"/>
    <n v="256.15"/>
  </r>
  <r>
    <x v="73"/>
    <x v="11"/>
    <x v="652"/>
    <x v="36"/>
    <n v="1244.23"/>
    <n v="1074.72"/>
    <n v="169.51"/>
  </r>
  <r>
    <x v="79"/>
    <x v="12"/>
    <x v="653"/>
    <x v="36"/>
    <n v="1691.64"/>
    <n v="1461.17"/>
    <n v="230.47"/>
  </r>
  <r>
    <x v="11"/>
    <x v="2"/>
    <x v="654"/>
    <x v="36"/>
    <n v="2146.7"/>
    <n v="1854.24"/>
    <n v="292.46"/>
  </r>
  <r>
    <x v="81"/>
    <x v="12"/>
    <x v="655"/>
    <x v="36"/>
    <n v="996.72"/>
    <n v="860.9299999999999"/>
    <n v="135.79"/>
  </r>
  <r>
    <x v="66"/>
    <x v="10"/>
    <x v="656"/>
    <x v="36"/>
    <n v="1692.35"/>
    <n v="1461.79"/>
    <n v="230.56"/>
  </r>
  <r>
    <x v="37"/>
    <x v="6"/>
    <x v="657"/>
    <x v="36"/>
    <n v="1501.36"/>
    <n v="1296.82"/>
    <n v="204.54"/>
  </r>
  <r>
    <x v="49"/>
    <x v="7"/>
    <x v="658"/>
    <x v="36"/>
    <n v="1977.93"/>
    <n v="1708.46"/>
    <n v="269.47"/>
  </r>
  <r>
    <x v="0"/>
    <x v="0"/>
    <x v="659"/>
    <x v="36"/>
    <n v="1317.8"/>
    <n v="1138.26"/>
    <n v="179.54"/>
  </r>
  <r>
    <x v="55"/>
    <x v="8"/>
    <x v="660"/>
    <x v="36"/>
    <n v="2269.97"/>
    <n v="1960.71"/>
    <n v="309.26"/>
  </r>
  <r>
    <x v="65"/>
    <x v="10"/>
    <x v="669"/>
    <x v="38"/>
    <n v="1552.47"/>
    <n v="1266.42"/>
    <n v="286.05"/>
  </r>
  <r>
    <x v="52"/>
    <x v="8"/>
    <x v="670"/>
    <x v="38"/>
    <n v="1788.83"/>
    <n v="1459.23"/>
    <n v="329.6"/>
  </r>
  <r>
    <x v="42"/>
    <x v="6"/>
    <x v="678"/>
    <x v="38"/>
    <n v="1110.65"/>
    <n v="906.01"/>
    <n v="204.64"/>
  </r>
  <r>
    <x v="0"/>
    <x v="0"/>
    <x v="679"/>
    <x v="38"/>
    <n v="1489.33"/>
    <n v="1214.91"/>
    <n v="274.42"/>
  </r>
  <r>
    <x v="63"/>
    <x v="9"/>
    <x v="680"/>
    <x v="38"/>
    <n v="1396.8"/>
    <n v="1139.43"/>
    <n v="257.37"/>
  </r>
  <r>
    <x v="83"/>
    <x v="12"/>
    <x v="681"/>
    <x v="38"/>
    <n v="1632.03"/>
    <n v="1331.32"/>
    <n v="300.71"/>
  </r>
  <r>
    <x v="53"/>
    <x v="8"/>
    <x v="682"/>
    <x v="38"/>
    <n v="842.98"/>
    <n v="687.66"/>
    <n v="155.32"/>
  </r>
  <r>
    <x v="89"/>
    <x v="13"/>
    <x v="683"/>
    <x v="38"/>
    <n v="1579.49"/>
    <n v="1288.46"/>
    <n v="291.03"/>
  </r>
  <r>
    <x v="6"/>
    <x v="1"/>
    <x v="684"/>
    <x v="38"/>
    <n v="1020.41"/>
    <n v="832.4"/>
    <n v="188.01"/>
  </r>
  <r>
    <x v="49"/>
    <x v="7"/>
    <x v="685"/>
    <x v="38"/>
    <n v="1390.71"/>
    <n v="1134.46"/>
    <n v="256.25"/>
  </r>
  <r>
    <x v="16"/>
    <x v="3"/>
    <x v="671"/>
    <x v="38"/>
    <n v="938.92"/>
    <n v="765.92"/>
    <n v="173"/>
  </r>
  <r>
    <x v="48"/>
    <x v="7"/>
    <x v="672"/>
    <x v="38"/>
    <n v="1219.37"/>
    <n v="994.6900000000001"/>
    <n v="224.68"/>
  </r>
  <r>
    <x v="56"/>
    <x v="8"/>
    <x v="673"/>
    <x v="38"/>
    <n v="1024.6"/>
    <n v="835.8099999999999"/>
    <n v="188.79"/>
  </r>
  <r>
    <x v="30"/>
    <x v="5"/>
    <x v="674"/>
    <x v="38"/>
    <n v="1241.8"/>
    <n v="1012.99"/>
    <n v="228.81"/>
  </r>
  <r>
    <x v="64"/>
    <x v="10"/>
    <x v="675"/>
    <x v="38"/>
    <n v="1161.16"/>
    <n v="947.21"/>
    <n v="213.95"/>
  </r>
  <r>
    <x v="47"/>
    <x v="7"/>
    <x v="676"/>
    <x v="38"/>
    <n v="1280.18"/>
    <n v="1044.3"/>
    <n v="235.88"/>
  </r>
  <r>
    <x v="72"/>
    <x v="11"/>
    <x v="677"/>
    <x v="38"/>
    <n v="1890.83"/>
    <n v="1542.43"/>
    <n v="348.4"/>
  </r>
  <r>
    <x v="85"/>
    <x v="13"/>
    <x v="686"/>
    <x v="35"/>
    <n v="1536.99"/>
    <n v="1322.11"/>
    <n v="214.88"/>
  </r>
  <r>
    <x v="72"/>
    <x v="11"/>
    <x v="687"/>
    <x v="35"/>
    <n v="1944.78"/>
    <n v="1672.88"/>
    <n v="271.9"/>
  </r>
  <r>
    <x v="42"/>
    <x v="6"/>
    <x v="694"/>
    <x v="35"/>
    <n v="3031.94"/>
    <n v="2608.05"/>
    <n v="423.89"/>
  </r>
  <r>
    <x v="43"/>
    <x v="7"/>
    <x v="695"/>
    <x v="35"/>
    <n v="2377.71"/>
    <n v="2045.28"/>
    <n v="332.43"/>
  </r>
  <r>
    <x v="34"/>
    <x v="5"/>
    <x v="696"/>
    <x v="35"/>
    <n v="2503.32"/>
    <n v="2153.34"/>
    <n v="349.98"/>
  </r>
  <r>
    <x v="17"/>
    <x v="3"/>
    <x v="697"/>
    <x v="35"/>
    <n v="2998.25"/>
    <n v="2579.07"/>
    <n v="419.18"/>
  </r>
  <r>
    <x v="88"/>
    <x v="13"/>
    <x v="698"/>
    <x v="35"/>
    <n v="2333.8"/>
    <n v="2007.51"/>
    <n v="326.29"/>
  </r>
  <r>
    <x v="50"/>
    <x v="8"/>
    <x v="699"/>
    <x v="35"/>
    <n v="2537.26"/>
    <n v="2182.53"/>
    <n v="354.73"/>
  </r>
  <r>
    <x v="21"/>
    <x v="3"/>
    <x v="700"/>
    <x v="35"/>
    <n v="1875"/>
    <n v="1612.86"/>
    <n v="262.14"/>
  </r>
  <r>
    <x v="41"/>
    <x v="6"/>
    <x v="701"/>
    <x v="35"/>
    <n v="2029.46"/>
    <n v="1745.72"/>
    <n v="283.74"/>
  </r>
  <r>
    <x v="65"/>
    <x v="10"/>
    <x v="688"/>
    <x v="35"/>
    <n v="2094.62"/>
    <n v="1801.78"/>
    <n v="292.84"/>
  </r>
  <r>
    <x v="49"/>
    <x v="7"/>
    <x v="689"/>
    <x v="35"/>
    <n v="2962.35"/>
    <n v="2548.19"/>
    <n v="414.16"/>
  </r>
  <r>
    <x v="57"/>
    <x v="9"/>
    <x v="690"/>
    <x v="35"/>
    <n v="2694.52"/>
    <n v="2317.8"/>
    <n v="376.72"/>
  </r>
  <r>
    <x v="82"/>
    <x v="12"/>
    <x v="691"/>
    <x v="35"/>
    <n v="2959.25"/>
    <n v="2545.52"/>
    <n v="413.73"/>
  </r>
  <r>
    <x v="50"/>
    <x v="8"/>
    <x v="692"/>
    <x v="35"/>
    <n v="2502.96"/>
    <n v="2153.03"/>
    <n v="349.93"/>
  </r>
  <r>
    <x v="36"/>
    <x v="6"/>
    <x v="693"/>
    <x v="35"/>
    <n v="3013.68"/>
    <n v="2592.34"/>
    <n v="421.34"/>
  </r>
  <r>
    <x v="14"/>
    <x v="2"/>
    <x v="702"/>
    <x v="39"/>
    <n v="1048"/>
    <n v="833.91"/>
    <n v="214.09"/>
  </r>
  <r>
    <x v="10"/>
    <x v="2"/>
    <x v="703"/>
    <x v="39"/>
    <n v="633.1"/>
    <n v="503.77"/>
    <n v="129.33"/>
  </r>
  <r>
    <x v="66"/>
    <x v="10"/>
    <x v="714"/>
    <x v="39"/>
    <n v="799.72"/>
    <n v="636.35"/>
    <n v="163.37"/>
  </r>
  <r>
    <x v="13"/>
    <x v="2"/>
    <x v="725"/>
    <x v="39"/>
    <n v="913.96"/>
    <n v="727.25"/>
    <n v="186.71"/>
  </r>
  <r>
    <x v="47"/>
    <x v="7"/>
    <x v="734"/>
    <x v="39"/>
    <n v="1053.76"/>
    <n v="838.49"/>
    <n v="215.27"/>
  </r>
  <r>
    <x v="86"/>
    <x v="13"/>
    <x v="735"/>
    <x v="39"/>
    <n v="1054.02"/>
    <n v="838.7"/>
    <n v="215.32"/>
  </r>
  <r>
    <x v="78"/>
    <x v="12"/>
    <x v="736"/>
    <x v="39"/>
    <n v="588"/>
    <n v="467.88"/>
    <n v="120.12"/>
  </r>
  <r>
    <x v="70"/>
    <x v="10"/>
    <x v="737"/>
    <x v="39"/>
    <n v="566.5700000000001"/>
    <n v="450.83"/>
    <n v="115.74"/>
  </r>
  <r>
    <x v="5"/>
    <x v="1"/>
    <x v="738"/>
    <x v="39"/>
    <n v="875.42"/>
    <n v="696.59"/>
    <n v="178.83"/>
  </r>
  <r>
    <x v="15"/>
    <x v="3"/>
    <x v="739"/>
    <x v="39"/>
    <n v="648.83"/>
    <n v="516.28"/>
    <n v="132.55"/>
  </r>
  <r>
    <x v="71"/>
    <x v="11"/>
    <x v="704"/>
    <x v="39"/>
    <n v="538.78"/>
    <n v="428.71"/>
    <n v="110.07"/>
  </r>
  <r>
    <x v="53"/>
    <x v="8"/>
    <x v="705"/>
    <x v="39"/>
    <n v="1144.06"/>
    <n v="910.35"/>
    <n v="233.71"/>
  </r>
  <r>
    <x v="20"/>
    <x v="3"/>
    <x v="706"/>
    <x v="39"/>
    <n v="504.71"/>
    <n v="401.61"/>
    <n v="103.1"/>
  </r>
  <r>
    <x v="70"/>
    <x v="10"/>
    <x v="707"/>
    <x v="39"/>
    <n v="1141.95"/>
    <n v="908.67"/>
    <n v="233.28"/>
  </r>
  <r>
    <x v="56"/>
    <x v="8"/>
    <x v="708"/>
    <x v="39"/>
    <n v="916.87"/>
    <n v="729.5700000000001"/>
    <n v="187.3"/>
  </r>
  <r>
    <x v="86"/>
    <x v="13"/>
    <x v="709"/>
    <x v="39"/>
    <n v="519.62"/>
    <n v="413.47"/>
    <n v="106.15"/>
  </r>
  <r>
    <x v="27"/>
    <x v="4"/>
    <x v="710"/>
    <x v="39"/>
    <n v="672.51"/>
    <n v="535.12"/>
    <n v="137.39"/>
  </r>
  <r>
    <x v="84"/>
    <x v="12"/>
    <x v="711"/>
    <x v="39"/>
    <n v="1144.56"/>
    <n v="910.74"/>
    <n v="233.82"/>
  </r>
  <r>
    <x v="38"/>
    <x v="6"/>
    <x v="712"/>
    <x v="39"/>
    <n v="906.03"/>
    <n v="720.9400000000001"/>
    <n v="185.09"/>
  </r>
  <r>
    <x v="56"/>
    <x v="8"/>
    <x v="713"/>
    <x v="39"/>
    <n v="658.63"/>
    <n v="524.08"/>
    <n v="134.55"/>
  </r>
  <r>
    <x v="35"/>
    <x v="5"/>
    <x v="715"/>
    <x v="39"/>
    <n v="548.0700000000001"/>
    <n v="436.11"/>
    <n v="111.96"/>
  </r>
  <r>
    <x v="0"/>
    <x v="0"/>
    <x v="716"/>
    <x v="39"/>
    <n v="1073.51"/>
    <n v="854.21"/>
    <n v="219.3"/>
  </r>
  <r>
    <x v="50"/>
    <x v="8"/>
    <x v="717"/>
    <x v="39"/>
    <n v="745.87"/>
    <n v="593.5"/>
    <n v="152.37"/>
  </r>
  <r>
    <x v="69"/>
    <x v="10"/>
    <x v="718"/>
    <x v="39"/>
    <n v="839.4299999999999"/>
    <n v="667.95"/>
    <n v="171.48"/>
  </r>
  <r>
    <x v="77"/>
    <x v="11"/>
    <x v="719"/>
    <x v="39"/>
    <n v="588.14"/>
    <n v="467.99"/>
    <n v="120.15"/>
  </r>
  <r>
    <x v="8"/>
    <x v="2"/>
    <x v="720"/>
    <x v="39"/>
    <n v="1041.27"/>
    <n v="828.5599999999999"/>
    <n v="212.71"/>
  </r>
  <r>
    <x v="24"/>
    <x v="4"/>
    <x v="721"/>
    <x v="39"/>
    <n v="1112.73"/>
    <n v="885.42"/>
    <n v="227.31"/>
  </r>
  <r>
    <x v="18"/>
    <x v="3"/>
    <x v="722"/>
    <x v="39"/>
    <n v="974.03"/>
    <n v="775.05"/>
    <n v="198.98"/>
  </r>
  <r>
    <x v="51"/>
    <x v="8"/>
    <x v="723"/>
    <x v="39"/>
    <n v="962.91"/>
    <n v="766.2"/>
    <n v="196.71"/>
  </r>
  <r>
    <x v="39"/>
    <x v="6"/>
    <x v="724"/>
    <x v="39"/>
    <n v="934.5599999999999"/>
    <n v="743.64"/>
    <n v="190.92"/>
  </r>
  <r>
    <x v="28"/>
    <x v="4"/>
    <x v="726"/>
    <x v="39"/>
    <n v="1029.08"/>
    <n v="818.86"/>
    <n v="210.22"/>
  </r>
  <r>
    <x v="55"/>
    <x v="8"/>
    <x v="727"/>
    <x v="39"/>
    <n v="1166.99"/>
    <n v="928.59"/>
    <n v="238.4"/>
  </r>
  <r>
    <x v="32"/>
    <x v="5"/>
    <x v="728"/>
    <x v="39"/>
    <n v="624.05"/>
    <n v="496.57"/>
    <n v="127.48"/>
  </r>
  <r>
    <x v="26"/>
    <x v="4"/>
    <x v="729"/>
    <x v="39"/>
    <n v="559.14"/>
    <n v="444.92"/>
    <n v="114.22"/>
  </r>
  <r>
    <x v="48"/>
    <x v="7"/>
    <x v="730"/>
    <x v="39"/>
    <n v="600.92"/>
    <n v="478.16"/>
    <n v="122.76"/>
  </r>
  <r>
    <x v="85"/>
    <x v="13"/>
    <x v="731"/>
    <x v="39"/>
    <n v="1092.29"/>
    <n v="869.15"/>
    <n v="223.14"/>
  </r>
  <r>
    <x v="64"/>
    <x v="10"/>
    <x v="732"/>
    <x v="39"/>
    <n v="972.08"/>
    <n v="773.5"/>
    <n v="198.58"/>
  </r>
  <r>
    <x v="33"/>
    <x v="5"/>
    <x v="733"/>
    <x v="39"/>
    <n v="789.85"/>
    <n v="628.49"/>
    <n v="161.36"/>
  </r>
  <r>
    <x v="83"/>
    <x v="12"/>
    <x v="740"/>
    <x v="37"/>
    <n v="625.6799999999999"/>
    <n v="519.15"/>
    <n v="106.53"/>
  </r>
  <r>
    <x v="41"/>
    <x v="6"/>
    <x v="741"/>
    <x v="37"/>
    <n v="725.59"/>
    <n v="602.05"/>
    <n v="123.54"/>
  </r>
  <r>
    <x v="39"/>
    <x v="6"/>
    <x v="752"/>
    <x v="37"/>
    <n v="580.62"/>
    <n v="481.77"/>
    <n v="98.84999999999999"/>
  </r>
  <r>
    <x v="6"/>
    <x v="1"/>
    <x v="761"/>
    <x v="37"/>
    <n v="522.39"/>
    <n v="433.45"/>
    <n v="88.94"/>
  </r>
  <r>
    <x v="34"/>
    <x v="5"/>
    <x v="762"/>
    <x v="37"/>
    <n v="718.0700000000001"/>
    <n v="595.8099999999999"/>
    <n v="122.26"/>
  </r>
  <r>
    <x v="54"/>
    <x v="8"/>
    <x v="763"/>
    <x v="37"/>
    <n v="380.51"/>
    <n v="315.73"/>
    <n v="64.78"/>
  </r>
  <r>
    <x v="39"/>
    <x v="6"/>
    <x v="764"/>
    <x v="37"/>
    <n v="549.1799999999999"/>
    <n v="455.67"/>
    <n v="93.51000000000001"/>
  </r>
  <r>
    <x v="25"/>
    <x v="4"/>
    <x v="765"/>
    <x v="37"/>
    <n v="655.53"/>
    <n v="543.92"/>
    <n v="111.61"/>
  </r>
  <r>
    <x v="6"/>
    <x v="1"/>
    <x v="766"/>
    <x v="37"/>
    <n v="614.98"/>
    <n v="510.27"/>
    <n v="104.71"/>
  </r>
  <r>
    <x v="41"/>
    <x v="6"/>
    <x v="767"/>
    <x v="37"/>
    <n v="719.29"/>
    <n v="596.8200000000001"/>
    <n v="122.47"/>
  </r>
  <r>
    <x v="37"/>
    <x v="6"/>
    <x v="742"/>
    <x v="37"/>
    <n v="534.52"/>
    <n v="443.51"/>
    <n v="91.01000000000001"/>
  </r>
  <r>
    <x v="16"/>
    <x v="3"/>
    <x v="743"/>
    <x v="37"/>
    <n v="782.0599999999999"/>
    <n v="648.91"/>
    <n v="133.15"/>
  </r>
  <r>
    <x v="2"/>
    <x v="1"/>
    <x v="744"/>
    <x v="37"/>
    <n v="630.39"/>
    <n v="523.0599999999999"/>
    <n v="107.33"/>
  </r>
  <r>
    <x v="63"/>
    <x v="9"/>
    <x v="745"/>
    <x v="37"/>
    <n v="482.81"/>
    <n v="400.61"/>
    <n v="82.2"/>
  </r>
  <r>
    <x v="25"/>
    <x v="4"/>
    <x v="746"/>
    <x v="37"/>
    <n v="781.49"/>
    <n v="648.4299999999999"/>
    <n v="133.06"/>
  </r>
  <r>
    <x v="29"/>
    <x v="5"/>
    <x v="747"/>
    <x v="37"/>
    <n v="672.04"/>
    <n v="557.62"/>
    <n v="114.42"/>
  </r>
  <r>
    <x v="8"/>
    <x v="2"/>
    <x v="748"/>
    <x v="37"/>
    <n v="642.98"/>
    <n v="533.51"/>
    <n v="109.47"/>
  </r>
  <r>
    <x v="86"/>
    <x v="13"/>
    <x v="749"/>
    <x v="37"/>
    <n v="349.37"/>
    <n v="289.89"/>
    <n v="59.48"/>
  </r>
  <r>
    <x v="76"/>
    <x v="11"/>
    <x v="750"/>
    <x v="37"/>
    <n v="584.6799999999999"/>
    <n v="485.13"/>
    <n v="99.55"/>
  </r>
  <r>
    <x v="33"/>
    <x v="5"/>
    <x v="751"/>
    <x v="37"/>
    <n v="652.13"/>
    <n v="541.1"/>
    <n v="111.03"/>
  </r>
  <r>
    <x v="56"/>
    <x v="8"/>
    <x v="753"/>
    <x v="37"/>
    <n v="728.3099999999999"/>
    <n v="604.3099999999999"/>
    <n v="124"/>
  </r>
  <r>
    <x v="18"/>
    <x v="3"/>
    <x v="754"/>
    <x v="37"/>
    <n v="490.57"/>
    <n v="407.04"/>
    <n v="83.53"/>
  </r>
  <r>
    <x v="67"/>
    <x v="10"/>
    <x v="755"/>
    <x v="37"/>
    <n v="681.3"/>
    <n v="565.3"/>
    <n v="116"/>
  </r>
  <r>
    <x v="86"/>
    <x v="13"/>
    <x v="756"/>
    <x v="37"/>
    <n v="459.88"/>
    <n v="381.58"/>
    <n v="78.3"/>
  </r>
  <r>
    <x v="83"/>
    <x v="12"/>
    <x v="757"/>
    <x v="37"/>
    <n v="677.16"/>
    <n v="561.87"/>
    <n v="115.29"/>
  </r>
  <r>
    <x v="71"/>
    <x v="11"/>
    <x v="758"/>
    <x v="37"/>
    <n v="645.99"/>
    <n v="536"/>
    <n v="109.99"/>
  </r>
  <r>
    <x v="28"/>
    <x v="4"/>
    <x v="759"/>
    <x v="37"/>
    <n v="608.6900000000001"/>
    <n v="505.06"/>
    <n v="103.63"/>
  </r>
  <r>
    <x v="30"/>
    <x v="5"/>
    <x v="760"/>
    <x v="37"/>
    <n v="536.9"/>
    <n v="445.49"/>
    <n v="91.41"/>
  </r>
  <r>
    <x v="71"/>
    <x v="11"/>
    <x v="768"/>
    <x v="1"/>
    <n v="1161.11"/>
    <n v="1047.15"/>
    <n v="113.96"/>
  </r>
  <r>
    <x v="19"/>
    <x v="3"/>
    <x v="769"/>
    <x v="1"/>
    <n v="1564.77"/>
    <n v="1411.2"/>
    <n v="153.57"/>
  </r>
  <r>
    <x v="69"/>
    <x v="10"/>
    <x v="780"/>
    <x v="1"/>
    <n v="928.88"/>
    <n v="837.72"/>
    <n v="91.16"/>
  </r>
  <r>
    <x v="30"/>
    <x v="5"/>
    <x v="782"/>
    <x v="1"/>
    <n v="776.21"/>
    <n v="700.03"/>
    <n v="76.18000000000001"/>
  </r>
  <r>
    <x v="0"/>
    <x v="0"/>
    <x v="783"/>
    <x v="1"/>
    <n v="1296.01"/>
    <n v="1168.82"/>
    <n v="127.19"/>
  </r>
  <r>
    <x v="52"/>
    <x v="8"/>
    <x v="784"/>
    <x v="1"/>
    <n v="1478.05"/>
    <n v="1332.99"/>
    <n v="145.06"/>
  </r>
  <r>
    <x v="67"/>
    <x v="10"/>
    <x v="785"/>
    <x v="1"/>
    <n v="1193.38"/>
    <n v="1076.26"/>
    <n v="117.12"/>
  </r>
  <r>
    <x v="40"/>
    <x v="6"/>
    <x v="786"/>
    <x v="1"/>
    <n v="1055.63"/>
    <n v="952.03"/>
    <n v="103.6"/>
  </r>
  <r>
    <x v="43"/>
    <x v="7"/>
    <x v="787"/>
    <x v="1"/>
    <n v="1199.29"/>
    <n v="1081.59"/>
    <n v="117.7"/>
  </r>
  <r>
    <x v="62"/>
    <x v="9"/>
    <x v="788"/>
    <x v="1"/>
    <n v="724.34"/>
    <n v="653.25"/>
    <n v="71.09"/>
  </r>
  <r>
    <x v="66"/>
    <x v="10"/>
    <x v="770"/>
    <x v="1"/>
    <n v="1363.98"/>
    <n v="1230.11"/>
    <n v="133.87"/>
  </r>
  <r>
    <x v="75"/>
    <x v="11"/>
    <x v="771"/>
    <x v="1"/>
    <n v="705.11"/>
    <n v="635.91"/>
    <n v="69.2"/>
  </r>
  <r>
    <x v="79"/>
    <x v="12"/>
    <x v="772"/>
    <x v="1"/>
    <n v="1395.4"/>
    <n v="1258.45"/>
    <n v="136.95"/>
  </r>
  <r>
    <x v="86"/>
    <x v="13"/>
    <x v="773"/>
    <x v="1"/>
    <n v="1419.84"/>
    <n v="1280.49"/>
    <n v="139.35"/>
  </r>
  <r>
    <x v="18"/>
    <x v="3"/>
    <x v="774"/>
    <x v="1"/>
    <n v="1531.9"/>
    <n v="1381.56"/>
    <n v="150.34"/>
  </r>
  <r>
    <x v="70"/>
    <x v="10"/>
    <x v="775"/>
    <x v="1"/>
    <n v="1273.52"/>
    <n v="1148.54"/>
    <n v="124.98"/>
  </r>
  <r>
    <x v="56"/>
    <x v="8"/>
    <x v="776"/>
    <x v="1"/>
    <n v="762.45"/>
    <n v="687.62"/>
    <n v="74.83"/>
  </r>
  <r>
    <x v="20"/>
    <x v="3"/>
    <x v="777"/>
    <x v="1"/>
    <n v="1070.8"/>
    <n v="965.71"/>
    <n v="105.09"/>
  </r>
  <r>
    <x v="0"/>
    <x v="0"/>
    <x v="778"/>
    <x v="1"/>
    <n v="1404.57"/>
    <n v="1266.72"/>
    <n v="137.85"/>
  </r>
  <r>
    <x v="15"/>
    <x v="3"/>
    <x v="779"/>
    <x v="1"/>
    <n v="1495.45"/>
    <n v="1348.69"/>
    <n v="146.76"/>
  </r>
  <r>
    <x v="47"/>
    <x v="7"/>
    <x v="781"/>
    <x v="1"/>
    <n v="1142.02"/>
    <n v="1029.94"/>
    <n v="112.08"/>
  </r>
  <r>
    <x v="53"/>
    <x v="8"/>
    <x v="789"/>
    <x v="3"/>
    <n v="898.67"/>
    <n v="775.0700000000001"/>
    <n v="123.6"/>
  </r>
  <r>
    <x v="23"/>
    <x v="4"/>
    <x v="790"/>
    <x v="3"/>
    <n v="505.91"/>
    <n v="436.33"/>
    <n v="69.58"/>
  </r>
  <r>
    <x v="79"/>
    <x v="12"/>
    <x v="801"/>
    <x v="3"/>
    <n v="799.41"/>
    <n v="689.46"/>
    <n v="109.95"/>
  </r>
  <r>
    <x v="51"/>
    <x v="8"/>
    <x v="804"/>
    <x v="3"/>
    <n v="448.01"/>
    <n v="386.39"/>
    <n v="61.62"/>
  </r>
  <r>
    <x v="21"/>
    <x v="3"/>
    <x v="805"/>
    <x v="3"/>
    <n v="801.5700000000001"/>
    <n v="691.33"/>
    <n v="110.24"/>
  </r>
  <r>
    <x v="34"/>
    <x v="5"/>
    <x v="806"/>
    <x v="3"/>
    <n v="863.3200000000001"/>
    <n v="744.58"/>
    <n v="118.74"/>
  </r>
  <r>
    <x v="57"/>
    <x v="9"/>
    <x v="807"/>
    <x v="3"/>
    <n v="531.0599999999999"/>
    <n v="458.02"/>
    <n v="73.04000000000001"/>
  </r>
  <r>
    <x v="82"/>
    <x v="12"/>
    <x v="808"/>
    <x v="3"/>
    <n v="532.05"/>
    <n v="458.88"/>
    <n v="73.17"/>
  </r>
  <r>
    <x v="10"/>
    <x v="2"/>
    <x v="809"/>
    <x v="3"/>
    <n v="925.78"/>
    <n v="798.45"/>
    <n v="127.33"/>
  </r>
  <r>
    <x v="79"/>
    <x v="12"/>
    <x v="810"/>
    <x v="3"/>
    <n v="459.76"/>
    <n v="396.52"/>
    <n v="63.24"/>
  </r>
  <r>
    <x v="29"/>
    <x v="5"/>
    <x v="791"/>
    <x v="3"/>
    <n v="824.53"/>
    <n v="711.13"/>
    <n v="113.4"/>
  </r>
  <r>
    <x v="47"/>
    <x v="7"/>
    <x v="792"/>
    <x v="3"/>
    <n v="540.39"/>
    <n v="466.07"/>
    <n v="74.31999999999999"/>
  </r>
  <r>
    <x v="36"/>
    <x v="6"/>
    <x v="793"/>
    <x v="3"/>
    <n v="440"/>
    <n v="379.48"/>
    <n v="60.52"/>
  </r>
  <r>
    <x v="51"/>
    <x v="8"/>
    <x v="794"/>
    <x v="3"/>
    <n v="734.4"/>
    <n v="633.39"/>
    <n v="101.01"/>
  </r>
  <r>
    <x v="34"/>
    <x v="5"/>
    <x v="795"/>
    <x v="3"/>
    <n v="582.09"/>
    <n v="502.03"/>
    <n v="80.06"/>
  </r>
  <r>
    <x v="6"/>
    <x v="1"/>
    <x v="796"/>
    <x v="3"/>
    <n v="820.3200000000001"/>
    <n v="707.49"/>
    <n v="112.83"/>
  </r>
  <r>
    <x v="1"/>
    <x v="1"/>
    <x v="797"/>
    <x v="3"/>
    <n v="637.48"/>
    <n v="549.8"/>
    <n v="87.68000000000001"/>
  </r>
  <r>
    <x v="21"/>
    <x v="3"/>
    <x v="798"/>
    <x v="3"/>
    <n v="435.12"/>
    <n v="375.27"/>
    <n v="59.85"/>
  </r>
  <r>
    <x v="43"/>
    <x v="7"/>
    <x v="799"/>
    <x v="3"/>
    <n v="856.34"/>
    <n v="738.5599999999999"/>
    <n v="117.78"/>
  </r>
  <r>
    <x v="31"/>
    <x v="5"/>
    <x v="800"/>
    <x v="3"/>
    <n v="681.47"/>
    <n v="587.74"/>
    <n v="93.73"/>
  </r>
  <r>
    <x v="88"/>
    <x v="13"/>
    <x v="802"/>
    <x v="3"/>
    <n v="548.92"/>
    <n v="473.42"/>
    <n v="75.5"/>
  </r>
  <r>
    <x v="88"/>
    <x v="13"/>
    <x v="803"/>
    <x v="3"/>
    <n v="914.42"/>
    <n v="788.65"/>
    <n v="125.77"/>
  </r>
  <r>
    <x v="40"/>
    <x v="6"/>
    <x v="811"/>
    <x v="0"/>
    <n v="8204.190000000001"/>
    <n v="6764.63"/>
    <n v="1439.56"/>
  </r>
  <r>
    <x v="22"/>
    <x v="4"/>
    <x v="812"/>
    <x v="0"/>
    <n v="8725.040000000001"/>
    <n v="7194.09"/>
    <n v="1530.95"/>
  </r>
  <r>
    <x v="37"/>
    <x v="6"/>
    <x v="813"/>
    <x v="0"/>
    <n v="7560.72"/>
    <n v="6234.06"/>
    <n v="1326.66"/>
  </r>
  <r>
    <x v="29"/>
    <x v="5"/>
    <x v="814"/>
    <x v="0"/>
    <n v="7272.45"/>
    <n v="5996.38"/>
    <n v="1276.07"/>
  </r>
  <r>
    <x v="40"/>
    <x v="6"/>
    <x v="815"/>
    <x v="0"/>
    <n v="7405.01"/>
    <n v="6105.68"/>
    <n v="1299.33"/>
  </r>
  <r>
    <x v="0"/>
    <x v="0"/>
    <x v="816"/>
    <x v="0"/>
    <n v="6853.58"/>
    <n v="5651.01"/>
    <n v="1202.57"/>
  </r>
  <r>
    <x v="13"/>
    <x v="2"/>
    <x v="817"/>
    <x v="0"/>
    <n v="7733.69"/>
    <n v="6376.69"/>
    <n v="1357"/>
  </r>
  <r>
    <x v="51"/>
    <x v="8"/>
    <x v="818"/>
    <x v="4"/>
    <n v="374.97"/>
    <n v="336.2"/>
    <n v="38.77"/>
  </r>
  <r>
    <x v="50"/>
    <x v="8"/>
    <x v="819"/>
    <x v="4"/>
    <n v="577.83"/>
    <n v="518.08"/>
    <n v="59.75"/>
  </r>
  <r>
    <x v="43"/>
    <x v="7"/>
    <x v="830"/>
    <x v="4"/>
    <n v="397.23"/>
    <n v="356.16"/>
    <n v="41.07"/>
  </r>
  <r>
    <x v="12"/>
    <x v="2"/>
    <x v="831"/>
    <x v="4"/>
    <n v="625.26"/>
    <n v="560.6"/>
    <n v="64.66"/>
  </r>
  <r>
    <x v="11"/>
    <x v="2"/>
    <x v="832"/>
    <x v="4"/>
    <n v="680.3099999999999"/>
    <n v="609.96"/>
    <n v="70.34999999999999"/>
  </r>
  <r>
    <x v="62"/>
    <x v="9"/>
    <x v="833"/>
    <x v="4"/>
    <n v="773.75"/>
    <n v="693.74"/>
    <n v="80.01000000000001"/>
  </r>
  <r>
    <x v="35"/>
    <x v="5"/>
    <x v="834"/>
    <x v="4"/>
    <n v="784.38"/>
    <n v="703.28"/>
    <n v="81.09999999999999"/>
  </r>
  <r>
    <x v="49"/>
    <x v="7"/>
    <x v="835"/>
    <x v="4"/>
    <n v="380.44"/>
    <n v="341.1"/>
    <n v="39.34"/>
  </r>
  <r>
    <x v="31"/>
    <x v="5"/>
    <x v="836"/>
    <x v="4"/>
    <n v="461.84"/>
    <n v="414.08"/>
    <n v="47.76"/>
  </r>
  <r>
    <x v="75"/>
    <x v="11"/>
    <x v="837"/>
    <x v="4"/>
    <n v="749"/>
    <n v="671.55"/>
    <n v="77.45"/>
  </r>
  <r>
    <x v="89"/>
    <x v="13"/>
    <x v="820"/>
    <x v="4"/>
    <n v="705.88"/>
    <n v="632.89"/>
    <n v="72.98999999999999"/>
  </r>
  <r>
    <x v="9"/>
    <x v="2"/>
    <x v="821"/>
    <x v="4"/>
    <n v="658.55"/>
    <n v="590.45"/>
    <n v="68.09999999999999"/>
  </r>
  <r>
    <x v="25"/>
    <x v="4"/>
    <x v="822"/>
    <x v="4"/>
    <n v="598.5599999999999"/>
    <n v="536.67"/>
    <n v="61.89"/>
  </r>
  <r>
    <x v="29"/>
    <x v="5"/>
    <x v="823"/>
    <x v="4"/>
    <n v="364.47"/>
    <n v="326.78"/>
    <n v="37.69"/>
  </r>
  <r>
    <x v="47"/>
    <x v="7"/>
    <x v="824"/>
    <x v="4"/>
    <n v="355.94"/>
    <n v="319.14"/>
    <n v="36.8"/>
  </r>
  <r>
    <x v="35"/>
    <x v="5"/>
    <x v="825"/>
    <x v="4"/>
    <n v="411.32"/>
    <n v="368.79"/>
    <n v="42.53"/>
  </r>
  <r>
    <x v="34"/>
    <x v="5"/>
    <x v="826"/>
    <x v="4"/>
    <n v="434.69"/>
    <n v="389.74"/>
    <n v="44.95"/>
  </r>
  <r>
    <x v="70"/>
    <x v="10"/>
    <x v="827"/>
    <x v="4"/>
    <n v="564.9299999999999"/>
    <n v="506.51"/>
    <n v="58.42"/>
  </r>
  <r>
    <x v="83"/>
    <x v="12"/>
    <x v="828"/>
    <x v="4"/>
    <n v="566.87"/>
    <n v="508.25"/>
    <n v="58.62"/>
  </r>
  <r>
    <x v="11"/>
    <x v="2"/>
    <x v="829"/>
    <x v="4"/>
    <n v="779.3099999999999"/>
    <n v="698.73"/>
    <n v="80.58"/>
  </r>
  <r>
    <x v="70"/>
    <x v="10"/>
    <x v="838"/>
    <x v="2"/>
    <n v="641.4"/>
    <n v="579.1900000000001"/>
    <n v="62.21"/>
  </r>
  <r>
    <x v="83"/>
    <x v="12"/>
    <x v="839"/>
    <x v="2"/>
    <n v="765.22"/>
    <n v="691.01"/>
    <n v="74.20999999999999"/>
  </r>
  <r>
    <x v="42"/>
    <x v="6"/>
    <x v="850"/>
    <x v="2"/>
    <n v="818.12"/>
    <n v="738.77"/>
    <n v="79.34999999999999"/>
  </r>
  <r>
    <x v="58"/>
    <x v="9"/>
    <x v="854"/>
    <x v="2"/>
    <n v="580.21"/>
    <n v="523.9400000000001"/>
    <n v="56.27"/>
  </r>
  <r>
    <x v="2"/>
    <x v="1"/>
    <x v="855"/>
    <x v="2"/>
    <n v="690.8099999999999"/>
    <n v="623.8099999999999"/>
    <n v="67"/>
  </r>
  <r>
    <x v="45"/>
    <x v="7"/>
    <x v="856"/>
    <x v="2"/>
    <n v="554.78"/>
    <n v="500.97"/>
    <n v="53.81"/>
  </r>
  <r>
    <x v="80"/>
    <x v="12"/>
    <x v="857"/>
    <x v="2"/>
    <n v="928.29"/>
    <n v="838.26"/>
    <n v="90.03"/>
  </r>
  <r>
    <x v="22"/>
    <x v="4"/>
    <x v="858"/>
    <x v="2"/>
    <n v="816.63"/>
    <n v="737.4299999999999"/>
    <n v="79.2"/>
  </r>
  <r>
    <x v="61"/>
    <x v="9"/>
    <x v="859"/>
    <x v="2"/>
    <n v="582.25"/>
    <n v="525.78"/>
    <n v="56.47"/>
  </r>
  <r>
    <x v="66"/>
    <x v="10"/>
    <x v="860"/>
    <x v="2"/>
    <n v="553.91"/>
    <n v="500.19"/>
    <n v="53.72"/>
  </r>
  <r>
    <x v="25"/>
    <x v="4"/>
    <x v="840"/>
    <x v="2"/>
    <n v="454.91"/>
    <n v="410.79"/>
    <n v="44.12"/>
  </r>
  <r>
    <x v="66"/>
    <x v="10"/>
    <x v="841"/>
    <x v="2"/>
    <n v="539.16"/>
    <n v="486.87"/>
    <n v="52.29"/>
  </r>
  <r>
    <x v="86"/>
    <x v="13"/>
    <x v="842"/>
    <x v="2"/>
    <n v="818.23"/>
    <n v="738.87"/>
    <n v="79.36"/>
  </r>
  <r>
    <x v="58"/>
    <x v="9"/>
    <x v="843"/>
    <x v="2"/>
    <n v="567.33"/>
    <n v="512.3099999999999"/>
    <n v="55.02"/>
  </r>
  <r>
    <x v="10"/>
    <x v="2"/>
    <x v="844"/>
    <x v="2"/>
    <n v="648.6799999999999"/>
    <n v="585.76"/>
    <n v="62.92"/>
  </r>
  <r>
    <x v="71"/>
    <x v="11"/>
    <x v="845"/>
    <x v="2"/>
    <n v="726.39"/>
    <n v="655.9400000000001"/>
    <n v="70.45"/>
  </r>
  <r>
    <x v="17"/>
    <x v="3"/>
    <x v="846"/>
    <x v="2"/>
    <n v="748.09"/>
    <n v="675.53"/>
    <n v="72.56"/>
  </r>
  <r>
    <x v="76"/>
    <x v="11"/>
    <x v="847"/>
    <x v="2"/>
    <n v="946.17"/>
    <n v="854.4"/>
    <n v="91.77"/>
  </r>
  <r>
    <x v="49"/>
    <x v="7"/>
    <x v="848"/>
    <x v="2"/>
    <n v="900.41"/>
    <n v="813.09"/>
    <n v="87.31999999999999"/>
  </r>
  <r>
    <x v="89"/>
    <x v="13"/>
    <x v="849"/>
    <x v="2"/>
    <n v="883.5599999999999"/>
    <n v="797.87"/>
    <n v="85.69"/>
  </r>
  <r>
    <x v="10"/>
    <x v="2"/>
    <x v="851"/>
    <x v="2"/>
    <n v="769.6"/>
    <n v="694.96"/>
    <n v="74.64"/>
  </r>
  <r>
    <x v="59"/>
    <x v="9"/>
    <x v="852"/>
    <x v="2"/>
    <n v="496.3"/>
    <n v="448.16"/>
    <n v="48.14"/>
  </r>
  <r>
    <x v="54"/>
    <x v="8"/>
    <x v="853"/>
    <x v="2"/>
    <n v="839.8200000000001"/>
    <n v="758.37"/>
    <n v="81.45"/>
  </r>
  <r>
    <x v="67"/>
    <x v="10"/>
    <x v="861"/>
    <x v="26"/>
    <n v="1091.22"/>
    <n v="887.66"/>
    <n v="203.56"/>
  </r>
  <r>
    <x v="79"/>
    <x v="12"/>
    <x v="862"/>
    <x v="26"/>
    <n v="633.08"/>
    <n v="514.99"/>
    <n v="118.09"/>
  </r>
  <r>
    <x v="72"/>
    <x v="11"/>
    <x v="873"/>
    <x v="26"/>
    <n v="757.88"/>
    <n v="616.5"/>
    <n v="141.38"/>
  </r>
  <r>
    <x v="82"/>
    <x v="12"/>
    <x v="882"/>
    <x v="26"/>
    <n v="745.39"/>
    <n v="606.34"/>
    <n v="139.05"/>
  </r>
  <r>
    <x v="36"/>
    <x v="6"/>
    <x v="883"/>
    <x v="26"/>
    <n v="551.11"/>
    <n v="448.3"/>
    <n v="102.81"/>
  </r>
  <r>
    <x v="11"/>
    <x v="2"/>
    <x v="884"/>
    <x v="26"/>
    <n v="888.72"/>
    <n v="722.9400000000001"/>
    <n v="165.78"/>
  </r>
  <r>
    <x v="10"/>
    <x v="2"/>
    <x v="885"/>
    <x v="26"/>
    <n v="681.66"/>
    <n v="554.5"/>
    <n v="127.16"/>
  </r>
  <r>
    <x v="24"/>
    <x v="4"/>
    <x v="886"/>
    <x v="26"/>
    <n v="886.65"/>
    <n v="721.25"/>
    <n v="165.4"/>
  </r>
  <r>
    <x v="85"/>
    <x v="13"/>
    <x v="887"/>
    <x v="26"/>
    <n v="790.87"/>
    <n v="643.34"/>
    <n v="147.53"/>
  </r>
  <r>
    <x v="60"/>
    <x v="9"/>
    <x v="888"/>
    <x v="26"/>
    <n v="915.59"/>
    <n v="744.79"/>
    <n v="170.8"/>
  </r>
  <r>
    <x v="12"/>
    <x v="2"/>
    <x v="863"/>
    <x v="26"/>
    <n v="964.11"/>
    <n v="784.26"/>
    <n v="179.85"/>
  </r>
  <r>
    <x v="14"/>
    <x v="2"/>
    <x v="864"/>
    <x v="26"/>
    <n v="647.5"/>
    <n v="526.71"/>
    <n v="120.79"/>
  </r>
  <r>
    <x v="51"/>
    <x v="8"/>
    <x v="865"/>
    <x v="26"/>
    <n v="1010.22"/>
    <n v="821.77"/>
    <n v="188.45"/>
  </r>
  <r>
    <x v="46"/>
    <x v="7"/>
    <x v="866"/>
    <x v="26"/>
    <n v="1011.68"/>
    <n v="822.96"/>
    <n v="188.72"/>
  </r>
  <r>
    <x v="54"/>
    <x v="8"/>
    <x v="867"/>
    <x v="26"/>
    <n v="893.12"/>
    <n v="726.51"/>
    <n v="166.61"/>
  </r>
  <r>
    <x v="82"/>
    <x v="12"/>
    <x v="868"/>
    <x v="26"/>
    <n v="682.72"/>
    <n v="555.36"/>
    <n v="127.36"/>
  </r>
  <r>
    <x v="74"/>
    <x v="11"/>
    <x v="869"/>
    <x v="26"/>
    <n v="566.12"/>
    <n v="460.52"/>
    <n v="105.6"/>
  </r>
  <r>
    <x v="53"/>
    <x v="8"/>
    <x v="870"/>
    <x v="26"/>
    <n v="809.62"/>
    <n v="658.59"/>
    <n v="151.03"/>
  </r>
  <r>
    <x v="19"/>
    <x v="3"/>
    <x v="871"/>
    <x v="26"/>
    <n v="913.37"/>
    <n v="742.99"/>
    <n v="170.38"/>
  </r>
  <r>
    <x v="16"/>
    <x v="3"/>
    <x v="872"/>
    <x v="26"/>
    <n v="535.1900000000001"/>
    <n v="435.35"/>
    <n v="99.84"/>
  </r>
  <r>
    <x v="69"/>
    <x v="10"/>
    <x v="874"/>
    <x v="26"/>
    <n v="1172.84"/>
    <n v="954.0599999999999"/>
    <n v="218.78"/>
  </r>
  <r>
    <x v="80"/>
    <x v="12"/>
    <x v="875"/>
    <x v="26"/>
    <n v="575.62"/>
    <n v="468.24"/>
    <n v="107.38"/>
  </r>
  <r>
    <x v="40"/>
    <x v="6"/>
    <x v="876"/>
    <x v="26"/>
    <n v="876.53"/>
    <n v="713.02"/>
    <n v="163.51"/>
  </r>
  <r>
    <x v="82"/>
    <x v="12"/>
    <x v="877"/>
    <x v="26"/>
    <n v="1080.95"/>
    <n v="879.3099999999999"/>
    <n v="201.64"/>
  </r>
  <r>
    <x v="42"/>
    <x v="6"/>
    <x v="878"/>
    <x v="26"/>
    <n v="669.74"/>
    <n v="544.8"/>
    <n v="124.94"/>
  </r>
  <r>
    <x v="53"/>
    <x v="8"/>
    <x v="879"/>
    <x v="26"/>
    <n v="1105.86"/>
    <n v="899.5700000000001"/>
    <n v="206.29"/>
  </r>
  <r>
    <x v="89"/>
    <x v="13"/>
    <x v="880"/>
    <x v="26"/>
    <n v="997.62"/>
    <n v="811.52"/>
    <n v="186.1"/>
  </r>
  <r>
    <x v="70"/>
    <x v="10"/>
    <x v="881"/>
    <x v="26"/>
    <n v="578.3"/>
    <n v="470.42"/>
    <n v="107.88"/>
  </r>
  <r>
    <x v="78"/>
    <x v="12"/>
    <x v="889"/>
    <x v="28"/>
    <n v="4842.86"/>
    <n v="4224.33"/>
    <n v="618.53"/>
  </r>
  <r>
    <x v="27"/>
    <x v="4"/>
    <x v="890"/>
    <x v="28"/>
    <n v="3553.23"/>
    <n v="3099.41"/>
    <n v="453.82"/>
  </r>
  <r>
    <x v="24"/>
    <x v="4"/>
    <x v="891"/>
    <x v="28"/>
    <n v="2678.25"/>
    <n v="2336.18"/>
    <n v="342.07"/>
  </r>
  <r>
    <x v="63"/>
    <x v="9"/>
    <x v="892"/>
    <x v="28"/>
    <n v="5626.11"/>
    <n v="4907.54"/>
    <n v="718.5700000000001"/>
  </r>
  <r>
    <x v="87"/>
    <x v="13"/>
    <x v="893"/>
    <x v="28"/>
    <n v="3480"/>
    <n v="3035.53"/>
    <n v="444.47"/>
  </r>
  <r>
    <x v="33"/>
    <x v="5"/>
    <x v="894"/>
    <x v="28"/>
    <n v="4746.63"/>
    <n v="4140.39"/>
    <n v="606.24"/>
  </r>
  <r>
    <x v="87"/>
    <x v="13"/>
    <x v="895"/>
    <x v="28"/>
    <n v="4051.96"/>
    <n v="3534.44"/>
    <n v="517.52"/>
  </r>
  <r>
    <x v="33"/>
    <x v="5"/>
    <x v="896"/>
    <x v="28"/>
    <n v="5425.93"/>
    <n v="4732.93"/>
    <n v="693"/>
  </r>
  <r>
    <x v="66"/>
    <x v="10"/>
    <x v="897"/>
    <x v="25"/>
    <n v="1193.75"/>
    <n v="1109.93"/>
    <n v="83.81999999999999"/>
  </r>
  <r>
    <x v="58"/>
    <x v="9"/>
    <x v="898"/>
    <x v="25"/>
    <n v="1497.9"/>
    <n v="1392.72"/>
    <n v="105.18"/>
  </r>
  <r>
    <x v="52"/>
    <x v="8"/>
    <x v="902"/>
    <x v="25"/>
    <n v="1290.39"/>
    <n v="1199.78"/>
    <n v="90.61"/>
  </r>
  <r>
    <x v="87"/>
    <x v="13"/>
    <x v="903"/>
    <x v="25"/>
    <n v="1009.91"/>
    <n v="939"/>
    <n v="70.91"/>
  </r>
  <r>
    <x v="68"/>
    <x v="10"/>
    <x v="904"/>
    <x v="25"/>
    <n v="976.9400000000001"/>
    <n v="908.34"/>
    <n v="68.59999999999999"/>
  </r>
  <r>
    <x v="51"/>
    <x v="8"/>
    <x v="905"/>
    <x v="25"/>
    <n v="1153.78"/>
    <n v="1072.77"/>
    <n v="81.01000000000001"/>
  </r>
  <r>
    <x v="47"/>
    <x v="7"/>
    <x v="906"/>
    <x v="25"/>
    <n v="957.52"/>
    <n v="890.28"/>
    <n v="67.23999999999999"/>
  </r>
  <r>
    <x v="73"/>
    <x v="11"/>
    <x v="907"/>
    <x v="25"/>
    <n v="995.8099999999999"/>
    <n v="925.89"/>
    <n v="69.92"/>
  </r>
  <r>
    <x v="60"/>
    <x v="9"/>
    <x v="908"/>
    <x v="25"/>
    <n v="665.66"/>
    <n v="618.92"/>
    <n v="46.74"/>
  </r>
  <r>
    <x v="20"/>
    <x v="3"/>
    <x v="909"/>
    <x v="25"/>
    <n v="1462.39"/>
    <n v="1359.7"/>
    <n v="102.69"/>
  </r>
  <r>
    <x v="17"/>
    <x v="3"/>
    <x v="899"/>
    <x v="25"/>
    <n v="718.76"/>
    <n v="668.29"/>
    <n v="50.47"/>
  </r>
  <r>
    <x v="43"/>
    <x v="7"/>
    <x v="900"/>
    <x v="25"/>
    <n v="1279.37"/>
    <n v="1189.54"/>
    <n v="89.83"/>
  </r>
  <r>
    <x v="39"/>
    <x v="6"/>
    <x v="901"/>
    <x v="25"/>
    <n v="1184.6"/>
    <n v="1101.42"/>
    <n v="83.18000000000001"/>
  </r>
  <r>
    <x v="31"/>
    <x v="5"/>
    <x v="910"/>
    <x v="29"/>
    <n v="4708.41"/>
    <n v="4302.06"/>
    <n v="406.35"/>
  </r>
  <r>
    <x v="60"/>
    <x v="9"/>
    <x v="911"/>
    <x v="29"/>
    <n v="4260.25"/>
    <n v="3892.57"/>
    <n v="367.68"/>
  </r>
  <r>
    <x v="2"/>
    <x v="1"/>
    <x v="912"/>
    <x v="29"/>
    <n v="3176.62"/>
    <n v="2902.46"/>
    <n v="274.16"/>
  </r>
  <r>
    <x v="15"/>
    <x v="3"/>
    <x v="913"/>
    <x v="29"/>
    <n v="3564.08"/>
    <n v="3256.48"/>
    <n v="307.6"/>
  </r>
  <r>
    <x v="71"/>
    <x v="11"/>
    <x v="914"/>
    <x v="29"/>
    <n v="4142.3"/>
    <n v="3784.8"/>
    <n v="357.5"/>
  </r>
  <r>
    <x v="26"/>
    <x v="4"/>
    <x v="915"/>
    <x v="27"/>
    <n v="23.64"/>
    <n v="20.84"/>
    <n v="2.8"/>
  </r>
  <r>
    <x v="27"/>
    <x v="4"/>
    <x v="916"/>
    <x v="27"/>
    <n v="23.99"/>
    <n v="21.15"/>
    <n v="2.84"/>
  </r>
  <r>
    <x v="17"/>
    <x v="3"/>
    <x v="927"/>
    <x v="27"/>
    <n v="14.31"/>
    <n v="12.62"/>
    <n v="1.69"/>
  </r>
  <r>
    <x v="84"/>
    <x v="12"/>
    <x v="938"/>
    <x v="27"/>
    <n v="13.89"/>
    <n v="12.24"/>
    <n v="1.65"/>
  </r>
  <r>
    <x v="38"/>
    <x v="6"/>
    <x v="949"/>
    <x v="27"/>
    <n v="18.05"/>
    <n v="15.91"/>
    <n v="2.14"/>
  </r>
  <r>
    <x v="35"/>
    <x v="5"/>
    <x v="960"/>
    <x v="27"/>
    <n v="22.38"/>
    <n v="19.73"/>
    <n v="2.65"/>
  </r>
  <r>
    <x v="17"/>
    <x v="3"/>
    <x v="971"/>
    <x v="27"/>
    <n v="13.93"/>
    <n v="12.28"/>
    <n v="1.65"/>
  </r>
  <r>
    <x v="27"/>
    <x v="4"/>
    <x v="978"/>
    <x v="27"/>
    <n v="25.47"/>
    <n v="22.45"/>
    <n v="3.02"/>
  </r>
  <r>
    <x v="47"/>
    <x v="7"/>
    <x v="979"/>
    <x v="27"/>
    <n v="13.28"/>
    <n v="11.71"/>
    <n v="1.57"/>
  </r>
  <r>
    <x v="66"/>
    <x v="10"/>
    <x v="980"/>
    <x v="27"/>
    <n v="13.06"/>
    <n v="11.51"/>
    <n v="1.55"/>
  </r>
  <r>
    <x v="35"/>
    <x v="5"/>
    <x v="917"/>
    <x v="27"/>
    <n v="14.13"/>
    <n v="12.45"/>
    <n v="1.68"/>
  </r>
  <r>
    <x v="31"/>
    <x v="5"/>
    <x v="918"/>
    <x v="27"/>
    <n v="13.82"/>
    <n v="12.18"/>
    <n v="1.64"/>
  </r>
  <r>
    <x v="25"/>
    <x v="4"/>
    <x v="919"/>
    <x v="27"/>
    <n v="18.92"/>
    <n v="16.68"/>
    <n v="2.24"/>
  </r>
  <r>
    <x v="55"/>
    <x v="8"/>
    <x v="920"/>
    <x v="27"/>
    <n v="19.8"/>
    <n v="17.45"/>
    <n v="2.35"/>
  </r>
  <r>
    <x v="21"/>
    <x v="3"/>
    <x v="921"/>
    <x v="27"/>
    <n v="22.82"/>
    <n v="20.11"/>
    <n v="2.71"/>
  </r>
  <r>
    <x v="71"/>
    <x v="11"/>
    <x v="922"/>
    <x v="27"/>
    <n v="20.55"/>
    <n v="18.12"/>
    <n v="2.43"/>
  </r>
  <r>
    <x v="78"/>
    <x v="12"/>
    <x v="923"/>
    <x v="27"/>
    <n v="17.65"/>
    <n v="15.56"/>
    <n v="2.09"/>
  </r>
  <r>
    <x v="31"/>
    <x v="5"/>
    <x v="924"/>
    <x v="27"/>
    <n v="16.8"/>
    <n v="14.81"/>
    <n v="1.99"/>
  </r>
  <r>
    <x v="28"/>
    <x v="4"/>
    <x v="925"/>
    <x v="27"/>
    <n v="24.39"/>
    <n v="21.5"/>
    <n v="2.89"/>
  </r>
  <r>
    <x v="57"/>
    <x v="9"/>
    <x v="926"/>
    <x v="27"/>
    <n v="22.36"/>
    <n v="19.71"/>
    <n v="2.65"/>
  </r>
  <r>
    <x v="2"/>
    <x v="1"/>
    <x v="928"/>
    <x v="27"/>
    <n v="26.13"/>
    <n v="23.03"/>
    <n v="3.1"/>
  </r>
  <r>
    <x v="37"/>
    <x v="6"/>
    <x v="929"/>
    <x v="27"/>
    <n v="13.98"/>
    <n v="12.32"/>
    <n v="1.66"/>
  </r>
  <r>
    <x v="39"/>
    <x v="6"/>
    <x v="930"/>
    <x v="27"/>
    <n v="17.79"/>
    <n v="15.68"/>
    <n v="2.11"/>
  </r>
  <r>
    <x v="40"/>
    <x v="6"/>
    <x v="931"/>
    <x v="27"/>
    <n v="23.85"/>
    <n v="21.02"/>
    <n v="2.83"/>
  </r>
  <r>
    <x v="13"/>
    <x v="2"/>
    <x v="932"/>
    <x v="27"/>
    <n v="23.79"/>
    <n v="20.97"/>
    <n v="2.82"/>
  </r>
  <r>
    <x v="0"/>
    <x v="0"/>
    <x v="933"/>
    <x v="27"/>
    <n v="22.63"/>
    <n v="19.95"/>
    <n v="2.68"/>
  </r>
  <r>
    <x v="3"/>
    <x v="1"/>
    <x v="934"/>
    <x v="27"/>
    <n v="26.24"/>
    <n v="23.14"/>
    <n v="3.1"/>
  </r>
  <r>
    <x v="67"/>
    <x v="10"/>
    <x v="935"/>
    <x v="27"/>
    <n v="11.28"/>
    <n v="9.94"/>
    <n v="1.34"/>
  </r>
  <r>
    <x v="58"/>
    <x v="9"/>
    <x v="936"/>
    <x v="27"/>
    <n v="17"/>
    <n v="14.99"/>
    <n v="2.01"/>
  </r>
  <r>
    <x v="9"/>
    <x v="2"/>
    <x v="937"/>
    <x v="27"/>
    <n v="11.36"/>
    <n v="10.01"/>
    <n v="1.35"/>
  </r>
  <r>
    <x v="13"/>
    <x v="2"/>
    <x v="939"/>
    <x v="27"/>
    <n v="11.36"/>
    <n v="10.01"/>
    <n v="1.35"/>
  </r>
  <r>
    <x v="27"/>
    <x v="4"/>
    <x v="940"/>
    <x v="27"/>
    <n v="19.38"/>
    <n v="17.08"/>
    <n v="2.3"/>
  </r>
  <r>
    <x v="82"/>
    <x v="12"/>
    <x v="941"/>
    <x v="27"/>
    <n v="13"/>
    <n v="11.46"/>
    <n v="1.54"/>
  </r>
  <r>
    <x v="41"/>
    <x v="6"/>
    <x v="942"/>
    <x v="27"/>
    <n v="12.16"/>
    <n v="10.72"/>
    <n v="1.44"/>
  </r>
  <r>
    <x v="38"/>
    <x v="6"/>
    <x v="943"/>
    <x v="27"/>
    <n v="18.51"/>
    <n v="16.32"/>
    <n v="2.19"/>
  </r>
  <r>
    <x v="36"/>
    <x v="6"/>
    <x v="944"/>
    <x v="27"/>
    <n v="20.39"/>
    <n v="17.97"/>
    <n v="2.42"/>
  </r>
  <r>
    <x v="78"/>
    <x v="12"/>
    <x v="945"/>
    <x v="27"/>
    <n v="17.63"/>
    <n v="15.54"/>
    <n v="2.09"/>
  </r>
  <r>
    <x v="44"/>
    <x v="7"/>
    <x v="946"/>
    <x v="27"/>
    <n v="16.55"/>
    <n v="14.59"/>
    <n v="1.96"/>
  </r>
  <r>
    <x v="11"/>
    <x v="2"/>
    <x v="947"/>
    <x v="27"/>
    <n v="15.7"/>
    <n v="13.84"/>
    <n v="1.86"/>
  </r>
  <r>
    <x v="29"/>
    <x v="5"/>
    <x v="948"/>
    <x v="27"/>
    <n v="23.03"/>
    <n v="20.3"/>
    <n v="2.73"/>
  </r>
  <r>
    <x v="72"/>
    <x v="11"/>
    <x v="950"/>
    <x v="27"/>
    <n v="18.14"/>
    <n v="15.99"/>
    <n v="2.15"/>
  </r>
  <r>
    <x v="55"/>
    <x v="8"/>
    <x v="951"/>
    <x v="27"/>
    <n v="18.8"/>
    <n v="16.57"/>
    <n v="2.23"/>
  </r>
  <r>
    <x v="23"/>
    <x v="4"/>
    <x v="952"/>
    <x v="27"/>
    <n v="16.83"/>
    <n v="14.84"/>
    <n v="1.99"/>
  </r>
  <r>
    <x v="2"/>
    <x v="1"/>
    <x v="953"/>
    <x v="27"/>
    <n v="12.6"/>
    <n v="11.11"/>
    <n v="1.49"/>
  </r>
  <r>
    <x v="29"/>
    <x v="5"/>
    <x v="954"/>
    <x v="27"/>
    <n v="15.8"/>
    <n v="13.93"/>
    <n v="1.87"/>
  </r>
  <r>
    <x v="31"/>
    <x v="5"/>
    <x v="955"/>
    <x v="27"/>
    <n v="20.77"/>
    <n v="18.31"/>
    <n v="2.46"/>
  </r>
  <r>
    <x v="3"/>
    <x v="1"/>
    <x v="956"/>
    <x v="27"/>
    <n v="13.4"/>
    <n v="11.82"/>
    <n v="1.58"/>
  </r>
  <r>
    <x v="53"/>
    <x v="8"/>
    <x v="957"/>
    <x v="27"/>
    <n v="20.26"/>
    <n v="17.86"/>
    <n v="2.4"/>
  </r>
  <r>
    <x v="78"/>
    <x v="12"/>
    <x v="958"/>
    <x v="27"/>
    <n v="19.28"/>
    <n v="17"/>
    <n v="2.28"/>
  </r>
  <r>
    <x v="9"/>
    <x v="2"/>
    <x v="959"/>
    <x v="27"/>
    <n v="24.02"/>
    <n v="21.17"/>
    <n v="2.85"/>
  </r>
  <r>
    <x v="37"/>
    <x v="6"/>
    <x v="961"/>
    <x v="27"/>
    <n v="18.75"/>
    <n v="16.53"/>
    <n v="2.22"/>
  </r>
  <r>
    <x v="9"/>
    <x v="2"/>
    <x v="962"/>
    <x v="27"/>
    <n v="22.74"/>
    <n v="20.04"/>
    <n v="2.7"/>
  </r>
  <r>
    <x v="62"/>
    <x v="9"/>
    <x v="963"/>
    <x v="27"/>
    <n v="24.79"/>
    <n v="21.86"/>
    <n v="2.93"/>
  </r>
  <r>
    <x v="86"/>
    <x v="13"/>
    <x v="964"/>
    <x v="27"/>
    <n v="19.97"/>
    <n v="17.61"/>
    <n v="2.36"/>
  </r>
  <r>
    <x v="22"/>
    <x v="4"/>
    <x v="965"/>
    <x v="27"/>
    <n v="24.93"/>
    <n v="21.98"/>
    <n v="2.95"/>
  </r>
  <r>
    <x v="33"/>
    <x v="5"/>
    <x v="966"/>
    <x v="27"/>
    <n v="20.06"/>
    <n v="17.69"/>
    <n v="2.37"/>
  </r>
  <r>
    <x v="43"/>
    <x v="7"/>
    <x v="967"/>
    <x v="27"/>
    <n v="16.54"/>
    <n v="14.58"/>
    <n v="1.96"/>
  </r>
  <r>
    <x v="20"/>
    <x v="3"/>
    <x v="968"/>
    <x v="27"/>
    <n v="20.47"/>
    <n v="18.04"/>
    <n v="2.43"/>
  </r>
  <r>
    <x v="83"/>
    <x v="12"/>
    <x v="969"/>
    <x v="27"/>
    <n v="19.83"/>
    <n v="17.48"/>
    <n v="2.35"/>
  </r>
  <r>
    <x v="69"/>
    <x v="10"/>
    <x v="970"/>
    <x v="27"/>
    <n v="12.51"/>
    <n v="11.02"/>
    <n v="1.49"/>
  </r>
  <r>
    <x v="46"/>
    <x v="7"/>
    <x v="972"/>
    <x v="27"/>
    <n v="12.92"/>
    <n v="11.39"/>
    <n v="1.53"/>
  </r>
  <r>
    <x v="9"/>
    <x v="2"/>
    <x v="973"/>
    <x v="27"/>
    <n v="18.51"/>
    <n v="16.32"/>
    <n v="2.19"/>
  </r>
  <r>
    <x v="19"/>
    <x v="3"/>
    <x v="974"/>
    <x v="27"/>
    <n v="21.13"/>
    <n v="18.63"/>
    <n v="2.5"/>
  </r>
  <r>
    <x v="3"/>
    <x v="1"/>
    <x v="975"/>
    <x v="27"/>
    <n v="16.15"/>
    <n v="14.23"/>
    <n v="1.92"/>
  </r>
  <r>
    <x v="22"/>
    <x v="4"/>
    <x v="976"/>
    <x v="27"/>
    <n v="11.63"/>
    <n v="10.26"/>
    <n v="1.37"/>
  </r>
  <r>
    <x v="2"/>
    <x v="1"/>
    <x v="977"/>
    <x v="27"/>
    <n v="18.19"/>
    <n v="16.04"/>
    <n v="2.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4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grand" r="0" i="0">
      <x v="0"/>
    </i>
  </rowItems>
  <colItems count="1">
    <i t="data" r="0" i="0"/>
  </colItems>
  <dataFields count="1">
    <dataField name="Gross margin" fld="6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2:B6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rowItems>
  <colItems count="1">
    <i t="data" r="0" i="0"/>
  </colItems>
  <dataFields count="1">
    <dataField name="Revenue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G982" headerRowCount="1">
  <autoFilter ref="A1:G982"/>
  <tableColumns count="7">
    <tableColumn id="1" name="Date"/>
    <tableColumn id="2" name="Week"/>
    <tableColumn id="3" name="Order"/>
    <tableColumn id="4" name="Customer"/>
    <tableColumn id="5" name="Revenue"/>
    <tableColumn id="6" name="Cost"/>
    <tableColumn id="7" name="Gross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Wholesale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data · industry pack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Customer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REVENUE</t>
        </is>
      </c>
      <c r="D9" s="9" t="n"/>
      <c r="E9" s="8" t="inlineStr">
        <is>
          <t>GROSS MARGIN</t>
        </is>
      </c>
      <c r="G9" s="9" t="n"/>
      <c r="H9" s="8" t="inlineStr">
        <is>
          <t>GM %</t>
        </is>
      </c>
      <c r="J9" s="9" t="n"/>
    </row>
    <row r="10">
      <c r="B10" s="10">
        <f>SUMIFS(Raw!$E$2:$E$982,Raw!$D$2:$D$982,CatCrit)</f>
        <v>726832.47</v>
      </c>
      <c r="D10" s="9" t="n"/>
      <c r="E10" s="10">
        <f>SUMIFS(Raw!$G$2:$G$982,Raw!$D$2:$D$982,CatCrit)</f>
        <v>99528.29</v>
      </c>
      <c r="G10" s="9" t="n"/>
      <c r="H10" s="11">
        <f>IFERROR(SUMIFS(Raw!$G$2:$G$982,Raw!$D$2:$D$982,CatCrit)/SUMIFS(Raw!$E$2:$E$982,Raw!$D$2:$D$982,CatCrit),0)</f>
        <v>0.136934292437431</v>
      </c>
      <c r="J10" s="9" t="n"/>
    </row>
    <row r="11">
      <c r="B11" s="9" t="n"/>
      <c r="D11" s="9" t="n"/>
      <c r="E11" s="9" t="n"/>
      <c r="G11" s="9" t="n"/>
      <c r="H11" s="9" t="n"/>
      <c r="J11" s="9" t="n"/>
    </row>
  </sheetData>
  <mergeCells count="9">
    <mergeCell ref="H11:I11"/>
    <mergeCell ref="B11:C11"/>
    <mergeCell ref="E10:F10"/>
    <mergeCell ref="H10:I10"/>
    <mergeCell ref="B10:C10"/>
    <mergeCell ref="E11:F11"/>
    <mergeCell ref="B9:C9"/>
    <mergeCell ref="E9:F9"/>
    <mergeCell ref="H9:I9"/>
  </mergeCells>
  <dataValidations count="1">
    <dataValidation sqref="B6" showDropDown="0" showInputMessage="0" showErrorMessage="0" allowBlank="0" promptTitle="Customer" prompt="Pick a customer or All" type="list">
      <formula1>=Lookup!$M$6:$M$46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By customer</t>
        </is>
      </c>
    </row>
    <row r="7" ht="28" customHeight="1">
      <c r="B7" s="13" t="inlineStr">
        <is>
          <t>Customer</t>
        </is>
      </c>
      <c r="C7" s="13" t="inlineStr">
        <is>
          <t>Revenue</t>
        </is>
      </c>
      <c r="D7" s="13" t="inlineStr">
        <is>
          <t>Gross margin</t>
        </is>
      </c>
      <c r="E7" s="13" t="inlineStr">
        <is>
          <t>GM %</t>
        </is>
      </c>
    </row>
    <row r="8">
      <c r="B8" s="14" t="inlineStr">
        <is>
          <t>City Cafe</t>
        </is>
      </c>
      <c r="C8" s="15">
        <f>SUMIFS(Raw!$E$2:$E$982,Raw!$D$2:$D$982,$B8)</f>
        <v>53754.68</v>
      </c>
      <c r="D8" s="15">
        <f>SUMIFS(Raw!$G$2:$G$982,Raw!$D$2:$D$982,$B8)</f>
        <v>9432.14</v>
      </c>
      <c r="E8" s="16">
        <f>IFERROR(SUMIFS(Raw!$G$2:$G$982,Raw!$D$2:$D$982,$B8)/SUMIFS(Raw!$E$2:$E$982,Raw!$D$2:$D$982,$B8),0)</f>
        <v>0.175466396600259</v>
      </c>
    </row>
    <row r="9">
      <c r="B9" s="14" t="inlineStr">
        <is>
          <t>City Foods</t>
        </is>
      </c>
      <c r="C9" s="15">
        <f>SUMIFS(Raw!$E$2:$E$982,Raw!$D$2:$D$982,$B9)</f>
        <v>24942.71</v>
      </c>
      <c r="D9" s="15">
        <f>SUMIFS(Raw!$G$2:$G$982,Raw!$D$2:$D$982,$B9)</f>
        <v>2447.93</v>
      </c>
      <c r="E9" s="16">
        <f>IFERROR(SUMIFS(Raw!$G$2:$G$982,Raw!$D$2:$D$982,$B9)/SUMIFS(Raw!$E$2:$E$982,Raw!$D$2:$D$982,$B9),0)</f>
        <v>0.098142102441956</v>
      </c>
    </row>
    <row r="10">
      <c r="B10" s="14" t="inlineStr">
        <is>
          <t>City Grocers</t>
        </is>
      </c>
      <c r="C10" s="15">
        <f>SUMIFS(Raw!$E$2:$E$982,Raw!$D$2:$D$982,$B10)</f>
        <v>16270.27</v>
      </c>
      <c r="D10" s="15">
        <f>SUMIFS(Raw!$G$2:$G$982,Raw!$D$2:$D$982,$B10)</f>
        <v>1578</v>
      </c>
      <c r="E10" s="16">
        <f>IFERROR(SUMIFS(Raw!$G$2:$G$982,Raw!$D$2:$D$982,$B10)/SUMIFS(Raw!$E$2:$E$982,Raw!$D$2:$D$982,$B10),0)</f>
        <v>0.0969867125745301</v>
      </c>
    </row>
    <row r="11">
      <c r="B11" s="14" t="inlineStr">
        <is>
          <t>City Mart</t>
        </is>
      </c>
      <c r="C11" s="15">
        <f>SUMIFS(Raw!$E$2:$E$982,Raw!$D$2:$D$982,$B11)</f>
        <v>14781.02</v>
      </c>
      <c r="D11" s="15">
        <f>SUMIFS(Raw!$G$2:$G$982,Raw!$D$2:$D$982,$B11)</f>
        <v>2032.96</v>
      </c>
      <c r="E11" s="16">
        <f>IFERROR(SUMIFS(Raw!$G$2:$G$982,Raw!$D$2:$D$982,$B11)/SUMIFS(Raw!$E$2:$E$982,Raw!$D$2:$D$982,$B11),0)</f>
        <v>0.137538546054332</v>
      </c>
    </row>
    <row r="12">
      <c r="B12" s="14" t="inlineStr">
        <is>
          <t>City Superette</t>
        </is>
      </c>
      <c r="C12" s="15">
        <f>SUMIFS(Raw!$E$2:$E$982,Raw!$D$2:$D$982,$B12)</f>
        <v>11245.53</v>
      </c>
      <c r="D12" s="15">
        <f>SUMIFS(Raw!$G$2:$G$982,Raw!$D$2:$D$982,$B12)</f>
        <v>1162.83</v>
      </c>
      <c r="E12" s="16">
        <f>IFERROR(SUMIFS(Raw!$G$2:$G$982,Raw!$D$2:$D$982,$B12)/SUMIFS(Raw!$E$2:$E$982,Raw!$D$2:$D$982,$B12),0)</f>
        <v>0.103403752424297</v>
      </c>
    </row>
    <row r="13">
      <c r="B13" s="14" t="inlineStr">
        <is>
          <t>Coast Cafe</t>
        </is>
      </c>
      <c r="C13" s="15">
        <f>SUMIFS(Raw!$E$2:$E$982,Raw!$D$2:$D$982,$B13)</f>
        <v>9718.86</v>
      </c>
      <c r="D13" s="15">
        <f>SUMIFS(Raw!$G$2:$G$982,Raw!$D$2:$D$982,$B13)</f>
        <v>970.62</v>
      </c>
      <c r="E13" s="16">
        <f>IFERROR(SUMIFS(Raw!$G$2:$G$982,Raw!$D$2:$D$982,$B13)/SUMIFS(Raw!$E$2:$E$982,Raw!$D$2:$D$982,$B13),0)</f>
        <v>0.0998697378087553</v>
      </c>
    </row>
    <row r="14">
      <c r="B14" s="14" t="inlineStr">
        <is>
          <t>Coast Foods</t>
        </is>
      </c>
      <c r="C14" s="15">
        <f>SUMIFS(Raw!$E$2:$E$982,Raw!$D$2:$D$982,$B14)</f>
        <v>14061.24</v>
      </c>
      <c r="D14" s="15">
        <f>SUMIFS(Raw!$G$2:$G$982,Raw!$D$2:$D$982,$B14)</f>
        <v>1357.87</v>
      </c>
      <c r="E14" s="16">
        <f>IFERROR(SUMIFS(Raw!$G$2:$G$982,Raw!$D$2:$D$982,$B14)/SUMIFS(Raw!$E$2:$E$982,Raw!$D$2:$D$982,$B14),0)</f>
        <v>0.0965682969638524</v>
      </c>
    </row>
    <row r="15">
      <c r="B15" s="14" t="inlineStr">
        <is>
          <t>Coast Grocers</t>
        </is>
      </c>
      <c r="C15" s="15">
        <f>SUMIFS(Raw!$E$2:$E$982,Raw!$D$2:$D$982,$B15)</f>
        <v>32253.28</v>
      </c>
      <c r="D15" s="15">
        <f>SUMIFS(Raw!$G$2:$G$982,Raw!$D$2:$D$982,$B15)</f>
        <v>4447.41</v>
      </c>
      <c r="E15" s="16">
        <f>IFERROR(SUMIFS(Raw!$G$2:$G$982,Raw!$D$2:$D$982,$B15)/SUMIFS(Raw!$E$2:$E$982,Raw!$D$2:$D$982,$B15),0)</f>
        <v>0.137890161868808</v>
      </c>
    </row>
    <row r="16">
      <c r="B16" s="14" t="inlineStr">
        <is>
          <t>Coast Mart</t>
        </is>
      </c>
      <c r="C16" s="15">
        <f>SUMIFS(Raw!$E$2:$E$982,Raw!$D$2:$D$982,$B16)</f>
        <v>11068.36</v>
      </c>
      <c r="D16" s="15">
        <f>SUMIFS(Raw!$G$2:$G$982,Raw!$D$2:$D$982,$B16)</f>
        <v>1295.24</v>
      </c>
      <c r="E16" s="16">
        <f>IFERROR(SUMIFS(Raw!$G$2:$G$982,Raw!$D$2:$D$982,$B16)/SUMIFS(Raw!$E$2:$E$982,Raw!$D$2:$D$982,$B16),0)</f>
        <v>0.11702185328269</v>
      </c>
    </row>
    <row r="17">
      <c r="B17" s="14" t="inlineStr">
        <is>
          <t>Coast Superette</t>
        </is>
      </c>
      <c r="C17" s="15">
        <f>SUMIFS(Raw!$E$2:$E$982,Raw!$D$2:$D$982,$B17)</f>
        <v>5875.37</v>
      </c>
      <c r="D17" s="15">
        <f>SUMIFS(Raw!$G$2:$G$982,Raw!$D$2:$D$982,$B17)</f>
        <v>904.24</v>
      </c>
      <c r="E17" s="16">
        <f>IFERROR(SUMIFS(Raw!$G$2:$G$982,Raw!$D$2:$D$982,$B17)/SUMIFS(Raw!$E$2:$E$982,Raw!$D$2:$D$982,$B17),0)</f>
        <v>0.153903498843477</v>
      </c>
    </row>
    <row r="18">
      <c r="B18" s="14" t="inlineStr">
        <is>
          <t>Harbour Cafe</t>
        </is>
      </c>
      <c r="C18" s="15">
        <f>SUMIFS(Raw!$E$2:$E$982,Raw!$D$2:$D$982,$B18)</f>
        <v>6119.11</v>
      </c>
      <c r="D18" s="15">
        <f>SUMIFS(Raw!$G$2:$G$982,Raw!$D$2:$D$982,$B18)</f>
        <v>477.35</v>
      </c>
      <c r="E18" s="16">
        <f>IFERROR(SUMIFS(Raw!$G$2:$G$982,Raw!$D$2:$D$982,$B18)/SUMIFS(Raw!$E$2:$E$982,Raw!$D$2:$D$982,$B18),0)</f>
        <v>0.0780097105624838</v>
      </c>
    </row>
    <row r="19">
      <c r="B19" s="14" t="inlineStr">
        <is>
          <t>Harbour Foods</t>
        </is>
      </c>
      <c r="C19" s="15">
        <f>SUMIFS(Raw!$E$2:$E$982,Raw!$D$2:$D$982,$B19)</f>
        <v>14378.56</v>
      </c>
      <c r="D19" s="15">
        <f>SUMIFS(Raw!$G$2:$G$982,Raw!$D$2:$D$982,$B19)</f>
        <v>2822.22</v>
      </c>
      <c r="E19" s="16">
        <f>IFERROR(SUMIFS(Raw!$G$2:$G$982,Raw!$D$2:$D$982,$B19)/SUMIFS(Raw!$E$2:$E$982,Raw!$D$2:$D$982,$B19),0)</f>
        <v>0.196279738722097</v>
      </c>
    </row>
    <row r="20">
      <c r="B20" s="14" t="inlineStr">
        <is>
          <t>Harbour Grocers</t>
        </is>
      </c>
      <c r="C20" s="15">
        <f>SUMIFS(Raw!$E$2:$E$982,Raw!$D$2:$D$982,$B20)</f>
        <v>9470.34</v>
      </c>
      <c r="D20" s="15">
        <f>SUMIFS(Raw!$G$2:$G$982,Raw!$D$2:$D$982,$B20)</f>
        <v>1280.05</v>
      </c>
      <c r="E20" s="16">
        <f>IFERROR(SUMIFS(Raw!$G$2:$G$982,Raw!$D$2:$D$982,$B20)/SUMIFS(Raw!$E$2:$E$982,Raw!$D$2:$D$982,$B20),0)</f>
        <v>0.13516410181683</v>
      </c>
    </row>
    <row r="21">
      <c r="B21" s="14" t="inlineStr">
        <is>
          <t>Harbour Mart</t>
        </is>
      </c>
      <c r="C21" s="15">
        <f>SUMIFS(Raw!$E$2:$E$982,Raw!$D$2:$D$982,$B21)</f>
        <v>17535.92</v>
      </c>
      <c r="D21" s="15">
        <f>SUMIFS(Raw!$G$2:$G$982,Raw!$D$2:$D$982,$B21)</f>
        <v>3597.8</v>
      </c>
      <c r="E21" s="16">
        <f>IFERROR(SUMIFS(Raw!$G$2:$G$982,Raw!$D$2:$D$982,$B21)/SUMIFS(Raw!$E$2:$E$982,Raw!$D$2:$D$982,$B21),0)</f>
        <v>0.205167450581435</v>
      </c>
    </row>
    <row r="22">
      <c r="B22" s="14" t="inlineStr">
        <is>
          <t>Harbour Superette</t>
        </is>
      </c>
      <c r="C22" s="15">
        <f>SUMIFS(Raw!$E$2:$E$982,Raw!$D$2:$D$982,$B22)</f>
        <v>30483.63</v>
      </c>
      <c r="D22" s="15">
        <f>SUMIFS(Raw!$G$2:$G$982,Raw!$D$2:$D$982,$B22)</f>
        <v>5735.32</v>
      </c>
      <c r="E22" s="16">
        <f>IFERROR(SUMIFS(Raw!$G$2:$G$982,Raw!$D$2:$D$982,$B22)/SUMIFS(Raw!$E$2:$E$982,Raw!$D$2:$D$982,$B22),0)</f>
        <v>0.188144259722349</v>
      </c>
    </row>
    <row r="23">
      <c r="B23" s="14" t="inlineStr">
        <is>
          <t>Kiwi Cafe</t>
        </is>
      </c>
      <c r="C23" s="15">
        <f>SUMIFS(Raw!$E$2:$E$982,Raw!$D$2:$D$982,$B23)</f>
        <v>10112.14</v>
      </c>
      <c r="D23" s="15">
        <f>SUMIFS(Raw!$G$2:$G$982,Raw!$D$2:$D$982,$B23)</f>
        <v>1094.39</v>
      </c>
      <c r="E23" s="16">
        <f>IFERROR(SUMIFS(Raw!$G$2:$G$982,Raw!$D$2:$D$982,$B23)/SUMIFS(Raw!$E$2:$E$982,Raw!$D$2:$D$982,$B23),0)</f>
        <v>0.108225360803945</v>
      </c>
    </row>
    <row r="24">
      <c r="B24" s="14" t="inlineStr">
        <is>
          <t>Kiwi Foods</t>
        </is>
      </c>
      <c r="C24" s="15">
        <f>SUMIFS(Raw!$E$2:$E$982,Raw!$D$2:$D$982,$B24)</f>
        <v>4155.76</v>
      </c>
      <c r="D24" s="15">
        <f>SUMIFS(Raw!$G$2:$G$982,Raw!$D$2:$D$982,$B24)</f>
        <v>465.07</v>
      </c>
      <c r="E24" s="16">
        <f>IFERROR(SUMIFS(Raw!$G$2:$G$982,Raw!$D$2:$D$982,$B24)/SUMIFS(Raw!$E$2:$E$982,Raw!$D$2:$D$982,$B24),0)</f>
        <v>0.111909734922132</v>
      </c>
    </row>
    <row r="25">
      <c r="B25" s="14" t="inlineStr">
        <is>
          <t>Kiwi Grocers</t>
        </is>
      </c>
      <c r="C25" s="15">
        <f>SUMIFS(Raw!$E$2:$E$982,Raw!$D$2:$D$982,$B25)</f>
        <v>8271.94</v>
      </c>
      <c r="D25" s="15">
        <f>SUMIFS(Raw!$G$2:$G$982,Raw!$D$2:$D$982,$B25)</f>
        <v>1286.66</v>
      </c>
      <c r="E25" s="16">
        <f>IFERROR(SUMIFS(Raw!$G$2:$G$982,Raw!$D$2:$D$982,$B25)/SUMIFS(Raw!$E$2:$E$982,Raw!$D$2:$D$982,$B25),0)</f>
        <v>0.155545132097186</v>
      </c>
    </row>
    <row r="26">
      <c r="B26" s="14" t="inlineStr">
        <is>
          <t>Kiwi Mart</t>
        </is>
      </c>
      <c r="C26" s="15">
        <f>SUMIFS(Raw!$E$2:$E$982,Raw!$D$2:$D$982,$B26)</f>
        <v>4684.45</v>
      </c>
      <c r="D26" s="15">
        <f>SUMIFS(Raw!$G$2:$G$982,Raw!$D$2:$D$982,$B26)</f>
        <v>301.16</v>
      </c>
      <c r="E26" s="16">
        <f>IFERROR(SUMIFS(Raw!$G$2:$G$982,Raw!$D$2:$D$982,$B26)/SUMIFS(Raw!$E$2:$E$982,Raw!$D$2:$D$982,$B26),0)</f>
        <v>0.0642892975696186</v>
      </c>
    </row>
    <row r="27">
      <c r="B27" s="14" t="inlineStr">
        <is>
          <t>Kiwi Superette</t>
        </is>
      </c>
      <c r="C27" s="15">
        <f>SUMIFS(Raw!$E$2:$E$982,Raw!$D$2:$D$982,$B27)</f>
        <v>13382.94</v>
      </c>
      <c r="D27" s="15">
        <f>SUMIFS(Raw!$G$2:$G$982,Raw!$D$2:$D$982,$B27)</f>
        <v>2391.38</v>
      </c>
      <c r="E27" s="16">
        <f>IFERROR(SUMIFS(Raw!$G$2:$G$982,Raw!$D$2:$D$982,$B27)/SUMIFS(Raw!$E$2:$E$982,Raw!$D$2:$D$982,$B27),0)</f>
        <v>0.178688688733567</v>
      </c>
    </row>
    <row r="28">
      <c r="B28" s="14" t="inlineStr">
        <is>
          <t>Metro Cafe</t>
        </is>
      </c>
      <c r="C28" s="15">
        <f>SUMIFS(Raw!$E$2:$E$982,Raw!$D$2:$D$982,$B28)</f>
        <v>30704.06</v>
      </c>
      <c r="D28" s="15">
        <f>SUMIFS(Raw!$G$2:$G$982,Raw!$D$2:$D$982,$B28)</f>
        <v>3289.95</v>
      </c>
      <c r="E28" s="16">
        <f>IFERROR(SUMIFS(Raw!$G$2:$G$982,Raw!$D$2:$D$982,$B28)/SUMIFS(Raw!$E$2:$E$982,Raw!$D$2:$D$982,$B28),0)</f>
        <v>0.107150324745327</v>
      </c>
    </row>
    <row r="29">
      <c r="B29" s="14" t="inlineStr">
        <is>
          <t>Metro Foods</t>
        </is>
      </c>
      <c r="C29" s="15">
        <f>SUMIFS(Raw!$E$2:$E$982,Raw!$D$2:$D$982,$B29)</f>
        <v>31212.15</v>
      </c>
      <c r="D29" s="15">
        <f>SUMIFS(Raw!$G$2:$G$982,Raw!$D$2:$D$982,$B29)</f>
        <v>2235.44</v>
      </c>
      <c r="E29" s="16">
        <f>IFERROR(SUMIFS(Raw!$G$2:$G$982,Raw!$D$2:$D$982,$B29)/SUMIFS(Raw!$E$2:$E$982,Raw!$D$2:$D$982,$B29),0)</f>
        <v>0.071620827145839</v>
      </c>
    </row>
    <row r="30">
      <c r="B30" s="14" t="inlineStr">
        <is>
          <t>Metro Grocers</t>
        </is>
      </c>
      <c r="C30" s="15">
        <f>SUMIFS(Raw!$E$2:$E$982,Raw!$D$2:$D$982,$B30)</f>
        <v>5718.11</v>
      </c>
      <c r="D30" s="15">
        <f>SUMIFS(Raw!$G$2:$G$982,Raw!$D$2:$D$982,$B30)</f>
        <v>927.67</v>
      </c>
      <c r="E30" s="16">
        <f>IFERROR(SUMIFS(Raw!$G$2:$G$982,Raw!$D$2:$D$982,$B30)/SUMIFS(Raw!$E$2:$E$982,Raw!$D$2:$D$982,$B30),0)</f>
        <v>0.162233675112931</v>
      </c>
    </row>
    <row r="31">
      <c r="B31" s="14" t="inlineStr">
        <is>
          <t>Metro Mart</t>
        </is>
      </c>
      <c r="C31" s="15">
        <f>SUMIFS(Raw!$E$2:$E$982,Raw!$D$2:$D$982,$B31)</f>
        <v>13439.59</v>
      </c>
      <c r="D31" s="15">
        <f>SUMIFS(Raw!$G$2:$G$982,Raw!$D$2:$D$982,$B31)</f>
        <v>2025.11</v>
      </c>
      <c r="E31" s="16">
        <f>IFERROR(SUMIFS(Raw!$G$2:$G$982,Raw!$D$2:$D$982,$B31)/SUMIFS(Raw!$E$2:$E$982,Raw!$D$2:$D$982,$B31),0)</f>
        <v>0.150682424091806</v>
      </c>
    </row>
    <row r="32">
      <c r="B32" s="14" t="inlineStr">
        <is>
          <t>Metro Superette</t>
        </is>
      </c>
      <c r="C32" s="15">
        <f>SUMIFS(Raw!$E$2:$E$982,Raw!$D$2:$D$982,$B32)</f>
        <v>6730.26</v>
      </c>
      <c r="D32" s="15">
        <f>SUMIFS(Raw!$G$2:$G$982,Raw!$D$2:$D$982,$B32)</f>
        <v>1234.74</v>
      </c>
      <c r="E32" s="16">
        <f>IFERROR(SUMIFS(Raw!$G$2:$G$982,Raw!$D$2:$D$982,$B32)/SUMIFS(Raw!$E$2:$E$982,Raw!$D$2:$D$982,$B32),0)</f>
        <v>0.183460965846787</v>
      </c>
    </row>
    <row r="33">
      <c r="B33" s="14" t="inlineStr">
        <is>
          <t>North Cafe</t>
        </is>
      </c>
      <c r="C33" s="15">
        <f>SUMIFS(Raw!$E$2:$E$982,Raw!$D$2:$D$982,$B33)</f>
        <v>14386.78</v>
      </c>
      <c r="D33" s="15">
        <f>SUMIFS(Raw!$G$2:$G$982,Raw!$D$2:$D$982,$B33)</f>
        <v>1010.2</v>
      </c>
      <c r="E33" s="16">
        <f>IFERROR(SUMIFS(Raw!$G$2:$G$982,Raw!$D$2:$D$982,$B33)/SUMIFS(Raw!$E$2:$E$982,Raw!$D$2:$D$982,$B33),0)</f>
        <v>0.070217241106071</v>
      </c>
    </row>
    <row r="34">
      <c r="B34" s="14" t="inlineStr">
        <is>
          <t>North Foods</t>
        </is>
      </c>
      <c r="C34" s="15">
        <f>SUMIFS(Raw!$E$2:$E$982,Raw!$D$2:$D$982,$B34)</f>
        <v>23033.28</v>
      </c>
      <c r="D34" s="15">
        <f>SUMIFS(Raw!$G$2:$G$982,Raw!$D$2:$D$982,$B34)</f>
        <v>4296.71</v>
      </c>
      <c r="E34" s="16">
        <f>IFERROR(SUMIFS(Raw!$G$2:$G$982,Raw!$D$2:$D$982,$B34)/SUMIFS(Raw!$E$2:$E$982,Raw!$D$2:$D$982,$B34),0)</f>
        <v>0.18654355784326</v>
      </c>
    </row>
    <row r="35">
      <c r="B35" s="14" t="inlineStr">
        <is>
          <t>North Grocers</t>
        </is>
      </c>
      <c r="C35" s="15">
        <f>SUMIFS(Raw!$E$2:$E$982,Raw!$D$2:$D$982,$B35)</f>
        <v>1214.02</v>
      </c>
      <c r="D35" s="15">
        <f>SUMIFS(Raw!$G$2:$G$982,Raw!$D$2:$D$982,$B35)</f>
        <v>143.83</v>
      </c>
      <c r="E35" s="16">
        <f>IFERROR(SUMIFS(Raw!$G$2:$G$982,Raw!$D$2:$D$982,$B35)/SUMIFS(Raw!$E$2:$E$982,Raw!$D$2:$D$982,$B35),0)</f>
        <v>0.118474160228003</v>
      </c>
    </row>
    <row r="36">
      <c r="B36" s="14" t="inlineStr">
        <is>
          <t>North Mart</t>
        </is>
      </c>
      <c r="C36" s="15">
        <f>SUMIFS(Raw!$E$2:$E$982,Raw!$D$2:$D$982,$B36)</f>
        <v>34404.97</v>
      </c>
      <c r="D36" s="15">
        <f>SUMIFS(Raw!$G$2:$G$982,Raw!$D$2:$D$982,$B36)</f>
        <v>4394.22</v>
      </c>
      <c r="E36" s="16">
        <f>IFERROR(SUMIFS(Raw!$G$2:$G$982,Raw!$D$2:$D$982,$B36)/SUMIFS(Raw!$E$2:$E$982,Raw!$D$2:$D$982,$B36),0)</f>
        <v>0.127720500846244</v>
      </c>
    </row>
    <row r="37">
      <c r="B37" s="14" t="inlineStr">
        <is>
          <t>North Superette</t>
        </is>
      </c>
      <c r="C37" s="15">
        <f>SUMIFS(Raw!$E$2:$E$982,Raw!$D$2:$D$982,$B37)</f>
        <v>19851.66</v>
      </c>
      <c r="D37" s="15">
        <f>SUMIFS(Raw!$G$2:$G$982,Raw!$D$2:$D$982,$B37)</f>
        <v>1713.29</v>
      </c>
      <c r="E37" s="16">
        <f>IFERROR(SUMIFS(Raw!$G$2:$G$982,Raw!$D$2:$D$982,$B37)/SUMIFS(Raw!$E$2:$E$982,Raw!$D$2:$D$982,$B37),0)</f>
        <v>0.0863046213767514</v>
      </c>
    </row>
    <row r="38">
      <c r="B38" s="14" t="inlineStr">
        <is>
          <t>Summit Cafe</t>
        </is>
      </c>
      <c r="C38" s="15">
        <f>SUMIFS(Raw!$E$2:$E$982,Raw!$D$2:$D$982,$B38)</f>
        <v>4978.54</v>
      </c>
      <c r="D38" s="15">
        <f>SUMIFS(Raw!$G$2:$G$982,Raw!$D$2:$D$982,$B38)</f>
        <v>781.69</v>
      </c>
      <c r="E38" s="16">
        <f>IFERROR(SUMIFS(Raw!$G$2:$G$982,Raw!$D$2:$D$982,$B38)/SUMIFS(Raw!$E$2:$E$982,Raw!$D$2:$D$982,$B38),0)</f>
        <v>0.15701189505357</v>
      </c>
    </row>
    <row r="39">
      <c r="B39" s="14" t="inlineStr">
        <is>
          <t>Summit Foods</t>
        </is>
      </c>
      <c r="C39" s="15">
        <f>SUMIFS(Raw!$E$2:$E$982,Raw!$D$2:$D$982,$B39)</f>
        <v>46043.81</v>
      </c>
      <c r="D39" s="15">
        <f>SUMIFS(Raw!$G$2:$G$982,Raw!$D$2:$D$982,$B39)</f>
        <v>5271</v>
      </c>
      <c r="E39" s="16">
        <f>IFERROR(SUMIFS(Raw!$G$2:$G$982,Raw!$D$2:$D$982,$B39)/SUMIFS(Raw!$E$2:$E$982,Raw!$D$2:$D$982,$B39),0)</f>
        <v>0.114477928737869</v>
      </c>
    </row>
    <row r="40">
      <c r="B40" s="14" t="inlineStr">
        <is>
          <t>Summit Grocers</t>
        </is>
      </c>
      <c r="C40" s="15">
        <f>SUMIFS(Raw!$E$2:$E$982,Raw!$D$2:$D$982,$B40)</f>
        <v>20826.53</v>
      </c>
      <c r="D40" s="15">
        <f>SUMIFS(Raw!$G$2:$G$982,Raw!$D$2:$D$982,$B40)</f>
        <v>1617.94</v>
      </c>
      <c r="E40" s="16">
        <f>IFERROR(SUMIFS(Raw!$G$2:$G$982,Raw!$D$2:$D$982,$B40)/SUMIFS(Raw!$E$2:$E$982,Raw!$D$2:$D$982,$B40),0)</f>
        <v>0.0776864892999458</v>
      </c>
    </row>
    <row r="41">
      <c r="B41" s="14" t="inlineStr">
        <is>
          <t>Summit Mart</t>
        </is>
      </c>
      <c r="C41" s="15">
        <f>SUMIFS(Raw!$E$2:$E$982,Raw!$D$2:$D$982,$B41)</f>
        <v>14575.53</v>
      </c>
      <c r="D41" s="15">
        <f>SUMIFS(Raw!$G$2:$G$982,Raw!$D$2:$D$982,$B41)</f>
        <v>1353.1</v>
      </c>
      <c r="E41" s="16">
        <f>IFERROR(SUMIFS(Raw!$G$2:$G$982,Raw!$D$2:$D$982,$B41)/SUMIFS(Raw!$E$2:$E$982,Raw!$D$2:$D$982,$B41),0)</f>
        <v>0.0928336739727475</v>
      </c>
    </row>
    <row r="42">
      <c r="B42" s="14" t="inlineStr">
        <is>
          <t>Summit Superette</t>
        </is>
      </c>
      <c r="C42" s="15">
        <f>SUMIFS(Raw!$E$2:$E$982,Raw!$D$2:$D$982,$B42)</f>
        <v>3509.58</v>
      </c>
      <c r="D42" s="15">
        <f>SUMIFS(Raw!$G$2:$G$982,Raw!$D$2:$D$982,$B42)</f>
        <v>603.97</v>
      </c>
      <c r="E42" s="16">
        <f>IFERROR(SUMIFS(Raw!$G$2:$G$982,Raw!$D$2:$D$982,$B42)/SUMIFS(Raw!$E$2:$E$982,Raw!$D$2:$D$982,$B42),0)</f>
        <v>0.172091817254486</v>
      </c>
    </row>
    <row r="43">
      <c r="B43" s="14" t="inlineStr">
        <is>
          <t>Valley Cafe</t>
        </is>
      </c>
      <c r="C43" s="15">
        <f>SUMIFS(Raw!$E$2:$E$982,Raw!$D$2:$D$982,$B43)</f>
        <v>39395.89</v>
      </c>
      <c r="D43" s="15">
        <f>SUMIFS(Raw!$G$2:$G$982,Raw!$D$2:$D$982,$B43)</f>
        <v>5507.88</v>
      </c>
      <c r="E43" s="16">
        <f>IFERROR(SUMIFS(Raw!$G$2:$G$982,Raw!$D$2:$D$982,$B43)/SUMIFS(Raw!$E$2:$E$982,Raw!$D$2:$D$982,$B43),0)</f>
        <v>0.139808492713326</v>
      </c>
    </row>
    <row r="44">
      <c r="B44" s="14" t="inlineStr">
        <is>
          <t>Valley Foods</t>
        </is>
      </c>
      <c r="C44" s="15">
        <f>SUMIFS(Raw!$E$2:$E$982,Raw!$D$2:$D$982,$B44)</f>
        <v>32663.91</v>
      </c>
      <c r="D44" s="15">
        <f>SUMIFS(Raw!$G$2:$G$982,Raw!$D$2:$D$982,$B44)</f>
        <v>4450.11</v>
      </c>
      <c r="E44" s="16">
        <f>IFERROR(SUMIFS(Raw!$G$2:$G$982,Raw!$D$2:$D$982,$B44)/SUMIFS(Raw!$E$2:$E$982,Raw!$D$2:$D$982,$B44),0)</f>
        <v>0.136239354076104</v>
      </c>
    </row>
    <row r="45">
      <c r="B45" s="14" t="inlineStr">
        <is>
          <t>Valley Grocers</t>
        </is>
      </c>
      <c r="C45" s="15">
        <f>SUMIFS(Raw!$E$2:$E$982,Raw!$D$2:$D$982,$B45)</f>
        <v>17033.11</v>
      </c>
      <c r="D45" s="15">
        <f>SUMIFS(Raw!$G$2:$G$982,Raw!$D$2:$D$982,$B45)</f>
        <v>2900.05</v>
      </c>
      <c r="E45" s="16">
        <f>IFERROR(SUMIFS(Raw!$G$2:$G$982,Raw!$D$2:$D$982,$B45)/SUMIFS(Raw!$E$2:$E$982,Raw!$D$2:$D$982,$B45),0)</f>
        <v>0.170259570918053</v>
      </c>
    </row>
    <row r="46">
      <c r="B46" s="14" t="inlineStr">
        <is>
          <t>Valley Mart</t>
        </is>
      </c>
      <c r="C46" s="15">
        <f>SUMIFS(Raw!$E$2:$E$982,Raw!$D$2:$D$982,$B46)</f>
        <v>22560.56</v>
      </c>
      <c r="D46" s="15">
        <f>SUMIFS(Raw!$G$2:$G$982,Raw!$D$2:$D$982,$B46)</f>
        <v>4156.91</v>
      </c>
      <c r="E46" s="16">
        <f>IFERROR(SUMIFS(Raw!$G$2:$G$982,Raw!$D$2:$D$982,$B46)/SUMIFS(Raw!$E$2:$E$982,Raw!$D$2:$D$982,$B46),0)</f>
        <v>0.184255621314365</v>
      </c>
    </row>
    <row r="47">
      <c r="B47" s="14" t="inlineStr">
        <is>
          <t>Valley Superette</t>
        </is>
      </c>
      <c r="C47" s="15">
        <f>SUMIFS(Raw!$E$2:$E$982,Raw!$D$2:$D$982,$B47)</f>
        <v>31984.02</v>
      </c>
      <c r="D47" s="15">
        <f>SUMIFS(Raw!$G$2:$G$982,Raw!$D$2:$D$982,$B47)</f>
        <v>6533.84</v>
      </c>
      <c r="E47" s="16">
        <f>IFERROR(SUMIFS(Raw!$G$2:$G$982,Raw!$D$2:$D$982,$B47)/SUMIFS(Raw!$E$2:$E$982,Raw!$D$2:$D$982,$B47),0)</f>
        <v>0.204284514579468</v>
      </c>
    </row>
    <row r="48">
      <c r="B48" s="17" t="inlineStr">
        <is>
          <t>Total</t>
        </is>
      </c>
      <c r="C48" s="18">
        <f>SUM(C8:C47)</f>
        <v>726832.47</v>
      </c>
      <c r="D48" s="18">
        <f>SUM(D8:D47)</f>
        <v>99528.29</v>
      </c>
      <c r="E48" s="19" t="n"/>
    </row>
    <row r="51">
      <c r="B51" s="12" t="inlineStr">
        <is>
          <t>By week (follows the selector)</t>
        </is>
      </c>
    </row>
    <row r="53" ht="28" customHeight="1">
      <c r="B53" s="13" t="inlineStr">
        <is>
          <t>Week</t>
        </is>
      </c>
      <c r="C53" s="13" t="inlineStr">
        <is>
          <t>Revenue</t>
        </is>
      </c>
      <c r="D53" s="13" t="inlineStr">
        <is>
          <t>Gross margin</t>
        </is>
      </c>
    </row>
    <row r="54">
      <c r="B54" s="20" t="n">
        <v>46195</v>
      </c>
      <c r="C54" s="15">
        <f>SUMIFS(Raw!$E$2:$E$982,Raw!$D$2:$D$982,CatCrit,Raw!$B$2:$B$982,$B54)</f>
        <v>16182.49</v>
      </c>
      <c r="D54" s="15">
        <f>SUMIFS(Raw!$G$2:$G$982,Raw!$D$2:$D$982,CatCrit,Raw!$B$2:$B$982,$B54)</f>
        <v>2467.99</v>
      </c>
    </row>
    <row r="55">
      <c r="B55" s="20" t="n">
        <v>46202</v>
      </c>
      <c r="C55" s="15">
        <f>SUMIFS(Raw!$E$2:$E$982,Raw!$D$2:$D$982,CatCrit,Raw!$B$2:$B$982,$B55)</f>
        <v>38661.36</v>
      </c>
      <c r="D55" s="15">
        <f>SUMIFS(Raw!$G$2:$G$982,Raw!$D$2:$D$982,CatCrit,Raw!$B$2:$B$982,$B55)</f>
        <v>4942.35</v>
      </c>
    </row>
    <row r="56">
      <c r="B56" s="20" t="n">
        <v>46209</v>
      </c>
      <c r="C56" s="15">
        <f>SUMIFS(Raw!$E$2:$E$982,Raw!$D$2:$D$982,CatCrit,Raw!$B$2:$B$982,$B56)</f>
        <v>40847.06</v>
      </c>
      <c r="D56" s="15">
        <f>SUMIFS(Raw!$G$2:$G$982,Raw!$D$2:$D$982,CatCrit,Raw!$B$2:$B$982,$B56)</f>
        <v>6237.93</v>
      </c>
    </row>
    <row r="57">
      <c r="B57" s="20" t="n">
        <v>46216</v>
      </c>
      <c r="C57" s="15">
        <f>SUMIFS(Raw!$E$2:$E$982,Raw!$D$2:$D$982,CatCrit,Raw!$B$2:$B$982,$B57)</f>
        <v>78153.86</v>
      </c>
      <c r="D57" s="15">
        <f>SUMIFS(Raw!$G$2:$G$982,Raw!$D$2:$D$982,CatCrit,Raw!$B$2:$B$982,$B57)</f>
        <v>9964.63</v>
      </c>
    </row>
    <row r="58">
      <c r="B58" s="20" t="n">
        <v>46223</v>
      </c>
      <c r="C58" s="15">
        <f>SUMIFS(Raw!$E$2:$E$982,Raw!$D$2:$D$982,CatCrit,Raw!$B$2:$B$982,$B58)</f>
        <v>59898.92</v>
      </c>
      <c r="D58" s="15">
        <f>SUMIFS(Raw!$G$2:$G$982,Raw!$D$2:$D$982,CatCrit,Raw!$B$2:$B$982,$B58)</f>
        <v>8228.4</v>
      </c>
    </row>
    <row r="59">
      <c r="B59" s="20" t="n">
        <v>46230</v>
      </c>
      <c r="C59" s="15">
        <f>SUMIFS(Raw!$E$2:$E$982,Raw!$D$2:$D$982,CatCrit,Raw!$B$2:$B$982,$B59)</f>
        <v>57560.96</v>
      </c>
      <c r="D59" s="15">
        <f>SUMIFS(Raw!$G$2:$G$982,Raw!$D$2:$D$982,CatCrit,Raw!$B$2:$B$982,$B59)</f>
        <v>7949.12</v>
      </c>
    </row>
    <row r="60">
      <c r="B60" s="20" t="n">
        <v>46237</v>
      </c>
      <c r="C60" s="15">
        <f>SUMIFS(Raw!$E$2:$E$982,Raw!$D$2:$D$982,CatCrit,Raw!$B$2:$B$982,$B60)</f>
        <v>70451.83</v>
      </c>
      <c r="D60" s="15">
        <f>SUMIFS(Raw!$G$2:$G$982,Raw!$D$2:$D$982,CatCrit,Raw!$B$2:$B$982,$B60)</f>
        <v>10602.78</v>
      </c>
    </row>
    <row r="61">
      <c r="B61" s="20" t="n">
        <v>46244</v>
      </c>
      <c r="C61" s="15">
        <f>SUMIFS(Raw!$E$2:$E$982,Raw!$D$2:$D$982,CatCrit,Raw!$B$2:$B$982,$B61)</f>
        <v>47710.75</v>
      </c>
      <c r="D61" s="15">
        <f>SUMIFS(Raw!$G$2:$G$982,Raw!$D$2:$D$982,CatCrit,Raw!$B$2:$B$982,$B61)</f>
        <v>6429.53</v>
      </c>
    </row>
    <row r="62">
      <c r="B62" s="20" t="n">
        <v>46251</v>
      </c>
      <c r="C62" s="15">
        <f>SUMIFS(Raw!$E$2:$E$982,Raw!$D$2:$D$982,CatCrit,Raw!$B$2:$B$982,$B62)</f>
        <v>63322.95</v>
      </c>
      <c r="D62" s="15">
        <f>SUMIFS(Raw!$G$2:$G$982,Raw!$D$2:$D$982,CatCrit,Raw!$B$2:$B$982,$B62)</f>
        <v>9325.67</v>
      </c>
    </row>
    <row r="63">
      <c r="B63" s="20" t="n">
        <v>46258</v>
      </c>
      <c r="C63" s="15">
        <f>SUMIFS(Raw!$E$2:$E$982,Raw!$D$2:$D$982,CatCrit,Raw!$B$2:$B$982,$B63)</f>
        <v>61405.35</v>
      </c>
      <c r="D63" s="15">
        <f>SUMIFS(Raw!$G$2:$G$982,Raw!$D$2:$D$982,CatCrit,Raw!$B$2:$B$982,$B63)</f>
        <v>7637.94</v>
      </c>
    </row>
    <row r="64">
      <c r="B64" s="20" t="n">
        <v>46265</v>
      </c>
      <c r="C64" s="15">
        <f>SUMIFS(Raw!$E$2:$E$982,Raw!$D$2:$D$982,CatCrit,Raw!$B$2:$B$982,$B64)</f>
        <v>54789.96</v>
      </c>
      <c r="D64" s="15">
        <f>SUMIFS(Raw!$G$2:$G$982,Raw!$D$2:$D$982,CatCrit,Raw!$B$2:$B$982,$B64)</f>
        <v>7324.26</v>
      </c>
    </row>
    <row r="65">
      <c r="B65" s="20" t="n">
        <v>46272</v>
      </c>
      <c r="C65" s="15">
        <f>SUMIFS(Raw!$E$2:$E$982,Raw!$D$2:$D$982,CatCrit,Raw!$B$2:$B$982,$B65)</f>
        <v>40567.64</v>
      </c>
      <c r="D65" s="15">
        <f>SUMIFS(Raw!$G$2:$G$982,Raw!$D$2:$D$982,CatCrit,Raw!$B$2:$B$982,$B65)</f>
        <v>5074.64</v>
      </c>
    </row>
    <row r="66">
      <c r="B66" s="20" t="n">
        <v>46279</v>
      </c>
      <c r="C66" s="15">
        <f>SUMIFS(Raw!$E$2:$E$982,Raw!$D$2:$D$982,CatCrit,Raw!$B$2:$B$982,$B66)</f>
        <v>57059.12</v>
      </c>
      <c r="D66" s="15">
        <f>SUMIFS(Raw!$G$2:$G$982,Raw!$D$2:$D$982,CatCrit,Raw!$B$2:$B$982,$B66)</f>
        <v>7802.53</v>
      </c>
    </row>
    <row r="67">
      <c r="B67" s="20" t="n">
        <v>46286</v>
      </c>
      <c r="C67" s="15">
        <f>SUMIFS(Raw!$E$2:$E$982,Raw!$D$2:$D$982,CatCrit,Raw!$B$2:$B$982,$B67)</f>
        <v>40220.22</v>
      </c>
      <c r="D67" s="15">
        <f>SUMIFS(Raw!$G$2:$G$982,Raw!$D$2:$D$982,CatCrit,Raw!$B$2:$B$982,$B67)</f>
        <v>5540.52</v>
      </c>
    </row>
    <row r="68">
      <c r="B68" s="17" t="inlineStr">
        <is>
          <t>Total</t>
        </is>
      </c>
      <c r="C68" s="18">
        <f>SUM(C54:C67)</f>
        <v>726832.47</v>
      </c>
      <c r="D68" s="18">
        <f>SUM(D54:D67)</f>
        <v>99528.29</v>
      </c>
    </row>
  </sheetData>
  <conditionalFormatting sqref="D8:D47">
    <cfRule type="dataBar" priority="1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Gross margin by customer and week</t>
        </is>
      </c>
    </row>
    <row r="6">
      <c r="A6" t="inlineStr">
        <is>
          <t>Row Labels</t>
        </is>
      </c>
      <c r="B6" t="inlineStr">
        <is>
          <t>Gross margin</t>
        </is>
      </c>
    </row>
    <row r="7">
      <c r="A7" t="inlineStr">
        <is>
          <t>City Cafe</t>
        </is>
      </c>
      <c r="B7" s="21" t="n">
        <v>9432.139999999999</v>
      </c>
    </row>
    <row r="8">
      <c r="A8" t="inlineStr">
        <is>
          <t>City Foods</t>
        </is>
      </c>
      <c r="B8" s="21" t="n">
        <v>2447.93</v>
      </c>
    </row>
    <row r="9">
      <c r="A9" t="inlineStr">
        <is>
          <t>City Grocers</t>
        </is>
      </c>
      <c r="B9" s="21" t="n">
        <v>1578</v>
      </c>
    </row>
    <row r="10">
      <c r="A10" t="inlineStr">
        <is>
          <t>City Mart</t>
        </is>
      </c>
      <c r="B10" s="21" t="n">
        <v>2032.96</v>
      </c>
    </row>
    <row r="11">
      <c r="A11" t="inlineStr">
        <is>
          <t>City Superette</t>
        </is>
      </c>
      <c r="B11" s="21" t="n">
        <v>1162.83</v>
      </c>
    </row>
    <row r="12">
      <c r="A12" t="inlineStr">
        <is>
          <t>Coast Cafe</t>
        </is>
      </c>
      <c r="B12" s="21" t="n">
        <v>970.62</v>
      </c>
    </row>
    <row r="13">
      <c r="A13" t="inlineStr">
        <is>
          <t>Coast Foods</t>
        </is>
      </c>
      <c r="B13" s="21" t="n">
        <v>1357.87</v>
      </c>
    </row>
    <row r="14">
      <c r="A14" t="inlineStr">
        <is>
          <t>Coast Grocers</t>
        </is>
      </c>
      <c r="B14" s="21" t="n">
        <v>4447.41</v>
      </c>
    </row>
    <row r="15">
      <c r="A15" t="inlineStr">
        <is>
          <t>Coast Mart</t>
        </is>
      </c>
      <c r="B15" s="21" t="n">
        <v>1295.24</v>
      </c>
    </row>
    <row r="16">
      <c r="A16" t="inlineStr">
        <is>
          <t>Coast Superette</t>
        </is>
      </c>
      <c r="B16" s="21" t="n">
        <v>904.24</v>
      </c>
    </row>
    <row r="17">
      <c r="A17" t="inlineStr">
        <is>
          <t>Harbour Cafe</t>
        </is>
      </c>
      <c r="B17" s="21" t="n">
        <v>477.35</v>
      </c>
    </row>
    <row r="18">
      <c r="A18" t="inlineStr">
        <is>
          <t>Harbour Foods</t>
        </is>
      </c>
      <c r="B18" s="21" t="n">
        <v>2822.22</v>
      </c>
    </row>
    <row r="19">
      <c r="A19" t="inlineStr">
        <is>
          <t>Harbour Grocers</t>
        </is>
      </c>
      <c r="B19" s="21" t="n">
        <v>1280.05</v>
      </c>
    </row>
    <row r="20">
      <c r="A20" t="inlineStr">
        <is>
          <t>Harbour Mart</t>
        </is>
      </c>
      <c r="B20" s="21" t="n">
        <v>3597.8</v>
      </c>
    </row>
    <row r="21">
      <c r="A21" t="inlineStr">
        <is>
          <t>Harbour Superette</t>
        </is>
      </c>
      <c r="B21" s="21" t="n">
        <v>5735.32</v>
      </c>
    </row>
    <row r="22">
      <c r="A22" t="inlineStr">
        <is>
          <t>Kiwi Cafe</t>
        </is>
      </c>
      <c r="B22" s="21" t="n">
        <v>1094.39</v>
      </c>
    </row>
    <row r="23">
      <c r="A23" t="inlineStr">
        <is>
          <t>Kiwi Foods</t>
        </is>
      </c>
      <c r="B23" s="21" t="n">
        <v>465.07</v>
      </c>
    </row>
    <row r="24">
      <c r="A24" t="inlineStr">
        <is>
          <t>Kiwi Grocers</t>
        </is>
      </c>
      <c r="B24" s="21" t="n">
        <v>1286.66</v>
      </c>
    </row>
    <row r="25">
      <c r="A25" t="inlineStr">
        <is>
          <t>Kiwi Mart</t>
        </is>
      </c>
      <c r="B25" s="21" t="n">
        <v>301.16</v>
      </c>
    </row>
    <row r="26">
      <c r="A26" t="inlineStr">
        <is>
          <t>Kiwi Superette</t>
        </is>
      </c>
      <c r="B26" s="21" t="n">
        <v>2391.38</v>
      </c>
    </row>
    <row r="27">
      <c r="A27" t="inlineStr">
        <is>
          <t>Metro Cafe</t>
        </is>
      </c>
      <c r="B27" s="21" t="n">
        <v>3289.95</v>
      </c>
    </row>
    <row r="28">
      <c r="A28" t="inlineStr">
        <is>
          <t>Metro Foods</t>
        </is>
      </c>
      <c r="B28" s="21" t="n">
        <v>2235.44</v>
      </c>
    </row>
    <row r="29">
      <c r="A29" t="inlineStr">
        <is>
          <t>Metro Grocers</t>
        </is>
      </c>
      <c r="B29" s="21" t="n">
        <v>927.67</v>
      </c>
    </row>
    <row r="30">
      <c r="A30" t="inlineStr">
        <is>
          <t>Metro Mart</t>
        </is>
      </c>
      <c r="B30" s="21" t="n">
        <v>2025.11</v>
      </c>
    </row>
    <row r="31">
      <c r="A31" t="inlineStr">
        <is>
          <t>Metro Superette</t>
        </is>
      </c>
      <c r="B31" s="21" t="n">
        <v>1234.74</v>
      </c>
    </row>
    <row r="32">
      <c r="A32" t="inlineStr">
        <is>
          <t>North Cafe</t>
        </is>
      </c>
      <c r="B32" s="21" t="n">
        <v>1010.2</v>
      </c>
    </row>
    <row r="33">
      <c r="A33" t="inlineStr">
        <is>
          <t>North Foods</t>
        </is>
      </c>
      <c r="B33" s="21" t="n">
        <v>4296.71</v>
      </c>
    </row>
    <row r="34">
      <c r="A34" t="inlineStr">
        <is>
          <t>North Grocers</t>
        </is>
      </c>
      <c r="B34" s="21" t="n">
        <v>143.83</v>
      </c>
    </row>
    <row r="35">
      <c r="A35" t="inlineStr">
        <is>
          <t>North Mart</t>
        </is>
      </c>
      <c r="B35" s="21" t="n">
        <v>4394.22</v>
      </c>
    </row>
    <row r="36">
      <c r="A36" t="inlineStr">
        <is>
          <t>North Superette</t>
        </is>
      </c>
      <c r="B36" s="21" t="n">
        <v>1713.29</v>
      </c>
    </row>
    <row r="37">
      <c r="A37" t="inlineStr">
        <is>
          <t>Summit Cafe</t>
        </is>
      </c>
      <c r="B37" s="21" t="n">
        <v>781.6900000000001</v>
      </c>
    </row>
    <row r="38">
      <c r="A38" t="inlineStr">
        <is>
          <t>Summit Foods</t>
        </is>
      </c>
      <c r="B38" s="21" t="n">
        <v>5271</v>
      </c>
    </row>
    <row r="39">
      <c r="A39" t="inlineStr">
        <is>
          <t>Summit Grocers</t>
        </is>
      </c>
      <c r="B39" s="21" t="n">
        <v>1617.94</v>
      </c>
    </row>
    <row r="40">
      <c r="A40" t="inlineStr">
        <is>
          <t>Summit Mart</t>
        </is>
      </c>
      <c r="B40" s="21" t="n">
        <v>1353.1</v>
      </c>
    </row>
    <row r="41">
      <c r="A41" t="inlineStr">
        <is>
          <t>Summit Superette</t>
        </is>
      </c>
      <c r="B41" s="21" t="n">
        <v>603.97</v>
      </c>
    </row>
    <row r="42">
      <c r="A42" t="inlineStr">
        <is>
          <t>Valley Cafe</t>
        </is>
      </c>
      <c r="B42" s="21" t="n">
        <v>5507.88</v>
      </c>
    </row>
    <row r="43">
      <c r="A43" t="inlineStr">
        <is>
          <t>Valley Foods</t>
        </is>
      </c>
      <c r="B43" s="21" t="n">
        <v>4450.11</v>
      </c>
    </row>
    <row r="44">
      <c r="A44" t="inlineStr">
        <is>
          <t>Valley Grocers</t>
        </is>
      </c>
      <c r="B44" s="21" t="n">
        <v>2900.05</v>
      </c>
    </row>
    <row r="45">
      <c r="A45" t="inlineStr">
        <is>
          <t>Valley Mart</t>
        </is>
      </c>
      <c r="B45" s="21" t="n">
        <v>4156.91</v>
      </c>
    </row>
    <row r="46">
      <c r="A46" t="inlineStr">
        <is>
          <t>Valley Superette</t>
        </is>
      </c>
      <c r="B46" s="21" t="n">
        <v>6533.84</v>
      </c>
    </row>
    <row r="47">
      <c r="A47" t="inlineStr">
        <is>
          <t>Grand Total</t>
        </is>
      </c>
      <c r="B47" s="21" t="n">
        <v>99528.29000000001</v>
      </c>
    </row>
    <row r="51">
      <c r="A51" s="12" t="inlineStr">
        <is>
          <t>Revenue by week</t>
        </is>
      </c>
    </row>
    <row r="52">
      <c r="A52" t="inlineStr">
        <is>
          <t>Row Labels</t>
        </is>
      </c>
      <c r="B52" t="inlineStr">
        <is>
          <t>Revenue</t>
        </is>
      </c>
    </row>
    <row r="53">
      <c r="A53" t="inlineStr">
        <is>
          <t>2026-06-22</t>
        </is>
      </c>
      <c r="B53" s="21" t="n">
        <v>16182.49</v>
      </c>
    </row>
    <row r="54">
      <c r="A54" t="inlineStr">
        <is>
          <t>2026-06-29</t>
        </is>
      </c>
      <c r="B54" s="21" t="n">
        <v>38661.36</v>
      </c>
    </row>
    <row r="55">
      <c r="A55" t="inlineStr">
        <is>
          <t>2026-07-06</t>
        </is>
      </c>
      <c r="B55" s="21" t="n">
        <v>40847.06</v>
      </c>
    </row>
    <row r="56">
      <c r="A56" t="inlineStr">
        <is>
          <t>2026-07-13</t>
        </is>
      </c>
      <c r="B56" s="21" t="n">
        <v>78153.86</v>
      </c>
    </row>
    <row r="57">
      <c r="A57" t="inlineStr">
        <is>
          <t>2026-07-20</t>
        </is>
      </c>
      <c r="B57" s="21" t="n">
        <v>59898.92000000001</v>
      </c>
    </row>
    <row r="58">
      <c r="A58" t="inlineStr">
        <is>
          <t>2026-07-27</t>
        </is>
      </c>
      <c r="B58" s="21" t="n">
        <v>57560.96</v>
      </c>
    </row>
    <row r="59">
      <c r="A59" t="inlineStr">
        <is>
          <t>2026-08-03</t>
        </is>
      </c>
      <c r="B59" s="21" t="n">
        <v>70451.83</v>
      </c>
    </row>
    <row r="60">
      <c r="A60" t="inlineStr">
        <is>
          <t>2026-08-10</t>
        </is>
      </c>
      <c r="B60" s="21" t="n">
        <v>47710.75</v>
      </c>
    </row>
    <row r="61">
      <c r="A61" t="inlineStr">
        <is>
          <t>2026-08-17</t>
        </is>
      </c>
      <c r="B61" s="21" t="n">
        <v>63322.95</v>
      </c>
    </row>
    <row r="62">
      <c r="A62" t="inlineStr">
        <is>
          <t>2026-08-24</t>
        </is>
      </c>
      <c r="B62" s="21" t="n">
        <v>61405.35</v>
      </c>
    </row>
    <row r="63">
      <c r="A63" t="inlineStr">
        <is>
          <t>2026-08-31</t>
        </is>
      </c>
      <c r="B63" s="21" t="n">
        <v>54789.96</v>
      </c>
    </row>
    <row r="64">
      <c r="A64" t="inlineStr">
        <is>
          <t>2026-09-07</t>
        </is>
      </c>
      <c r="B64" s="21" t="n">
        <v>40567.64</v>
      </c>
    </row>
    <row r="65">
      <c r="A65" t="inlineStr">
        <is>
          <t>2026-09-14</t>
        </is>
      </c>
      <c r="B65" s="21" t="n">
        <v>57059.12</v>
      </c>
    </row>
    <row r="66">
      <c r="A66" t="inlineStr">
        <is>
          <t>2026-09-21</t>
        </is>
      </c>
      <c r="B66" s="21" t="n">
        <v>40220.22</v>
      </c>
    </row>
    <row r="67">
      <c r="A67" t="inlineStr">
        <is>
          <t>Grand Total</t>
        </is>
      </c>
      <c r="B67" s="21" t="n">
        <v>726832.47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G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22" t="inlineStr">
        <is>
          <t>Date</t>
        </is>
      </c>
      <c r="B1" s="22" t="inlineStr">
        <is>
          <t>Week</t>
        </is>
      </c>
      <c r="C1" s="22" t="inlineStr">
        <is>
          <t>Order</t>
        </is>
      </c>
      <c r="D1" s="22" t="inlineStr">
        <is>
          <t>Customer</t>
        </is>
      </c>
      <c r="E1" s="22" t="inlineStr">
        <is>
          <t>Revenue</t>
        </is>
      </c>
      <c r="F1" s="22" t="inlineStr">
        <is>
          <t>Cost</t>
        </is>
      </c>
      <c r="G1" s="22" t="inlineStr">
        <is>
          <t>Gross margin</t>
        </is>
      </c>
    </row>
    <row r="2">
      <c r="A2" s="23" t="n">
        <v>46236</v>
      </c>
      <c r="B2" s="23" t="n">
        <v>46230</v>
      </c>
      <c r="C2" s="24" t="inlineStr">
        <is>
          <t>C001-0</t>
        </is>
      </c>
      <c r="D2" s="24" t="inlineStr">
        <is>
          <t>Kiwi Foods</t>
        </is>
      </c>
      <c r="E2" s="25" t="n">
        <v>59.53</v>
      </c>
      <c r="F2" s="25" t="n">
        <v>52.87</v>
      </c>
      <c r="G2" s="25" t="n">
        <v>6.66</v>
      </c>
    </row>
    <row r="3">
      <c r="A3" s="23" t="n">
        <v>46207</v>
      </c>
      <c r="B3" s="23" t="n">
        <v>46202</v>
      </c>
      <c r="C3" s="24" t="inlineStr">
        <is>
          <t>C001-1</t>
        </is>
      </c>
      <c r="D3" s="24" t="inlineStr">
        <is>
          <t>Kiwi Foods</t>
        </is>
      </c>
      <c r="E3" s="25" t="n">
        <v>74.19</v>
      </c>
      <c r="F3" s="25" t="n">
        <v>65.89</v>
      </c>
      <c r="G3" s="25" t="n">
        <v>8.300000000000001</v>
      </c>
    </row>
    <row r="4">
      <c r="A4" s="23" t="n">
        <v>46244</v>
      </c>
      <c r="B4" s="23" t="n">
        <v>46244</v>
      </c>
      <c r="C4" s="24" t="inlineStr">
        <is>
          <t>C001-2</t>
        </is>
      </c>
      <c r="D4" s="24" t="inlineStr">
        <is>
          <t>Kiwi Foods</t>
        </is>
      </c>
      <c r="E4" s="25" t="n">
        <v>94.17</v>
      </c>
      <c r="F4" s="25" t="n">
        <v>83.63</v>
      </c>
      <c r="G4" s="25" t="n">
        <v>10.54</v>
      </c>
    </row>
    <row r="5">
      <c r="A5" s="23" t="n">
        <v>46244</v>
      </c>
      <c r="B5" s="23" t="n">
        <v>46244</v>
      </c>
      <c r="C5" s="24" t="inlineStr">
        <is>
          <t>C001-3</t>
        </is>
      </c>
      <c r="D5" s="24" t="inlineStr">
        <is>
          <t>Kiwi Foods</t>
        </is>
      </c>
      <c r="E5" s="25" t="n">
        <v>63.29</v>
      </c>
      <c r="F5" s="25" t="n">
        <v>56.2</v>
      </c>
      <c r="G5" s="25" t="n">
        <v>7.09</v>
      </c>
    </row>
    <row r="6">
      <c r="A6" s="23" t="n">
        <v>46241</v>
      </c>
      <c r="B6" s="23" t="n">
        <v>46237</v>
      </c>
      <c r="C6" s="24" t="inlineStr">
        <is>
          <t>C001-4</t>
        </is>
      </c>
      <c r="D6" s="24" t="inlineStr">
        <is>
          <t>Kiwi Foods</t>
        </is>
      </c>
      <c r="E6" s="25" t="n">
        <v>65.33</v>
      </c>
      <c r="F6" s="25" t="n">
        <v>58.02</v>
      </c>
      <c r="G6" s="25" t="n">
        <v>7.31</v>
      </c>
    </row>
    <row r="7">
      <c r="A7" s="23" t="n">
        <v>46218</v>
      </c>
      <c r="B7" s="23" t="n">
        <v>46216</v>
      </c>
      <c r="C7" s="24" t="inlineStr">
        <is>
          <t>C001-5</t>
        </is>
      </c>
      <c r="D7" s="24" t="inlineStr">
        <is>
          <t>Kiwi Foods</t>
        </is>
      </c>
      <c r="E7" s="25" t="n">
        <v>68.09999999999999</v>
      </c>
      <c r="F7" s="25" t="n">
        <v>60.48</v>
      </c>
      <c r="G7" s="25" t="n">
        <v>7.62</v>
      </c>
    </row>
    <row r="8">
      <c r="A8" s="23" t="n">
        <v>46283</v>
      </c>
      <c r="B8" s="23" t="n">
        <v>46279</v>
      </c>
      <c r="C8" s="24" t="inlineStr">
        <is>
          <t>C001-6</t>
        </is>
      </c>
      <c r="D8" s="24" t="inlineStr">
        <is>
          <t>Kiwi Foods</t>
        </is>
      </c>
      <c r="E8" s="25" t="n">
        <v>63.13</v>
      </c>
      <c r="F8" s="25" t="n">
        <v>56.07</v>
      </c>
      <c r="G8" s="25" t="n">
        <v>7.06</v>
      </c>
    </row>
    <row r="9">
      <c r="A9" s="23" t="n">
        <v>46209</v>
      </c>
      <c r="B9" s="23" t="n">
        <v>46209</v>
      </c>
      <c r="C9" s="24" t="inlineStr">
        <is>
          <t>C001-7</t>
        </is>
      </c>
      <c r="D9" s="24" t="inlineStr">
        <is>
          <t>Kiwi Foods</t>
        </is>
      </c>
      <c r="E9" s="25" t="n">
        <v>109.8</v>
      </c>
      <c r="F9" s="25" t="n">
        <v>97.52</v>
      </c>
      <c r="G9" s="25" t="n">
        <v>12.28</v>
      </c>
    </row>
    <row r="10">
      <c r="A10" s="23" t="n">
        <v>46228</v>
      </c>
      <c r="B10" s="23" t="n">
        <v>46223</v>
      </c>
      <c r="C10" s="24" t="inlineStr">
        <is>
          <t>C001-8</t>
        </is>
      </c>
      <c r="D10" s="24" t="inlineStr">
        <is>
          <t>Kiwi Foods</t>
        </is>
      </c>
      <c r="E10" s="25" t="n">
        <v>80.20999999999999</v>
      </c>
      <c r="F10" s="25" t="n">
        <v>71.23</v>
      </c>
      <c r="G10" s="25" t="n">
        <v>8.98</v>
      </c>
    </row>
    <row r="11">
      <c r="A11" s="23" t="n">
        <v>46228</v>
      </c>
      <c r="B11" s="23" t="n">
        <v>46223</v>
      </c>
      <c r="C11" s="24" t="inlineStr">
        <is>
          <t>C001-9</t>
        </is>
      </c>
      <c r="D11" s="24" t="inlineStr">
        <is>
          <t>Kiwi Foods</t>
        </is>
      </c>
      <c r="E11" s="25" t="n">
        <v>70.19</v>
      </c>
      <c r="F11" s="25" t="n">
        <v>62.34</v>
      </c>
      <c r="G11" s="25" t="n">
        <v>7.85</v>
      </c>
    </row>
    <row r="12">
      <c r="A12" s="23" t="n">
        <v>46262</v>
      </c>
      <c r="B12" s="23" t="n">
        <v>46258</v>
      </c>
      <c r="C12" s="24" t="inlineStr">
        <is>
          <t>C001-10</t>
        </is>
      </c>
      <c r="D12" s="24" t="inlineStr">
        <is>
          <t>Kiwi Foods</t>
        </is>
      </c>
      <c r="E12" s="25" t="n">
        <v>80.64</v>
      </c>
      <c r="F12" s="25" t="n">
        <v>71.62</v>
      </c>
      <c r="G12" s="25" t="n">
        <v>9.02</v>
      </c>
    </row>
    <row r="13">
      <c r="A13" s="23" t="n">
        <v>46279</v>
      </c>
      <c r="B13" s="23" t="n">
        <v>46279</v>
      </c>
      <c r="C13" s="24" t="inlineStr">
        <is>
          <t>C001-11</t>
        </is>
      </c>
      <c r="D13" s="24" t="inlineStr">
        <is>
          <t>Kiwi Foods</t>
        </is>
      </c>
      <c r="E13" s="25" t="n">
        <v>109.12</v>
      </c>
      <c r="F13" s="25" t="n">
        <v>96.91</v>
      </c>
      <c r="G13" s="25" t="n">
        <v>12.21</v>
      </c>
    </row>
    <row r="14">
      <c r="A14" s="23" t="n">
        <v>46288</v>
      </c>
      <c r="B14" s="23" t="n">
        <v>46286</v>
      </c>
      <c r="C14" s="24" t="inlineStr">
        <is>
          <t>C001-12</t>
        </is>
      </c>
      <c r="D14" s="24" t="inlineStr">
        <is>
          <t>Kiwi Foods</t>
        </is>
      </c>
      <c r="E14" s="25" t="n">
        <v>69.15000000000001</v>
      </c>
      <c r="F14" s="25" t="n">
        <v>61.41</v>
      </c>
      <c r="G14" s="25" t="n">
        <v>7.74</v>
      </c>
    </row>
    <row r="15">
      <c r="A15" s="23" t="n">
        <v>46225</v>
      </c>
      <c r="B15" s="23" t="n">
        <v>46223</v>
      </c>
      <c r="C15" s="24" t="inlineStr">
        <is>
          <t>C001-13</t>
        </is>
      </c>
      <c r="D15" s="24" t="inlineStr">
        <is>
          <t>Kiwi Foods</t>
        </is>
      </c>
      <c r="E15" s="25" t="n">
        <v>66.84</v>
      </c>
      <c r="F15" s="25" t="n">
        <v>59.36</v>
      </c>
      <c r="G15" s="25" t="n">
        <v>7.48</v>
      </c>
    </row>
    <row r="16">
      <c r="A16" s="23" t="n">
        <v>46202</v>
      </c>
      <c r="B16" s="23" t="n">
        <v>46202</v>
      </c>
      <c r="C16" s="24" t="inlineStr">
        <is>
          <t>C001-14</t>
        </is>
      </c>
      <c r="D16" s="24" t="inlineStr">
        <is>
          <t>Kiwi Foods</t>
        </is>
      </c>
      <c r="E16" s="25" t="n">
        <v>70.56999999999999</v>
      </c>
      <c r="F16" s="25" t="n">
        <v>62.67</v>
      </c>
      <c r="G16" s="25" t="n">
        <v>7.9</v>
      </c>
    </row>
    <row r="17">
      <c r="A17" s="23" t="n">
        <v>46223</v>
      </c>
      <c r="B17" s="23" t="n">
        <v>46223</v>
      </c>
      <c r="C17" s="24" t="inlineStr">
        <is>
          <t>C001-15</t>
        </is>
      </c>
      <c r="D17" s="24" t="inlineStr">
        <is>
          <t>Kiwi Foods</t>
        </is>
      </c>
      <c r="E17" s="25" t="n">
        <v>98.91</v>
      </c>
      <c r="F17" s="25" t="n">
        <v>87.84</v>
      </c>
      <c r="G17" s="25" t="n">
        <v>11.07</v>
      </c>
    </row>
    <row r="18">
      <c r="A18" s="23" t="n">
        <v>46241</v>
      </c>
      <c r="B18" s="23" t="n">
        <v>46237</v>
      </c>
      <c r="C18" s="24" t="inlineStr">
        <is>
          <t>C001-16</t>
        </is>
      </c>
      <c r="D18" s="24" t="inlineStr">
        <is>
          <t>Kiwi Foods</t>
        </is>
      </c>
      <c r="E18" s="25" t="n">
        <v>111.22</v>
      </c>
      <c r="F18" s="25" t="n">
        <v>98.78</v>
      </c>
      <c r="G18" s="25" t="n">
        <v>12.44</v>
      </c>
    </row>
    <row r="19">
      <c r="A19" s="23" t="n">
        <v>46277</v>
      </c>
      <c r="B19" s="23" t="n">
        <v>46272</v>
      </c>
      <c r="C19" s="24" t="inlineStr">
        <is>
          <t>C001-17</t>
        </is>
      </c>
      <c r="D19" s="24" t="inlineStr">
        <is>
          <t>Kiwi Foods</t>
        </is>
      </c>
      <c r="E19" s="25" t="n">
        <v>101.86</v>
      </c>
      <c r="F19" s="25" t="n">
        <v>90.45999999999999</v>
      </c>
      <c r="G19" s="25" t="n">
        <v>11.4</v>
      </c>
    </row>
    <row r="20">
      <c r="A20" s="23" t="n">
        <v>46210</v>
      </c>
      <c r="B20" s="23" t="n">
        <v>46209</v>
      </c>
      <c r="C20" s="24" t="inlineStr">
        <is>
          <t>C001-18</t>
        </is>
      </c>
      <c r="D20" s="24" t="inlineStr">
        <is>
          <t>Kiwi Foods</t>
        </is>
      </c>
      <c r="E20" s="25" t="n">
        <v>115.95</v>
      </c>
      <c r="F20" s="25" t="n">
        <v>102.97</v>
      </c>
      <c r="G20" s="25" t="n">
        <v>12.98</v>
      </c>
    </row>
    <row r="21">
      <c r="A21" s="23" t="n">
        <v>46278</v>
      </c>
      <c r="B21" s="23" t="n">
        <v>46272</v>
      </c>
      <c r="C21" s="24" t="inlineStr">
        <is>
          <t>C001-19</t>
        </is>
      </c>
      <c r="D21" s="24" t="inlineStr">
        <is>
          <t>Kiwi Foods</t>
        </is>
      </c>
      <c r="E21" s="25" t="n">
        <v>91.92</v>
      </c>
      <c r="F21" s="25" t="n">
        <v>81.63</v>
      </c>
      <c r="G21" s="25" t="n">
        <v>10.29</v>
      </c>
    </row>
    <row r="22">
      <c r="A22" s="23" t="n">
        <v>46276</v>
      </c>
      <c r="B22" s="23" t="n">
        <v>46272</v>
      </c>
      <c r="C22" s="24" t="inlineStr">
        <is>
          <t>C001-20</t>
        </is>
      </c>
      <c r="D22" s="24" t="inlineStr">
        <is>
          <t>Kiwi Foods</t>
        </is>
      </c>
      <c r="E22" s="25" t="n">
        <v>52.29</v>
      </c>
      <c r="F22" s="25" t="n">
        <v>46.44</v>
      </c>
      <c r="G22" s="25" t="n">
        <v>5.85</v>
      </c>
    </row>
    <row r="23">
      <c r="A23" s="23" t="n">
        <v>46280</v>
      </c>
      <c r="B23" s="23" t="n">
        <v>46279</v>
      </c>
      <c r="C23" s="24" t="inlineStr">
        <is>
          <t>C001-21</t>
        </is>
      </c>
      <c r="D23" s="24" t="inlineStr">
        <is>
          <t>Kiwi Foods</t>
        </is>
      </c>
      <c r="E23" s="25" t="n">
        <v>73.06999999999999</v>
      </c>
      <c r="F23" s="25" t="n">
        <v>64.89</v>
      </c>
      <c r="G23" s="25" t="n">
        <v>8.18</v>
      </c>
    </row>
    <row r="24">
      <c r="A24" s="23" t="n">
        <v>46279</v>
      </c>
      <c r="B24" s="23" t="n">
        <v>46279</v>
      </c>
      <c r="C24" s="24" t="inlineStr">
        <is>
          <t>C001-22</t>
        </is>
      </c>
      <c r="D24" s="24" t="inlineStr">
        <is>
          <t>Kiwi Foods</t>
        </is>
      </c>
      <c r="E24" s="25" t="n">
        <v>55.44</v>
      </c>
      <c r="F24" s="25" t="n">
        <v>49.24</v>
      </c>
      <c r="G24" s="25" t="n">
        <v>6.2</v>
      </c>
    </row>
    <row r="25">
      <c r="A25" s="23" t="n">
        <v>46240</v>
      </c>
      <c r="B25" s="23" t="n">
        <v>46237</v>
      </c>
      <c r="C25" s="24" t="inlineStr">
        <is>
          <t>C001-23</t>
        </is>
      </c>
      <c r="D25" s="24" t="inlineStr">
        <is>
          <t>Kiwi Foods</t>
        </is>
      </c>
      <c r="E25" s="25" t="n">
        <v>103.19</v>
      </c>
      <c r="F25" s="25" t="n">
        <v>91.64</v>
      </c>
      <c r="G25" s="25" t="n">
        <v>11.55</v>
      </c>
    </row>
    <row r="26">
      <c r="A26" s="23" t="n">
        <v>46229</v>
      </c>
      <c r="B26" s="23" t="n">
        <v>46223</v>
      </c>
      <c r="C26" s="24" t="inlineStr">
        <is>
          <t>C001-24</t>
        </is>
      </c>
      <c r="D26" s="24" t="inlineStr">
        <is>
          <t>Kiwi Foods</t>
        </is>
      </c>
      <c r="E26" s="25" t="n">
        <v>97.37</v>
      </c>
      <c r="F26" s="25" t="n">
        <v>86.48</v>
      </c>
      <c r="G26" s="25" t="n">
        <v>10.89</v>
      </c>
    </row>
    <row r="27">
      <c r="A27" s="23" t="n">
        <v>46218</v>
      </c>
      <c r="B27" s="23" t="n">
        <v>46216</v>
      </c>
      <c r="C27" s="24" t="inlineStr">
        <is>
          <t>C001-25</t>
        </is>
      </c>
      <c r="D27" s="24" t="inlineStr">
        <is>
          <t>Kiwi Foods</t>
        </is>
      </c>
      <c r="E27" s="25" t="n">
        <v>66.25</v>
      </c>
      <c r="F27" s="25" t="n">
        <v>58.83</v>
      </c>
      <c r="G27" s="25" t="n">
        <v>7.42</v>
      </c>
    </row>
    <row r="28">
      <c r="A28" s="23" t="n">
        <v>46278</v>
      </c>
      <c r="B28" s="23" t="n">
        <v>46272</v>
      </c>
      <c r="C28" s="24" t="inlineStr">
        <is>
          <t>C001-26</t>
        </is>
      </c>
      <c r="D28" s="24" t="inlineStr">
        <is>
          <t>Kiwi Foods</t>
        </is>
      </c>
      <c r="E28" s="25" t="n">
        <v>89.67</v>
      </c>
      <c r="F28" s="25" t="n">
        <v>79.64</v>
      </c>
      <c r="G28" s="25" t="n">
        <v>10.03</v>
      </c>
    </row>
    <row r="29">
      <c r="A29" s="23" t="n">
        <v>46269</v>
      </c>
      <c r="B29" s="23" t="n">
        <v>46265</v>
      </c>
      <c r="C29" s="24" t="inlineStr">
        <is>
          <t>C001-27</t>
        </is>
      </c>
      <c r="D29" s="24" t="inlineStr">
        <is>
          <t>Kiwi Foods</t>
        </is>
      </c>
      <c r="E29" s="25" t="n">
        <v>102.69</v>
      </c>
      <c r="F29" s="25" t="n">
        <v>91.2</v>
      </c>
      <c r="G29" s="25" t="n">
        <v>11.49</v>
      </c>
    </row>
    <row r="30">
      <c r="A30" s="23" t="n">
        <v>46253</v>
      </c>
      <c r="B30" s="23" t="n">
        <v>46251</v>
      </c>
      <c r="C30" s="24" t="inlineStr">
        <is>
          <t>C001-28</t>
        </is>
      </c>
      <c r="D30" s="24" t="inlineStr">
        <is>
          <t>Kiwi Foods</t>
        </is>
      </c>
      <c r="E30" s="25" t="n">
        <v>66.81</v>
      </c>
      <c r="F30" s="25" t="n">
        <v>59.33</v>
      </c>
      <c r="G30" s="25" t="n">
        <v>7.48</v>
      </c>
    </row>
    <row r="31">
      <c r="A31" s="23" t="n">
        <v>46202</v>
      </c>
      <c r="B31" s="23" t="n">
        <v>46202</v>
      </c>
      <c r="C31" s="24" t="inlineStr">
        <is>
          <t>C001-29</t>
        </is>
      </c>
      <c r="D31" s="24" t="inlineStr">
        <is>
          <t>Kiwi Foods</t>
        </is>
      </c>
      <c r="E31" s="25" t="n">
        <v>102.72</v>
      </c>
      <c r="F31" s="25" t="n">
        <v>91.22</v>
      </c>
      <c r="G31" s="25" t="n">
        <v>11.5</v>
      </c>
    </row>
    <row r="32">
      <c r="A32" s="23" t="n">
        <v>46220</v>
      </c>
      <c r="B32" s="23" t="n">
        <v>46216</v>
      </c>
      <c r="C32" s="24" t="inlineStr">
        <is>
          <t>C001-30</t>
        </is>
      </c>
      <c r="D32" s="24" t="inlineStr">
        <is>
          <t>Kiwi Foods</t>
        </is>
      </c>
      <c r="E32" s="25" t="n">
        <v>69.54000000000001</v>
      </c>
      <c r="F32" s="25" t="n">
        <v>61.75</v>
      </c>
      <c r="G32" s="25" t="n">
        <v>7.79</v>
      </c>
    </row>
    <row r="33">
      <c r="A33" s="23" t="n">
        <v>46232</v>
      </c>
      <c r="B33" s="23" t="n">
        <v>46230</v>
      </c>
      <c r="C33" s="24" t="inlineStr">
        <is>
          <t>C001-31</t>
        </is>
      </c>
      <c r="D33" s="24" t="inlineStr">
        <is>
          <t>Kiwi Foods</t>
        </is>
      </c>
      <c r="E33" s="25" t="n">
        <v>59.89</v>
      </c>
      <c r="F33" s="25" t="n">
        <v>53.19</v>
      </c>
      <c r="G33" s="25" t="n">
        <v>6.7</v>
      </c>
    </row>
    <row r="34">
      <c r="A34" s="23" t="n">
        <v>46212</v>
      </c>
      <c r="B34" s="23" t="n">
        <v>46209</v>
      </c>
      <c r="C34" s="24" t="inlineStr">
        <is>
          <t>C001-32</t>
        </is>
      </c>
      <c r="D34" s="24" t="inlineStr">
        <is>
          <t>Kiwi Foods</t>
        </is>
      </c>
      <c r="E34" s="25" t="n">
        <v>101.64</v>
      </c>
      <c r="F34" s="25" t="n">
        <v>90.26000000000001</v>
      </c>
      <c r="G34" s="25" t="n">
        <v>11.38</v>
      </c>
    </row>
    <row r="35">
      <c r="A35" s="23" t="n">
        <v>46250</v>
      </c>
      <c r="B35" s="23" t="n">
        <v>46244</v>
      </c>
      <c r="C35" s="24" t="inlineStr">
        <is>
          <t>C001-33</t>
        </is>
      </c>
      <c r="D35" s="24" t="inlineStr">
        <is>
          <t>Kiwi Foods</t>
        </is>
      </c>
      <c r="E35" s="25" t="n">
        <v>103.74</v>
      </c>
      <c r="F35" s="25" t="n">
        <v>92.13</v>
      </c>
      <c r="G35" s="25" t="n">
        <v>11.61</v>
      </c>
    </row>
    <row r="36">
      <c r="A36" s="23" t="n">
        <v>46227</v>
      </c>
      <c r="B36" s="23" t="n">
        <v>46223</v>
      </c>
      <c r="C36" s="24" t="inlineStr">
        <is>
          <t>C001-34</t>
        </is>
      </c>
      <c r="D36" s="24" t="inlineStr">
        <is>
          <t>Kiwi Foods</t>
        </is>
      </c>
      <c r="E36" s="25" t="n">
        <v>56.91</v>
      </c>
      <c r="F36" s="25" t="n">
        <v>50.54</v>
      </c>
      <c r="G36" s="25" t="n">
        <v>6.37</v>
      </c>
    </row>
    <row r="37">
      <c r="A37" s="23" t="n">
        <v>46212</v>
      </c>
      <c r="B37" s="23" t="n">
        <v>46209</v>
      </c>
      <c r="C37" s="24" t="inlineStr">
        <is>
          <t>C001-35</t>
        </is>
      </c>
      <c r="D37" s="24" t="inlineStr">
        <is>
          <t>Kiwi Foods</t>
        </is>
      </c>
      <c r="E37" s="25" t="n">
        <v>79.89</v>
      </c>
      <c r="F37" s="25" t="n">
        <v>70.95</v>
      </c>
      <c r="G37" s="25" t="n">
        <v>8.94</v>
      </c>
    </row>
    <row r="38">
      <c r="A38" s="23" t="n">
        <v>46252</v>
      </c>
      <c r="B38" s="23" t="n">
        <v>46251</v>
      </c>
      <c r="C38" s="24" t="inlineStr">
        <is>
          <t>C001-36</t>
        </is>
      </c>
      <c r="D38" s="24" t="inlineStr">
        <is>
          <t>Kiwi Foods</t>
        </is>
      </c>
      <c r="E38" s="25" t="n">
        <v>77.16</v>
      </c>
      <c r="F38" s="25" t="n">
        <v>68.52</v>
      </c>
      <c r="G38" s="25" t="n">
        <v>8.640000000000001</v>
      </c>
    </row>
    <row r="39">
      <c r="A39" s="23" t="n">
        <v>46243</v>
      </c>
      <c r="B39" s="23" t="n">
        <v>46237</v>
      </c>
      <c r="C39" s="24" t="inlineStr">
        <is>
          <t>C001-37</t>
        </is>
      </c>
      <c r="D39" s="24" t="inlineStr">
        <is>
          <t>Kiwi Foods</t>
        </is>
      </c>
      <c r="E39" s="25" t="n">
        <v>106.89</v>
      </c>
      <c r="F39" s="25" t="n">
        <v>94.92</v>
      </c>
      <c r="G39" s="25" t="n">
        <v>11.97</v>
      </c>
    </row>
    <row r="40">
      <c r="A40" s="23" t="n">
        <v>46275</v>
      </c>
      <c r="B40" s="23" t="n">
        <v>46272</v>
      </c>
      <c r="C40" s="24" t="inlineStr">
        <is>
          <t>C001-38</t>
        </is>
      </c>
      <c r="D40" s="24" t="inlineStr">
        <is>
          <t>Kiwi Foods</t>
        </is>
      </c>
      <c r="E40" s="25" t="n">
        <v>52.66</v>
      </c>
      <c r="F40" s="25" t="n">
        <v>46.77</v>
      </c>
      <c r="G40" s="25" t="n">
        <v>5.89</v>
      </c>
    </row>
    <row r="41">
      <c r="A41" s="23" t="n">
        <v>46201</v>
      </c>
      <c r="B41" s="23" t="n">
        <v>46195</v>
      </c>
      <c r="C41" s="24" t="inlineStr">
        <is>
          <t>C001-39</t>
        </is>
      </c>
      <c r="D41" s="24" t="inlineStr">
        <is>
          <t>Kiwi Foods</t>
        </is>
      </c>
      <c r="E41" s="25" t="n">
        <v>97.08</v>
      </c>
      <c r="F41" s="25" t="n">
        <v>86.20999999999999</v>
      </c>
      <c r="G41" s="25" t="n">
        <v>10.87</v>
      </c>
    </row>
    <row r="42">
      <c r="A42" s="23" t="n">
        <v>46242</v>
      </c>
      <c r="B42" s="23" t="n">
        <v>46237</v>
      </c>
      <c r="C42" s="24" t="inlineStr">
        <is>
          <t>C001-40</t>
        </is>
      </c>
      <c r="D42" s="24" t="inlineStr">
        <is>
          <t>Kiwi Foods</t>
        </is>
      </c>
      <c r="E42" s="25" t="n">
        <v>78.65000000000001</v>
      </c>
      <c r="F42" s="25" t="n">
        <v>69.84999999999999</v>
      </c>
      <c r="G42" s="25" t="n">
        <v>8.800000000000001</v>
      </c>
    </row>
    <row r="43">
      <c r="A43" s="23" t="n">
        <v>46254</v>
      </c>
      <c r="B43" s="23" t="n">
        <v>46251</v>
      </c>
      <c r="C43" s="24" t="inlineStr">
        <is>
          <t>C001-41</t>
        </is>
      </c>
      <c r="D43" s="24" t="inlineStr">
        <is>
          <t>Kiwi Foods</t>
        </is>
      </c>
      <c r="E43" s="25" t="n">
        <v>73.75</v>
      </c>
      <c r="F43" s="25" t="n">
        <v>65.5</v>
      </c>
      <c r="G43" s="25" t="n">
        <v>8.25</v>
      </c>
    </row>
    <row r="44">
      <c r="A44" s="23" t="n">
        <v>46245</v>
      </c>
      <c r="B44" s="23" t="n">
        <v>46244</v>
      </c>
      <c r="C44" s="24" t="inlineStr">
        <is>
          <t>C001-42</t>
        </is>
      </c>
      <c r="D44" s="24" t="inlineStr">
        <is>
          <t>Kiwi Foods</t>
        </is>
      </c>
      <c r="E44" s="25" t="n">
        <v>98.73999999999999</v>
      </c>
      <c r="F44" s="25" t="n">
        <v>87.69</v>
      </c>
      <c r="G44" s="25" t="n">
        <v>11.05</v>
      </c>
    </row>
    <row r="45">
      <c r="A45" s="23" t="n">
        <v>46236</v>
      </c>
      <c r="B45" s="23" t="n">
        <v>46230</v>
      </c>
      <c r="C45" s="24" t="inlineStr">
        <is>
          <t>C001-43</t>
        </is>
      </c>
      <c r="D45" s="24" t="inlineStr">
        <is>
          <t>Kiwi Foods</t>
        </is>
      </c>
      <c r="E45" s="25" t="n">
        <v>110.39</v>
      </c>
      <c r="F45" s="25" t="n">
        <v>98.04000000000001</v>
      </c>
      <c r="G45" s="25" t="n">
        <v>12.35</v>
      </c>
    </row>
    <row r="46">
      <c r="A46" s="23" t="n">
        <v>46258</v>
      </c>
      <c r="B46" s="23" t="n">
        <v>46258</v>
      </c>
      <c r="C46" s="24" t="inlineStr">
        <is>
          <t>C001-44</t>
        </is>
      </c>
      <c r="D46" s="24" t="inlineStr">
        <is>
          <t>Kiwi Foods</t>
        </is>
      </c>
      <c r="E46" s="25" t="n">
        <v>99.19</v>
      </c>
      <c r="F46" s="25" t="n">
        <v>88.09</v>
      </c>
      <c r="G46" s="25" t="n">
        <v>11.1</v>
      </c>
    </row>
    <row r="47">
      <c r="A47" s="23" t="n">
        <v>46258</v>
      </c>
      <c r="B47" s="23" t="n">
        <v>46258</v>
      </c>
      <c r="C47" s="24" t="inlineStr">
        <is>
          <t>C001-45</t>
        </is>
      </c>
      <c r="D47" s="24" t="inlineStr">
        <is>
          <t>Kiwi Foods</t>
        </is>
      </c>
      <c r="E47" s="25" t="n">
        <v>103.38</v>
      </c>
      <c r="F47" s="25" t="n">
        <v>91.81</v>
      </c>
      <c r="G47" s="25" t="n">
        <v>11.57</v>
      </c>
    </row>
    <row r="48">
      <c r="A48" s="23" t="n">
        <v>46208</v>
      </c>
      <c r="B48" s="23" t="n">
        <v>46202</v>
      </c>
      <c r="C48" s="24" t="inlineStr">
        <is>
          <t>C001-46</t>
        </is>
      </c>
      <c r="D48" s="24" t="inlineStr">
        <is>
          <t>Kiwi Foods</t>
        </is>
      </c>
      <c r="E48" s="25" t="n">
        <v>107.43</v>
      </c>
      <c r="F48" s="25" t="n">
        <v>95.41</v>
      </c>
      <c r="G48" s="25" t="n">
        <v>12.02</v>
      </c>
    </row>
    <row r="49">
      <c r="A49" s="23" t="n">
        <v>46203</v>
      </c>
      <c r="B49" s="23" t="n">
        <v>46202</v>
      </c>
      <c r="C49" s="24" t="inlineStr">
        <is>
          <t>C001-47</t>
        </is>
      </c>
      <c r="D49" s="24" t="inlineStr">
        <is>
          <t>Kiwi Foods</t>
        </is>
      </c>
      <c r="E49" s="25" t="n">
        <v>61.87</v>
      </c>
      <c r="F49" s="25" t="n">
        <v>54.95</v>
      </c>
      <c r="G49" s="25" t="n">
        <v>6.92</v>
      </c>
    </row>
    <row r="50">
      <c r="A50" s="23" t="n">
        <v>46264</v>
      </c>
      <c r="B50" s="23" t="n">
        <v>46258</v>
      </c>
      <c r="C50" s="24" t="inlineStr">
        <is>
          <t>C001-48</t>
        </is>
      </c>
      <c r="D50" s="24" t="inlineStr">
        <is>
          <t>Kiwi Foods</t>
        </is>
      </c>
      <c r="E50" s="25" t="n">
        <v>83.02</v>
      </c>
      <c r="F50" s="25" t="n">
        <v>73.73</v>
      </c>
      <c r="G50" s="25" t="n">
        <v>9.289999999999999</v>
      </c>
    </row>
    <row r="51">
      <c r="A51" s="23" t="n">
        <v>46250</v>
      </c>
      <c r="B51" s="23" t="n">
        <v>46244</v>
      </c>
      <c r="C51" s="24" t="inlineStr">
        <is>
          <t>C001-49</t>
        </is>
      </c>
      <c r="D51" s="24" t="inlineStr">
        <is>
          <t>Kiwi Foods</t>
        </is>
      </c>
      <c r="E51" s="25" t="n">
        <v>60.32</v>
      </c>
      <c r="F51" s="25" t="n">
        <v>53.57</v>
      </c>
      <c r="G51" s="25" t="n">
        <v>6.75</v>
      </c>
    </row>
    <row r="52">
      <c r="A52" s="23" t="n">
        <v>46247</v>
      </c>
      <c r="B52" s="23" t="n">
        <v>46244</v>
      </c>
      <c r="C52" s="24" t="inlineStr">
        <is>
          <t>C002-0</t>
        </is>
      </c>
      <c r="D52" s="24" t="inlineStr">
        <is>
          <t>Kiwi Mart</t>
        </is>
      </c>
      <c r="E52" s="25" t="n">
        <v>67.22</v>
      </c>
      <c r="F52" s="25" t="n">
        <v>62.9</v>
      </c>
      <c r="G52" s="25" t="n">
        <v>4.32</v>
      </c>
    </row>
    <row r="53">
      <c r="A53" s="23" t="n">
        <v>46260</v>
      </c>
      <c r="B53" s="23" t="n">
        <v>46258</v>
      </c>
      <c r="C53" s="24" t="inlineStr">
        <is>
          <t>C002-1</t>
        </is>
      </c>
      <c r="D53" s="24" t="inlineStr">
        <is>
          <t>Kiwi Mart</t>
        </is>
      </c>
      <c r="E53" s="25" t="n">
        <v>78.14</v>
      </c>
      <c r="F53" s="25" t="n">
        <v>73.11</v>
      </c>
      <c r="G53" s="25" t="n">
        <v>5.03</v>
      </c>
    </row>
    <row r="54">
      <c r="A54" s="23" t="n">
        <v>46238</v>
      </c>
      <c r="B54" s="23" t="n">
        <v>46237</v>
      </c>
      <c r="C54" s="24" t="inlineStr">
        <is>
          <t>C002-2</t>
        </is>
      </c>
      <c r="D54" s="24" t="inlineStr">
        <is>
          <t>Kiwi Mart</t>
        </is>
      </c>
      <c r="E54" s="25" t="n">
        <v>39.91</v>
      </c>
      <c r="F54" s="25" t="n">
        <v>37.35</v>
      </c>
      <c r="G54" s="25" t="n">
        <v>2.56</v>
      </c>
    </row>
    <row r="55">
      <c r="A55" s="23" t="n">
        <v>46266</v>
      </c>
      <c r="B55" s="23" t="n">
        <v>46265</v>
      </c>
      <c r="C55" s="24" t="inlineStr">
        <is>
          <t>C002-3</t>
        </is>
      </c>
      <c r="D55" s="24" t="inlineStr">
        <is>
          <t>Kiwi Mart</t>
        </is>
      </c>
      <c r="E55" s="25" t="n">
        <v>59.8</v>
      </c>
      <c r="F55" s="25" t="n">
        <v>55.96</v>
      </c>
      <c r="G55" s="25" t="n">
        <v>3.84</v>
      </c>
    </row>
    <row r="56">
      <c r="A56" s="23" t="n">
        <v>46202</v>
      </c>
      <c r="B56" s="23" t="n">
        <v>46202</v>
      </c>
      <c r="C56" s="24" t="inlineStr">
        <is>
          <t>C002-4</t>
        </is>
      </c>
      <c r="D56" s="24" t="inlineStr">
        <is>
          <t>Kiwi Mart</t>
        </is>
      </c>
      <c r="E56" s="25" t="n">
        <v>64.56</v>
      </c>
      <c r="F56" s="25" t="n">
        <v>60.41</v>
      </c>
      <c r="G56" s="25" t="n">
        <v>4.15</v>
      </c>
    </row>
    <row r="57">
      <c r="A57" s="23" t="n">
        <v>46268</v>
      </c>
      <c r="B57" s="23" t="n">
        <v>46265</v>
      </c>
      <c r="C57" s="24" t="inlineStr">
        <is>
          <t>C002-5</t>
        </is>
      </c>
      <c r="D57" s="24" t="inlineStr">
        <is>
          <t>Kiwi Mart</t>
        </is>
      </c>
      <c r="E57" s="25" t="n">
        <v>39.19</v>
      </c>
      <c r="F57" s="25" t="n">
        <v>36.67</v>
      </c>
      <c r="G57" s="25" t="n">
        <v>2.52</v>
      </c>
    </row>
    <row r="58">
      <c r="A58" s="23" t="n">
        <v>46260</v>
      </c>
      <c r="B58" s="23" t="n">
        <v>46258</v>
      </c>
      <c r="C58" s="24" t="inlineStr">
        <is>
          <t>C002-6</t>
        </is>
      </c>
      <c r="D58" s="24" t="inlineStr">
        <is>
          <t>Kiwi Mart</t>
        </is>
      </c>
      <c r="E58" s="25" t="n">
        <v>54.81</v>
      </c>
      <c r="F58" s="25" t="n">
        <v>51.29</v>
      </c>
      <c r="G58" s="25" t="n">
        <v>3.52</v>
      </c>
    </row>
    <row r="59">
      <c r="A59" s="23" t="n">
        <v>46230</v>
      </c>
      <c r="B59" s="23" t="n">
        <v>46230</v>
      </c>
      <c r="C59" s="24" t="inlineStr">
        <is>
          <t>C002-7</t>
        </is>
      </c>
      <c r="D59" s="24" t="inlineStr">
        <is>
          <t>Kiwi Mart</t>
        </is>
      </c>
      <c r="E59" s="25" t="n">
        <v>66.95999999999999</v>
      </c>
      <c r="F59" s="25" t="n">
        <v>62.66</v>
      </c>
      <c r="G59" s="25" t="n">
        <v>4.3</v>
      </c>
    </row>
    <row r="60">
      <c r="A60" s="23" t="n">
        <v>46236</v>
      </c>
      <c r="B60" s="23" t="n">
        <v>46230</v>
      </c>
      <c r="C60" s="24" t="inlineStr">
        <is>
          <t>C002-8</t>
        </is>
      </c>
      <c r="D60" s="24" t="inlineStr">
        <is>
          <t>Kiwi Mart</t>
        </is>
      </c>
      <c r="E60" s="25" t="n">
        <v>65.76000000000001</v>
      </c>
      <c r="F60" s="25" t="n">
        <v>61.53</v>
      </c>
      <c r="G60" s="25" t="n">
        <v>4.23</v>
      </c>
    </row>
    <row r="61">
      <c r="A61" s="23" t="n">
        <v>46222</v>
      </c>
      <c r="B61" s="23" t="n">
        <v>46216</v>
      </c>
      <c r="C61" s="24" t="inlineStr">
        <is>
          <t>C002-9</t>
        </is>
      </c>
      <c r="D61" s="24" t="inlineStr">
        <is>
          <t>Kiwi Mart</t>
        </is>
      </c>
      <c r="E61" s="25" t="n">
        <v>70.91</v>
      </c>
      <c r="F61" s="25" t="n">
        <v>66.34999999999999</v>
      </c>
      <c r="G61" s="25" t="n">
        <v>4.56</v>
      </c>
    </row>
    <row r="62">
      <c r="A62" s="23" t="n">
        <v>46207</v>
      </c>
      <c r="B62" s="23" t="n">
        <v>46202</v>
      </c>
      <c r="C62" s="24" t="inlineStr">
        <is>
          <t>C002-10</t>
        </is>
      </c>
      <c r="D62" s="24" t="inlineStr">
        <is>
          <t>Kiwi Mart</t>
        </is>
      </c>
      <c r="E62" s="25" t="n">
        <v>85.34999999999999</v>
      </c>
      <c r="F62" s="25" t="n">
        <v>79.87</v>
      </c>
      <c r="G62" s="25" t="n">
        <v>5.48</v>
      </c>
    </row>
    <row r="63">
      <c r="A63" s="23" t="n">
        <v>46203</v>
      </c>
      <c r="B63" s="23" t="n">
        <v>46202</v>
      </c>
      <c r="C63" s="24" t="inlineStr">
        <is>
          <t>C002-11</t>
        </is>
      </c>
      <c r="D63" s="24" t="inlineStr">
        <is>
          <t>Kiwi Mart</t>
        </is>
      </c>
      <c r="E63" s="25" t="n">
        <v>58.6</v>
      </c>
      <c r="F63" s="25" t="n">
        <v>54.83</v>
      </c>
      <c r="G63" s="25" t="n">
        <v>3.77</v>
      </c>
    </row>
    <row r="64">
      <c r="A64" s="23" t="n">
        <v>46277</v>
      </c>
      <c r="B64" s="23" t="n">
        <v>46272</v>
      </c>
      <c r="C64" s="24" t="inlineStr">
        <is>
          <t>C002-12</t>
        </is>
      </c>
      <c r="D64" s="24" t="inlineStr">
        <is>
          <t>Kiwi Mart</t>
        </is>
      </c>
      <c r="E64" s="25" t="n">
        <v>41.38</v>
      </c>
      <c r="F64" s="25" t="n">
        <v>38.72</v>
      </c>
      <c r="G64" s="25" t="n">
        <v>2.66</v>
      </c>
    </row>
    <row r="65">
      <c r="A65" s="23" t="n">
        <v>46270</v>
      </c>
      <c r="B65" s="23" t="n">
        <v>46265</v>
      </c>
      <c r="C65" s="24" t="inlineStr">
        <is>
          <t>C002-13</t>
        </is>
      </c>
      <c r="D65" s="24" t="inlineStr">
        <is>
          <t>Kiwi Mart</t>
        </is>
      </c>
      <c r="E65" s="25" t="n">
        <v>58.25</v>
      </c>
      <c r="F65" s="25" t="n">
        <v>54.51</v>
      </c>
      <c r="G65" s="25" t="n">
        <v>3.74</v>
      </c>
    </row>
    <row r="66">
      <c r="A66" s="23" t="n">
        <v>46248</v>
      </c>
      <c r="B66" s="23" t="n">
        <v>46244</v>
      </c>
      <c r="C66" s="24" t="inlineStr">
        <is>
          <t>C002-14</t>
        </is>
      </c>
      <c r="D66" s="24" t="inlineStr">
        <is>
          <t>Kiwi Mart</t>
        </is>
      </c>
      <c r="E66" s="25" t="n">
        <v>78.69</v>
      </c>
      <c r="F66" s="25" t="n">
        <v>73.63</v>
      </c>
      <c r="G66" s="25" t="n">
        <v>5.06</v>
      </c>
    </row>
    <row r="67">
      <c r="A67" s="23" t="n">
        <v>46277</v>
      </c>
      <c r="B67" s="23" t="n">
        <v>46272</v>
      </c>
      <c r="C67" s="24" t="inlineStr">
        <is>
          <t>C002-15</t>
        </is>
      </c>
      <c r="D67" s="24" t="inlineStr">
        <is>
          <t>Kiwi Mart</t>
        </is>
      </c>
      <c r="E67" s="25" t="n">
        <v>56.94</v>
      </c>
      <c r="F67" s="25" t="n">
        <v>53.28</v>
      </c>
      <c r="G67" s="25" t="n">
        <v>3.66</v>
      </c>
    </row>
    <row r="68">
      <c r="A68" s="23" t="n">
        <v>46245</v>
      </c>
      <c r="B68" s="23" t="n">
        <v>46244</v>
      </c>
      <c r="C68" s="24" t="inlineStr">
        <is>
          <t>C002-16</t>
        </is>
      </c>
      <c r="D68" s="24" t="inlineStr">
        <is>
          <t>Kiwi Mart</t>
        </is>
      </c>
      <c r="E68" s="25" t="n">
        <v>51.47</v>
      </c>
      <c r="F68" s="25" t="n">
        <v>48.17</v>
      </c>
      <c r="G68" s="25" t="n">
        <v>3.3</v>
      </c>
    </row>
    <row r="69">
      <c r="A69" s="23" t="n">
        <v>46216</v>
      </c>
      <c r="B69" s="23" t="n">
        <v>46216</v>
      </c>
      <c r="C69" s="24" t="inlineStr">
        <is>
          <t>C002-17</t>
        </is>
      </c>
      <c r="D69" s="24" t="inlineStr">
        <is>
          <t>Kiwi Mart</t>
        </is>
      </c>
      <c r="E69" s="25" t="n">
        <v>77.76000000000001</v>
      </c>
      <c r="F69" s="25" t="n">
        <v>72.76000000000001</v>
      </c>
      <c r="G69" s="25" t="n">
        <v>5</v>
      </c>
    </row>
    <row r="70">
      <c r="A70" s="23" t="n">
        <v>46287</v>
      </c>
      <c r="B70" s="23" t="n">
        <v>46286</v>
      </c>
      <c r="C70" s="24" t="inlineStr">
        <is>
          <t>C002-18</t>
        </is>
      </c>
      <c r="D70" s="24" t="inlineStr">
        <is>
          <t>Kiwi Mart</t>
        </is>
      </c>
      <c r="E70" s="25" t="n">
        <v>83.01000000000001</v>
      </c>
      <c r="F70" s="25" t="n">
        <v>77.67</v>
      </c>
      <c r="G70" s="25" t="n">
        <v>5.34</v>
      </c>
    </row>
    <row r="71">
      <c r="A71" s="23" t="n">
        <v>46270</v>
      </c>
      <c r="B71" s="23" t="n">
        <v>46265</v>
      </c>
      <c r="C71" s="24" t="inlineStr">
        <is>
          <t>C002-19</t>
        </is>
      </c>
      <c r="D71" s="24" t="inlineStr">
        <is>
          <t>Kiwi Mart</t>
        </is>
      </c>
      <c r="E71" s="25" t="n">
        <v>66.88</v>
      </c>
      <c r="F71" s="25" t="n">
        <v>62.58</v>
      </c>
      <c r="G71" s="25" t="n">
        <v>4.3</v>
      </c>
    </row>
    <row r="72">
      <c r="A72" s="23" t="n">
        <v>46260</v>
      </c>
      <c r="B72" s="23" t="n">
        <v>46258</v>
      </c>
      <c r="C72" s="24" t="inlineStr">
        <is>
          <t>C002-20</t>
        </is>
      </c>
      <c r="D72" s="24" t="inlineStr">
        <is>
          <t>Kiwi Mart</t>
        </is>
      </c>
      <c r="E72" s="25" t="n">
        <v>73.56</v>
      </c>
      <c r="F72" s="25" t="n">
        <v>68.83</v>
      </c>
      <c r="G72" s="25" t="n">
        <v>4.73</v>
      </c>
    </row>
    <row r="73">
      <c r="A73" s="23" t="n">
        <v>46256</v>
      </c>
      <c r="B73" s="23" t="n">
        <v>46251</v>
      </c>
      <c r="C73" s="24" t="inlineStr">
        <is>
          <t>C002-21</t>
        </is>
      </c>
      <c r="D73" s="24" t="inlineStr">
        <is>
          <t>Kiwi Mart</t>
        </is>
      </c>
      <c r="E73" s="25" t="n">
        <v>84.55</v>
      </c>
      <c r="F73" s="25" t="n">
        <v>79.11</v>
      </c>
      <c r="G73" s="25" t="n">
        <v>5.44</v>
      </c>
    </row>
    <row r="74">
      <c r="A74" s="23" t="n">
        <v>46286</v>
      </c>
      <c r="B74" s="23" t="n">
        <v>46286</v>
      </c>
      <c r="C74" s="24" t="inlineStr">
        <is>
          <t>C002-22</t>
        </is>
      </c>
      <c r="D74" s="24" t="inlineStr">
        <is>
          <t>Kiwi Mart</t>
        </is>
      </c>
      <c r="E74" s="25" t="n">
        <v>78.59999999999999</v>
      </c>
      <c r="F74" s="25" t="n">
        <v>73.55</v>
      </c>
      <c r="G74" s="25" t="n">
        <v>5.05</v>
      </c>
    </row>
    <row r="75">
      <c r="A75" s="23" t="n">
        <v>46271</v>
      </c>
      <c r="B75" s="23" t="n">
        <v>46265</v>
      </c>
      <c r="C75" s="24" t="inlineStr">
        <is>
          <t>C002-23</t>
        </is>
      </c>
      <c r="D75" s="24" t="inlineStr">
        <is>
          <t>Kiwi Mart</t>
        </is>
      </c>
      <c r="E75" s="25" t="n">
        <v>79.84999999999999</v>
      </c>
      <c r="F75" s="25" t="n">
        <v>74.70999999999999</v>
      </c>
      <c r="G75" s="25" t="n">
        <v>5.14</v>
      </c>
    </row>
    <row r="76">
      <c r="A76" s="23" t="n">
        <v>46213</v>
      </c>
      <c r="B76" s="23" t="n">
        <v>46209</v>
      </c>
      <c r="C76" s="24" t="inlineStr">
        <is>
          <t>C002-24</t>
        </is>
      </c>
      <c r="D76" s="24" t="inlineStr">
        <is>
          <t>Kiwi Mart</t>
        </is>
      </c>
      <c r="E76" s="25" t="n">
        <v>70.20999999999999</v>
      </c>
      <c r="F76" s="25" t="n">
        <v>65.7</v>
      </c>
      <c r="G76" s="25" t="n">
        <v>4.51</v>
      </c>
    </row>
    <row r="77">
      <c r="A77" s="23" t="n">
        <v>46249</v>
      </c>
      <c r="B77" s="23" t="n">
        <v>46244</v>
      </c>
      <c r="C77" s="24" t="inlineStr">
        <is>
          <t>C002-25</t>
        </is>
      </c>
      <c r="D77" s="24" t="inlineStr">
        <is>
          <t>Kiwi Mart</t>
        </is>
      </c>
      <c r="E77" s="25" t="n">
        <v>82.73</v>
      </c>
      <c r="F77" s="25" t="n">
        <v>77.41</v>
      </c>
      <c r="G77" s="25" t="n">
        <v>5.32</v>
      </c>
    </row>
    <row r="78">
      <c r="A78" s="23" t="n">
        <v>46211</v>
      </c>
      <c r="B78" s="23" t="n">
        <v>46209</v>
      </c>
      <c r="C78" s="24" t="inlineStr">
        <is>
          <t>C002-26</t>
        </is>
      </c>
      <c r="D78" s="24" t="inlineStr">
        <is>
          <t>Kiwi Mart</t>
        </is>
      </c>
      <c r="E78" s="25" t="n">
        <v>53.65</v>
      </c>
      <c r="F78" s="25" t="n">
        <v>50.2</v>
      </c>
      <c r="G78" s="25" t="n">
        <v>3.45</v>
      </c>
    </row>
    <row r="79">
      <c r="A79" s="23" t="n">
        <v>46232</v>
      </c>
      <c r="B79" s="23" t="n">
        <v>46230</v>
      </c>
      <c r="C79" s="24" t="inlineStr">
        <is>
          <t>C002-27</t>
        </is>
      </c>
      <c r="D79" s="24" t="inlineStr">
        <is>
          <t>Kiwi Mart</t>
        </is>
      </c>
      <c r="E79" s="25" t="n">
        <v>85.29000000000001</v>
      </c>
      <c r="F79" s="25" t="n">
        <v>79.81</v>
      </c>
      <c r="G79" s="25" t="n">
        <v>5.48</v>
      </c>
    </row>
    <row r="80">
      <c r="A80" s="23" t="n">
        <v>46274</v>
      </c>
      <c r="B80" s="23" t="n">
        <v>46272</v>
      </c>
      <c r="C80" s="24" t="inlineStr">
        <is>
          <t>C002-28</t>
        </is>
      </c>
      <c r="D80" s="24" t="inlineStr">
        <is>
          <t>Kiwi Mart</t>
        </is>
      </c>
      <c r="E80" s="25" t="n">
        <v>60.42</v>
      </c>
      <c r="F80" s="25" t="n">
        <v>56.54</v>
      </c>
      <c r="G80" s="25" t="n">
        <v>3.88</v>
      </c>
    </row>
    <row r="81">
      <c r="A81" s="23" t="n">
        <v>46273</v>
      </c>
      <c r="B81" s="23" t="n">
        <v>46272</v>
      </c>
      <c r="C81" s="24" t="inlineStr">
        <is>
          <t>C002-29</t>
        </is>
      </c>
      <c r="D81" s="24" t="inlineStr">
        <is>
          <t>Kiwi Mart</t>
        </is>
      </c>
      <c r="E81" s="25" t="n">
        <v>83.48</v>
      </c>
      <c r="F81" s="25" t="n">
        <v>78.11</v>
      </c>
      <c r="G81" s="25" t="n">
        <v>5.37</v>
      </c>
    </row>
    <row r="82">
      <c r="A82" s="23" t="n">
        <v>46261</v>
      </c>
      <c r="B82" s="23" t="n">
        <v>46258</v>
      </c>
      <c r="C82" s="24" t="inlineStr">
        <is>
          <t>C002-30</t>
        </is>
      </c>
      <c r="D82" s="24" t="inlineStr">
        <is>
          <t>Kiwi Mart</t>
        </is>
      </c>
      <c r="E82" s="25" t="n">
        <v>46.14</v>
      </c>
      <c r="F82" s="25" t="n">
        <v>43.17</v>
      </c>
      <c r="G82" s="25" t="n">
        <v>2.97</v>
      </c>
    </row>
    <row r="83">
      <c r="A83" s="23" t="n">
        <v>46261</v>
      </c>
      <c r="B83" s="23" t="n">
        <v>46258</v>
      </c>
      <c r="C83" s="24" t="inlineStr">
        <is>
          <t>C002-31</t>
        </is>
      </c>
      <c r="D83" s="24" t="inlineStr">
        <is>
          <t>Kiwi Mart</t>
        </is>
      </c>
      <c r="E83" s="25" t="n">
        <v>56.02</v>
      </c>
      <c r="F83" s="25" t="n">
        <v>52.42</v>
      </c>
      <c r="G83" s="25" t="n">
        <v>3.6</v>
      </c>
    </row>
    <row r="84">
      <c r="A84" s="23" t="n">
        <v>46253</v>
      </c>
      <c r="B84" s="23" t="n">
        <v>46251</v>
      </c>
      <c r="C84" s="24" t="inlineStr">
        <is>
          <t>C002-32</t>
        </is>
      </c>
      <c r="D84" s="24" t="inlineStr">
        <is>
          <t>Kiwi Mart</t>
        </is>
      </c>
      <c r="E84" s="25" t="n">
        <v>57.13</v>
      </c>
      <c r="F84" s="25" t="n">
        <v>53.45</v>
      </c>
      <c r="G84" s="25" t="n">
        <v>3.68</v>
      </c>
    </row>
    <row r="85">
      <c r="A85" s="23" t="n">
        <v>46211</v>
      </c>
      <c r="B85" s="23" t="n">
        <v>46209</v>
      </c>
      <c r="C85" s="24" t="inlineStr">
        <is>
          <t>C002-33</t>
        </is>
      </c>
      <c r="D85" s="24" t="inlineStr">
        <is>
          <t>Kiwi Mart</t>
        </is>
      </c>
      <c r="E85" s="25" t="n">
        <v>54.18</v>
      </c>
      <c r="F85" s="25" t="n">
        <v>50.69</v>
      </c>
      <c r="G85" s="25" t="n">
        <v>3.49</v>
      </c>
    </row>
    <row r="86">
      <c r="A86" s="23" t="n">
        <v>46288</v>
      </c>
      <c r="B86" s="23" t="n">
        <v>46286</v>
      </c>
      <c r="C86" s="24" t="inlineStr">
        <is>
          <t>C002-34</t>
        </is>
      </c>
      <c r="D86" s="24" t="inlineStr">
        <is>
          <t>Kiwi Mart</t>
        </is>
      </c>
      <c r="E86" s="25" t="n">
        <v>38.08</v>
      </c>
      <c r="F86" s="25" t="n">
        <v>35.63</v>
      </c>
      <c r="G86" s="25" t="n">
        <v>2.45</v>
      </c>
    </row>
    <row r="87">
      <c r="A87" s="23" t="n">
        <v>46283</v>
      </c>
      <c r="B87" s="23" t="n">
        <v>46279</v>
      </c>
      <c r="C87" s="24" t="inlineStr">
        <is>
          <t>C002-35</t>
        </is>
      </c>
      <c r="D87" s="24" t="inlineStr">
        <is>
          <t>Kiwi Mart</t>
        </is>
      </c>
      <c r="E87" s="25" t="n">
        <v>84.2</v>
      </c>
      <c r="F87" s="25" t="n">
        <v>78.79000000000001</v>
      </c>
      <c r="G87" s="25" t="n">
        <v>5.41</v>
      </c>
    </row>
    <row r="88">
      <c r="A88" s="23" t="n">
        <v>46277</v>
      </c>
      <c r="B88" s="23" t="n">
        <v>46272</v>
      </c>
      <c r="C88" s="24" t="inlineStr">
        <is>
          <t>C002-36</t>
        </is>
      </c>
      <c r="D88" s="24" t="inlineStr">
        <is>
          <t>Kiwi Mart</t>
        </is>
      </c>
      <c r="E88" s="25" t="n">
        <v>40.11</v>
      </c>
      <c r="F88" s="25" t="n">
        <v>37.54</v>
      </c>
      <c r="G88" s="25" t="n">
        <v>2.57</v>
      </c>
    </row>
    <row r="89">
      <c r="A89" s="23" t="n">
        <v>46281</v>
      </c>
      <c r="B89" s="23" t="n">
        <v>46279</v>
      </c>
      <c r="C89" s="24" t="inlineStr">
        <is>
          <t>C002-37</t>
        </is>
      </c>
      <c r="D89" s="24" t="inlineStr">
        <is>
          <t>Kiwi Mart</t>
        </is>
      </c>
      <c r="E89" s="25" t="n">
        <v>54.55</v>
      </c>
      <c r="F89" s="25" t="n">
        <v>51.04</v>
      </c>
      <c r="G89" s="25" t="n">
        <v>3.51</v>
      </c>
    </row>
    <row r="90">
      <c r="A90" s="23" t="n">
        <v>46289</v>
      </c>
      <c r="B90" s="23" t="n">
        <v>46286</v>
      </c>
      <c r="C90" s="24" t="inlineStr">
        <is>
          <t>C002-38</t>
        </is>
      </c>
      <c r="D90" s="24" t="inlineStr">
        <is>
          <t>Kiwi Mart</t>
        </is>
      </c>
      <c r="E90" s="25" t="n">
        <v>72.75</v>
      </c>
      <c r="F90" s="25" t="n">
        <v>68.06999999999999</v>
      </c>
      <c r="G90" s="25" t="n">
        <v>4.68</v>
      </c>
    </row>
    <row r="91">
      <c r="A91" s="23" t="n">
        <v>46237</v>
      </c>
      <c r="B91" s="23" t="n">
        <v>46237</v>
      </c>
      <c r="C91" s="24" t="inlineStr">
        <is>
          <t>C002-39</t>
        </is>
      </c>
      <c r="D91" s="24" t="inlineStr">
        <is>
          <t>Kiwi Mart</t>
        </is>
      </c>
      <c r="E91" s="25" t="n">
        <v>86.98999999999999</v>
      </c>
      <c r="F91" s="25" t="n">
        <v>81.40000000000001</v>
      </c>
      <c r="G91" s="25" t="n">
        <v>5.59</v>
      </c>
    </row>
    <row r="92">
      <c r="A92" s="23" t="n">
        <v>46264</v>
      </c>
      <c r="B92" s="23" t="n">
        <v>46258</v>
      </c>
      <c r="C92" s="24" t="inlineStr">
        <is>
          <t>C002-40</t>
        </is>
      </c>
      <c r="D92" s="24" t="inlineStr">
        <is>
          <t>Kiwi Mart</t>
        </is>
      </c>
      <c r="E92" s="25" t="n">
        <v>82.02</v>
      </c>
      <c r="F92" s="25" t="n">
        <v>76.75</v>
      </c>
      <c r="G92" s="25" t="n">
        <v>5.27</v>
      </c>
    </row>
    <row r="93">
      <c r="A93" s="23" t="n">
        <v>46205</v>
      </c>
      <c r="B93" s="23" t="n">
        <v>46202</v>
      </c>
      <c r="C93" s="24" t="inlineStr">
        <is>
          <t>C002-41</t>
        </is>
      </c>
      <c r="D93" s="24" t="inlineStr">
        <is>
          <t>Kiwi Mart</t>
        </is>
      </c>
      <c r="E93" s="25" t="n">
        <v>69.06999999999999</v>
      </c>
      <c r="F93" s="25" t="n">
        <v>64.63</v>
      </c>
      <c r="G93" s="25" t="n">
        <v>4.44</v>
      </c>
    </row>
    <row r="94">
      <c r="A94" s="23" t="n">
        <v>46249</v>
      </c>
      <c r="B94" s="23" t="n">
        <v>46244</v>
      </c>
      <c r="C94" s="24" t="inlineStr">
        <is>
          <t>C002-42</t>
        </is>
      </c>
      <c r="D94" s="24" t="inlineStr">
        <is>
          <t>Kiwi Mart</t>
        </is>
      </c>
      <c r="E94" s="25" t="n">
        <v>72.43000000000001</v>
      </c>
      <c r="F94" s="25" t="n">
        <v>67.77</v>
      </c>
      <c r="G94" s="25" t="n">
        <v>4.66</v>
      </c>
    </row>
    <row r="95">
      <c r="A95" s="23" t="n">
        <v>46225</v>
      </c>
      <c r="B95" s="23" t="n">
        <v>46223</v>
      </c>
      <c r="C95" s="24" t="inlineStr">
        <is>
          <t>C002-43</t>
        </is>
      </c>
      <c r="D95" s="24" t="inlineStr">
        <is>
          <t>Kiwi Mart</t>
        </is>
      </c>
      <c r="E95" s="25" t="n">
        <v>61.43</v>
      </c>
      <c r="F95" s="25" t="n">
        <v>57.48</v>
      </c>
      <c r="G95" s="25" t="n">
        <v>3.95</v>
      </c>
    </row>
    <row r="96">
      <c r="A96" s="23" t="n">
        <v>46217</v>
      </c>
      <c r="B96" s="23" t="n">
        <v>46216</v>
      </c>
      <c r="C96" s="24" t="inlineStr">
        <is>
          <t>C002-44</t>
        </is>
      </c>
      <c r="D96" s="24" t="inlineStr">
        <is>
          <t>Kiwi Mart</t>
        </is>
      </c>
      <c r="E96" s="25" t="n">
        <v>43.21</v>
      </c>
      <c r="F96" s="25" t="n">
        <v>40.44</v>
      </c>
      <c r="G96" s="25" t="n">
        <v>2.77</v>
      </c>
    </row>
    <row r="97">
      <c r="A97" s="23" t="n">
        <v>46229</v>
      </c>
      <c r="B97" s="23" t="n">
        <v>46223</v>
      </c>
      <c r="C97" s="24" t="inlineStr">
        <is>
          <t>C002-45</t>
        </is>
      </c>
      <c r="D97" s="24" t="inlineStr">
        <is>
          <t>Kiwi Mart</t>
        </is>
      </c>
      <c r="E97" s="25" t="n">
        <v>55.37</v>
      </c>
      <c r="F97" s="25" t="n">
        <v>51.81</v>
      </c>
      <c r="G97" s="25" t="n">
        <v>3.56</v>
      </c>
    </row>
    <row r="98">
      <c r="A98" s="23" t="n">
        <v>46280</v>
      </c>
      <c r="B98" s="23" t="n">
        <v>46279</v>
      </c>
      <c r="C98" s="24" t="inlineStr">
        <is>
          <t>C002-46</t>
        </is>
      </c>
      <c r="D98" s="24" t="inlineStr">
        <is>
          <t>Kiwi Mart</t>
        </is>
      </c>
      <c r="E98" s="25" t="n">
        <v>46.92</v>
      </c>
      <c r="F98" s="25" t="n">
        <v>43.9</v>
      </c>
      <c r="G98" s="25" t="n">
        <v>3.02</v>
      </c>
    </row>
    <row r="99">
      <c r="A99" s="23" t="n">
        <v>46279</v>
      </c>
      <c r="B99" s="23" t="n">
        <v>46279</v>
      </c>
      <c r="C99" s="24" t="inlineStr">
        <is>
          <t>C002-47</t>
        </is>
      </c>
      <c r="D99" s="24" t="inlineStr">
        <is>
          <t>Kiwi Mart</t>
        </is>
      </c>
      <c r="E99" s="25" t="n">
        <v>87.58</v>
      </c>
      <c r="F99" s="25" t="n">
        <v>81.95</v>
      </c>
      <c r="G99" s="25" t="n">
        <v>5.63</v>
      </c>
    </row>
    <row r="100">
      <c r="A100" s="23" t="n">
        <v>46233</v>
      </c>
      <c r="B100" s="23" t="n">
        <v>46230</v>
      </c>
      <c r="C100" s="24" t="inlineStr">
        <is>
          <t>C002-48</t>
        </is>
      </c>
      <c r="D100" s="24" t="inlineStr">
        <is>
          <t>Kiwi Mart</t>
        </is>
      </c>
      <c r="E100" s="25" t="n">
        <v>63.07</v>
      </c>
      <c r="F100" s="25" t="n">
        <v>59.02</v>
      </c>
      <c r="G100" s="25" t="n">
        <v>4.05</v>
      </c>
    </row>
    <row r="101">
      <c r="A101" s="23" t="n">
        <v>46214</v>
      </c>
      <c r="B101" s="23" t="n">
        <v>46209</v>
      </c>
      <c r="C101" s="24" t="inlineStr">
        <is>
          <t>C002-49</t>
        </is>
      </c>
      <c r="D101" s="24" t="inlineStr">
        <is>
          <t>Kiwi Mart</t>
        </is>
      </c>
      <c r="E101" s="25" t="n">
        <v>86.08</v>
      </c>
      <c r="F101" s="25" t="n">
        <v>80.55</v>
      </c>
      <c r="G101" s="25" t="n">
        <v>5.53</v>
      </c>
    </row>
    <row r="102">
      <c r="A102" s="23" t="n">
        <v>46201</v>
      </c>
      <c r="B102" s="23" t="n">
        <v>46195</v>
      </c>
      <c r="C102" s="24" t="inlineStr">
        <is>
          <t>C002-50</t>
        </is>
      </c>
      <c r="D102" s="24" t="inlineStr">
        <is>
          <t>Kiwi Mart</t>
        </is>
      </c>
      <c r="E102" s="25" t="n">
        <v>67.43000000000001</v>
      </c>
      <c r="F102" s="25" t="n">
        <v>63.1</v>
      </c>
      <c r="G102" s="25" t="n">
        <v>4.33</v>
      </c>
    </row>
    <row r="103">
      <c r="A103" s="23" t="n">
        <v>46226</v>
      </c>
      <c r="B103" s="23" t="n">
        <v>46223</v>
      </c>
      <c r="C103" s="24" t="inlineStr">
        <is>
          <t>C002-51</t>
        </is>
      </c>
      <c r="D103" s="24" t="inlineStr">
        <is>
          <t>Kiwi Mart</t>
        </is>
      </c>
      <c r="E103" s="25" t="n">
        <v>38.17</v>
      </c>
      <c r="F103" s="25" t="n">
        <v>35.71</v>
      </c>
      <c r="G103" s="25" t="n">
        <v>2.46</v>
      </c>
    </row>
    <row r="104">
      <c r="A104" s="23" t="n">
        <v>46204</v>
      </c>
      <c r="B104" s="23" t="n">
        <v>46202</v>
      </c>
      <c r="C104" s="24" t="inlineStr">
        <is>
          <t>C002-52</t>
        </is>
      </c>
      <c r="D104" s="24" t="inlineStr">
        <is>
          <t>Kiwi Mart</t>
        </is>
      </c>
      <c r="E104" s="25" t="n">
        <v>55.25</v>
      </c>
      <c r="F104" s="25" t="n">
        <v>51.69</v>
      </c>
      <c r="G104" s="25" t="n">
        <v>3.56</v>
      </c>
    </row>
    <row r="105">
      <c r="A105" s="23" t="n">
        <v>46247</v>
      </c>
      <c r="B105" s="23" t="n">
        <v>46244</v>
      </c>
      <c r="C105" s="24" t="inlineStr">
        <is>
          <t>C002-53</t>
        </is>
      </c>
      <c r="D105" s="24" t="inlineStr">
        <is>
          <t>Kiwi Mart</t>
        </is>
      </c>
      <c r="E105" s="25" t="n">
        <v>85.53</v>
      </c>
      <c r="F105" s="25" t="n">
        <v>80.03</v>
      </c>
      <c r="G105" s="25" t="n">
        <v>5.5</v>
      </c>
    </row>
    <row r="106">
      <c r="A106" s="23" t="n">
        <v>46205</v>
      </c>
      <c r="B106" s="23" t="n">
        <v>46202</v>
      </c>
      <c r="C106" s="24" t="inlineStr">
        <is>
          <t>C002-54</t>
        </is>
      </c>
      <c r="D106" s="24" t="inlineStr">
        <is>
          <t>Kiwi Mart</t>
        </is>
      </c>
      <c r="E106" s="25" t="n">
        <v>48.38</v>
      </c>
      <c r="F106" s="25" t="n">
        <v>45.27</v>
      </c>
      <c r="G106" s="25" t="n">
        <v>3.11</v>
      </c>
    </row>
    <row r="107">
      <c r="A107" s="23" t="n">
        <v>46262</v>
      </c>
      <c r="B107" s="23" t="n">
        <v>46258</v>
      </c>
      <c r="C107" s="24" t="inlineStr">
        <is>
          <t>C002-55</t>
        </is>
      </c>
      <c r="D107" s="24" t="inlineStr">
        <is>
          <t>Kiwi Mart</t>
        </is>
      </c>
      <c r="E107" s="25" t="n">
        <v>42.59</v>
      </c>
      <c r="F107" s="25" t="n">
        <v>39.85</v>
      </c>
      <c r="G107" s="25" t="n">
        <v>2.74</v>
      </c>
    </row>
    <row r="108">
      <c r="A108" s="23" t="n">
        <v>46253</v>
      </c>
      <c r="B108" s="23" t="n">
        <v>46251</v>
      </c>
      <c r="C108" s="24" t="inlineStr">
        <is>
          <t>C002-56</t>
        </is>
      </c>
      <c r="D108" s="24" t="inlineStr">
        <is>
          <t>Kiwi Mart</t>
        </is>
      </c>
      <c r="E108" s="25" t="n">
        <v>48.06</v>
      </c>
      <c r="F108" s="25" t="n">
        <v>44.97</v>
      </c>
      <c r="G108" s="25" t="n">
        <v>3.09</v>
      </c>
    </row>
    <row r="109">
      <c r="A109" s="23" t="n">
        <v>46203</v>
      </c>
      <c r="B109" s="23" t="n">
        <v>46202</v>
      </c>
      <c r="C109" s="24" t="inlineStr">
        <is>
          <t>C002-57</t>
        </is>
      </c>
      <c r="D109" s="24" t="inlineStr">
        <is>
          <t>Kiwi Mart</t>
        </is>
      </c>
      <c r="E109" s="25" t="n">
        <v>42.05</v>
      </c>
      <c r="F109" s="25" t="n">
        <v>39.34</v>
      </c>
      <c r="G109" s="25" t="n">
        <v>2.71</v>
      </c>
    </row>
    <row r="110">
      <c r="A110" s="23" t="n">
        <v>46229</v>
      </c>
      <c r="B110" s="23" t="n">
        <v>46223</v>
      </c>
      <c r="C110" s="24" t="inlineStr">
        <is>
          <t>C002-58</t>
        </is>
      </c>
      <c r="D110" s="24" t="inlineStr">
        <is>
          <t>Kiwi Mart</t>
        </is>
      </c>
      <c r="E110" s="25" t="n">
        <v>43.53</v>
      </c>
      <c r="F110" s="25" t="n">
        <v>40.73</v>
      </c>
      <c r="G110" s="25" t="n">
        <v>2.8</v>
      </c>
    </row>
    <row r="111">
      <c r="A111" s="23" t="n">
        <v>46265</v>
      </c>
      <c r="B111" s="23" t="n">
        <v>46265</v>
      </c>
      <c r="C111" s="24" t="inlineStr">
        <is>
          <t>C002-59</t>
        </is>
      </c>
      <c r="D111" s="24" t="inlineStr">
        <is>
          <t>Kiwi Mart</t>
        </is>
      </c>
      <c r="E111" s="25" t="n">
        <v>67.43000000000001</v>
      </c>
      <c r="F111" s="25" t="n">
        <v>63.09</v>
      </c>
      <c r="G111" s="25" t="n">
        <v>4.34</v>
      </c>
    </row>
    <row r="112">
      <c r="A112" s="23" t="n">
        <v>46247</v>
      </c>
      <c r="B112" s="23" t="n">
        <v>46244</v>
      </c>
      <c r="C112" s="24" t="inlineStr">
        <is>
          <t>C002-60</t>
        </is>
      </c>
      <c r="D112" s="24" t="inlineStr">
        <is>
          <t>Kiwi Mart</t>
        </is>
      </c>
      <c r="E112" s="25" t="n">
        <v>55.92</v>
      </c>
      <c r="F112" s="25" t="n">
        <v>52.32</v>
      </c>
      <c r="G112" s="25" t="n">
        <v>3.6</v>
      </c>
    </row>
    <row r="113">
      <c r="A113" s="23" t="n">
        <v>46264</v>
      </c>
      <c r="B113" s="23" t="n">
        <v>46258</v>
      </c>
      <c r="C113" s="24" t="inlineStr">
        <is>
          <t>C002-61</t>
        </is>
      </c>
      <c r="D113" s="24" t="inlineStr">
        <is>
          <t>Kiwi Mart</t>
        </is>
      </c>
      <c r="E113" s="25" t="n">
        <v>52.34</v>
      </c>
      <c r="F113" s="25" t="n">
        <v>48.97</v>
      </c>
      <c r="G113" s="25" t="n">
        <v>3.37</v>
      </c>
    </row>
    <row r="114">
      <c r="A114" s="23" t="n">
        <v>46267</v>
      </c>
      <c r="B114" s="23" t="n">
        <v>46265</v>
      </c>
      <c r="C114" s="24" t="inlineStr">
        <is>
          <t>C002-62</t>
        </is>
      </c>
      <c r="D114" s="24" t="inlineStr">
        <is>
          <t>Kiwi Mart</t>
        </is>
      </c>
      <c r="E114" s="25" t="n">
        <v>77.09</v>
      </c>
      <c r="F114" s="25" t="n">
        <v>72.13</v>
      </c>
      <c r="G114" s="25" t="n">
        <v>4.96</v>
      </c>
    </row>
    <row r="115">
      <c r="A115" s="23" t="n">
        <v>46263</v>
      </c>
      <c r="B115" s="23" t="n">
        <v>46258</v>
      </c>
      <c r="C115" s="24" t="inlineStr">
        <is>
          <t>C002-63</t>
        </is>
      </c>
      <c r="D115" s="24" t="inlineStr">
        <is>
          <t>Kiwi Mart</t>
        </is>
      </c>
      <c r="E115" s="25" t="n">
        <v>64.86</v>
      </c>
      <c r="F115" s="25" t="n">
        <v>60.69</v>
      </c>
      <c r="G115" s="25" t="n">
        <v>4.17</v>
      </c>
    </row>
    <row r="116">
      <c r="A116" s="23" t="n">
        <v>46261</v>
      </c>
      <c r="B116" s="23" t="n">
        <v>46258</v>
      </c>
      <c r="C116" s="24" t="inlineStr">
        <is>
          <t>C002-64</t>
        </is>
      </c>
      <c r="D116" s="24" t="inlineStr">
        <is>
          <t>Kiwi Mart</t>
        </is>
      </c>
      <c r="E116" s="25" t="n">
        <v>62.07</v>
      </c>
      <c r="F116" s="25" t="n">
        <v>58.08</v>
      </c>
      <c r="G116" s="25" t="n">
        <v>3.99</v>
      </c>
    </row>
    <row r="117">
      <c r="A117" s="23" t="n">
        <v>46268</v>
      </c>
      <c r="B117" s="23" t="n">
        <v>46265</v>
      </c>
      <c r="C117" s="24" t="inlineStr">
        <is>
          <t>C002-65</t>
        </is>
      </c>
      <c r="D117" s="24" t="inlineStr">
        <is>
          <t>Kiwi Mart</t>
        </is>
      </c>
      <c r="E117" s="25" t="n">
        <v>56.63</v>
      </c>
      <c r="F117" s="25" t="n">
        <v>52.99</v>
      </c>
      <c r="G117" s="25" t="n">
        <v>3.64</v>
      </c>
    </row>
    <row r="118">
      <c r="A118" s="23" t="n">
        <v>46205</v>
      </c>
      <c r="B118" s="23" t="n">
        <v>46202</v>
      </c>
      <c r="C118" s="24" t="inlineStr">
        <is>
          <t>C002-66</t>
        </is>
      </c>
      <c r="D118" s="24" t="inlineStr">
        <is>
          <t>Kiwi Mart</t>
        </is>
      </c>
      <c r="E118" s="25" t="n">
        <v>53.25</v>
      </c>
      <c r="F118" s="25" t="n">
        <v>49.82</v>
      </c>
      <c r="G118" s="25" t="n">
        <v>3.43</v>
      </c>
    </row>
    <row r="119">
      <c r="A119" s="23" t="n">
        <v>46239</v>
      </c>
      <c r="B119" s="23" t="n">
        <v>46237</v>
      </c>
      <c r="C119" s="24" t="inlineStr">
        <is>
          <t>C002-67</t>
        </is>
      </c>
      <c r="D119" s="24" t="inlineStr">
        <is>
          <t>Kiwi Mart</t>
        </is>
      </c>
      <c r="E119" s="25" t="n">
        <v>48.59</v>
      </c>
      <c r="F119" s="25" t="n">
        <v>45.47</v>
      </c>
      <c r="G119" s="25" t="n">
        <v>3.12</v>
      </c>
    </row>
    <row r="120">
      <c r="A120" s="23" t="n">
        <v>46219</v>
      </c>
      <c r="B120" s="23" t="n">
        <v>46216</v>
      </c>
      <c r="C120" s="24" t="inlineStr">
        <is>
          <t>C002-68</t>
        </is>
      </c>
      <c r="D120" s="24" t="inlineStr">
        <is>
          <t>Kiwi Mart</t>
        </is>
      </c>
      <c r="E120" s="25" t="n">
        <v>69.73</v>
      </c>
      <c r="F120" s="25" t="n">
        <v>65.25</v>
      </c>
      <c r="G120" s="25" t="n">
        <v>4.48</v>
      </c>
    </row>
    <row r="121">
      <c r="A121" s="23" t="n">
        <v>46273</v>
      </c>
      <c r="B121" s="23" t="n">
        <v>46272</v>
      </c>
      <c r="C121" s="24" t="inlineStr">
        <is>
          <t>C002-69</t>
        </is>
      </c>
      <c r="D121" s="24" t="inlineStr">
        <is>
          <t>Kiwi Mart</t>
        </is>
      </c>
      <c r="E121" s="25" t="n">
        <v>51.06</v>
      </c>
      <c r="F121" s="25" t="n">
        <v>47.78</v>
      </c>
      <c r="G121" s="25" t="n">
        <v>3.28</v>
      </c>
    </row>
    <row r="122">
      <c r="A122" s="23" t="n">
        <v>46245</v>
      </c>
      <c r="B122" s="23" t="n">
        <v>46244</v>
      </c>
      <c r="C122" s="24" t="inlineStr">
        <is>
          <t>C002-70</t>
        </is>
      </c>
      <c r="D122" s="24" t="inlineStr">
        <is>
          <t>Kiwi Mart</t>
        </is>
      </c>
      <c r="E122" s="25" t="n">
        <v>68.34</v>
      </c>
      <c r="F122" s="25" t="n">
        <v>63.95</v>
      </c>
      <c r="G122" s="25" t="n">
        <v>4.39</v>
      </c>
    </row>
    <row r="123">
      <c r="A123" s="23" t="n">
        <v>46284</v>
      </c>
      <c r="B123" s="23" t="n">
        <v>46279</v>
      </c>
      <c r="C123" s="24" t="inlineStr">
        <is>
          <t>C002-71</t>
        </is>
      </c>
      <c r="D123" s="24" t="inlineStr">
        <is>
          <t>Kiwi Mart</t>
        </is>
      </c>
      <c r="E123" s="25" t="n">
        <v>83.91</v>
      </c>
      <c r="F123" s="25" t="n">
        <v>78.52</v>
      </c>
      <c r="G123" s="25" t="n">
        <v>5.39</v>
      </c>
    </row>
    <row r="124">
      <c r="A124" s="23" t="n">
        <v>46211</v>
      </c>
      <c r="B124" s="23" t="n">
        <v>46209</v>
      </c>
      <c r="C124" s="24" t="inlineStr">
        <is>
          <t>C002-72</t>
        </is>
      </c>
      <c r="D124" s="24" t="inlineStr">
        <is>
          <t>Kiwi Mart</t>
        </is>
      </c>
      <c r="E124" s="25" t="n">
        <v>78.13</v>
      </c>
      <c r="F124" s="25" t="n">
        <v>73.11</v>
      </c>
      <c r="G124" s="25" t="n">
        <v>5.02</v>
      </c>
    </row>
    <row r="125">
      <c r="A125" s="23" t="n">
        <v>46289</v>
      </c>
      <c r="B125" s="23" t="n">
        <v>46286</v>
      </c>
      <c r="C125" s="24" t="inlineStr">
        <is>
          <t>C002-73</t>
        </is>
      </c>
      <c r="D125" s="24" t="inlineStr">
        <is>
          <t>Kiwi Mart</t>
        </is>
      </c>
      <c r="E125" s="25" t="n">
        <v>48.85</v>
      </c>
      <c r="F125" s="25" t="n">
        <v>45.71</v>
      </c>
      <c r="G125" s="25" t="n">
        <v>3.14</v>
      </c>
    </row>
    <row r="126">
      <c r="A126" s="23" t="n">
        <v>46221</v>
      </c>
      <c r="B126" s="23" t="n">
        <v>46216</v>
      </c>
      <c r="C126" s="24" t="inlineStr">
        <is>
          <t>C003-0</t>
        </is>
      </c>
      <c r="D126" s="24" t="inlineStr">
        <is>
          <t>Kiwi Cafe</t>
        </is>
      </c>
      <c r="E126" s="25" t="n">
        <v>2115.67</v>
      </c>
      <c r="F126" s="25" t="n">
        <v>1886.7</v>
      </c>
      <c r="G126" s="25" t="n">
        <v>228.97</v>
      </c>
    </row>
    <row r="127">
      <c r="A127" s="23" t="n">
        <v>46218</v>
      </c>
      <c r="B127" s="23" t="n">
        <v>46216</v>
      </c>
      <c r="C127" s="24" t="inlineStr">
        <is>
          <t>C003-1</t>
        </is>
      </c>
      <c r="D127" s="24" t="inlineStr">
        <is>
          <t>Kiwi Cafe</t>
        </is>
      </c>
      <c r="E127" s="25" t="n">
        <v>2460.44</v>
      </c>
      <c r="F127" s="25" t="n">
        <v>2194.16</v>
      </c>
      <c r="G127" s="25" t="n">
        <v>266.28</v>
      </c>
    </row>
    <row r="128">
      <c r="A128" s="23" t="n">
        <v>46240</v>
      </c>
      <c r="B128" s="23" t="n">
        <v>46237</v>
      </c>
      <c r="C128" s="24" t="inlineStr">
        <is>
          <t>C003-2</t>
        </is>
      </c>
      <c r="D128" s="24" t="inlineStr">
        <is>
          <t>Kiwi Cafe</t>
        </is>
      </c>
      <c r="E128" s="25" t="n">
        <v>1428.04</v>
      </c>
      <c r="F128" s="25" t="n">
        <v>1273.49</v>
      </c>
      <c r="G128" s="25" t="n">
        <v>154.55</v>
      </c>
    </row>
    <row r="129">
      <c r="A129" s="23" t="n">
        <v>46280</v>
      </c>
      <c r="B129" s="23" t="n">
        <v>46279</v>
      </c>
      <c r="C129" s="24" t="inlineStr">
        <is>
          <t>C003-3</t>
        </is>
      </c>
      <c r="D129" s="24" t="inlineStr">
        <is>
          <t>Kiwi Cafe</t>
        </is>
      </c>
      <c r="E129" s="25" t="n">
        <v>2186.66</v>
      </c>
      <c r="F129" s="25" t="n">
        <v>1950</v>
      </c>
      <c r="G129" s="25" t="n">
        <v>236.66</v>
      </c>
    </row>
    <row r="130">
      <c r="A130" s="23" t="n">
        <v>46237</v>
      </c>
      <c r="B130" s="23" t="n">
        <v>46237</v>
      </c>
      <c r="C130" s="24" t="inlineStr">
        <is>
          <t>C003-4</t>
        </is>
      </c>
      <c r="D130" s="24" t="inlineStr">
        <is>
          <t>Kiwi Cafe</t>
        </is>
      </c>
      <c r="E130" s="25" t="n">
        <v>1921.33</v>
      </c>
      <c r="F130" s="25" t="n">
        <v>1713.4</v>
      </c>
      <c r="G130" s="25" t="n">
        <v>207.93</v>
      </c>
    </row>
    <row r="131">
      <c r="A131" s="23" t="n">
        <v>46211</v>
      </c>
      <c r="B131" s="23" t="n">
        <v>46209</v>
      </c>
      <c r="C131" s="24" t="inlineStr">
        <is>
          <t>C004-0</t>
        </is>
      </c>
      <c r="D131" s="24" t="inlineStr">
        <is>
          <t>Kiwi Superette</t>
        </is>
      </c>
      <c r="E131" s="25" t="n">
        <v>2235</v>
      </c>
      <c r="F131" s="25" t="n">
        <v>1835.63</v>
      </c>
      <c r="G131" s="25" t="n">
        <v>399.37</v>
      </c>
    </row>
    <row r="132">
      <c r="A132" s="23" t="n">
        <v>46255</v>
      </c>
      <c r="B132" s="23" t="n">
        <v>46251</v>
      </c>
      <c r="C132" s="24" t="inlineStr">
        <is>
          <t>C004-1</t>
        </is>
      </c>
      <c r="D132" s="24" t="inlineStr">
        <is>
          <t>Kiwi Superette</t>
        </is>
      </c>
      <c r="E132" s="25" t="n">
        <v>2836.07</v>
      </c>
      <c r="F132" s="25" t="n">
        <v>2329.3</v>
      </c>
      <c r="G132" s="25" t="n">
        <v>506.77</v>
      </c>
    </row>
    <row r="133">
      <c r="A133" s="23" t="n">
        <v>46264</v>
      </c>
      <c r="B133" s="23" t="n">
        <v>46258</v>
      </c>
      <c r="C133" s="24" t="inlineStr">
        <is>
          <t>C004-2</t>
        </is>
      </c>
      <c r="D133" s="24" t="inlineStr">
        <is>
          <t>Kiwi Superette</t>
        </is>
      </c>
      <c r="E133" s="25" t="n">
        <v>2372.32</v>
      </c>
      <c r="F133" s="25" t="n">
        <v>1948.41</v>
      </c>
      <c r="G133" s="25" t="n">
        <v>423.91</v>
      </c>
    </row>
    <row r="134">
      <c r="A134" s="23" t="n">
        <v>46202</v>
      </c>
      <c r="B134" s="23" t="n">
        <v>46202</v>
      </c>
      <c r="C134" s="24" t="inlineStr">
        <is>
          <t>C004-3</t>
        </is>
      </c>
      <c r="D134" s="24" t="inlineStr">
        <is>
          <t>Kiwi Superette</t>
        </is>
      </c>
      <c r="E134" s="25" t="n">
        <v>1797.15</v>
      </c>
      <c r="F134" s="25" t="n">
        <v>1476.02</v>
      </c>
      <c r="G134" s="25" t="n">
        <v>321.13</v>
      </c>
    </row>
    <row r="135">
      <c r="A135" s="23" t="n">
        <v>46220</v>
      </c>
      <c r="B135" s="23" t="n">
        <v>46216</v>
      </c>
      <c r="C135" s="24" t="inlineStr">
        <is>
          <t>C004-4</t>
        </is>
      </c>
      <c r="D135" s="24" t="inlineStr">
        <is>
          <t>Kiwi Superette</t>
        </is>
      </c>
      <c r="E135" s="25" t="n">
        <v>2379.86</v>
      </c>
      <c r="F135" s="25" t="n">
        <v>1954.6</v>
      </c>
      <c r="G135" s="25" t="n">
        <v>425.26</v>
      </c>
    </row>
    <row r="136">
      <c r="A136" s="23" t="n">
        <v>46220</v>
      </c>
      <c r="B136" s="23" t="n">
        <v>46216</v>
      </c>
      <c r="C136" s="24" t="inlineStr">
        <is>
          <t>C004-5</t>
        </is>
      </c>
      <c r="D136" s="24" t="inlineStr">
        <is>
          <t>Kiwi Superette</t>
        </is>
      </c>
      <c r="E136" s="25" t="n">
        <v>1762.54</v>
      </c>
      <c r="F136" s="25" t="n">
        <v>1447.6</v>
      </c>
      <c r="G136" s="25" t="n">
        <v>314.94</v>
      </c>
    </row>
    <row r="137">
      <c r="A137" s="23" t="n">
        <v>46283</v>
      </c>
      <c r="B137" s="23" t="n">
        <v>46279</v>
      </c>
      <c r="C137" s="24" t="inlineStr">
        <is>
          <t>C005-0</t>
        </is>
      </c>
      <c r="D137" s="24" t="inlineStr">
        <is>
          <t>Kiwi Grocers</t>
        </is>
      </c>
      <c r="E137" s="25" t="n">
        <v>207.92</v>
      </c>
      <c r="F137" s="25" t="n">
        <v>175.58</v>
      </c>
      <c r="G137" s="25" t="n">
        <v>32.34</v>
      </c>
    </row>
    <row r="138">
      <c r="A138" s="23" t="n">
        <v>46250</v>
      </c>
      <c r="B138" s="23" t="n">
        <v>46244</v>
      </c>
      <c r="C138" s="24" t="inlineStr">
        <is>
          <t>C005-1</t>
        </is>
      </c>
      <c r="D138" s="24" t="inlineStr">
        <is>
          <t>Kiwi Grocers</t>
        </is>
      </c>
      <c r="E138" s="25" t="n">
        <v>233.59</v>
      </c>
      <c r="F138" s="25" t="n">
        <v>197.26</v>
      </c>
      <c r="G138" s="25" t="n">
        <v>36.33</v>
      </c>
    </row>
    <row r="139">
      <c r="A139" s="23" t="n">
        <v>46259</v>
      </c>
      <c r="B139" s="23" t="n">
        <v>46258</v>
      </c>
      <c r="C139" s="24" t="inlineStr">
        <is>
          <t>C005-2</t>
        </is>
      </c>
      <c r="D139" s="24" t="inlineStr">
        <is>
          <t>Kiwi Grocers</t>
        </is>
      </c>
      <c r="E139" s="25" t="n">
        <v>234.01</v>
      </c>
      <c r="F139" s="25" t="n">
        <v>197.61</v>
      </c>
      <c r="G139" s="25" t="n">
        <v>36.4</v>
      </c>
    </row>
    <row r="140">
      <c r="A140" s="23" t="n">
        <v>46229</v>
      </c>
      <c r="B140" s="23" t="n">
        <v>46223</v>
      </c>
      <c r="C140" s="24" t="inlineStr">
        <is>
          <t>C005-3</t>
        </is>
      </c>
      <c r="D140" s="24" t="inlineStr">
        <is>
          <t>Kiwi Grocers</t>
        </is>
      </c>
      <c r="E140" s="25" t="n">
        <v>202.11</v>
      </c>
      <c r="F140" s="25" t="n">
        <v>170.67</v>
      </c>
      <c r="G140" s="25" t="n">
        <v>31.44</v>
      </c>
    </row>
    <row r="141">
      <c r="A141" s="23" t="n">
        <v>46262</v>
      </c>
      <c r="B141" s="23" t="n">
        <v>46258</v>
      </c>
      <c r="C141" s="24" t="inlineStr">
        <is>
          <t>C005-4</t>
        </is>
      </c>
      <c r="D141" s="24" t="inlineStr">
        <is>
          <t>Kiwi Grocers</t>
        </is>
      </c>
      <c r="E141" s="25" t="n">
        <v>249.66</v>
      </c>
      <c r="F141" s="25" t="n">
        <v>210.83</v>
      </c>
      <c r="G141" s="25" t="n">
        <v>38.83</v>
      </c>
    </row>
    <row r="142">
      <c r="A142" s="23" t="n">
        <v>46234</v>
      </c>
      <c r="B142" s="23" t="n">
        <v>46230</v>
      </c>
      <c r="C142" s="24" t="inlineStr">
        <is>
          <t>C005-5</t>
        </is>
      </c>
      <c r="D142" s="24" t="inlineStr">
        <is>
          <t>Kiwi Grocers</t>
        </is>
      </c>
      <c r="E142" s="25" t="n">
        <v>205.93</v>
      </c>
      <c r="F142" s="25" t="n">
        <v>173.9</v>
      </c>
      <c r="G142" s="25" t="n">
        <v>32.03</v>
      </c>
    </row>
    <row r="143">
      <c r="A143" s="23" t="n">
        <v>46235</v>
      </c>
      <c r="B143" s="23" t="n">
        <v>46230</v>
      </c>
      <c r="C143" s="24" t="inlineStr">
        <is>
          <t>C005-6</t>
        </is>
      </c>
      <c r="D143" s="24" t="inlineStr">
        <is>
          <t>Kiwi Grocers</t>
        </is>
      </c>
      <c r="E143" s="25" t="n">
        <v>131.24</v>
      </c>
      <c r="F143" s="25" t="n">
        <v>110.83</v>
      </c>
      <c r="G143" s="25" t="n">
        <v>20.41</v>
      </c>
    </row>
    <row r="144">
      <c r="A144" s="23" t="n">
        <v>46213</v>
      </c>
      <c r="B144" s="23" t="n">
        <v>46209</v>
      </c>
      <c r="C144" s="24" t="inlineStr">
        <is>
          <t>C005-7</t>
        </is>
      </c>
      <c r="D144" s="24" t="inlineStr">
        <is>
          <t>Kiwi Grocers</t>
        </is>
      </c>
      <c r="E144" s="25" t="n">
        <v>221.74</v>
      </c>
      <c r="F144" s="25" t="n">
        <v>187.25</v>
      </c>
      <c r="G144" s="25" t="n">
        <v>34.49</v>
      </c>
    </row>
    <row r="145">
      <c r="A145" s="23" t="n">
        <v>46202</v>
      </c>
      <c r="B145" s="23" t="n">
        <v>46202</v>
      </c>
      <c r="C145" s="24" t="inlineStr">
        <is>
          <t>C005-8</t>
        </is>
      </c>
      <c r="D145" s="24" t="inlineStr">
        <is>
          <t>Kiwi Grocers</t>
        </is>
      </c>
      <c r="E145" s="25" t="n">
        <v>256.89</v>
      </c>
      <c r="F145" s="25" t="n">
        <v>216.94</v>
      </c>
      <c r="G145" s="25" t="n">
        <v>39.95</v>
      </c>
    </row>
    <row r="146">
      <c r="A146" s="23" t="n">
        <v>46252</v>
      </c>
      <c r="B146" s="23" t="n">
        <v>46251</v>
      </c>
      <c r="C146" s="24" t="inlineStr">
        <is>
          <t>C005-9</t>
        </is>
      </c>
      <c r="D146" s="24" t="inlineStr">
        <is>
          <t>Kiwi Grocers</t>
        </is>
      </c>
      <c r="E146" s="25" t="n">
        <v>207.41</v>
      </c>
      <c r="F146" s="25" t="n">
        <v>175.14</v>
      </c>
      <c r="G146" s="25" t="n">
        <v>32.27</v>
      </c>
    </row>
    <row r="147">
      <c r="A147" s="23" t="n">
        <v>46263</v>
      </c>
      <c r="B147" s="23" t="n">
        <v>46258</v>
      </c>
      <c r="C147" s="24" t="inlineStr">
        <is>
          <t>C005-10</t>
        </is>
      </c>
      <c r="D147" s="24" t="inlineStr">
        <is>
          <t>Kiwi Grocers</t>
        </is>
      </c>
      <c r="E147" s="25" t="n">
        <v>293.68</v>
      </c>
      <c r="F147" s="25" t="n">
        <v>248</v>
      </c>
      <c r="G147" s="25" t="n">
        <v>45.68</v>
      </c>
    </row>
    <row r="148">
      <c r="A148" s="23" t="n">
        <v>46248</v>
      </c>
      <c r="B148" s="23" t="n">
        <v>46244</v>
      </c>
      <c r="C148" s="24" t="inlineStr">
        <is>
          <t>C005-11</t>
        </is>
      </c>
      <c r="D148" s="24" t="inlineStr">
        <is>
          <t>Kiwi Grocers</t>
        </is>
      </c>
      <c r="E148" s="25" t="n">
        <v>247.74</v>
      </c>
      <c r="F148" s="25" t="n">
        <v>209.2</v>
      </c>
      <c r="G148" s="25" t="n">
        <v>38.54</v>
      </c>
    </row>
    <row r="149">
      <c r="A149" s="23" t="n">
        <v>46210</v>
      </c>
      <c r="B149" s="23" t="n">
        <v>46209</v>
      </c>
      <c r="C149" s="24" t="inlineStr">
        <is>
          <t>C005-12</t>
        </is>
      </c>
      <c r="D149" s="24" t="inlineStr">
        <is>
          <t>Kiwi Grocers</t>
        </is>
      </c>
      <c r="E149" s="25" t="n">
        <v>156.11</v>
      </c>
      <c r="F149" s="25" t="n">
        <v>131.83</v>
      </c>
      <c r="G149" s="25" t="n">
        <v>24.28</v>
      </c>
    </row>
    <row r="150">
      <c r="A150" s="23" t="n">
        <v>46225</v>
      </c>
      <c r="B150" s="23" t="n">
        <v>46223</v>
      </c>
      <c r="C150" s="24" t="inlineStr">
        <is>
          <t>C005-13</t>
        </is>
      </c>
      <c r="D150" s="24" t="inlineStr">
        <is>
          <t>Kiwi Grocers</t>
        </is>
      </c>
      <c r="E150" s="25" t="n">
        <v>168.12</v>
      </c>
      <c r="F150" s="25" t="n">
        <v>141.97</v>
      </c>
      <c r="G150" s="25" t="n">
        <v>26.15</v>
      </c>
    </row>
    <row r="151">
      <c r="A151" s="23" t="n">
        <v>46205</v>
      </c>
      <c r="B151" s="23" t="n">
        <v>46202</v>
      </c>
      <c r="C151" s="24" t="inlineStr">
        <is>
          <t>C005-14</t>
        </is>
      </c>
      <c r="D151" s="24" t="inlineStr">
        <is>
          <t>Kiwi Grocers</t>
        </is>
      </c>
      <c r="E151" s="25" t="n">
        <v>298.26</v>
      </c>
      <c r="F151" s="25" t="n">
        <v>251.86</v>
      </c>
      <c r="G151" s="25" t="n">
        <v>46.4</v>
      </c>
    </row>
    <row r="152">
      <c r="A152" s="23" t="n">
        <v>46230</v>
      </c>
      <c r="B152" s="23" t="n">
        <v>46230</v>
      </c>
      <c r="C152" s="24" t="inlineStr">
        <is>
          <t>C005-15</t>
        </is>
      </c>
      <c r="D152" s="24" t="inlineStr">
        <is>
          <t>Kiwi Grocers</t>
        </is>
      </c>
      <c r="E152" s="25" t="n">
        <v>269.89</v>
      </c>
      <c r="F152" s="25" t="n">
        <v>227.91</v>
      </c>
      <c r="G152" s="25" t="n">
        <v>41.98</v>
      </c>
    </row>
    <row r="153">
      <c r="A153" s="23" t="n">
        <v>46252</v>
      </c>
      <c r="B153" s="23" t="n">
        <v>46251</v>
      </c>
      <c r="C153" s="24" t="inlineStr">
        <is>
          <t>C005-16</t>
        </is>
      </c>
      <c r="D153" s="24" t="inlineStr">
        <is>
          <t>Kiwi Grocers</t>
        </is>
      </c>
      <c r="E153" s="25" t="n">
        <v>176.97</v>
      </c>
      <c r="F153" s="25" t="n">
        <v>149.44</v>
      </c>
      <c r="G153" s="25" t="n">
        <v>27.53</v>
      </c>
    </row>
    <row r="154">
      <c r="A154" s="23" t="n">
        <v>46261</v>
      </c>
      <c r="B154" s="23" t="n">
        <v>46258</v>
      </c>
      <c r="C154" s="24" t="inlineStr">
        <is>
          <t>C005-17</t>
        </is>
      </c>
      <c r="D154" s="24" t="inlineStr">
        <is>
          <t>Kiwi Grocers</t>
        </is>
      </c>
      <c r="E154" s="25" t="n">
        <v>159.69</v>
      </c>
      <c r="F154" s="25" t="n">
        <v>134.85</v>
      </c>
      <c r="G154" s="25" t="n">
        <v>24.84</v>
      </c>
    </row>
    <row r="155">
      <c r="A155" s="23" t="n">
        <v>46223</v>
      </c>
      <c r="B155" s="23" t="n">
        <v>46223</v>
      </c>
      <c r="C155" s="24" t="inlineStr">
        <is>
          <t>C005-18</t>
        </is>
      </c>
      <c r="D155" s="24" t="inlineStr">
        <is>
          <t>Kiwi Grocers</t>
        </is>
      </c>
      <c r="E155" s="25" t="n">
        <v>270.52</v>
      </c>
      <c r="F155" s="25" t="n">
        <v>228.44</v>
      </c>
      <c r="G155" s="25" t="n">
        <v>42.08</v>
      </c>
    </row>
    <row r="156">
      <c r="A156" s="23" t="n">
        <v>46223</v>
      </c>
      <c r="B156" s="23" t="n">
        <v>46223</v>
      </c>
      <c r="C156" s="24" t="inlineStr">
        <is>
          <t>C005-19</t>
        </is>
      </c>
      <c r="D156" s="24" t="inlineStr">
        <is>
          <t>Kiwi Grocers</t>
        </is>
      </c>
      <c r="E156" s="25" t="n">
        <v>189.65</v>
      </c>
      <c r="F156" s="25" t="n">
        <v>160.15</v>
      </c>
      <c r="G156" s="25" t="n">
        <v>29.5</v>
      </c>
    </row>
    <row r="157">
      <c r="A157" s="23" t="n">
        <v>46274</v>
      </c>
      <c r="B157" s="23" t="n">
        <v>46272</v>
      </c>
      <c r="C157" s="24" t="inlineStr">
        <is>
          <t>C005-20</t>
        </is>
      </c>
      <c r="D157" s="24" t="inlineStr">
        <is>
          <t>Kiwi Grocers</t>
        </is>
      </c>
      <c r="E157" s="25" t="n">
        <v>142.03</v>
      </c>
      <c r="F157" s="25" t="n">
        <v>119.94</v>
      </c>
      <c r="G157" s="25" t="n">
        <v>22.09</v>
      </c>
    </row>
    <row r="158">
      <c r="A158" s="23" t="n">
        <v>46258</v>
      </c>
      <c r="B158" s="23" t="n">
        <v>46258</v>
      </c>
      <c r="C158" s="24" t="inlineStr">
        <is>
          <t>C005-21</t>
        </is>
      </c>
      <c r="D158" s="24" t="inlineStr">
        <is>
          <t>Kiwi Grocers</t>
        </is>
      </c>
      <c r="E158" s="25" t="n">
        <v>151.56</v>
      </c>
      <c r="F158" s="25" t="n">
        <v>127.99</v>
      </c>
      <c r="G158" s="25" t="n">
        <v>23.57</v>
      </c>
    </row>
    <row r="159">
      <c r="A159" s="23" t="n">
        <v>46256</v>
      </c>
      <c r="B159" s="23" t="n">
        <v>46251</v>
      </c>
      <c r="C159" s="24" t="inlineStr">
        <is>
          <t>C005-22</t>
        </is>
      </c>
      <c r="D159" s="24" t="inlineStr">
        <is>
          <t>Kiwi Grocers</t>
        </is>
      </c>
      <c r="E159" s="25" t="n">
        <v>283.33</v>
      </c>
      <c r="F159" s="25" t="n">
        <v>239.26</v>
      </c>
      <c r="G159" s="25" t="n">
        <v>44.07</v>
      </c>
    </row>
    <row r="160">
      <c r="A160" s="23" t="n">
        <v>46217</v>
      </c>
      <c r="B160" s="23" t="n">
        <v>46216</v>
      </c>
      <c r="C160" s="24" t="inlineStr">
        <is>
          <t>C005-23</t>
        </is>
      </c>
      <c r="D160" s="24" t="inlineStr">
        <is>
          <t>Kiwi Grocers</t>
        </is>
      </c>
      <c r="E160" s="25" t="n">
        <v>144.64</v>
      </c>
      <c r="F160" s="25" t="n">
        <v>122.14</v>
      </c>
      <c r="G160" s="25" t="n">
        <v>22.5</v>
      </c>
    </row>
    <row r="161">
      <c r="A161" s="23" t="n">
        <v>46225</v>
      </c>
      <c r="B161" s="23" t="n">
        <v>46223</v>
      </c>
      <c r="C161" s="24" t="inlineStr">
        <is>
          <t>C005-24</t>
        </is>
      </c>
      <c r="D161" s="24" t="inlineStr">
        <is>
          <t>Kiwi Grocers</t>
        </is>
      </c>
      <c r="E161" s="25" t="n">
        <v>214.66</v>
      </c>
      <c r="F161" s="25" t="n">
        <v>181.27</v>
      </c>
      <c r="G161" s="25" t="n">
        <v>33.39</v>
      </c>
    </row>
    <row r="162">
      <c r="A162" s="23" t="n">
        <v>46216</v>
      </c>
      <c r="B162" s="23" t="n">
        <v>46216</v>
      </c>
      <c r="C162" s="24" t="inlineStr">
        <is>
          <t>C005-25</t>
        </is>
      </c>
      <c r="D162" s="24" t="inlineStr">
        <is>
          <t>Kiwi Grocers</t>
        </is>
      </c>
      <c r="E162" s="25" t="n">
        <v>203.03</v>
      </c>
      <c r="F162" s="25" t="n">
        <v>171.45</v>
      </c>
      <c r="G162" s="25" t="n">
        <v>31.58</v>
      </c>
    </row>
    <row r="163">
      <c r="A163" s="23" t="n">
        <v>46267</v>
      </c>
      <c r="B163" s="23" t="n">
        <v>46265</v>
      </c>
      <c r="C163" s="24" t="inlineStr">
        <is>
          <t>C005-26</t>
        </is>
      </c>
      <c r="D163" s="24" t="inlineStr">
        <is>
          <t>Kiwi Grocers</t>
        </is>
      </c>
      <c r="E163" s="25" t="n">
        <v>225.57</v>
      </c>
      <c r="F163" s="25" t="n">
        <v>190.48</v>
      </c>
      <c r="G163" s="25" t="n">
        <v>35.09</v>
      </c>
    </row>
    <row r="164">
      <c r="A164" s="23" t="n">
        <v>46207</v>
      </c>
      <c r="B164" s="23" t="n">
        <v>46202</v>
      </c>
      <c r="C164" s="24" t="inlineStr">
        <is>
          <t>C005-27</t>
        </is>
      </c>
      <c r="D164" s="24" t="inlineStr">
        <is>
          <t>Kiwi Grocers</t>
        </is>
      </c>
      <c r="E164" s="25" t="n">
        <v>249.26</v>
      </c>
      <c r="F164" s="25" t="n">
        <v>210.49</v>
      </c>
      <c r="G164" s="25" t="n">
        <v>38.77</v>
      </c>
    </row>
    <row r="165">
      <c r="A165" s="23" t="n">
        <v>46229</v>
      </c>
      <c r="B165" s="23" t="n">
        <v>46223</v>
      </c>
      <c r="C165" s="24" t="inlineStr">
        <is>
          <t>C005-28</t>
        </is>
      </c>
      <c r="D165" s="24" t="inlineStr">
        <is>
          <t>Kiwi Grocers</t>
        </is>
      </c>
      <c r="E165" s="25" t="n">
        <v>246.99</v>
      </c>
      <c r="F165" s="25" t="n">
        <v>208.57</v>
      </c>
      <c r="G165" s="25" t="n">
        <v>38.42</v>
      </c>
    </row>
    <row r="166">
      <c r="A166" s="23" t="n">
        <v>46247</v>
      </c>
      <c r="B166" s="23" t="n">
        <v>46244</v>
      </c>
      <c r="C166" s="24" t="inlineStr">
        <is>
          <t>C005-29</t>
        </is>
      </c>
      <c r="D166" s="24" t="inlineStr">
        <is>
          <t>Kiwi Grocers</t>
        </is>
      </c>
      <c r="E166" s="25" t="n">
        <v>255.31</v>
      </c>
      <c r="F166" s="25" t="n">
        <v>215.6</v>
      </c>
      <c r="G166" s="25" t="n">
        <v>39.71</v>
      </c>
    </row>
    <row r="167">
      <c r="A167" s="23" t="n">
        <v>46282</v>
      </c>
      <c r="B167" s="23" t="n">
        <v>46279</v>
      </c>
      <c r="C167" s="24" t="inlineStr">
        <is>
          <t>C005-30</t>
        </is>
      </c>
      <c r="D167" s="24" t="inlineStr">
        <is>
          <t>Kiwi Grocers</t>
        </is>
      </c>
      <c r="E167" s="25" t="n">
        <v>186.42</v>
      </c>
      <c r="F167" s="25" t="n">
        <v>157.42</v>
      </c>
      <c r="G167" s="25" t="n">
        <v>29</v>
      </c>
    </row>
    <row r="168">
      <c r="A168" s="23" t="n">
        <v>46243</v>
      </c>
      <c r="B168" s="23" t="n">
        <v>46237</v>
      </c>
      <c r="C168" s="24" t="inlineStr">
        <is>
          <t>C005-31</t>
        </is>
      </c>
      <c r="D168" s="24" t="inlineStr">
        <is>
          <t>Kiwi Grocers</t>
        </is>
      </c>
      <c r="E168" s="25" t="n">
        <v>281.87</v>
      </c>
      <c r="F168" s="25" t="n">
        <v>238.03</v>
      </c>
      <c r="G168" s="25" t="n">
        <v>43.84</v>
      </c>
    </row>
    <row r="169">
      <c r="A169" s="23" t="n">
        <v>46268</v>
      </c>
      <c r="B169" s="23" t="n">
        <v>46265</v>
      </c>
      <c r="C169" s="24" t="inlineStr">
        <is>
          <t>C005-32</t>
        </is>
      </c>
      <c r="D169" s="24" t="inlineStr">
        <is>
          <t>Kiwi Grocers</t>
        </is>
      </c>
      <c r="E169" s="25" t="n">
        <v>242.38</v>
      </c>
      <c r="F169" s="25" t="n">
        <v>204.68</v>
      </c>
      <c r="G169" s="25" t="n">
        <v>37.7</v>
      </c>
    </row>
    <row r="170">
      <c r="A170" s="23" t="n">
        <v>46229</v>
      </c>
      <c r="B170" s="23" t="n">
        <v>46223</v>
      </c>
      <c r="C170" s="24" t="inlineStr">
        <is>
          <t>C005-33</t>
        </is>
      </c>
      <c r="D170" s="24" t="inlineStr">
        <is>
          <t>Kiwi Grocers</t>
        </is>
      </c>
      <c r="E170" s="25" t="n">
        <v>276.89</v>
      </c>
      <c r="F170" s="25" t="n">
        <v>233.82</v>
      </c>
      <c r="G170" s="25" t="n">
        <v>43.07</v>
      </c>
    </row>
    <row r="171">
      <c r="A171" s="23" t="n">
        <v>46279</v>
      </c>
      <c r="B171" s="23" t="n">
        <v>46279</v>
      </c>
      <c r="C171" s="24" t="inlineStr">
        <is>
          <t>C005-34</t>
        </is>
      </c>
      <c r="D171" s="24" t="inlineStr">
        <is>
          <t>Kiwi Grocers</t>
        </is>
      </c>
      <c r="E171" s="25" t="n">
        <v>205.78</v>
      </c>
      <c r="F171" s="25" t="n">
        <v>173.77</v>
      </c>
      <c r="G171" s="25" t="n">
        <v>32.01</v>
      </c>
    </row>
    <row r="172">
      <c r="A172" s="23" t="n">
        <v>46215</v>
      </c>
      <c r="B172" s="23" t="n">
        <v>46209</v>
      </c>
      <c r="C172" s="24" t="inlineStr">
        <is>
          <t>C005-35</t>
        </is>
      </c>
      <c r="D172" s="24" t="inlineStr">
        <is>
          <t>Kiwi Grocers</t>
        </is>
      </c>
      <c r="E172" s="25" t="n">
        <v>170.7</v>
      </c>
      <c r="F172" s="25" t="n">
        <v>144.15</v>
      </c>
      <c r="G172" s="25" t="n">
        <v>26.55</v>
      </c>
    </row>
    <row r="173">
      <c r="A173" s="23" t="n">
        <v>46249</v>
      </c>
      <c r="B173" s="23" t="n">
        <v>46244</v>
      </c>
      <c r="C173" s="24" t="inlineStr">
        <is>
          <t>C005-36</t>
        </is>
      </c>
      <c r="D173" s="24" t="inlineStr">
        <is>
          <t>Kiwi Grocers</t>
        </is>
      </c>
      <c r="E173" s="25" t="n">
        <v>235.63</v>
      </c>
      <c r="F173" s="25" t="n">
        <v>198.98</v>
      </c>
      <c r="G173" s="25" t="n">
        <v>36.65</v>
      </c>
    </row>
    <row r="174">
      <c r="A174" s="23" t="n">
        <v>46201</v>
      </c>
      <c r="B174" s="23" t="n">
        <v>46195</v>
      </c>
      <c r="C174" s="24" t="inlineStr">
        <is>
          <t>C005-37</t>
        </is>
      </c>
      <c r="D174" s="24" t="inlineStr">
        <is>
          <t>Kiwi Grocers</t>
        </is>
      </c>
      <c r="E174" s="25" t="n">
        <v>174.76</v>
      </c>
      <c r="F174" s="25" t="n">
        <v>147.58</v>
      </c>
      <c r="G174" s="25" t="n">
        <v>27.18</v>
      </c>
    </row>
    <row r="175">
      <c r="A175" s="23" t="n">
        <v>46251</v>
      </c>
      <c r="B175" s="23" t="n">
        <v>46251</v>
      </c>
      <c r="C175" s="24" t="inlineStr">
        <is>
          <t>C006-0</t>
        </is>
      </c>
      <c r="D175" s="24" t="inlineStr">
        <is>
          <t>Harbour Foods</t>
        </is>
      </c>
      <c r="E175" s="25" t="n">
        <v>1033.36</v>
      </c>
      <c r="F175" s="25" t="n">
        <v>830.53</v>
      </c>
      <c r="G175" s="25" t="n">
        <v>202.83</v>
      </c>
    </row>
    <row r="176">
      <c r="A176" s="23" t="n">
        <v>46263</v>
      </c>
      <c r="B176" s="23" t="n">
        <v>46258</v>
      </c>
      <c r="C176" s="24" t="inlineStr">
        <is>
          <t>C006-1</t>
        </is>
      </c>
      <c r="D176" s="24" t="inlineStr">
        <is>
          <t>Harbour Foods</t>
        </is>
      </c>
      <c r="E176" s="25" t="n">
        <v>685.45</v>
      </c>
      <c r="F176" s="25" t="n">
        <v>550.91</v>
      </c>
      <c r="G176" s="25" t="n">
        <v>134.54</v>
      </c>
    </row>
    <row r="177">
      <c r="A177" s="23" t="n">
        <v>46213</v>
      </c>
      <c r="B177" s="23" t="n">
        <v>46209</v>
      </c>
      <c r="C177" s="24" t="inlineStr">
        <is>
          <t>C006-2</t>
        </is>
      </c>
      <c r="D177" s="24" t="inlineStr">
        <is>
          <t>Harbour Foods</t>
        </is>
      </c>
      <c r="E177" s="25" t="n">
        <v>532.92</v>
      </c>
      <c r="F177" s="25" t="n">
        <v>428.32</v>
      </c>
      <c r="G177" s="25" t="n">
        <v>104.6</v>
      </c>
    </row>
    <row r="178">
      <c r="A178" s="23" t="n">
        <v>46205</v>
      </c>
      <c r="B178" s="23" t="n">
        <v>46202</v>
      </c>
      <c r="C178" s="24" t="inlineStr">
        <is>
          <t>C006-3</t>
        </is>
      </c>
      <c r="D178" s="24" t="inlineStr">
        <is>
          <t>Harbour Foods</t>
        </is>
      </c>
      <c r="E178" s="25" t="n">
        <v>1017.72</v>
      </c>
      <c r="F178" s="25" t="n">
        <v>817.96</v>
      </c>
      <c r="G178" s="25" t="n">
        <v>199.76</v>
      </c>
    </row>
    <row r="179">
      <c r="A179" s="23" t="n">
        <v>46245</v>
      </c>
      <c r="B179" s="23" t="n">
        <v>46244</v>
      </c>
      <c r="C179" s="24" t="inlineStr">
        <is>
          <t>C006-4</t>
        </is>
      </c>
      <c r="D179" s="24" t="inlineStr">
        <is>
          <t>Harbour Foods</t>
        </is>
      </c>
      <c r="E179" s="25" t="n">
        <v>800.87</v>
      </c>
      <c r="F179" s="25" t="n">
        <v>643.67</v>
      </c>
      <c r="G179" s="25" t="n">
        <v>157.2</v>
      </c>
    </row>
    <row r="180">
      <c r="A180" s="23" t="n">
        <v>46245</v>
      </c>
      <c r="B180" s="23" t="n">
        <v>46244</v>
      </c>
      <c r="C180" s="24" t="inlineStr">
        <is>
          <t>C006-5</t>
        </is>
      </c>
      <c r="D180" s="24" t="inlineStr">
        <is>
          <t>Harbour Foods</t>
        </is>
      </c>
      <c r="E180" s="25" t="n">
        <v>932.7</v>
      </c>
      <c r="F180" s="25" t="n">
        <v>749.63</v>
      </c>
      <c r="G180" s="25" t="n">
        <v>183.07</v>
      </c>
    </row>
    <row r="181">
      <c r="A181" s="23" t="n">
        <v>46269</v>
      </c>
      <c r="B181" s="23" t="n">
        <v>46265</v>
      </c>
      <c r="C181" s="24" t="inlineStr">
        <is>
          <t>C006-6</t>
        </is>
      </c>
      <c r="D181" s="24" t="inlineStr">
        <is>
          <t>Harbour Foods</t>
        </is>
      </c>
      <c r="E181" s="25" t="n">
        <v>891.54</v>
      </c>
      <c r="F181" s="25" t="n">
        <v>716.55</v>
      </c>
      <c r="G181" s="25" t="n">
        <v>174.99</v>
      </c>
    </row>
    <row r="182">
      <c r="A182" s="23" t="n">
        <v>46220</v>
      </c>
      <c r="B182" s="23" t="n">
        <v>46216</v>
      </c>
      <c r="C182" s="24" t="inlineStr">
        <is>
          <t>C006-7</t>
        </is>
      </c>
      <c r="D182" s="24" t="inlineStr">
        <is>
          <t>Harbour Foods</t>
        </is>
      </c>
      <c r="E182" s="25" t="n">
        <v>472.8</v>
      </c>
      <c r="F182" s="25" t="n">
        <v>380</v>
      </c>
      <c r="G182" s="25" t="n">
        <v>92.8</v>
      </c>
    </row>
    <row r="183">
      <c r="A183" s="23" t="n">
        <v>46288</v>
      </c>
      <c r="B183" s="23" t="n">
        <v>46286</v>
      </c>
      <c r="C183" s="24" t="inlineStr">
        <is>
          <t>C006-8</t>
        </is>
      </c>
      <c r="D183" s="24" t="inlineStr">
        <is>
          <t>Harbour Foods</t>
        </is>
      </c>
      <c r="E183" s="25" t="n">
        <v>470.26</v>
      </c>
      <c r="F183" s="25" t="n">
        <v>377.96</v>
      </c>
      <c r="G183" s="25" t="n">
        <v>92.3</v>
      </c>
    </row>
    <row r="184">
      <c r="A184" s="23" t="n">
        <v>46258</v>
      </c>
      <c r="B184" s="23" t="n">
        <v>46258</v>
      </c>
      <c r="C184" s="24" t="inlineStr">
        <is>
          <t>C006-9</t>
        </is>
      </c>
      <c r="D184" s="24" t="inlineStr">
        <is>
          <t>Harbour Foods</t>
        </is>
      </c>
      <c r="E184" s="25" t="n">
        <v>573.89</v>
      </c>
      <c r="F184" s="25" t="n">
        <v>461.25</v>
      </c>
      <c r="G184" s="25" t="n">
        <v>112.64</v>
      </c>
    </row>
    <row r="185">
      <c r="A185" s="23" t="n">
        <v>46215</v>
      </c>
      <c r="B185" s="23" t="n">
        <v>46209</v>
      </c>
      <c r="C185" s="24" t="inlineStr">
        <is>
          <t>C006-10</t>
        </is>
      </c>
      <c r="D185" s="24" t="inlineStr">
        <is>
          <t>Harbour Foods</t>
        </is>
      </c>
      <c r="E185" s="25" t="n">
        <v>453.18</v>
      </c>
      <c r="F185" s="25" t="n">
        <v>364.23</v>
      </c>
      <c r="G185" s="25" t="n">
        <v>88.95</v>
      </c>
    </row>
    <row r="186">
      <c r="A186" s="23" t="n">
        <v>46256</v>
      </c>
      <c r="B186" s="23" t="n">
        <v>46251</v>
      </c>
      <c r="C186" s="24" t="inlineStr">
        <is>
          <t>C006-11</t>
        </is>
      </c>
      <c r="D186" s="24" t="inlineStr">
        <is>
          <t>Harbour Foods</t>
        </is>
      </c>
      <c r="E186" s="25" t="n">
        <v>823.83</v>
      </c>
      <c r="F186" s="25" t="n">
        <v>662.13</v>
      </c>
      <c r="G186" s="25" t="n">
        <v>161.7</v>
      </c>
    </row>
    <row r="187">
      <c r="A187" s="23" t="n">
        <v>46281</v>
      </c>
      <c r="B187" s="23" t="n">
        <v>46279</v>
      </c>
      <c r="C187" s="24" t="inlineStr">
        <is>
          <t>C006-12</t>
        </is>
      </c>
      <c r="D187" s="24" t="inlineStr">
        <is>
          <t>Harbour Foods</t>
        </is>
      </c>
      <c r="E187" s="25" t="n">
        <v>596.33</v>
      </c>
      <c r="F187" s="25" t="n">
        <v>479.28</v>
      </c>
      <c r="G187" s="25" t="n">
        <v>117.05</v>
      </c>
    </row>
    <row r="188">
      <c r="A188" s="23" t="n">
        <v>46225</v>
      </c>
      <c r="B188" s="23" t="n">
        <v>46223</v>
      </c>
      <c r="C188" s="24" t="inlineStr">
        <is>
          <t>C006-13</t>
        </is>
      </c>
      <c r="D188" s="24" t="inlineStr">
        <is>
          <t>Harbour Foods</t>
        </is>
      </c>
      <c r="E188" s="25" t="n">
        <v>967.35</v>
      </c>
      <c r="F188" s="25" t="n">
        <v>777.48</v>
      </c>
      <c r="G188" s="25" t="n">
        <v>189.87</v>
      </c>
    </row>
    <row r="189">
      <c r="A189" s="23" t="n">
        <v>46233</v>
      </c>
      <c r="B189" s="23" t="n">
        <v>46230</v>
      </c>
      <c r="C189" s="24" t="inlineStr">
        <is>
          <t>C006-14</t>
        </is>
      </c>
      <c r="D189" s="24" t="inlineStr">
        <is>
          <t>Harbour Foods</t>
        </is>
      </c>
      <c r="E189" s="25" t="n">
        <v>812.6799999999999</v>
      </c>
      <c r="F189" s="25" t="n">
        <v>653.17</v>
      </c>
      <c r="G189" s="25" t="n">
        <v>159.51</v>
      </c>
    </row>
    <row r="190">
      <c r="A190" s="23" t="n">
        <v>46229</v>
      </c>
      <c r="B190" s="23" t="n">
        <v>46223</v>
      </c>
      <c r="C190" s="24" t="inlineStr">
        <is>
          <t>C006-15</t>
        </is>
      </c>
      <c r="D190" s="24" t="inlineStr">
        <is>
          <t>Harbour Foods</t>
        </is>
      </c>
      <c r="E190" s="25" t="n">
        <v>567.6900000000001</v>
      </c>
      <c r="F190" s="25" t="n">
        <v>456.26</v>
      </c>
      <c r="G190" s="25" t="n">
        <v>111.43</v>
      </c>
    </row>
    <row r="191">
      <c r="A191" s="23" t="n">
        <v>46265</v>
      </c>
      <c r="B191" s="23" t="n">
        <v>46265</v>
      </c>
      <c r="C191" s="24" t="inlineStr">
        <is>
          <t>C006-16</t>
        </is>
      </c>
      <c r="D191" s="24" t="inlineStr">
        <is>
          <t>Harbour Foods</t>
        </is>
      </c>
      <c r="E191" s="25" t="n">
        <v>848.04</v>
      </c>
      <c r="F191" s="25" t="n">
        <v>681.59</v>
      </c>
      <c r="G191" s="25" t="n">
        <v>166.45</v>
      </c>
    </row>
    <row r="192">
      <c r="A192" s="23" t="n">
        <v>46289</v>
      </c>
      <c r="B192" s="23" t="n">
        <v>46286</v>
      </c>
      <c r="C192" s="24" t="inlineStr">
        <is>
          <t>C006-17</t>
        </is>
      </c>
      <c r="D192" s="24" t="inlineStr">
        <is>
          <t>Harbour Foods</t>
        </is>
      </c>
      <c r="E192" s="25" t="n">
        <v>562.27</v>
      </c>
      <c r="F192" s="25" t="n">
        <v>451.91</v>
      </c>
      <c r="G192" s="25" t="n">
        <v>110.36</v>
      </c>
    </row>
    <row r="193">
      <c r="A193" s="23" t="n">
        <v>46244</v>
      </c>
      <c r="B193" s="23" t="n">
        <v>46244</v>
      </c>
      <c r="C193" s="24" t="inlineStr">
        <is>
          <t>C006-18</t>
        </is>
      </c>
      <c r="D193" s="24" t="inlineStr">
        <is>
          <t>Harbour Foods</t>
        </is>
      </c>
      <c r="E193" s="25" t="n">
        <v>497.01</v>
      </c>
      <c r="F193" s="25" t="n">
        <v>399.45</v>
      </c>
      <c r="G193" s="25" t="n">
        <v>97.56</v>
      </c>
    </row>
    <row r="194">
      <c r="A194" s="23" t="n">
        <v>46272</v>
      </c>
      <c r="B194" s="23" t="n">
        <v>46272</v>
      </c>
      <c r="C194" s="24" t="inlineStr">
        <is>
          <t>C006-19</t>
        </is>
      </c>
      <c r="D194" s="24" t="inlineStr">
        <is>
          <t>Harbour Foods</t>
        </is>
      </c>
      <c r="E194" s="25" t="n">
        <v>838.67</v>
      </c>
      <c r="F194" s="25" t="n">
        <v>674.0599999999999</v>
      </c>
      <c r="G194" s="25" t="n">
        <v>164.61</v>
      </c>
    </row>
    <row r="195">
      <c r="A195" s="23" t="n">
        <v>46253</v>
      </c>
      <c r="B195" s="23" t="n">
        <v>46251</v>
      </c>
      <c r="C195" s="24" t="inlineStr">
        <is>
          <t>C007-0</t>
        </is>
      </c>
      <c r="D195" s="24" t="inlineStr">
        <is>
          <t>Harbour Mart</t>
        </is>
      </c>
      <c r="E195" s="25" t="n">
        <v>463.15</v>
      </c>
      <c r="F195" s="25" t="n">
        <v>368.12</v>
      </c>
      <c r="G195" s="25" t="n">
        <v>95.03</v>
      </c>
    </row>
    <row r="196">
      <c r="A196" s="23" t="n">
        <v>46257</v>
      </c>
      <c r="B196" s="23" t="n">
        <v>46251</v>
      </c>
      <c r="C196" s="24" t="inlineStr">
        <is>
          <t>C007-1</t>
        </is>
      </c>
      <c r="D196" s="24" t="inlineStr">
        <is>
          <t>Harbour Mart</t>
        </is>
      </c>
      <c r="E196" s="25" t="n">
        <v>541.24</v>
      </c>
      <c r="F196" s="25" t="n">
        <v>430.2</v>
      </c>
      <c r="G196" s="25" t="n">
        <v>111.04</v>
      </c>
    </row>
    <row r="197">
      <c r="A197" s="23" t="n">
        <v>46232</v>
      </c>
      <c r="B197" s="23" t="n">
        <v>46230</v>
      </c>
      <c r="C197" s="24" t="inlineStr">
        <is>
          <t>C007-2</t>
        </is>
      </c>
      <c r="D197" s="24" t="inlineStr">
        <is>
          <t>Harbour Mart</t>
        </is>
      </c>
      <c r="E197" s="25" t="n">
        <v>529.34</v>
      </c>
      <c r="F197" s="25" t="n">
        <v>420.74</v>
      </c>
      <c r="G197" s="25" t="n">
        <v>108.6</v>
      </c>
    </row>
    <row r="198">
      <c r="A198" s="23" t="n">
        <v>46219</v>
      </c>
      <c r="B198" s="23" t="n">
        <v>46216</v>
      </c>
      <c r="C198" s="24" t="inlineStr">
        <is>
          <t>C007-3</t>
        </is>
      </c>
      <c r="D198" s="24" t="inlineStr">
        <is>
          <t>Harbour Mart</t>
        </is>
      </c>
      <c r="E198" s="25" t="n">
        <v>553.79</v>
      </c>
      <c r="F198" s="25" t="n">
        <v>440.17</v>
      </c>
      <c r="G198" s="25" t="n">
        <v>113.62</v>
      </c>
    </row>
    <row r="199">
      <c r="A199" s="23" t="n">
        <v>46213</v>
      </c>
      <c r="B199" s="23" t="n">
        <v>46209</v>
      </c>
      <c r="C199" s="24" t="inlineStr">
        <is>
          <t>C007-4</t>
        </is>
      </c>
      <c r="D199" s="24" t="inlineStr">
        <is>
          <t>Harbour Mart</t>
        </is>
      </c>
      <c r="E199" s="25" t="n">
        <v>313.58</v>
      </c>
      <c r="F199" s="25" t="n">
        <v>249.24</v>
      </c>
      <c r="G199" s="25" t="n">
        <v>64.34</v>
      </c>
    </row>
    <row r="200">
      <c r="A200" s="23" t="n">
        <v>46287</v>
      </c>
      <c r="B200" s="23" t="n">
        <v>46286</v>
      </c>
      <c r="C200" s="24" t="inlineStr">
        <is>
          <t>C007-5</t>
        </is>
      </c>
      <c r="D200" s="24" t="inlineStr">
        <is>
          <t>Harbour Mart</t>
        </is>
      </c>
      <c r="E200" s="25" t="n">
        <v>335.02</v>
      </c>
      <c r="F200" s="25" t="n">
        <v>266.28</v>
      </c>
      <c r="G200" s="25" t="n">
        <v>68.73999999999999</v>
      </c>
    </row>
    <row r="201">
      <c r="A201" s="23" t="n">
        <v>46233</v>
      </c>
      <c r="B201" s="23" t="n">
        <v>46230</v>
      </c>
      <c r="C201" s="24" t="inlineStr">
        <is>
          <t>C007-6</t>
        </is>
      </c>
      <c r="D201" s="24" t="inlineStr">
        <is>
          <t>Harbour Mart</t>
        </is>
      </c>
      <c r="E201" s="25" t="n">
        <v>545.09</v>
      </c>
      <c r="F201" s="25" t="n">
        <v>433.25</v>
      </c>
      <c r="G201" s="25" t="n">
        <v>111.84</v>
      </c>
    </row>
    <row r="202">
      <c r="A202" s="23" t="n">
        <v>46252</v>
      </c>
      <c r="B202" s="23" t="n">
        <v>46251</v>
      </c>
      <c r="C202" s="24" t="inlineStr">
        <is>
          <t>C007-7</t>
        </is>
      </c>
      <c r="D202" s="24" t="inlineStr">
        <is>
          <t>Harbour Mart</t>
        </is>
      </c>
      <c r="E202" s="25" t="n">
        <v>379.31</v>
      </c>
      <c r="F202" s="25" t="n">
        <v>301.49</v>
      </c>
      <c r="G202" s="25" t="n">
        <v>77.81999999999999</v>
      </c>
    </row>
    <row r="203">
      <c r="A203" s="23" t="n">
        <v>46290</v>
      </c>
      <c r="B203" s="23" t="n">
        <v>46286</v>
      </c>
      <c r="C203" s="24" t="inlineStr">
        <is>
          <t>C007-8</t>
        </is>
      </c>
      <c r="D203" s="24" t="inlineStr">
        <is>
          <t>Harbour Mart</t>
        </is>
      </c>
      <c r="E203" s="25" t="n">
        <v>506.76</v>
      </c>
      <c r="F203" s="25" t="n">
        <v>402.79</v>
      </c>
      <c r="G203" s="25" t="n">
        <v>103.97</v>
      </c>
    </row>
    <row r="204">
      <c r="A204" s="23" t="n">
        <v>46264</v>
      </c>
      <c r="B204" s="23" t="n">
        <v>46258</v>
      </c>
      <c r="C204" s="24" t="inlineStr">
        <is>
          <t>C007-9</t>
        </is>
      </c>
      <c r="D204" s="24" t="inlineStr">
        <is>
          <t>Harbour Mart</t>
        </is>
      </c>
      <c r="E204" s="25" t="n">
        <v>411.9</v>
      </c>
      <c r="F204" s="25" t="n">
        <v>327.39</v>
      </c>
      <c r="G204" s="25" t="n">
        <v>84.51000000000001</v>
      </c>
    </row>
    <row r="205">
      <c r="A205" s="23" t="n">
        <v>46211</v>
      </c>
      <c r="B205" s="23" t="n">
        <v>46209</v>
      </c>
      <c r="C205" s="24" t="inlineStr">
        <is>
          <t>C007-10</t>
        </is>
      </c>
      <c r="D205" s="24" t="inlineStr">
        <is>
          <t>Harbour Mart</t>
        </is>
      </c>
      <c r="E205" s="25" t="n">
        <v>322.73</v>
      </c>
      <c r="F205" s="25" t="n">
        <v>256.52</v>
      </c>
      <c r="G205" s="25" t="n">
        <v>66.20999999999999</v>
      </c>
    </row>
    <row r="206">
      <c r="A206" s="23" t="n">
        <v>46227</v>
      </c>
      <c r="B206" s="23" t="n">
        <v>46223</v>
      </c>
      <c r="C206" s="24" t="inlineStr">
        <is>
          <t>C007-11</t>
        </is>
      </c>
      <c r="D206" s="24" t="inlineStr">
        <is>
          <t>Harbour Mart</t>
        </is>
      </c>
      <c r="E206" s="25" t="n">
        <v>376.42</v>
      </c>
      <c r="F206" s="25" t="n">
        <v>299.19</v>
      </c>
      <c r="G206" s="25" t="n">
        <v>77.23</v>
      </c>
    </row>
    <row r="207">
      <c r="A207" s="23" t="n">
        <v>46265</v>
      </c>
      <c r="B207" s="23" t="n">
        <v>46265</v>
      </c>
      <c r="C207" s="24" t="inlineStr">
        <is>
          <t>C007-12</t>
        </is>
      </c>
      <c r="D207" s="24" t="inlineStr">
        <is>
          <t>Harbour Mart</t>
        </is>
      </c>
      <c r="E207" s="25" t="n">
        <v>489.17</v>
      </c>
      <c r="F207" s="25" t="n">
        <v>388.81</v>
      </c>
      <c r="G207" s="25" t="n">
        <v>100.36</v>
      </c>
    </row>
    <row r="208">
      <c r="A208" s="23" t="n">
        <v>46263</v>
      </c>
      <c r="B208" s="23" t="n">
        <v>46258</v>
      </c>
      <c r="C208" s="24" t="inlineStr">
        <is>
          <t>C007-13</t>
        </is>
      </c>
      <c r="D208" s="24" t="inlineStr">
        <is>
          <t>Harbour Mart</t>
        </is>
      </c>
      <c r="E208" s="25" t="n">
        <v>566.63</v>
      </c>
      <c r="F208" s="25" t="n">
        <v>450.37</v>
      </c>
      <c r="G208" s="25" t="n">
        <v>116.26</v>
      </c>
    </row>
    <row r="209">
      <c r="A209" s="23" t="n">
        <v>46278</v>
      </c>
      <c r="B209" s="23" t="n">
        <v>46272</v>
      </c>
      <c r="C209" s="24" t="inlineStr">
        <is>
          <t>C007-14</t>
        </is>
      </c>
      <c r="D209" s="24" t="inlineStr">
        <is>
          <t>Harbour Mart</t>
        </is>
      </c>
      <c r="E209" s="25" t="n">
        <v>392.05</v>
      </c>
      <c r="F209" s="25" t="n">
        <v>311.62</v>
      </c>
      <c r="G209" s="25" t="n">
        <v>80.43000000000001</v>
      </c>
    </row>
    <row r="210">
      <c r="A210" s="23" t="n">
        <v>46228</v>
      </c>
      <c r="B210" s="23" t="n">
        <v>46223</v>
      </c>
      <c r="C210" s="24" t="inlineStr">
        <is>
          <t>C007-15</t>
        </is>
      </c>
      <c r="D210" s="24" t="inlineStr">
        <is>
          <t>Harbour Mart</t>
        </is>
      </c>
      <c r="E210" s="25" t="n">
        <v>418.12</v>
      </c>
      <c r="F210" s="25" t="n">
        <v>332.34</v>
      </c>
      <c r="G210" s="25" t="n">
        <v>85.78</v>
      </c>
    </row>
    <row r="211">
      <c r="A211" s="23" t="n">
        <v>46221</v>
      </c>
      <c r="B211" s="23" t="n">
        <v>46216</v>
      </c>
      <c r="C211" s="24" t="inlineStr">
        <is>
          <t>C007-16</t>
        </is>
      </c>
      <c r="D211" s="24" t="inlineStr">
        <is>
          <t>Harbour Mart</t>
        </is>
      </c>
      <c r="E211" s="25" t="n">
        <v>412.84</v>
      </c>
      <c r="F211" s="25" t="n">
        <v>328.14</v>
      </c>
      <c r="G211" s="25" t="n">
        <v>84.7</v>
      </c>
    </row>
    <row r="212">
      <c r="A212" s="23" t="n">
        <v>46222</v>
      </c>
      <c r="B212" s="23" t="n">
        <v>46216</v>
      </c>
      <c r="C212" s="24" t="inlineStr">
        <is>
          <t>C007-17</t>
        </is>
      </c>
      <c r="D212" s="24" t="inlineStr">
        <is>
          <t>Harbour Mart</t>
        </is>
      </c>
      <c r="E212" s="25" t="n">
        <v>641.6</v>
      </c>
      <c r="F212" s="25" t="n">
        <v>509.97</v>
      </c>
      <c r="G212" s="25" t="n">
        <v>131.63</v>
      </c>
    </row>
    <row r="213">
      <c r="A213" s="23" t="n">
        <v>46254</v>
      </c>
      <c r="B213" s="23" t="n">
        <v>46251</v>
      </c>
      <c r="C213" s="24" t="inlineStr">
        <is>
          <t>C007-18</t>
        </is>
      </c>
      <c r="D213" s="24" t="inlineStr">
        <is>
          <t>Harbour Mart</t>
        </is>
      </c>
      <c r="E213" s="25" t="n">
        <v>442.21</v>
      </c>
      <c r="F213" s="25" t="n">
        <v>351.48</v>
      </c>
      <c r="G213" s="25" t="n">
        <v>90.73</v>
      </c>
    </row>
    <row r="214">
      <c r="A214" s="23" t="n">
        <v>46227</v>
      </c>
      <c r="B214" s="23" t="n">
        <v>46223</v>
      </c>
      <c r="C214" s="24" t="inlineStr">
        <is>
          <t>C007-19</t>
        </is>
      </c>
      <c r="D214" s="24" t="inlineStr">
        <is>
          <t>Harbour Mart</t>
        </is>
      </c>
      <c r="E214" s="25" t="n">
        <v>394.29</v>
      </c>
      <c r="F214" s="25" t="n">
        <v>313.4</v>
      </c>
      <c r="G214" s="25" t="n">
        <v>80.89</v>
      </c>
    </row>
    <row r="215">
      <c r="A215" s="23" t="n">
        <v>46218</v>
      </c>
      <c r="B215" s="23" t="n">
        <v>46216</v>
      </c>
      <c r="C215" s="24" t="inlineStr">
        <is>
          <t>C007-20</t>
        </is>
      </c>
      <c r="D215" s="24" t="inlineStr">
        <is>
          <t>Harbour Mart</t>
        </is>
      </c>
      <c r="E215" s="25" t="n">
        <v>318.73</v>
      </c>
      <c r="F215" s="25" t="n">
        <v>253.34</v>
      </c>
      <c r="G215" s="25" t="n">
        <v>65.39</v>
      </c>
    </row>
    <row r="216">
      <c r="A216" s="23" t="n">
        <v>46224</v>
      </c>
      <c r="B216" s="23" t="n">
        <v>46223</v>
      </c>
      <c r="C216" s="24" t="inlineStr">
        <is>
          <t>C007-21</t>
        </is>
      </c>
      <c r="D216" s="24" t="inlineStr">
        <is>
          <t>Harbour Mart</t>
        </is>
      </c>
      <c r="E216" s="25" t="n">
        <v>375.63</v>
      </c>
      <c r="F216" s="25" t="n">
        <v>298.56</v>
      </c>
      <c r="G216" s="25" t="n">
        <v>77.06999999999999</v>
      </c>
    </row>
    <row r="217">
      <c r="A217" s="23" t="n">
        <v>46288</v>
      </c>
      <c r="B217" s="23" t="n">
        <v>46286</v>
      </c>
      <c r="C217" s="24" t="inlineStr">
        <is>
          <t>C007-22</t>
        </is>
      </c>
      <c r="D217" s="24" t="inlineStr">
        <is>
          <t>Harbour Mart</t>
        </is>
      </c>
      <c r="E217" s="25" t="n">
        <v>567.12</v>
      </c>
      <c r="F217" s="25" t="n">
        <v>450.76</v>
      </c>
      <c r="G217" s="25" t="n">
        <v>116.36</v>
      </c>
    </row>
    <row r="218">
      <c r="A218" s="23" t="n">
        <v>46230</v>
      </c>
      <c r="B218" s="23" t="n">
        <v>46230</v>
      </c>
      <c r="C218" s="24" t="inlineStr">
        <is>
          <t>C007-23</t>
        </is>
      </c>
      <c r="D218" s="24" t="inlineStr">
        <is>
          <t>Harbour Mart</t>
        </is>
      </c>
      <c r="E218" s="25" t="n">
        <v>504.13</v>
      </c>
      <c r="F218" s="25" t="n">
        <v>400.7</v>
      </c>
      <c r="G218" s="25" t="n">
        <v>103.43</v>
      </c>
    </row>
    <row r="219">
      <c r="A219" s="23" t="n">
        <v>46263</v>
      </c>
      <c r="B219" s="23" t="n">
        <v>46258</v>
      </c>
      <c r="C219" s="24" t="inlineStr">
        <is>
          <t>C007-24</t>
        </is>
      </c>
      <c r="D219" s="24" t="inlineStr">
        <is>
          <t>Harbour Mart</t>
        </is>
      </c>
      <c r="E219" s="25" t="n">
        <v>367.46</v>
      </c>
      <c r="F219" s="25" t="n">
        <v>292.07</v>
      </c>
      <c r="G219" s="25" t="n">
        <v>75.39</v>
      </c>
    </row>
    <row r="220">
      <c r="A220" s="23" t="n">
        <v>46255</v>
      </c>
      <c r="B220" s="23" t="n">
        <v>46251</v>
      </c>
      <c r="C220" s="24" t="inlineStr">
        <is>
          <t>C007-25</t>
        </is>
      </c>
      <c r="D220" s="24" t="inlineStr">
        <is>
          <t>Harbour Mart</t>
        </is>
      </c>
      <c r="E220" s="25" t="n">
        <v>493.02</v>
      </c>
      <c r="F220" s="25" t="n">
        <v>391.87</v>
      </c>
      <c r="G220" s="25" t="n">
        <v>101.15</v>
      </c>
    </row>
    <row r="221">
      <c r="A221" s="23" t="n">
        <v>46286</v>
      </c>
      <c r="B221" s="23" t="n">
        <v>46286</v>
      </c>
      <c r="C221" s="24" t="inlineStr">
        <is>
          <t>C007-26</t>
        </is>
      </c>
      <c r="D221" s="24" t="inlineStr">
        <is>
          <t>Harbour Mart</t>
        </is>
      </c>
      <c r="E221" s="25" t="n">
        <v>655.64</v>
      </c>
      <c r="F221" s="25" t="n">
        <v>521.12</v>
      </c>
      <c r="G221" s="25" t="n">
        <v>134.52</v>
      </c>
    </row>
    <row r="222">
      <c r="A222" s="23" t="n">
        <v>46275</v>
      </c>
      <c r="B222" s="23" t="n">
        <v>46272</v>
      </c>
      <c r="C222" s="24" t="inlineStr">
        <is>
          <t>C007-27</t>
        </is>
      </c>
      <c r="D222" s="24" t="inlineStr">
        <is>
          <t>Harbour Mart</t>
        </is>
      </c>
      <c r="E222" s="25" t="n">
        <v>465.95</v>
      </c>
      <c r="F222" s="25" t="n">
        <v>370.35</v>
      </c>
      <c r="G222" s="25" t="n">
        <v>95.59999999999999</v>
      </c>
    </row>
    <row r="223">
      <c r="A223" s="23" t="n">
        <v>46257</v>
      </c>
      <c r="B223" s="23" t="n">
        <v>46251</v>
      </c>
      <c r="C223" s="24" t="inlineStr">
        <is>
          <t>C007-28</t>
        </is>
      </c>
      <c r="D223" s="24" t="inlineStr">
        <is>
          <t>Harbour Mart</t>
        </is>
      </c>
      <c r="E223" s="25" t="n">
        <v>301.05</v>
      </c>
      <c r="F223" s="25" t="n">
        <v>239.29</v>
      </c>
      <c r="G223" s="25" t="n">
        <v>61.76</v>
      </c>
    </row>
    <row r="224">
      <c r="A224" s="23" t="n">
        <v>46215</v>
      </c>
      <c r="B224" s="23" t="n">
        <v>46209</v>
      </c>
      <c r="C224" s="24" t="inlineStr">
        <is>
          <t>C007-29</t>
        </is>
      </c>
      <c r="D224" s="24" t="inlineStr">
        <is>
          <t>Harbour Mart</t>
        </is>
      </c>
      <c r="E224" s="25" t="n">
        <v>355.72</v>
      </c>
      <c r="F224" s="25" t="n">
        <v>282.74</v>
      </c>
      <c r="G224" s="25" t="n">
        <v>72.98</v>
      </c>
    </row>
    <row r="225">
      <c r="A225" s="23" t="n">
        <v>46211</v>
      </c>
      <c r="B225" s="23" t="n">
        <v>46209</v>
      </c>
      <c r="C225" s="24" t="inlineStr">
        <is>
          <t>C007-30</t>
        </is>
      </c>
      <c r="D225" s="24" t="inlineStr">
        <is>
          <t>Harbour Mart</t>
        </is>
      </c>
      <c r="E225" s="25" t="n">
        <v>505.81</v>
      </c>
      <c r="F225" s="25" t="n">
        <v>402.03</v>
      </c>
      <c r="G225" s="25" t="n">
        <v>103.78</v>
      </c>
    </row>
    <row r="226">
      <c r="A226" s="23" t="n">
        <v>46230</v>
      </c>
      <c r="B226" s="23" t="n">
        <v>46230</v>
      </c>
      <c r="C226" s="24" t="inlineStr">
        <is>
          <t>C007-31</t>
        </is>
      </c>
      <c r="D226" s="24" t="inlineStr">
        <is>
          <t>Harbour Mart</t>
        </is>
      </c>
      <c r="E226" s="25" t="n">
        <v>288.17</v>
      </c>
      <c r="F226" s="25" t="n">
        <v>229.05</v>
      </c>
      <c r="G226" s="25" t="n">
        <v>59.12</v>
      </c>
    </row>
    <row r="227">
      <c r="A227" s="23" t="n">
        <v>46283</v>
      </c>
      <c r="B227" s="23" t="n">
        <v>46279</v>
      </c>
      <c r="C227" s="24" t="inlineStr">
        <is>
          <t>C007-32</t>
        </is>
      </c>
      <c r="D227" s="24" t="inlineStr">
        <is>
          <t>Harbour Mart</t>
        </is>
      </c>
      <c r="E227" s="25" t="n">
        <v>627.8099999999999</v>
      </c>
      <c r="F227" s="25" t="n">
        <v>499</v>
      </c>
      <c r="G227" s="25" t="n">
        <v>128.81</v>
      </c>
    </row>
    <row r="228">
      <c r="A228" s="23" t="n">
        <v>46260</v>
      </c>
      <c r="B228" s="23" t="n">
        <v>46258</v>
      </c>
      <c r="C228" s="24" t="inlineStr">
        <is>
          <t>C007-33</t>
        </is>
      </c>
      <c r="D228" s="24" t="inlineStr">
        <is>
          <t>Harbour Mart</t>
        </is>
      </c>
      <c r="E228" s="25" t="n">
        <v>462.3</v>
      </c>
      <c r="F228" s="25" t="n">
        <v>367.45</v>
      </c>
      <c r="G228" s="25" t="n">
        <v>94.84999999999999</v>
      </c>
    </row>
    <row r="229">
      <c r="A229" s="23" t="n">
        <v>46269</v>
      </c>
      <c r="B229" s="23" t="n">
        <v>46265</v>
      </c>
      <c r="C229" s="24" t="inlineStr">
        <is>
          <t>C007-34</t>
        </is>
      </c>
      <c r="D229" s="24" t="inlineStr">
        <is>
          <t>Harbour Mart</t>
        </is>
      </c>
      <c r="E229" s="25" t="n">
        <v>438.16</v>
      </c>
      <c r="F229" s="25" t="n">
        <v>348.26</v>
      </c>
      <c r="G229" s="25" t="n">
        <v>89.90000000000001</v>
      </c>
    </row>
    <row r="230">
      <c r="A230" s="23" t="n">
        <v>46280</v>
      </c>
      <c r="B230" s="23" t="n">
        <v>46279</v>
      </c>
      <c r="C230" s="24" t="inlineStr">
        <is>
          <t>C007-35</t>
        </is>
      </c>
      <c r="D230" s="24" t="inlineStr">
        <is>
          <t>Harbour Mart</t>
        </is>
      </c>
      <c r="E230" s="25" t="n">
        <v>641.97</v>
      </c>
      <c r="F230" s="25" t="n">
        <v>510.26</v>
      </c>
      <c r="G230" s="25" t="n">
        <v>131.71</v>
      </c>
    </row>
    <row r="231">
      <c r="A231" s="23" t="n">
        <v>46267</v>
      </c>
      <c r="B231" s="23" t="n">
        <v>46265</v>
      </c>
      <c r="C231" s="24" t="inlineStr">
        <is>
          <t>C007-36</t>
        </is>
      </c>
      <c r="D231" s="24" t="inlineStr">
        <is>
          <t>Harbour Mart</t>
        </is>
      </c>
      <c r="E231" s="25" t="n">
        <v>560.83</v>
      </c>
      <c r="F231" s="25" t="n">
        <v>445.76</v>
      </c>
      <c r="G231" s="25" t="n">
        <v>115.07</v>
      </c>
    </row>
    <row r="232">
      <c r="A232" s="23" t="n">
        <v>46251</v>
      </c>
      <c r="B232" s="23" t="n">
        <v>46251</v>
      </c>
      <c r="C232" s="24" t="inlineStr">
        <is>
          <t>C007-37</t>
        </is>
      </c>
      <c r="D232" s="24" t="inlineStr">
        <is>
          <t>Harbour Mart</t>
        </is>
      </c>
      <c r="E232" s="25" t="n">
        <v>571.1799999999999</v>
      </c>
      <c r="F232" s="25" t="n">
        <v>454</v>
      </c>
      <c r="G232" s="25" t="n">
        <v>117.18</v>
      </c>
    </row>
    <row r="233">
      <c r="A233" s="23" t="n">
        <v>46224</v>
      </c>
      <c r="B233" s="23" t="n">
        <v>46223</v>
      </c>
      <c r="C233" s="24" t="inlineStr">
        <is>
          <t>C008-0</t>
        </is>
      </c>
      <c r="D233" s="24" t="inlineStr">
        <is>
          <t>Harbour Cafe</t>
        </is>
      </c>
      <c r="E233" s="25" t="n">
        <v>203.61</v>
      </c>
      <c r="F233" s="25" t="n">
        <v>187.72</v>
      </c>
      <c r="G233" s="25" t="n">
        <v>15.89</v>
      </c>
    </row>
    <row r="234">
      <c r="A234" s="23" t="n">
        <v>46283</v>
      </c>
      <c r="B234" s="23" t="n">
        <v>46279</v>
      </c>
      <c r="C234" s="24" t="inlineStr">
        <is>
          <t>C008-1</t>
        </is>
      </c>
      <c r="D234" s="24" t="inlineStr">
        <is>
          <t>Harbour Cafe</t>
        </is>
      </c>
      <c r="E234" s="25" t="n">
        <v>263.1</v>
      </c>
      <c r="F234" s="25" t="n">
        <v>242.57</v>
      </c>
      <c r="G234" s="25" t="n">
        <v>20.53</v>
      </c>
    </row>
    <row r="235">
      <c r="A235" s="23" t="n">
        <v>46209</v>
      </c>
      <c r="B235" s="23" t="n">
        <v>46209</v>
      </c>
      <c r="C235" s="24" t="inlineStr">
        <is>
          <t>C008-2</t>
        </is>
      </c>
      <c r="D235" s="24" t="inlineStr">
        <is>
          <t>Harbour Cafe</t>
        </is>
      </c>
      <c r="E235" s="25" t="n">
        <v>132.28</v>
      </c>
      <c r="F235" s="25" t="n">
        <v>121.96</v>
      </c>
      <c r="G235" s="25" t="n">
        <v>10.32</v>
      </c>
    </row>
    <row r="236">
      <c r="A236" s="23" t="n">
        <v>46202</v>
      </c>
      <c r="B236" s="23" t="n">
        <v>46202</v>
      </c>
      <c r="C236" s="24" t="inlineStr">
        <is>
          <t>C008-3</t>
        </is>
      </c>
      <c r="D236" s="24" t="inlineStr">
        <is>
          <t>Harbour Cafe</t>
        </is>
      </c>
      <c r="E236" s="25" t="n">
        <v>195.71</v>
      </c>
      <c r="F236" s="25" t="n">
        <v>180.44</v>
      </c>
      <c r="G236" s="25" t="n">
        <v>15.27</v>
      </c>
    </row>
    <row r="237">
      <c r="A237" s="23" t="n">
        <v>46288</v>
      </c>
      <c r="B237" s="23" t="n">
        <v>46286</v>
      </c>
      <c r="C237" s="24" t="inlineStr">
        <is>
          <t>C008-4</t>
        </is>
      </c>
      <c r="D237" s="24" t="inlineStr">
        <is>
          <t>Harbour Cafe</t>
        </is>
      </c>
      <c r="E237" s="25" t="n">
        <v>202.53</v>
      </c>
      <c r="F237" s="25" t="n">
        <v>186.73</v>
      </c>
      <c r="G237" s="25" t="n">
        <v>15.8</v>
      </c>
    </row>
    <row r="238">
      <c r="A238" s="23" t="n">
        <v>46201</v>
      </c>
      <c r="B238" s="23" t="n">
        <v>46195</v>
      </c>
      <c r="C238" s="24" t="inlineStr">
        <is>
          <t>C008-5</t>
        </is>
      </c>
      <c r="D238" s="24" t="inlineStr">
        <is>
          <t>Harbour Cafe</t>
        </is>
      </c>
      <c r="E238" s="25" t="n">
        <v>284</v>
      </c>
      <c r="F238" s="25" t="n">
        <v>261.85</v>
      </c>
      <c r="G238" s="25" t="n">
        <v>22.15</v>
      </c>
    </row>
    <row r="239">
      <c r="A239" s="23" t="n">
        <v>46256</v>
      </c>
      <c r="B239" s="23" t="n">
        <v>46251</v>
      </c>
      <c r="C239" s="24" t="inlineStr">
        <is>
          <t>C008-6</t>
        </is>
      </c>
      <c r="D239" s="24" t="inlineStr">
        <is>
          <t>Harbour Cafe</t>
        </is>
      </c>
      <c r="E239" s="25" t="n">
        <v>203.49</v>
      </c>
      <c r="F239" s="25" t="n">
        <v>187.62</v>
      </c>
      <c r="G239" s="25" t="n">
        <v>15.87</v>
      </c>
    </row>
    <row r="240">
      <c r="A240" s="23" t="n">
        <v>46214</v>
      </c>
      <c r="B240" s="23" t="n">
        <v>46209</v>
      </c>
      <c r="C240" s="24" t="inlineStr">
        <is>
          <t>C008-7</t>
        </is>
      </c>
      <c r="D240" s="24" t="inlineStr">
        <is>
          <t>Harbour Cafe</t>
        </is>
      </c>
      <c r="E240" s="25" t="n">
        <v>262.8</v>
      </c>
      <c r="F240" s="25" t="n">
        <v>242.3</v>
      </c>
      <c r="G240" s="25" t="n">
        <v>20.5</v>
      </c>
    </row>
    <row r="241">
      <c r="A241" s="23" t="n">
        <v>46236</v>
      </c>
      <c r="B241" s="23" t="n">
        <v>46230</v>
      </c>
      <c r="C241" s="24" t="inlineStr">
        <is>
          <t>C008-8</t>
        </is>
      </c>
      <c r="D241" s="24" t="inlineStr">
        <is>
          <t>Harbour Cafe</t>
        </is>
      </c>
      <c r="E241" s="25" t="n">
        <v>162.5</v>
      </c>
      <c r="F241" s="25" t="n">
        <v>149.83</v>
      </c>
      <c r="G241" s="25" t="n">
        <v>12.67</v>
      </c>
    </row>
    <row r="242">
      <c r="A242" s="23" t="n">
        <v>46206</v>
      </c>
      <c r="B242" s="23" t="n">
        <v>46202</v>
      </c>
      <c r="C242" s="24" t="inlineStr">
        <is>
          <t>C008-9</t>
        </is>
      </c>
      <c r="D242" s="24" t="inlineStr">
        <is>
          <t>Harbour Cafe</t>
        </is>
      </c>
      <c r="E242" s="25" t="n">
        <v>177.85</v>
      </c>
      <c r="F242" s="25" t="n">
        <v>163.98</v>
      </c>
      <c r="G242" s="25" t="n">
        <v>13.87</v>
      </c>
    </row>
    <row r="243">
      <c r="A243" s="23" t="n">
        <v>46235</v>
      </c>
      <c r="B243" s="23" t="n">
        <v>46230</v>
      </c>
      <c r="C243" s="24" t="inlineStr">
        <is>
          <t>C008-10</t>
        </is>
      </c>
      <c r="D243" s="24" t="inlineStr">
        <is>
          <t>Harbour Cafe</t>
        </is>
      </c>
      <c r="E243" s="25" t="n">
        <v>223.76</v>
      </c>
      <c r="F243" s="25" t="n">
        <v>206.3</v>
      </c>
      <c r="G243" s="25" t="n">
        <v>17.46</v>
      </c>
    </row>
    <row r="244">
      <c r="A244" s="23" t="n">
        <v>46271</v>
      </c>
      <c r="B244" s="23" t="n">
        <v>46265</v>
      </c>
      <c r="C244" s="24" t="inlineStr">
        <is>
          <t>C008-11</t>
        </is>
      </c>
      <c r="D244" s="24" t="inlineStr">
        <is>
          <t>Harbour Cafe</t>
        </is>
      </c>
      <c r="E244" s="25" t="n">
        <v>170.54</v>
      </c>
      <c r="F244" s="25" t="n">
        <v>157.23</v>
      </c>
      <c r="G244" s="25" t="n">
        <v>13.31</v>
      </c>
    </row>
    <row r="245">
      <c r="A245" s="23" t="n">
        <v>46258</v>
      </c>
      <c r="B245" s="23" t="n">
        <v>46258</v>
      </c>
      <c r="C245" s="24" t="inlineStr">
        <is>
          <t>C008-12</t>
        </is>
      </c>
      <c r="D245" s="24" t="inlineStr">
        <is>
          <t>Harbour Cafe</t>
        </is>
      </c>
      <c r="E245" s="25" t="n">
        <v>172.92</v>
      </c>
      <c r="F245" s="25" t="n">
        <v>159.43</v>
      </c>
      <c r="G245" s="25" t="n">
        <v>13.49</v>
      </c>
    </row>
    <row r="246">
      <c r="A246" s="23" t="n">
        <v>46268</v>
      </c>
      <c r="B246" s="23" t="n">
        <v>46265</v>
      </c>
      <c r="C246" s="24" t="inlineStr">
        <is>
          <t>C008-13</t>
        </is>
      </c>
      <c r="D246" s="24" t="inlineStr">
        <is>
          <t>Harbour Cafe</t>
        </is>
      </c>
      <c r="E246" s="25" t="n">
        <v>174.12</v>
      </c>
      <c r="F246" s="25" t="n">
        <v>160.54</v>
      </c>
      <c r="G246" s="25" t="n">
        <v>13.58</v>
      </c>
    </row>
    <row r="247">
      <c r="A247" s="23" t="n">
        <v>46262</v>
      </c>
      <c r="B247" s="23" t="n">
        <v>46258</v>
      </c>
      <c r="C247" s="24" t="inlineStr">
        <is>
          <t>C008-14</t>
        </is>
      </c>
      <c r="D247" s="24" t="inlineStr">
        <is>
          <t>Harbour Cafe</t>
        </is>
      </c>
      <c r="E247" s="25" t="n">
        <v>267.41</v>
      </c>
      <c r="F247" s="25" t="n">
        <v>246.55</v>
      </c>
      <c r="G247" s="25" t="n">
        <v>20.86</v>
      </c>
    </row>
    <row r="248">
      <c r="A248" s="23" t="n">
        <v>46254</v>
      </c>
      <c r="B248" s="23" t="n">
        <v>46251</v>
      </c>
      <c r="C248" s="24" t="inlineStr">
        <is>
          <t>C008-15</t>
        </is>
      </c>
      <c r="D248" s="24" t="inlineStr">
        <is>
          <t>Harbour Cafe</t>
        </is>
      </c>
      <c r="E248" s="25" t="n">
        <v>206.68</v>
      </c>
      <c r="F248" s="25" t="n">
        <v>190.55</v>
      </c>
      <c r="G248" s="25" t="n">
        <v>16.13</v>
      </c>
    </row>
    <row r="249">
      <c r="A249" s="23" t="n">
        <v>46211</v>
      </c>
      <c r="B249" s="23" t="n">
        <v>46209</v>
      </c>
      <c r="C249" s="24" t="inlineStr">
        <is>
          <t>C008-16</t>
        </is>
      </c>
      <c r="D249" s="24" t="inlineStr">
        <is>
          <t>Harbour Cafe</t>
        </is>
      </c>
      <c r="E249" s="25" t="n">
        <v>206.5</v>
      </c>
      <c r="F249" s="25" t="n">
        <v>190.39</v>
      </c>
      <c r="G249" s="25" t="n">
        <v>16.11</v>
      </c>
    </row>
    <row r="250">
      <c r="A250" s="23" t="n">
        <v>46274</v>
      </c>
      <c r="B250" s="23" t="n">
        <v>46272</v>
      </c>
      <c r="C250" s="24" t="inlineStr">
        <is>
          <t>C008-17</t>
        </is>
      </c>
      <c r="D250" s="24" t="inlineStr">
        <is>
          <t>Harbour Cafe</t>
        </is>
      </c>
      <c r="E250" s="25" t="n">
        <v>284.28</v>
      </c>
      <c r="F250" s="25" t="n">
        <v>262.11</v>
      </c>
      <c r="G250" s="25" t="n">
        <v>22.17</v>
      </c>
    </row>
    <row r="251">
      <c r="A251" s="23" t="n">
        <v>46243</v>
      </c>
      <c r="B251" s="23" t="n">
        <v>46237</v>
      </c>
      <c r="C251" s="24" t="inlineStr">
        <is>
          <t>C008-18</t>
        </is>
      </c>
      <c r="D251" s="24" t="inlineStr">
        <is>
          <t>Harbour Cafe</t>
        </is>
      </c>
      <c r="E251" s="25" t="n">
        <v>176.53</v>
      </c>
      <c r="F251" s="25" t="n">
        <v>162.76</v>
      </c>
      <c r="G251" s="25" t="n">
        <v>13.77</v>
      </c>
    </row>
    <row r="252">
      <c r="A252" s="23" t="n">
        <v>46244</v>
      </c>
      <c r="B252" s="23" t="n">
        <v>46244</v>
      </c>
      <c r="C252" s="24" t="inlineStr">
        <is>
          <t>C008-19</t>
        </is>
      </c>
      <c r="D252" s="24" t="inlineStr">
        <is>
          <t>Harbour Cafe</t>
        </is>
      </c>
      <c r="E252" s="25" t="n">
        <v>258.31</v>
      </c>
      <c r="F252" s="25" t="n">
        <v>238.16</v>
      </c>
      <c r="G252" s="25" t="n">
        <v>20.15</v>
      </c>
    </row>
    <row r="253">
      <c r="A253" s="23" t="n">
        <v>46259</v>
      </c>
      <c r="B253" s="23" t="n">
        <v>46258</v>
      </c>
      <c r="C253" s="24" t="inlineStr">
        <is>
          <t>C008-20</t>
        </is>
      </c>
      <c r="D253" s="24" t="inlineStr">
        <is>
          <t>Harbour Cafe</t>
        </is>
      </c>
      <c r="E253" s="25" t="n">
        <v>233.66</v>
      </c>
      <c r="F253" s="25" t="n">
        <v>215.43</v>
      </c>
      <c r="G253" s="25" t="n">
        <v>18.23</v>
      </c>
    </row>
    <row r="254">
      <c r="A254" s="23" t="n">
        <v>46261</v>
      </c>
      <c r="B254" s="23" t="n">
        <v>46258</v>
      </c>
      <c r="C254" s="24" t="inlineStr">
        <is>
          <t>C008-21</t>
        </is>
      </c>
      <c r="D254" s="24" t="inlineStr">
        <is>
          <t>Harbour Cafe</t>
        </is>
      </c>
      <c r="E254" s="25" t="n">
        <v>268.8</v>
      </c>
      <c r="F254" s="25" t="n">
        <v>247.83</v>
      </c>
      <c r="G254" s="25" t="n">
        <v>20.97</v>
      </c>
    </row>
    <row r="255">
      <c r="A255" s="23" t="n">
        <v>46229</v>
      </c>
      <c r="B255" s="23" t="n">
        <v>46223</v>
      </c>
      <c r="C255" s="24" t="inlineStr">
        <is>
          <t>C008-22</t>
        </is>
      </c>
      <c r="D255" s="24" t="inlineStr">
        <is>
          <t>Harbour Cafe</t>
        </is>
      </c>
      <c r="E255" s="25" t="n">
        <v>234.11</v>
      </c>
      <c r="F255" s="25" t="n">
        <v>215.85</v>
      </c>
      <c r="G255" s="25" t="n">
        <v>18.26</v>
      </c>
    </row>
    <row r="256">
      <c r="A256" s="23" t="n">
        <v>46220</v>
      </c>
      <c r="B256" s="23" t="n">
        <v>46216</v>
      </c>
      <c r="C256" s="24" t="inlineStr">
        <is>
          <t>C008-23</t>
        </is>
      </c>
      <c r="D256" s="24" t="inlineStr">
        <is>
          <t>Harbour Cafe</t>
        </is>
      </c>
      <c r="E256" s="25" t="n">
        <v>152.82</v>
      </c>
      <c r="F256" s="25" t="n">
        <v>140.9</v>
      </c>
      <c r="G256" s="25" t="n">
        <v>11.92</v>
      </c>
    </row>
    <row r="257">
      <c r="A257" s="23" t="n">
        <v>46220</v>
      </c>
      <c r="B257" s="23" t="n">
        <v>46216</v>
      </c>
      <c r="C257" s="24" t="inlineStr">
        <is>
          <t>C008-24</t>
        </is>
      </c>
      <c r="D257" s="24" t="inlineStr">
        <is>
          <t>Harbour Cafe</t>
        </is>
      </c>
      <c r="E257" s="25" t="n">
        <v>250.22</v>
      </c>
      <c r="F257" s="25" t="n">
        <v>230.7</v>
      </c>
      <c r="G257" s="25" t="n">
        <v>19.52</v>
      </c>
    </row>
    <row r="258">
      <c r="A258" s="23" t="n">
        <v>46214</v>
      </c>
      <c r="B258" s="23" t="n">
        <v>46209</v>
      </c>
      <c r="C258" s="24" t="inlineStr">
        <is>
          <t>C008-25</t>
        </is>
      </c>
      <c r="D258" s="24" t="inlineStr">
        <is>
          <t>Harbour Cafe</t>
        </is>
      </c>
      <c r="E258" s="25" t="n">
        <v>241.31</v>
      </c>
      <c r="F258" s="25" t="n">
        <v>222.49</v>
      </c>
      <c r="G258" s="25" t="n">
        <v>18.82</v>
      </c>
    </row>
    <row r="259">
      <c r="A259" s="23" t="n">
        <v>46278</v>
      </c>
      <c r="B259" s="23" t="n">
        <v>46272</v>
      </c>
      <c r="C259" s="24" t="inlineStr">
        <is>
          <t>C008-26</t>
        </is>
      </c>
      <c r="D259" s="24" t="inlineStr">
        <is>
          <t>Harbour Cafe</t>
        </is>
      </c>
      <c r="E259" s="25" t="n">
        <v>263.21</v>
      </c>
      <c r="F259" s="25" t="n">
        <v>242.68</v>
      </c>
      <c r="G259" s="25" t="n">
        <v>20.53</v>
      </c>
    </row>
    <row r="260">
      <c r="A260" s="23" t="n">
        <v>46253</v>
      </c>
      <c r="B260" s="23" t="n">
        <v>46251</v>
      </c>
      <c r="C260" s="24" t="inlineStr">
        <is>
          <t>C008-27</t>
        </is>
      </c>
      <c r="D260" s="24" t="inlineStr">
        <is>
          <t>Harbour Cafe</t>
        </is>
      </c>
      <c r="E260" s="25" t="n">
        <v>246.06</v>
      </c>
      <c r="F260" s="25" t="n">
        <v>226.86</v>
      </c>
      <c r="G260" s="25" t="n">
        <v>19.2</v>
      </c>
    </row>
    <row r="261">
      <c r="A261" s="23" t="n">
        <v>46256</v>
      </c>
      <c r="B261" s="23" t="n">
        <v>46251</v>
      </c>
      <c r="C261" s="24" t="inlineStr">
        <is>
          <t>C009-0</t>
        </is>
      </c>
      <c r="D261" s="24" t="inlineStr">
        <is>
          <t>Harbour Superette</t>
        </is>
      </c>
      <c r="E261" s="25" t="n">
        <v>714.24</v>
      </c>
      <c r="F261" s="25" t="n">
        <v>579.86</v>
      </c>
      <c r="G261" s="25" t="n">
        <v>134.38</v>
      </c>
    </row>
    <row r="262">
      <c r="A262" s="23" t="n">
        <v>46219</v>
      </c>
      <c r="B262" s="23" t="n">
        <v>46216</v>
      </c>
      <c r="C262" s="24" t="inlineStr">
        <is>
          <t>C009-1</t>
        </is>
      </c>
      <c r="D262" s="24" t="inlineStr">
        <is>
          <t>Harbour Superette</t>
        </is>
      </c>
      <c r="E262" s="25" t="n">
        <v>1462.5</v>
      </c>
      <c r="F262" s="25" t="n">
        <v>1187.34</v>
      </c>
      <c r="G262" s="25" t="n">
        <v>275.16</v>
      </c>
    </row>
    <row r="263">
      <c r="A263" s="23" t="n">
        <v>46213</v>
      </c>
      <c r="B263" s="23" t="n">
        <v>46209</v>
      </c>
      <c r="C263" s="24" t="inlineStr">
        <is>
          <t>C009-2</t>
        </is>
      </c>
      <c r="D263" s="24" t="inlineStr">
        <is>
          <t>Harbour Superette</t>
        </is>
      </c>
      <c r="E263" s="25" t="n">
        <v>1449.64</v>
      </c>
      <c r="F263" s="25" t="n">
        <v>1176.9</v>
      </c>
      <c r="G263" s="25" t="n">
        <v>272.74</v>
      </c>
    </row>
    <row r="264">
      <c r="A264" s="23" t="n">
        <v>46219</v>
      </c>
      <c r="B264" s="23" t="n">
        <v>46216</v>
      </c>
      <c r="C264" s="24" t="inlineStr">
        <is>
          <t>C009-3</t>
        </is>
      </c>
      <c r="D264" s="24" t="inlineStr">
        <is>
          <t>Harbour Superette</t>
        </is>
      </c>
      <c r="E264" s="25" t="n">
        <v>1205.29</v>
      </c>
      <c r="F264" s="25" t="n">
        <v>978.52</v>
      </c>
      <c r="G264" s="25" t="n">
        <v>226.77</v>
      </c>
    </row>
    <row r="265">
      <c r="A265" s="23" t="n">
        <v>46276</v>
      </c>
      <c r="B265" s="23" t="n">
        <v>46272</v>
      </c>
      <c r="C265" s="24" t="inlineStr">
        <is>
          <t>C009-4</t>
        </is>
      </c>
      <c r="D265" s="24" t="inlineStr">
        <is>
          <t>Harbour Superette</t>
        </is>
      </c>
      <c r="E265" s="25" t="n">
        <v>686.1799999999999</v>
      </c>
      <c r="F265" s="25" t="n">
        <v>557.08</v>
      </c>
      <c r="G265" s="25" t="n">
        <v>129.1</v>
      </c>
    </row>
    <row r="266">
      <c r="A266" s="23" t="n">
        <v>46255</v>
      </c>
      <c r="B266" s="23" t="n">
        <v>46251</v>
      </c>
      <c r="C266" s="24" t="inlineStr">
        <is>
          <t>C009-5</t>
        </is>
      </c>
      <c r="D266" s="24" t="inlineStr">
        <is>
          <t>Harbour Superette</t>
        </is>
      </c>
      <c r="E266" s="25" t="n">
        <v>1281.33</v>
      </c>
      <c r="F266" s="25" t="n">
        <v>1040.26</v>
      </c>
      <c r="G266" s="25" t="n">
        <v>241.07</v>
      </c>
    </row>
    <row r="267">
      <c r="A267" s="23" t="n">
        <v>46231</v>
      </c>
      <c r="B267" s="23" t="n">
        <v>46230</v>
      </c>
      <c r="C267" s="24" t="inlineStr">
        <is>
          <t>C009-6</t>
        </is>
      </c>
      <c r="D267" s="24" t="inlineStr">
        <is>
          <t>Harbour Superette</t>
        </is>
      </c>
      <c r="E267" s="25" t="n">
        <v>1192.12</v>
      </c>
      <c r="F267" s="25" t="n">
        <v>967.83</v>
      </c>
      <c r="G267" s="25" t="n">
        <v>224.29</v>
      </c>
    </row>
    <row r="268">
      <c r="A268" s="23" t="n">
        <v>46286</v>
      </c>
      <c r="B268" s="23" t="n">
        <v>46286</v>
      </c>
      <c r="C268" s="24" t="inlineStr">
        <is>
          <t>C009-7</t>
        </is>
      </c>
      <c r="D268" s="24" t="inlineStr">
        <is>
          <t>Harbour Superette</t>
        </is>
      </c>
      <c r="E268" s="25" t="n">
        <v>1095.48</v>
      </c>
      <c r="F268" s="25" t="n">
        <v>889.37</v>
      </c>
      <c r="G268" s="25" t="n">
        <v>206.11</v>
      </c>
    </row>
    <row r="269">
      <c r="A269" s="23" t="n">
        <v>46281</v>
      </c>
      <c r="B269" s="23" t="n">
        <v>46279</v>
      </c>
      <c r="C269" s="24" t="inlineStr">
        <is>
          <t>C009-8</t>
        </is>
      </c>
      <c r="D269" s="24" t="inlineStr">
        <is>
          <t>Harbour Superette</t>
        </is>
      </c>
      <c r="E269" s="25" t="n">
        <v>1542.59</v>
      </c>
      <c r="F269" s="25" t="n">
        <v>1252.36</v>
      </c>
      <c r="G269" s="25" t="n">
        <v>290.23</v>
      </c>
    </row>
    <row r="270">
      <c r="A270" s="23" t="n">
        <v>46261</v>
      </c>
      <c r="B270" s="23" t="n">
        <v>46258</v>
      </c>
      <c r="C270" s="24" t="inlineStr">
        <is>
          <t>C009-9</t>
        </is>
      </c>
      <c r="D270" s="24" t="inlineStr">
        <is>
          <t>Harbour Superette</t>
        </is>
      </c>
      <c r="E270" s="25" t="n">
        <v>1289.54</v>
      </c>
      <c r="F270" s="25" t="n">
        <v>1046.92</v>
      </c>
      <c r="G270" s="25" t="n">
        <v>242.62</v>
      </c>
    </row>
    <row r="271">
      <c r="A271" s="23" t="n">
        <v>46241</v>
      </c>
      <c r="B271" s="23" t="n">
        <v>46237</v>
      </c>
      <c r="C271" s="24" t="inlineStr">
        <is>
          <t>C009-10</t>
        </is>
      </c>
      <c r="D271" s="24" t="inlineStr">
        <is>
          <t>Harbour Superette</t>
        </is>
      </c>
      <c r="E271" s="25" t="n">
        <v>1097.16</v>
      </c>
      <c r="F271" s="25" t="n">
        <v>890.73</v>
      </c>
      <c r="G271" s="25" t="n">
        <v>206.43</v>
      </c>
    </row>
    <row r="272">
      <c r="A272" s="23" t="n">
        <v>46245</v>
      </c>
      <c r="B272" s="23" t="n">
        <v>46244</v>
      </c>
      <c r="C272" s="24" t="inlineStr">
        <is>
          <t>C009-11</t>
        </is>
      </c>
      <c r="D272" s="24" t="inlineStr">
        <is>
          <t>Harbour Superette</t>
        </is>
      </c>
      <c r="E272" s="25" t="n">
        <v>936.95</v>
      </c>
      <c r="F272" s="25" t="n">
        <v>760.66</v>
      </c>
      <c r="G272" s="25" t="n">
        <v>176.29</v>
      </c>
    </row>
    <row r="273">
      <c r="A273" s="23" t="n">
        <v>46218</v>
      </c>
      <c r="B273" s="23" t="n">
        <v>46216</v>
      </c>
      <c r="C273" s="24" t="inlineStr">
        <is>
          <t>C009-12</t>
        </is>
      </c>
      <c r="D273" s="24" t="inlineStr">
        <is>
          <t>Harbour Superette</t>
        </is>
      </c>
      <c r="E273" s="25" t="n">
        <v>958.47</v>
      </c>
      <c r="F273" s="25" t="n">
        <v>778.14</v>
      </c>
      <c r="G273" s="25" t="n">
        <v>180.33</v>
      </c>
    </row>
    <row r="274">
      <c r="A274" s="23" t="n">
        <v>46209</v>
      </c>
      <c r="B274" s="23" t="n">
        <v>46209</v>
      </c>
      <c r="C274" s="24" t="inlineStr">
        <is>
          <t>C009-13</t>
        </is>
      </c>
      <c r="D274" s="24" t="inlineStr">
        <is>
          <t>Harbour Superette</t>
        </is>
      </c>
      <c r="E274" s="25" t="n">
        <v>702.51</v>
      </c>
      <c r="F274" s="25" t="n">
        <v>570.34</v>
      </c>
      <c r="G274" s="25" t="n">
        <v>132.17</v>
      </c>
    </row>
    <row r="275">
      <c r="A275" s="23" t="n">
        <v>46271</v>
      </c>
      <c r="B275" s="23" t="n">
        <v>46265</v>
      </c>
      <c r="C275" s="24" t="inlineStr">
        <is>
          <t>C009-14</t>
        </is>
      </c>
      <c r="D275" s="24" t="inlineStr">
        <is>
          <t>Harbour Superette</t>
        </is>
      </c>
      <c r="E275" s="25" t="n">
        <v>1537.18</v>
      </c>
      <c r="F275" s="25" t="n">
        <v>1247.97</v>
      </c>
      <c r="G275" s="25" t="n">
        <v>289.21</v>
      </c>
    </row>
    <row r="276">
      <c r="A276" s="23" t="n">
        <v>46281</v>
      </c>
      <c r="B276" s="23" t="n">
        <v>46279</v>
      </c>
      <c r="C276" s="24" t="inlineStr">
        <is>
          <t>C009-15</t>
        </is>
      </c>
      <c r="D276" s="24" t="inlineStr">
        <is>
          <t>Harbour Superette</t>
        </is>
      </c>
      <c r="E276" s="25" t="n">
        <v>1259.75</v>
      </c>
      <c r="F276" s="25" t="n">
        <v>1022.73</v>
      </c>
      <c r="G276" s="25" t="n">
        <v>237.02</v>
      </c>
    </row>
    <row r="277">
      <c r="A277" s="23" t="n">
        <v>46217</v>
      </c>
      <c r="B277" s="23" t="n">
        <v>46216</v>
      </c>
      <c r="C277" s="24" t="inlineStr">
        <is>
          <t>C009-16</t>
        </is>
      </c>
      <c r="D277" s="24" t="inlineStr">
        <is>
          <t>Harbour Superette</t>
        </is>
      </c>
      <c r="E277" s="25" t="n">
        <v>1062.91</v>
      </c>
      <c r="F277" s="25" t="n">
        <v>862.9299999999999</v>
      </c>
      <c r="G277" s="25" t="n">
        <v>199.98</v>
      </c>
    </row>
    <row r="278">
      <c r="A278" s="23" t="n">
        <v>46217</v>
      </c>
      <c r="B278" s="23" t="n">
        <v>46216</v>
      </c>
      <c r="C278" s="24" t="inlineStr">
        <is>
          <t>C009-17</t>
        </is>
      </c>
      <c r="D278" s="24" t="inlineStr">
        <is>
          <t>Harbour Superette</t>
        </is>
      </c>
      <c r="E278" s="25" t="n">
        <v>1164.87</v>
      </c>
      <c r="F278" s="25" t="n">
        <v>945.71</v>
      </c>
      <c r="G278" s="25" t="n">
        <v>219.16</v>
      </c>
    </row>
    <row r="279">
      <c r="A279" s="23" t="n">
        <v>46242</v>
      </c>
      <c r="B279" s="23" t="n">
        <v>46237</v>
      </c>
      <c r="C279" s="24" t="inlineStr">
        <is>
          <t>C009-18</t>
        </is>
      </c>
      <c r="D279" s="24" t="inlineStr">
        <is>
          <t>Harbour Superette</t>
        </is>
      </c>
      <c r="E279" s="25" t="n">
        <v>1563.94</v>
      </c>
      <c r="F279" s="25" t="n">
        <v>1269.69</v>
      </c>
      <c r="G279" s="25" t="n">
        <v>294.25</v>
      </c>
    </row>
    <row r="280">
      <c r="A280" s="23" t="n">
        <v>46227</v>
      </c>
      <c r="B280" s="23" t="n">
        <v>46223</v>
      </c>
      <c r="C280" s="24" t="inlineStr">
        <is>
          <t>C009-19</t>
        </is>
      </c>
      <c r="D280" s="24" t="inlineStr">
        <is>
          <t>Harbour Superette</t>
        </is>
      </c>
      <c r="E280" s="25" t="n">
        <v>900.92</v>
      </c>
      <c r="F280" s="25" t="n">
        <v>731.42</v>
      </c>
      <c r="G280" s="25" t="n">
        <v>169.5</v>
      </c>
    </row>
    <row r="281">
      <c r="A281" s="23" t="n">
        <v>46284</v>
      </c>
      <c r="B281" s="23" t="n">
        <v>46279</v>
      </c>
      <c r="C281" s="24" t="inlineStr">
        <is>
          <t>C009-20</t>
        </is>
      </c>
      <c r="D281" s="24" t="inlineStr">
        <is>
          <t>Harbour Superette</t>
        </is>
      </c>
      <c r="E281" s="25" t="n">
        <v>1224.83</v>
      </c>
      <c r="F281" s="25" t="n">
        <v>994.38</v>
      </c>
      <c r="G281" s="25" t="n">
        <v>230.45</v>
      </c>
    </row>
    <row r="282">
      <c r="A282" s="23" t="n">
        <v>46273</v>
      </c>
      <c r="B282" s="23" t="n">
        <v>46272</v>
      </c>
      <c r="C282" s="24" t="inlineStr">
        <is>
          <t>C009-21</t>
        </is>
      </c>
      <c r="D282" s="24" t="inlineStr">
        <is>
          <t>Harbour Superette</t>
        </is>
      </c>
      <c r="E282" s="25" t="n">
        <v>1148.04</v>
      </c>
      <c r="F282" s="25" t="n">
        <v>932.04</v>
      </c>
      <c r="G282" s="25" t="n">
        <v>216</v>
      </c>
    </row>
    <row r="283">
      <c r="A283" s="23" t="n">
        <v>46209</v>
      </c>
      <c r="B283" s="23" t="n">
        <v>46209</v>
      </c>
      <c r="C283" s="24" t="inlineStr">
        <is>
          <t>C009-22</t>
        </is>
      </c>
      <c r="D283" s="24" t="inlineStr">
        <is>
          <t>Harbour Superette</t>
        </is>
      </c>
      <c r="E283" s="25" t="n">
        <v>1201.77</v>
      </c>
      <c r="F283" s="25" t="n">
        <v>975.67</v>
      </c>
      <c r="G283" s="25" t="n">
        <v>226.1</v>
      </c>
    </row>
    <row r="284">
      <c r="A284" s="23" t="n">
        <v>46250</v>
      </c>
      <c r="B284" s="23" t="n">
        <v>46244</v>
      </c>
      <c r="C284" s="24" t="inlineStr">
        <is>
          <t>C009-23</t>
        </is>
      </c>
      <c r="D284" s="24" t="inlineStr">
        <is>
          <t>Harbour Superette</t>
        </is>
      </c>
      <c r="E284" s="25" t="n">
        <v>1018.71</v>
      </c>
      <c r="F284" s="25" t="n">
        <v>827.05</v>
      </c>
      <c r="G284" s="25" t="n">
        <v>191.66</v>
      </c>
    </row>
    <row r="285">
      <c r="A285" s="23" t="n">
        <v>46283</v>
      </c>
      <c r="B285" s="23" t="n">
        <v>46279</v>
      </c>
      <c r="C285" s="24" t="inlineStr">
        <is>
          <t>C009-24</t>
        </is>
      </c>
      <c r="D285" s="24" t="inlineStr">
        <is>
          <t>Harbour Superette</t>
        </is>
      </c>
      <c r="E285" s="25" t="n">
        <v>1448.83</v>
      </c>
      <c r="F285" s="25" t="n">
        <v>1176.24</v>
      </c>
      <c r="G285" s="25" t="n">
        <v>272.59</v>
      </c>
    </row>
    <row r="286">
      <c r="A286" s="23" t="n">
        <v>46227</v>
      </c>
      <c r="B286" s="23" t="n">
        <v>46223</v>
      </c>
      <c r="C286" s="24" t="inlineStr">
        <is>
          <t>C009-25</t>
        </is>
      </c>
      <c r="D286" s="24" t="inlineStr">
        <is>
          <t>Harbour Superette</t>
        </is>
      </c>
      <c r="E286" s="25" t="n">
        <v>1337.88</v>
      </c>
      <c r="F286" s="25" t="n">
        <v>1086.17</v>
      </c>
      <c r="G286" s="25" t="n">
        <v>251.71</v>
      </c>
    </row>
    <row r="287">
      <c r="A287" s="23" t="n">
        <v>46252</v>
      </c>
      <c r="B287" s="23" t="n">
        <v>46251</v>
      </c>
      <c r="C287" s="24" t="inlineStr">
        <is>
          <t>C010-0</t>
        </is>
      </c>
      <c r="D287" s="24" t="inlineStr">
        <is>
          <t>Harbour Grocers</t>
        </is>
      </c>
      <c r="E287" s="25" t="n">
        <v>281.71</v>
      </c>
      <c r="F287" s="25" t="n">
        <v>243.63</v>
      </c>
      <c r="G287" s="25" t="n">
        <v>38.08</v>
      </c>
    </row>
    <row r="288">
      <c r="A288" s="23" t="n">
        <v>46264</v>
      </c>
      <c r="B288" s="23" t="n">
        <v>46258</v>
      </c>
      <c r="C288" s="24" t="inlineStr">
        <is>
          <t>C010-1</t>
        </is>
      </c>
      <c r="D288" s="24" t="inlineStr">
        <is>
          <t>Harbour Grocers</t>
        </is>
      </c>
      <c r="E288" s="25" t="n">
        <v>217.85</v>
      </c>
      <c r="F288" s="25" t="n">
        <v>188.41</v>
      </c>
      <c r="G288" s="25" t="n">
        <v>29.44</v>
      </c>
    </row>
    <row r="289">
      <c r="A289" s="23" t="n">
        <v>46271</v>
      </c>
      <c r="B289" s="23" t="n">
        <v>46265</v>
      </c>
      <c r="C289" s="24" t="inlineStr">
        <is>
          <t>C010-2</t>
        </is>
      </c>
      <c r="D289" s="24" t="inlineStr">
        <is>
          <t>Harbour Grocers</t>
        </is>
      </c>
      <c r="E289" s="25" t="n">
        <v>162.5</v>
      </c>
      <c r="F289" s="25" t="n">
        <v>140.53</v>
      </c>
      <c r="G289" s="25" t="n">
        <v>21.97</v>
      </c>
    </row>
    <row r="290">
      <c r="A290" s="23" t="n">
        <v>46288</v>
      </c>
      <c r="B290" s="23" t="n">
        <v>46286</v>
      </c>
      <c r="C290" s="24" t="inlineStr">
        <is>
          <t>C010-3</t>
        </is>
      </c>
      <c r="D290" s="24" t="inlineStr">
        <is>
          <t>Harbour Grocers</t>
        </is>
      </c>
      <c r="E290" s="25" t="n">
        <v>325.01</v>
      </c>
      <c r="F290" s="25" t="n">
        <v>281.08</v>
      </c>
      <c r="G290" s="25" t="n">
        <v>43.93</v>
      </c>
    </row>
    <row r="291">
      <c r="A291" s="23" t="n">
        <v>46222</v>
      </c>
      <c r="B291" s="23" t="n">
        <v>46216</v>
      </c>
      <c r="C291" s="24" t="inlineStr">
        <is>
          <t>C010-4</t>
        </is>
      </c>
      <c r="D291" s="24" t="inlineStr">
        <is>
          <t>Harbour Grocers</t>
        </is>
      </c>
      <c r="E291" s="25" t="n">
        <v>267</v>
      </c>
      <c r="F291" s="25" t="n">
        <v>230.91</v>
      </c>
      <c r="G291" s="25" t="n">
        <v>36.09</v>
      </c>
    </row>
    <row r="292">
      <c r="A292" s="23" t="n">
        <v>46262</v>
      </c>
      <c r="B292" s="23" t="n">
        <v>46258</v>
      </c>
      <c r="C292" s="24" t="inlineStr">
        <is>
          <t>C010-5</t>
        </is>
      </c>
      <c r="D292" s="24" t="inlineStr">
        <is>
          <t>Harbour Grocers</t>
        </is>
      </c>
      <c r="E292" s="25" t="n">
        <v>319.34</v>
      </c>
      <c r="F292" s="25" t="n">
        <v>276.18</v>
      </c>
      <c r="G292" s="25" t="n">
        <v>43.16</v>
      </c>
    </row>
    <row r="293">
      <c r="A293" s="23" t="n">
        <v>46202</v>
      </c>
      <c r="B293" s="23" t="n">
        <v>46202</v>
      </c>
      <c r="C293" s="24" t="inlineStr">
        <is>
          <t>C010-6</t>
        </is>
      </c>
      <c r="D293" s="24" t="inlineStr">
        <is>
          <t>Harbour Grocers</t>
        </is>
      </c>
      <c r="E293" s="25" t="n">
        <v>289.67</v>
      </c>
      <c r="F293" s="25" t="n">
        <v>250.52</v>
      </c>
      <c r="G293" s="25" t="n">
        <v>39.15</v>
      </c>
    </row>
    <row r="294">
      <c r="A294" s="23" t="n">
        <v>46246</v>
      </c>
      <c r="B294" s="23" t="n">
        <v>46244</v>
      </c>
      <c r="C294" s="24" t="inlineStr">
        <is>
          <t>C010-7</t>
        </is>
      </c>
      <c r="D294" s="24" t="inlineStr">
        <is>
          <t>Harbour Grocers</t>
        </is>
      </c>
      <c r="E294" s="25" t="n">
        <v>311.59</v>
      </c>
      <c r="F294" s="25" t="n">
        <v>269.47</v>
      </c>
      <c r="G294" s="25" t="n">
        <v>42.12</v>
      </c>
    </row>
    <row r="295">
      <c r="A295" s="23" t="n">
        <v>46207</v>
      </c>
      <c r="B295" s="23" t="n">
        <v>46202</v>
      </c>
      <c r="C295" s="24" t="inlineStr">
        <is>
          <t>C010-8</t>
        </is>
      </c>
      <c r="D295" s="24" t="inlineStr">
        <is>
          <t>Harbour Grocers</t>
        </is>
      </c>
      <c r="E295" s="25" t="n">
        <v>186.59</v>
      </c>
      <c r="F295" s="25" t="n">
        <v>161.37</v>
      </c>
      <c r="G295" s="25" t="n">
        <v>25.22</v>
      </c>
    </row>
    <row r="296">
      <c r="A296" s="23" t="n">
        <v>46216</v>
      </c>
      <c r="B296" s="23" t="n">
        <v>46216</v>
      </c>
      <c r="C296" s="24" t="inlineStr">
        <is>
          <t>C010-9</t>
        </is>
      </c>
      <c r="D296" s="24" t="inlineStr">
        <is>
          <t>Harbour Grocers</t>
        </is>
      </c>
      <c r="E296" s="25" t="n">
        <v>333.6</v>
      </c>
      <c r="F296" s="25" t="n">
        <v>288.51</v>
      </c>
      <c r="G296" s="25" t="n">
        <v>45.09</v>
      </c>
    </row>
    <row r="297">
      <c r="A297" s="23" t="n">
        <v>46289</v>
      </c>
      <c r="B297" s="23" t="n">
        <v>46286</v>
      </c>
      <c r="C297" s="24" t="inlineStr">
        <is>
          <t>C010-10</t>
        </is>
      </c>
      <c r="D297" s="24" t="inlineStr">
        <is>
          <t>Harbour Grocers</t>
        </is>
      </c>
      <c r="E297" s="25" t="n">
        <v>352.57</v>
      </c>
      <c r="F297" s="25" t="n">
        <v>304.91</v>
      </c>
      <c r="G297" s="25" t="n">
        <v>47.66</v>
      </c>
    </row>
    <row r="298">
      <c r="A298" s="23" t="n">
        <v>46203</v>
      </c>
      <c r="B298" s="23" t="n">
        <v>46202</v>
      </c>
      <c r="C298" s="24" t="inlineStr">
        <is>
          <t>C010-11</t>
        </is>
      </c>
      <c r="D298" s="24" t="inlineStr">
        <is>
          <t>Harbour Grocers</t>
        </is>
      </c>
      <c r="E298" s="25" t="n">
        <v>279.61</v>
      </c>
      <c r="F298" s="25" t="n">
        <v>241.82</v>
      </c>
      <c r="G298" s="25" t="n">
        <v>37.79</v>
      </c>
    </row>
    <row r="299">
      <c r="A299" s="23" t="n">
        <v>46203</v>
      </c>
      <c r="B299" s="23" t="n">
        <v>46202</v>
      </c>
      <c r="C299" s="24" t="inlineStr">
        <is>
          <t>C010-12</t>
        </is>
      </c>
      <c r="D299" s="24" t="inlineStr">
        <is>
          <t>Harbour Grocers</t>
        </is>
      </c>
      <c r="E299" s="25" t="n">
        <v>193.92</v>
      </c>
      <c r="F299" s="25" t="n">
        <v>167.71</v>
      </c>
      <c r="G299" s="25" t="n">
        <v>26.21</v>
      </c>
    </row>
    <row r="300">
      <c r="A300" s="23" t="n">
        <v>46237</v>
      </c>
      <c r="B300" s="23" t="n">
        <v>46237</v>
      </c>
      <c r="C300" s="24" t="inlineStr">
        <is>
          <t>C010-13</t>
        </is>
      </c>
      <c r="D300" s="24" t="inlineStr">
        <is>
          <t>Harbour Grocers</t>
        </is>
      </c>
      <c r="E300" s="25" t="n">
        <v>300.16</v>
      </c>
      <c r="F300" s="25" t="n">
        <v>259.59</v>
      </c>
      <c r="G300" s="25" t="n">
        <v>40.57</v>
      </c>
    </row>
    <row r="301">
      <c r="A301" s="23" t="n">
        <v>46207</v>
      </c>
      <c r="B301" s="23" t="n">
        <v>46202</v>
      </c>
      <c r="C301" s="24" t="inlineStr">
        <is>
          <t>C010-14</t>
        </is>
      </c>
      <c r="D301" s="24" t="inlineStr">
        <is>
          <t>Harbour Grocers</t>
        </is>
      </c>
      <c r="E301" s="25" t="n">
        <v>247.98</v>
      </c>
      <c r="F301" s="25" t="n">
        <v>214.46</v>
      </c>
      <c r="G301" s="25" t="n">
        <v>33.52</v>
      </c>
    </row>
    <row r="302">
      <c r="A302" s="23" t="n">
        <v>46265</v>
      </c>
      <c r="B302" s="23" t="n">
        <v>46265</v>
      </c>
      <c r="C302" s="24" t="inlineStr">
        <is>
          <t>C010-15</t>
        </is>
      </c>
      <c r="D302" s="24" t="inlineStr">
        <is>
          <t>Harbour Grocers</t>
        </is>
      </c>
      <c r="E302" s="25" t="n">
        <v>343.29</v>
      </c>
      <c r="F302" s="25" t="n">
        <v>296.89</v>
      </c>
      <c r="G302" s="25" t="n">
        <v>46.4</v>
      </c>
    </row>
    <row r="303">
      <c r="A303" s="23" t="n">
        <v>46239</v>
      </c>
      <c r="B303" s="23" t="n">
        <v>46237</v>
      </c>
      <c r="C303" s="24" t="inlineStr">
        <is>
          <t>C010-16</t>
        </is>
      </c>
      <c r="D303" s="24" t="inlineStr">
        <is>
          <t>Harbour Grocers</t>
        </is>
      </c>
      <c r="E303" s="25" t="n">
        <v>249.02</v>
      </c>
      <c r="F303" s="25" t="n">
        <v>215.36</v>
      </c>
      <c r="G303" s="25" t="n">
        <v>33.66</v>
      </c>
    </row>
    <row r="304">
      <c r="A304" s="23" t="n">
        <v>46216</v>
      </c>
      <c r="B304" s="23" t="n">
        <v>46216</v>
      </c>
      <c r="C304" s="24" t="inlineStr">
        <is>
          <t>C010-17</t>
        </is>
      </c>
      <c r="D304" s="24" t="inlineStr">
        <is>
          <t>Harbour Grocers</t>
        </is>
      </c>
      <c r="E304" s="25" t="n">
        <v>264.58</v>
      </c>
      <c r="F304" s="25" t="n">
        <v>228.82</v>
      </c>
      <c r="G304" s="25" t="n">
        <v>35.76</v>
      </c>
    </row>
    <row r="305">
      <c r="A305" s="23" t="n">
        <v>46234</v>
      </c>
      <c r="B305" s="23" t="n">
        <v>46230</v>
      </c>
      <c r="C305" s="24" t="inlineStr">
        <is>
          <t>C010-18</t>
        </is>
      </c>
      <c r="D305" s="24" t="inlineStr">
        <is>
          <t>Harbour Grocers</t>
        </is>
      </c>
      <c r="E305" s="25" t="n">
        <v>302.05</v>
      </c>
      <c r="F305" s="25" t="n">
        <v>261.23</v>
      </c>
      <c r="G305" s="25" t="n">
        <v>40.82</v>
      </c>
    </row>
    <row r="306">
      <c r="A306" s="23" t="n">
        <v>46268</v>
      </c>
      <c r="B306" s="23" t="n">
        <v>46265</v>
      </c>
      <c r="C306" s="24" t="inlineStr">
        <is>
          <t>C010-19</t>
        </is>
      </c>
      <c r="D306" s="24" t="inlineStr">
        <is>
          <t>Harbour Grocers</t>
        </is>
      </c>
      <c r="E306" s="25" t="n">
        <v>245.27</v>
      </c>
      <c r="F306" s="25" t="n">
        <v>212.12</v>
      </c>
      <c r="G306" s="25" t="n">
        <v>33.15</v>
      </c>
    </row>
    <row r="307">
      <c r="A307" s="23" t="n">
        <v>46256</v>
      </c>
      <c r="B307" s="23" t="n">
        <v>46251</v>
      </c>
      <c r="C307" s="24" t="inlineStr">
        <is>
          <t>C010-20</t>
        </is>
      </c>
      <c r="D307" s="24" t="inlineStr">
        <is>
          <t>Harbour Grocers</t>
        </is>
      </c>
      <c r="E307" s="25" t="n">
        <v>261.28</v>
      </c>
      <c r="F307" s="25" t="n">
        <v>225.96</v>
      </c>
      <c r="G307" s="25" t="n">
        <v>35.32</v>
      </c>
    </row>
    <row r="308">
      <c r="A308" s="23" t="n">
        <v>46246</v>
      </c>
      <c r="B308" s="23" t="n">
        <v>46244</v>
      </c>
      <c r="C308" s="24" t="inlineStr">
        <is>
          <t>C010-21</t>
        </is>
      </c>
      <c r="D308" s="24" t="inlineStr">
        <is>
          <t>Harbour Grocers</t>
        </is>
      </c>
      <c r="E308" s="25" t="n">
        <v>244.17</v>
      </c>
      <c r="F308" s="25" t="n">
        <v>211.17</v>
      </c>
      <c r="G308" s="25" t="n">
        <v>33</v>
      </c>
    </row>
    <row r="309">
      <c r="A309" s="23" t="n">
        <v>46219</v>
      </c>
      <c r="B309" s="23" t="n">
        <v>46216</v>
      </c>
      <c r="C309" s="24" t="inlineStr">
        <is>
          <t>C010-22</t>
        </is>
      </c>
      <c r="D309" s="24" t="inlineStr">
        <is>
          <t>Harbour Grocers</t>
        </is>
      </c>
      <c r="E309" s="25" t="n">
        <v>239.7</v>
      </c>
      <c r="F309" s="25" t="n">
        <v>207.3</v>
      </c>
      <c r="G309" s="25" t="n">
        <v>32.4</v>
      </c>
    </row>
    <row r="310">
      <c r="A310" s="23" t="n">
        <v>46212</v>
      </c>
      <c r="B310" s="23" t="n">
        <v>46209</v>
      </c>
      <c r="C310" s="24" t="inlineStr">
        <is>
          <t>C010-23</t>
        </is>
      </c>
      <c r="D310" s="24" t="inlineStr">
        <is>
          <t>Harbour Grocers</t>
        </is>
      </c>
      <c r="E310" s="25" t="n">
        <v>240.4</v>
      </c>
      <c r="F310" s="25" t="n">
        <v>207.91</v>
      </c>
      <c r="G310" s="25" t="n">
        <v>32.49</v>
      </c>
    </row>
    <row r="311">
      <c r="A311" s="23" t="n">
        <v>46289</v>
      </c>
      <c r="B311" s="23" t="n">
        <v>46286</v>
      </c>
      <c r="C311" s="24" t="inlineStr">
        <is>
          <t>C010-24</t>
        </is>
      </c>
      <c r="D311" s="24" t="inlineStr">
        <is>
          <t>Harbour Grocers</t>
        </is>
      </c>
      <c r="E311" s="25" t="n">
        <v>343.71</v>
      </c>
      <c r="F311" s="25" t="n">
        <v>297.25</v>
      </c>
      <c r="G311" s="25" t="n">
        <v>46.46</v>
      </c>
    </row>
    <row r="312">
      <c r="A312" s="23" t="n">
        <v>46204</v>
      </c>
      <c r="B312" s="23" t="n">
        <v>46202</v>
      </c>
      <c r="C312" s="24" t="inlineStr">
        <is>
          <t>C010-25</t>
        </is>
      </c>
      <c r="D312" s="24" t="inlineStr">
        <is>
          <t>Harbour Grocers</t>
        </is>
      </c>
      <c r="E312" s="25" t="n">
        <v>196.24</v>
      </c>
      <c r="F312" s="25" t="n">
        <v>169.71</v>
      </c>
      <c r="G312" s="25" t="n">
        <v>26.53</v>
      </c>
    </row>
    <row r="313">
      <c r="A313" s="23" t="n">
        <v>46245</v>
      </c>
      <c r="B313" s="23" t="n">
        <v>46244</v>
      </c>
      <c r="C313" s="24" t="inlineStr">
        <is>
          <t>C010-26</t>
        </is>
      </c>
      <c r="D313" s="24" t="inlineStr">
        <is>
          <t>Harbour Grocers</t>
        </is>
      </c>
      <c r="E313" s="25" t="n">
        <v>250.77</v>
      </c>
      <c r="F313" s="25" t="n">
        <v>216.87</v>
      </c>
      <c r="G313" s="25" t="n">
        <v>33.9</v>
      </c>
    </row>
    <row r="314">
      <c r="A314" s="23" t="n">
        <v>46224</v>
      </c>
      <c r="B314" s="23" t="n">
        <v>46223</v>
      </c>
      <c r="C314" s="24" t="inlineStr">
        <is>
          <t>C010-27</t>
        </is>
      </c>
      <c r="D314" s="24" t="inlineStr">
        <is>
          <t>Harbour Grocers</t>
        </is>
      </c>
      <c r="E314" s="25" t="n">
        <v>345.14</v>
      </c>
      <c r="F314" s="25" t="n">
        <v>298.49</v>
      </c>
      <c r="G314" s="25" t="n">
        <v>46.65</v>
      </c>
    </row>
    <row r="315">
      <c r="A315" s="23" t="n">
        <v>46235</v>
      </c>
      <c r="B315" s="23" t="n">
        <v>46230</v>
      </c>
      <c r="C315" s="24" t="inlineStr">
        <is>
          <t>C010-28</t>
        </is>
      </c>
      <c r="D315" s="24" t="inlineStr">
        <is>
          <t>Harbour Grocers</t>
        </is>
      </c>
      <c r="E315" s="25" t="n">
        <v>220.91</v>
      </c>
      <c r="F315" s="25" t="n">
        <v>191.05</v>
      </c>
      <c r="G315" s="25" t="n">
        <v>29.86</v>
      </c>
    </row>
    <row r="316">
      <c r="A316" s="23" t="n">
        <v>46203</v>
      </c>
      <c r="B316" s="23" t="n">
        <v>46202</v>
      </c>
      <c r="C316" s="24" t="inlineStr">
        <is>
          <t>C010-29</t>
        </is>
      </c>
      <c r="D316" s="24" t="inlineStr">
        <is>
          <t>Harbour Grocers</t>
        </is>
      </c>
      <c r="E316" s="25" t="n">
        <v>269.05</v>
      </c>
      <c r="F316" s="25" t="n">
        <v>232.68</v>
      </c>
      <c r="G316" s="25" t="n">
        <v>36.37</v>
      </c>
    </row>
    <row r="317">
      <c r="A317" s="23" t="n">
        <v>46222</v>
      </c>
      <c r="B317" s="23" t="n">
        <v>46216</v>
      </c>
      <c r="C317" s="24" t="inlineStr">
        <is>
          <t>C010-30</t>
        </is>
      </c>
      <c r="D317" s="24" t="inlineStr">
        <is>
          <t>Harbour Grocers</t>
        </is>
      </c>
      <c r="E317" s="25" t="n">
        <v>311</v>
      </c>
      <c r="F317" s="25" t="n">
        <v>268.96</v>
      </c>
      <c r="G317" s="25" t="n">
        <v>42.04</v>
      </c>
    </row>
    <row r="318">
      <c r="A318" s="23" t="n">
        <v>46269</v>
      </c>
      <c r="B318" s="23" t="n">
        <v>46265</v>
      </c>
      <c r="C318" s="24" t="inlineStr">
        <is>
          <t>C010-31</t>
        </is>
      </c>
      <c r="D318" s="24" t="inlineStr">
        <is>
          <t>Harbour Grocers</t>
        </is>
      </c>
      <c r="E318" s="25" t="n">
        <v>186.67</v>
      </c>
      <c r="F318" s="25" t="n">
        <v>161.44</v>
      </c>
      <c r="G318" s="25" t="n">
        <v>25.23</v>
      </c>
    </row>
    <row r="319">
      <c r="A319" s="23" t="n">
        <v>46280</v>
      </c>
      <c r="B319" s="23" t="n">
        <v>46279</v>
      </c>
      <c r="C319" s="24" t="inlineStr">
        <is>
          <t>C010-32</t>
        </is>
      </c>
      <c r="D319" s="24" t="inlineStr">
        <is>
          <t>Harbour Grocers</t>
        </is>
      </c>
      <c r="E319" s="25" t="n">
        <v>205.47</v>
      </c>
      <c r="F319" s="25" t="n">
        <v>177.7</v>
      </c>
      <c r="G319" s="25" t="n">
        <v>27.77</v>
      </c>
    </row>
    <row r="320">
      <c r="A320" s="23" t="n">
        <v>46261</v>
      </c>
      <c r="B320" s="23" t="n">
        <v>46258</v>
      </c>
      <c r="C320" s="24" t="inlineStr">
        <is>
          <t>C010-33</t>
        </is>
      </c>
      <c r="D320" s="24" t="inlineStr">
        <is>
          <t>Harbour Grocers</t>
        </is>
      </c>
      <c r="E320" s="25" t="n">
        <v>239.41</v>
      </c>
      <c r="F320" s="25" t="n">
        <v>207.05</v>
      </c>
      <c r="G320" s="25" t="n">
        <v>32.36</v>
      </c>
    </row>
    <row r="321">
      <c r="A321" s="23" t="n">
        <v>46220</v>
      </c>
      <c r="B321" s="23" t="n">
        <v>46216</v>
      </c>
      <c r="C321" s="24" t="inlineStr">
        <is>
          <t>C010-34</t>
        </is>
      </c>
      <c r="D321" s="24" t="inlineStr">
        <is>
          <t>Harbour Grocers</t>
        </is>
      </c>
      <c r="E321" s="25" t="n">
        <v>247.23</v>
      </c>
      <c r="F321" s="25" t="n">
        <v>213.82</v>
      </c>
      <c r="G321" s="25" t="n">
        <v>33.41</v>
      </c>
    </row>
    <row r="322">
      <c r="A322" s="23" t="n">
        <v>46241</v>
      </c>
      <c r="B322" s="23" t="n">
        <v>46237</v>
      </c>
      <c r="C322" s="24" t="inlineStr">
        <is>
          <t>C010-35</t>
        </is>
      </c>
      <c r="D322" s="24" t="inlineStr">
        <is>
          <t>Harbour Grocers</t>
        </is>
      </c>
      <c r="E322" s="25" t="n">
        <v>195.88</v>
      </c>
      <c r="F322" s="25" t="n">
        <v>169.41</v>
      </c>
      <c r="G322" s="25" t="n">
        <v>26.47</v>
      </c>
    </row>
    <row r="323">
      <c r="A323" s="23" t="n">
        <v>46269</v>
      </c>
      <c r="B323" s="23" t="n">
        <v>46265</v>
      </c>
      <c r="C323" s="24" t="inlineStr">
        <is>
          <t>C011-0</t>
        </is>
      </c>
      <c r="D323" s="24" t="inlineStr">
        <is>
          <t>Metro Foods</t>
        </is>
      </c>
      <c r="E323" s="25" t="n">
        <v>566.99</v>
      </c>
      <c r="F323" s="25" t="n">
        <v>526.38</v>
      </c>
      <c r="G323" s="25" t="n">
        <v>40.61</v>
      </c>
    </row>
    <row r="324">
      <c r="A324" s="23" t="n">
        <v>46278</v>
      </c>
      <c r="B324" s="23" t="n">
        <v>46272</v>
      </c>
      <c r="C324" s="24" t="inlineStr">
        <is>
          <t>C011-1</t>
        </is>
      </c>
      <c r="D324" s="24" t="inlineStr">
        <is>
          <t>Metro Foods</t>
        </is>
      </c>
      <c r="E324" s="25" t="n">
        <v>940.36</v>
      </c>
      <c r="F324" s="25" t="n">
        <v>873.02</v>
      </c>
      <c r="G324" s="25" t="n">
        <v>67.34</v>
      </c>
    </row>
    <row r="325">
      <c r="A325" s="23" t="n">
        <v>46222</v>
      </c>
      <c r="B325" s="23" t="n">
        <v>46216</v>
      </c>
      <c r="C325" s="24" t="inlineStr">
        <is>
          <t>C011-2</t>
        </is>
      </c>
      <c r="D325" s="24" t="inlineStr">
        <is>
          <t>Metro Foods</t>
        </is>
      </c>
      <c r="E325" s="25" t="n">
        <v>1185.37</v>
      </c>
      <c r="F325" s="25" t="n">
        <v>1100.47</v>
      </c>
      <c r="G325" s="25" t="n">
        <v>84.90000000000001</v>
      </c>
    </row>
    <row r="326">
      <c r="A326" s="23" t="n">
        <v>46268</v>
      </c>
      <c r="B326" s="23" t="n">
        <v>46265</v>
      </c>
      <c r="C326" s="24" t="inlineStr">
        <is>
          <t>C011-3</t>
        </is>
      </c>
      <c r="D326" s="24" t="inlineStr">
        <is>
          <t>Metro Foods</t>
        </is>
      </c>
      <c r="E326" s="25" t="n">
        <v>1023.02</v>
      </c>
      <c r="F326" s="25" t="n">
        <v>949.75</v>
      </c>
      <c r="G326" s="25" t="n">
        <v>73.27</v>
      </c>
    </row>
    <row r="327">
      <c r="A327" s="23" t="n">
        <v>46258</v>
      </c>
      <c r="B327" s="23" t="n">
        <v>46258</v>
      </c>
      <c r="C327" s="24" t="inlineStr">
        <is>
          <t>C011-4</t>
        </is>
      </c>
      <c r="D327" s="24" t="inlineStr">
        <is>
          <t>Metro Foods</t>
        </is>
      </c>
      <c r="E327" s="25" t="n">
        <v>914.61</v>
      </c>
      <c r="F327" s="25" t="n">
        <v>849.11</v>
      </c>
      <c r="G327" s="25" t="n">
        <v>65.5</v>
      </c>
    </row>
    <row r="328">
      <c r="A328" s="23" t="n">
        <v>46236</v>
      </c>
      <c r="B328" s="23" t="n">
        <v>46230</v>
      </c>
      <c r="C328" s="24" t="inlineStr">
        <is>
          <t>C011-5</t>
        </is>
      </c>
      <c r="D328" s="24" t="inlineStr">
        <is>
          <t>Metro Foods</t>
        </is>
      </c>
      <c r="E328" s="25" t="n">
        <v>912.66</v>
      </c>
      <c r="F328" s="25" t="n">
        <v>847.29</v>
      </c>
      <c r="G328" s="25" t="n">
        <v>65.37</v>
      </c>
    </row>
    <row r="329">
      <c r="A329" s="23" t="n">
        <v>46272</v>
      </c>
      <c r="B329" s="23" t="n">
        <v>46272</v>
      </c>
      <c r="C329" s="24" t="inlineStr">
        <is>
          <t>C011-6</t>
        </is>
      </c>
      <c r="D329" s="24" t="inlineStr">
        <is>
          <t>Metro Foods</t>
        </is>
      </c>
      <c r="E329" s="25" t="n">
        <v>1006.67</v>
      </c>
      <c r="F329" s="25" t="n">
        <v>934.5700000000001</v>
      </c>
      <c r="G329" s="25" t="n">
        <v>72.09999999999999</v>
      </c>
    </row>
    <row r="330">
      <c r="A330" s="23" t="n">
        <v>46226</v>
      </c>
      <c r="B330" s="23" t="n">
        <v>46223</v>
      </c>
      <c r="C330" s="24" t="inlineStr">
        <is>
          <t>C011-7</t>
        </is>
      </c>
      <c r="D330" s="24" t="inlineStr">
        <is>
          <t>Metro Foods</t>
        </is>
      </c>
      <c r="E330" s="25" t="n">
        <v>690.0700000000001</v>
      </c>
      <c r="F330" s="25" t="n">
        <v>640.65</v>
      </c>
      <c r="G330" s="25" t="n">
        <v>49.42</v>
      </c>
    </row>
    <row r="331">
      <c r="A331" s="23" t="n">
        <v>46255</v>
      </c>
      <c r="B331" s="23" t="n">
        <v>46251</v>
      </c>
      <c r="C331" s="24" t="inlineStr">
        <is>
          <t>C011-8</t>
        </is>
      </c>
      <c r="D331" s="24" t="inlineStr">
        <is>
          <t>Metro Foods</t>
        </is>
      </c>
      <c r="E331" s="25" t="n">
        <v>548.89</v>
      </c>
      <c r="F331" s="25" t="n">
        <v>509.57</v>
      </c>
      <c r="G331" s="25" t="n">
        <v>39.32</v>
      </c>
    </row>
    <row r="332">
      <c r="A332" s="23" t="n">
        <v>46274</v>
      </c>
      <c r="B332" s="23" t="n">
        <v>46272</v>
      </c>
      <c r="C332" s="24" t="inlineStr">
        <is>
          <t>C011-9</t>
        </is>
      </c>
      <c r="D332" s="24" t="inlineStr">
        <is>
          <t>Metro Foods</t>
        </is>
      </c>
      <c r="E332" s="25" t="n">
        <v>1020.88</v>
      </c>
      <c r="F332" s="25" t="n">
        <v>947.76</v>
      </c>
      <c r="G332" s="25" t="n">
        <v>73.12</v>
      </c>
    </row>
    <row r="333">
      <c r="A333" s="23" t="n">
        <v>46268</v>
      </c>
      <c r="B333" s="23" t="n">
        <v>46265</v>
      </c>
      <c r="C333" s="24" t="inlineStr">
        <is>
          <t>C011-10</t>
        </is>
      </c>
      <c r="D333" s="24" t="inlineStr">
        <is>
          <t>Metro Foods</t>
        </is>
      </c>
      <c r="E333" s="25" t="n">
        <v>704.09</v>
      </c>
      <c r="F333" s="25" t="n">
        <v>653.67</v>
      </c>
      <c r="G333" s="25" t="n">
        <v>50.42</v>
      </c>
    </row>
    <row r="334">
      <c r="A334" s="23" t="n">
        <v>46203</v>
      </c>
      <c r="B334" s="23" t="n">
        <v>46202</v>
      </c>
      <c r="C334" s="24" t="inlineStr">
        <is>
          <t>C011-11</t>
        </is>
      </c>
      <c r="D334" s="24" t="inlineStr">
        <is>
          <t>Metro Foods</t>
        </is>
      </c>
      <c r="E334" s="25" t="n">
        <v>685.49</v>
      </c>
      <c r="F334" s="25" t="n">
        <v>636.4</v>
      </c>
      <c r="G334" s="25" t="n">
        <v>49.09</v>
      </c>
    </row>
    <row r="335">
      <c r="A335" s="23" t="n">
        <v>46220</v>
      </c>
      <c r="B335" s="23" t="n">
        <v>46216</v>
      </c>
      <c r="C335" s="24" t="inlineStr">
        <is>
          <t>C011-12</t>
        </is>
      </c>
      <c r="D335" s="24" t="inlineStr">
        <is>
          <t>Metro Foods</t>
        </is>
      </c>
      <c r="E335" s="25" t="n">
        <v>987.41</v>
      </c>
      <c r="F335" s="25" t="n">
        <v>916.6900000000001</v>
      </c>
      <c r="G335" s="25" t="n">
        <v>70.72</v>
      </c>
    </row>
    <row r="336">
      <c r="A336" s="23" t="n">
        <v>46218</v>
      </c>
      <c r="B336" s="23" t="n">
        <v>46216</v>
      </c>
      <c r="C336" s="24" t="inlineStr">
        <is>
          <t>C011-13</t>
        </is>
      </c>
      <c r="D336" s="24" t="inlineStr">
        <is>
          <t>Metro Foods</t>
        </is>
      </c>
      <c r="E336" s="25" t="n">
        <v>1078.72</v>
      </c>
      <c r="F336" s="25" t="n">
        <v>1001.46</v>
      </c>
      <c r="G336" s="25" t="n">
        <v>77.26000000000001</v>
      </c>
    </row>
    <row r="337">
      <c r="A337" s="23" t="n">
        <v>46281</v>
      </c>
      <c r="B337" s="23" t="n">
        <v>46279</v>
      </c>
      <c r="C337" s="24" t="inlineStr">
        <is>
          <t>C011-14</t>
        </is>
      </c>
      <c r="D337" s="24" t="inlineStr">
        <is>
          <t>Metro Foods</t>
        </is>
      </c>
      <c r="E337" s="25" t="n">
        <v>708.16</v>
      </c>
      <c r="F337" s="25" t="n">
        <v>657.4400000000001</v>
      </c>
      <c r="G337" s="25" t="n">
        <v>50.72</v>
      </c>
    </row>
    <row r="338">
      <c r="A338" s="23" t="n">
        <v>46228</v>
      </c>
      <c r="B338" s="23" t="n">
        <v>46223</v>
      </c>
      <c r="C338" s="24" t="inlineStr">
        <is>
          <t>C011-15</t>
        </is>
      </c>
      <c r="D338" s="24" t="inlineStr">
        <is>
          <t>Metro Foods</t>
        </is>
      </c>
      <c r="E338" s="25" t="n">
        <v>874.16</v>
      </c>
      <c r="F338" s="25" t="n">
        <v>811.5599999999999</v>
      </c>
      <c r="G338" s="25" t="n">
        <v>62.6</v>
      </c>
    </row>
    <row r="339">
      <c r="A339" s="23" t="n">
        <v>46277</v>
      </c>
      <c r="B339" s="23" t="n">
        <v>46272</v>
      </c>
      <c r="C339" s="24" t="inlineStr">
        <is>
          <t>C011-16</t>
        </is>
      </c>
      <c r="D339" s="24" t="inlineStr">
        <is>
          <t>Metro Foods</t>
        </is>
      </c>
      <c r="E339" s="25" t="n">
        <v>1087.18</v>
      </c>
      <c r="F339" s="25" t="n">
        <v>1009.31</v>
      </c>
      <c r="G339" s="25" t="n">
        <v>77.87</v>
      </c>
    </row>
    <row r="340">
      <c r="A340" s="23" t="n">
        <v>46250</v>
      </c>
      <c r="B340" s="23" t="n">
        <v>46244</v>
      </c>
      <c r="C340" s="24" t="inlineStr">
        <is>
          <t>C011-17</t>
        </is>
      </c>
      <c r="D340" s="24" t="inlineStr">
        <is>
          <t>Metro Foods</t>
        </is>
      </c>
      <c r="E340" s="25" t="n">
        <v>1018.81</v>
      </c>
      <c r="F340" s="25" t="n">
        <v>945.84</v>
      </c>
      <c r="G340" s="25" t="n">
        <v>72.97</v>
      </c>
    </row>
    <row r="341">
      <c r="A341" s="23" t="n">
        <v>46223</v>
      </c>
      <c r="B341" s="23" t="n">
        <v>46223</v>
      </c>
      <c r="C341" s="24" t="inlineStr">
        <is>
          <t>C011-18</t>
        </is>
      </c>
      <c r="D341" s="24" t="inlineStr">
        <is>
          <t>Metro Foods</t>
        </is>
      </c>
      <c r="E341" s="25" t="n">
        <v>1091.83</v>
      </c>
      <c r="F341" s="25" t="n">
        <v>1013.64</v>
      </c>
      <c r="G341" s="25" t="n">
        <v>78.19</v>
      </c>
    </row>
    <row r="342">
      <c r="A342" s="23" t="n">
        <v>46225</v>
      </c>
      <c r="B342" s="23" t="n">
        <v>46223</v>
      </c>
      <c r="C342" s="24" t="inlineStr">
        <is>
          <t>C011-19</t>
        </is>
      </c>
      <c r="D342" s="24" t="inlineStr">
        <is>
          <t>Metro Foods</t>
        </is>
      </c>
      <c r="E342" s="25" t="n">
        <v>958.79</v>
      </c>
      <c r="F342" s="25" t="n">
        <v>890.12</v>
      </c>
      <c r="G342" s="25" t="n">
        <v>68.67</v>
      </c>
    </row>
    <row r="343">
      <c r="A343" s="23" t="n">
        <v>46227</v>
      </c>
      <c r="B343" s="23" t="n">
        <v>46223</v>
      </c>
      <c r="C343" s="24" t="inlineStr">
        <is>
          <t>C011-20</t>
        </is>
      </c>
      <c r="D343" s="24" t="inlineStr">
        <is>
          <t>Metro Foods</t>
        </is>
      </c>
      <c r="E343" s="25" t="n">
        <v>902.03</v>
      </c>
      <c r="F343" s="25" t="n">
        <v>837.4299999999999</v>
      </c>
      <c r="G343" s="25" t="n">
        <v>64.59999999999999</v>
      </c>
    </row>
    <row r="344">
      <c r="A344" s="23" t="n">
        <v>46239</v>
      </c>
      <c r="B344" s="23" t="n">
        <v>46237</v>
      </c>
      <c r="C344" s="24" t="inlineStr">
        <is>
          <t>C011-21</t>
        </is>
      </c>
      <c r="D344" s="24" t="inlineStr">
        <is>
          <t>Metro Foods</t>
        </is>
      </c>
      <c r="E344" s="25" t="n">
        <v>851.1900000000001</v>
      </c>
      <c r="F344" s="25" t="n">
        <v>790.22</v>
      </c>
      <c r="G344" s="25" t="n">
        <v>60.97</v>
      </c>
    </row>
    <row r="345">
      <c r="A345" s="23" t="n">
        <v>46280</v>
      </c>
      <c r="B345" s="23" t="n">
        <v>46279</v>
      </c>
      <c r="C345" s="24" t="inlineStr">
        <is>
          <t>C011-22</t>
        </is>
      </c>
      <c r="D345" s="24" t="inlineStr">
        <is>
          <t>Metro Foods</t>
        </is>
      </c>
      <c r="E345" s="25" t="n">
        <v>699.78</v>
      </c>
      <c r="F345" s="25" t="n">
        <v>649.66</v>
      </c>
      <c r="G345" s="25" t="n">
        <v>50.12</v>
      </c>
    </row>
    <row r="346">
      <c r="A346" s="23" t="n">
        <v>46257</v>
      </c>
      <c r="B346" s="23" t="n">
        <v>46251</v>
      </c>
      <c r="C346" s="24" t="inlineStr">
        <is>
          <t>C011-23</t>
        </is>
      </c>
      <c r="D346" s="24" t="inlineStr">
        <is>
          <t>Metro Foods</t>
        </is>
      </c>
      <c r="E346" s="25" t="n">
        <v>580.78</v>
      </c>
      <c r="F346" s="25" t="n">
        <v>539.1799999999999</v>
      </c>
      <c r="G346" s="25" t="n">
        <v>41.6</v>
      </c>
    </row>
    <row r="347">
      <c r="A347" s="23" t="n">
        <v>46261</v>
      </c>
      <c r="B347" s="23" t="n">
        <v>46258</v>
      </c>
      <c r="C347" s="24" t="inlineStr">
        <is>
          <t>C011-24</t>
        </is>
      </c>
      <c r="D347" s="24" t="inlineStr">
        <is>
          <t>Metro Foods</t>
        </is>
      </c>
      <c r="E347" s="25" t="n">
        <v>716.8200000000001</v>
      </c>
      <c r="F347" s="25" t="n">
        <v>665.48</v>
      </c>
      <c r="G347" s="25" t="n">
        <v>51.34</v>
      </c>
    </row>
    <row r="348">
      <c r="A348" s="23" t="n">
        <v>46279</v>
      </c>
      <c r="B348" s="23" t="n">
        <v>46279</v>
      </c>
      <c r="C348" s="24" t="inlineStr">
        <is>
          <t>C011-25</t>
        </is>
      </c>
      <c r="D348" s="24" t="inlineStr">
        <is>
          <t>Metro Foods</t>
        </is>
      </c>
      <c r="E348" s="25" t="n">
        <v>771.83</v>
      </c>
      <c r="F348" s="25" t="n">
        <v>716.55</v>
      </c>
      <c r="G348" s="25" t="n">
        <v>55.28</v>
      </c>
    </row>
    <row r="349">
      <c r="A349" s="23" t="n">
        <v>46267</v>
      </c>
      <c r="B349" s="23" t="n">
        <v>46265</v>
      </c>
      <c r="C349" s="24" t="inlineStr">
        <is>
          <t>C011-26</t>
        </is>
      </c>
      <c r="D349" s="24" t="inlineStr">
        <is>
          <t>Metro Foods</t>
        </is>
      </c>
      <c r="E349" s="25" t="n">
        <v>911.6900000000001</v>
      </c>
      <c r="F349" s="25" t="n">
        <v>846.39</v>
      </c>
      <c r="G349" s="25" t="n">
        <v>65.3</v>
      </c>
    </row>
    <row r="350">
      <c r="A350" s="23" t="n">
        <v>46287</v>
      </c>
      <c r="B350" s="23" t="n">
        <v>46286</v>
      </c>
      <c r="C350" s="24" t="inlineStr">
        <is>
          <t>C011-27</t>
        </is>
      </c>
      <c r="D350" s="24" t="inlineStr">
        <is>
          <t>Metro Foods</t>
        </is>
      </c>
      <c r="E350" s="25" t="n">
        <v>1084.87</v>
      </c>
      <c r="F350" s="25" t="n">
        <v>1007.17</v>
      </c>
      <c r="G350" s="25" t="n">
        <v>77.7</v>
      </c>
    </row>
    <row r="351">
      <c r="A351" s="23" t="n">
        <v>46261</v>
      </c>
      <c r="B351" s="23" t="n">
        <v>46258</v>
      </c>
      <c r="C351" s="24" t="inlineStr">
        <is>
          <t>C011-28</t>
        </is>
      </c>
      <c r="D351" s="24" t="inlineStr">
        <is>
          <t>Metro Foods</t>
        </is>
      </c>
      <c r="E351" s="25" t="n">
        <v>674.9299999999999</v>
      </c>
      <c r="F351" s="25" t="n">
        <v>626.59</v>
      </c>
      <c r="G351" s="25" t="n">
        <v>48.34</v>
      </c>
    </row>
    <row r="352">
      <c r="A352" s="23" t="n">
        <v>46254</v>
      </c>
      <c r="B352" s="23" t="n">
        <v>46251</v>
      </c>
      <c r="C352" s="24" t="inlineStr">
        <is>
          <t>C011-29</t>
        </is>
      </c>
      <c r="D352" s="24" t="inlineStr">
        <is>
          <t>Metro Foods</t>
        </is>
      </c>
      <c r="E352" s="25" t="n">
        <v>996.53</v>
      </c>
      <c r="F352" s="25" t="n">
        <v>925.16</v>
      </c>
      <c r="G352" s="25" t="n">
        <v>71.37</v>
      </c>
    </row>
    <row r="353">
      <c r="A353" s="23" t="n">
        <v>46270</v>
      </c>
      <c r="B353" s="23" t="n">
        <v>46265</v>
      </c>
      <c r="C353" s="24" t="inlineStr">
        <is>
          <t>C011-30</t>
        </is>
      </c>
      <c r="D353" s="24" t="inlineStr">
        <is>
          <t>Metro Foods</t>
        </is>
      </c>
      <c r="E353" s="25" t="n">
        <v>577.5700000000001</v>
      </c>
      <c r="F353" s="25" t="n">
        <v>536.21</v>
      </c>
      <c r="G353" s="25" t="n">
        <v>41.36</v>
      </c>
    </row>
    <row r="354">
      <c r="A354" s="23" t="n">
        <v>46281</v>
      </c>
      <c r="B354" s="23" t="n">
        <v>46279</v>
      </c>
      <c r="C354" s="24" t="inlineStr">
        <is>
          <t>C011-31</t>
        </is>
      </c>
      <c r="D354" s="24" t="inlineStr">
        <is>
          <t>Metro Foods</t>
        </is>
      </c>
      <c r="E354" s="25" t="n">
        <v>666.64</v>
      </c>
      <c r="F354" s="25" t="n">
        <v>618.9</v>
      </c>
      <c r="G354" s="25" t="n">
        <v>47.74</v>
      </c>
    </row>
    <row r="355">
      <c r="A355" s="23" t="n">
        <v>46221</v>
      </c>
      <c r="B355" s="23" t="n">
        <v>46216</v>
      </c>
      <c r="C355" s="24" t="inlineStr">
        <is>
          <t>C011-32</t>
        </is>
      </c>
      <c r="D355" s="24" t="inlineStr">
        <is>
          <t>Metro Foods</t>
        </is>
      </c>
      <c r="E355" s="25" t="n">
        <v>920.54</v>
      </c>
      <c r="F355" s="25" t="n">
        <v>854.61</v>
      </c>
      <c r="G355" s="25" t="n">
        <v>65.93000000000001</v>
      </c>
    </row>
    <row r="356">
      <c r="A356" s="23" t="n">
        <v>46229</v>
      </c>
      <c r="B356" s="23" t="n">
        <v>46223</v>
      </c>
      <c r="C356" s="24" t="inlineStr">
        <is>
          <t>C011-33</t>
        </is>
      </c>
      <c r="D356" s="24" t="inlineStr">
        <is>
          <t>Metro Foods</t>
        </is>
      </c>
      <c r="E356" s="25" t="n">
        <v>776.26</v>
      </c>
      <c r="F356" s="25" t="n">
        <v>720.66</v>
      </c>
      <c r="G356" s="25" t="n">
        <v>55.6</v>
      </c>
    </row>
    <row r="357">
      <c r="A357" s="23" t="n">
        <v>46248</v>
      </c>
      <c r="B357" s="23" t="n">
        <v>46244</v>
      </c>
      <c r="C357" s="24" t="inlineStr">
        <is>
          <t>C011-34</t>
        </is>
      </c>
      <c r="D357" s="24" t="inlineStr">
        <is>
          <t>Metro Foods</t>
        </is>
      </c>
      <c r="E357" s="25" t="n">
        <v>623.36</v>
      </c>
      <c r="F357" s="25" t="n">
        <v>578.71</v>
      </c>
      <c r="G357" s="25" t="n">
        <v>44.65</v>
      </c>
    </row>
    <row r="358">
      <c r="A358" s="23" t="n">
        <v>46231</v>
      </c>
      <c r="B358" s="23" t="n">
        <v>46230</v>
      </c>
      <c r="C358" s="24" t="inlineStr">
        <is>
          <t>C011-35</t>
        </is>
      </c>
      <c r="D358" s="24" t="inlineStr">
        <is>
          <t>Metro Foods</t>
        </is>
      </c>
      <c r="E358" s="25" t="n">
        <v>615.85</v>
      </c>
      <c r="F358" s="25" t="n">
        <v>571.74</v>
      </c>
      <c r="G358" s="25" t="n">
        <v>44.11</v>
      </c>
    </row>
    <row r="359">
      <c r="A359" s="23" t="n">
        <v>46224</v>
      </c>
      <c r="B359" s="23" t="n">
        <v>46223</v>
      </c>
      <c r="C359" s="24" t="inlineStr">
        <is>
          <t>C011-36</t>
        </is>
      </c>
      <c r="D359" s="24" t="inlineStr">
        <is>
          <t>Metro Foods</t>
        </is>
      </c>
      <c r="E359" s="25" t="n">
        <v>837.3200000000001</v>
      </c>
      <c r="F359" s="25" t="n">
        <v>777.35</v>
      </c>
      <c r="G359" s="25" t="n">
        <v>59.97</v>
      </c>
    </row>
    <row r="360">
      <c r="A360" s="23" t="n">
        <v>46290</v>
      </c>
      <c r="B360" s="23" t="n">
        <v>46286</v>
      </c>
      <c r="C360" s="24" t="inlineStr">
        <is>
          <t>C012-0</t>
        </is>
      </c>
      <c r="D360" s="24" t="inlineStr">
        <is>
          <t>Metro Mart</t>
        </is>
      </c>
      <c r="E360" s="25" t="n">
        <v>546.9</v>
      </c>
      <c r="F360" s="25" t="n">
        <v>464.49</v>
      </c>
      <c r="G360" s="25" t="n">
        <v>82.41</v>
      </c>
    </row>
    <row r="361">
      <c r="A361" s="23" t="n">
        <v>46242</v>
      </c>
      <c r="B361" s="23" t="n">
        <v>46237</v>
      </c>
      <c r="C361" s="24" t="inlineStr">
        <is>
          <t>C012-1</t>
        </is>
      </c>
      <c r="D361" s="24" t="inlineStr">
        <is>
          <t>Metro Mart</t>
        </is>
      </c>
      <c r="E361" s="25" t="n">
        <v>604.08</v>
      </c>
      <c r="F361" s="25" t="n">
        <v>513.05</v>
      </c>
      <c r="G361" s="25" t="n">
        <v>91.03</v>
      </c>
    </row>
    <row r="362">
      <c r="A362" s="23" t="n">
        <v>46251</v>
      </c>
      <c r="B362" s="23" t="n">
        <v>46251</v>
      </c>
      <c r="C362" s="24" t="inlineStr">
        <is>
          <t>C012-2</t>
        </is>
      </c>
      <c r="D362" s="24" t="inlineStr">
        <is>
          <t>Metro Mart</t>
        </is>
      </c>
      <c r="E362" s="25" t="n">
        <v>512.0599999999999</v>
      </c>
      <c r="F362" s="25" t="n">
        <v>434.9</v>
      </c>
      <c r="G362" s="25" t="n">
        <v>77.16</v>
      </c>
    </row>
    <row r="363">
      <c r="A363" s="23" t="n">
        <v>46217</v>
      </c>
      <c r="B363" s="23" t="n">
        <v>46216</v>
      </c>
      <c r="C363" s="24" t="inlineStr">
        <is>
          <t>C012-3</t>
        </is>
      </c>
      <c r="D363" s="24" t="inlineStr">
        <is>
          <t>Metro Mart</t>
        </is>
      </c>
      <c r="E363" s="25" t="n">
        <v>970.9299999999999</v>
      </c>
      <c r="F363" s="25" t="n">
        <v>824.63</v>
      </c>
      <c r="G363" s="25" t="n">
        <v>146.3</v>
      </c>
    </row>
    <row r="364">
      <c r="A364" s="23" t="n">
        <v>46248</v>
      </c>
      <c r="B364" s="23" t="n">
        <v>46244</v>
      </c>
      <c r="C364" s="24" t="inlineStr">
        <is>
          <t>C012-4</t>
        </is>
      </c>
      <c r="D364" s="24" t="inlineStr">
        <is>
          <t>Metro Mart</t>
        </is>
      </c>
      <c r="E364" s="25" t="n">
        <v>727.04</v>
      </c>
      <c r="F364" s="25" t="n">
        <v>617.49</v>
      </c>
      <c r="G364" s="25" t="n">
        <v>109.55</v>
      </c>
    </row>
    <row r="365">
      <c r="A365" s="23" t="n">
        <v>46240</v>
      </c>
      <c r="B365" s="23" t="n">
        <v>46237</v>
      </c>
      <c r="C365" s="24" t="inlineStr">
        <is>
          <t>C012-5</t>
        </is>
      </c>
      <c r="D365" s="24" t="inlineStr">
        <is>
          <t>Metro Mart</t>
        </is>
      </c>
      <c r="E365" s="25" t="n">
        <v>503.1</v>
      </c>
      <c r="F365" s="25" t="n">
        <v>427.29</v>
      </c>
      <c r="G365" s="25" t="n">
        <v>75.81</v>
      </c>
    </row>
    <row r="366">
      <c r="A366" s="23" t="n">
        <v>46254</v>
      </c>
      <c r="B366" s="23" t="n">
        <v>46251</v>
      </c>
      <c r="C366" s="24" t="inlineStr">
        <is>
          <t>C012-6</t>
        </is>
      </c>
      <c r="D366" s="24" t="inlineStr">
        <is>
          <t>Metro Mart</t>
        </is>
      </c>
      <c r="E366" s="25" t="n">
        <v>710.35</v>
      </c>
      <c r="F366" s="25" t="n">
        <v>603.3200000000001</v>
      </c>
      <c r="G366" s="25" t="n">
        <v>107.03</v>
      </c>
    </row>
    <row r="367">
      <c r="A367" s="23" t="n">
        <v>46260</v>
      </c>
      <c r="B367" s="23" t="n">
        <v>46258</v>
      </c>
      <c r="C367" s="24" t="inlineStr">
        <is>
          <t>C012-7</t>
        </is>
      </c>
      <c r="D367" s="24" t="inlineStr">
        <is>
          <t>Metro Mart</t>
        </is>
      </c>
      <c r="E367" s="25" t="n">
        <v>966.39</v>
      </c>
      <c r="F367" s="25" t="n">
        <v>820.77</v>
      </c>
      <c r="G367" s="25" t="n">
        <v>145.62</v>
      </c>
    </row>
    <row r="368">
      <c r="A368" s="23" t="n">
        <v>46207</v>
      </c>
      <c r="B368" s="23" t="n">
        <v>46202</v>
      </c>
      <c r="C368" s="24" t="inlineStr">
        <is>
          <t>C012-8</t>
        </is>
      </c>
      <c r="D368" s="24" t="inlineStr">
        <is>
          <t>Metro Mart</t>
        </is>
      </c>
      <c r="E368" s="25" t="n">
        <v>712.2</v>
      </c>
      <c r="F368" s="25" t="n">
        <v>604.88</v>
      </c>
      <c r="G368" s="25" t="n">
        <v>107.32</v>
      </c>
    </row>
    <row r="369">
      <c r="A369" s="23" t="n">
        <v>46266</v>
      </c>
      <c r="B369" s="23" t="n">
        <v>46265</v>
      </c>
      <c r="C369" s="24" t="inlineStr">
        <is>
          <t>C012-9</t>
        </is>
      </c>
      <c r="D369" s="24" t="inlineStr">
        <is>
          <t>Metro Mart</t>
        </is>
      </c>
      <c r="E369" s="25" t="n">
        <v>738.17</v>
      </c>
      <c r="F369" s="25" t="n">
        <v>626.9400000000001</v>
      </c>
      <c r="G369" s="25" t="n">
        <v>111.23</v>
      </c>
    </row>
    <row r="370">
      <c r="A370" s="23" t="n">
        <v>46279</v>
      </c>
      <c r="B370" s="23" t="n">
        <v>46279</v>
      </c>
      <c r="C370" s="24" t="inlineStr">
        <is>
          <t>C012-10</t>
        </is>
      </c>
      <c r="D370" s="24" t="inlineStr">
        <is>
          <t>Metro Mart</t>
        </is>
      </c>
      <c r="E370" s="25" t="n">
        <v>532.08</v>
      </c>
      <c r="F370" s="25" t="n">
        <v>451.9</v>
      </c>
      <c r="G370" s="25" t="n">
        <v>80.18000000000001</v>
      </c>
    </row>
    <row r="371">
      <c r="A371" s="23" t="n">
        <v>46237</v>
      </c>
      <c r="B371" s="23" t="n">
        <v>46237</v>
      </c>
      <c r="C371" s="24" t="inlineStr">
        <is>
          <t>C012-11</t>
        </is>
      </c>
      <c r="D371" s="24" t="inlineStr">
        <is>
          <t>Metro Mart</t>
        </is>
      </c>
      <c r="E371" s="25" t="n">
        <v>915.74</v>
      </c>
      <c r="F371" s="25" t="n">
        <v>777.75</v>
      </c>
      <c r="G371" s="25" t="n">
        <v>137.99</v>
      </c>
    </row>
    <row r="372">
      <c r="A372" s="23" t="n">
        <v>46259</v>
      </c>
      <c r="B372" s="23" t="n">
        <v>46258</v>
      </c>
      <c r="C372" s="24" t="inlineStr">
        <is>
          <t>C012-12</t>
        </is>
      </c>
      <c r="D372" s="24" t="inlineStr">
        <is>
          <t>Metro Mart</t>
        </is>
      </c>
      <c r="E372" s="25" t="n">
        <v>629.11</v>
      </c>
      <c r="F372" s="25" t="n">
        <v>534.3200000000001</v>
      </c>
      <c r="G372" s="25" t="n">
        <v>94.79000000000001</v>
      </c>
    </row>
    <row r="373">
      <c r="A373" s="23" t="n">
        <v>46233</v>
      </c>
      <c r="B373" s="23" t="n">
        <v>46230</v>
      </c>
      <c r="C373" s="24" t="inlineStr">
        <is>
          <t>C012-13</t>
        </is>
      </c>
      <c r="D373" s="24" t="inlineStr">
        <is>
          <t>Metro Mart</t>
        </is>
      </c>
      <c r="E373" s="25" t="n">
        <v>903.1900000000001</v>
      </c>
      <c r="F373" s="25" t="n">
        <v>767.09</v>
      </c>
      <c r="G373" s="25" t="n">
        <v>136.1</v>
      </c>
    </row>
    <row r="374">
      <c r="A374" s="23" t="n">
        <v>46218</v>
      </c>
      <c r="B374" s="23" t="n">
        <v>46216</v>
      </c>
      <c r="C374" s="24" t="inlineStr">
        <is>
          <t>C012-14</t>
        </is>
      </c>
      <c r="D374" s="24" t="inlineStr">
        <is>
          <t>Metro Mart</t>
        </is>
      </c>
      <c r="E374" s="25" t="n">
        <v>596.3200000000001</v>
      </c>
      <c r="F374" s="25" t="n">
        <v>506.47</v>
      </c>
      <c r="G374" s="25" t="n">
        <v>89.84999999999999</v>
      </c>
    </row>
    <row r="375">
      <c r="A375" s="23" t="n">
        <v>46281</v>
      </c>
      <c r="B375" s="23" t="n">
        <v>46279</v>
      </c>
      <c r="C375" s="24" t="inlineStr">
        <is>
          <t>C012-15</t>
        </is>
      </c>
      <c r="D375" s="24" t="inlineStr">
        <is>
          <t>Metro Mart</t>
        </is>
      </c>
      <c r="E375" s="25" t="n">
        <v>913.0700000000001</v>
      </c>
      <c r="F375" s="25" t="n">
        <v>775.49</v>
      </c>
      <c r="G375" s="25" t="n">
        <v>137.58</v>
      </c>
    </row>
    <row r="376">
      <c r="A376" s="23" t="n">
        <v>46201</v>
      </c>
      <c r="B376" s="23" t="n">
        <v>46195</v>
      </c>
      <c r="C376" s="24" t="inlineStr">
        <is>
          <t>C012-16</t>
        </is>
      </c>
      <c r="D376" s="24" t="inlineStr">
        <is>
          <t>Metro Mart</t>
        </is>
      </c>
      <c r="E376" s="25" t="n">
        <v>676.5</v>
      </c>
      <c r="F376" s="25" t="n">
        <v>574.5700000000001</v>
      </c>
      <c r="G376" s="25" t="n">
        <v>101.93</v>
      </c>
    </row>
    <row r="377">
      <c r="A377" s="23" t="n">
        <v>46227</v>
      </c>
      <c r="B377" s="23" t="n">
        <v>46223</v>
      </c>
      <c r="C377" s="24" t="inlineStr">
        <is>
          <t>C012-17</t>
        </is>
      </c>
      <c r="D377" s="24" t="inlineStr">
        <is>
          <t>Metro Mart</t>
        </is>
      </c>
      <c r="E377" s="25" t="n">
        <v>603.58</v>
      </c>
      <c r="F377" s="25" t="n">
        <v>512.63</v>
      </c>
      <c r="G377" s="25" t="n">
        <v>90.95</v>
      </c>
    </row>
    <row r="378">
      <c r="A378" s="23" t="n">
        <v>46219</v>
      </c>
      <c r="B378" s="23" t="n">
        <v>46216</v>
      </c>
      <c r="C378" s="24" t="inlineStr">
        <is>
          <t>C012-18</t>
        </is>
      </c>
      <c r="D378" s="24" t="inlineStr">
        <is>
          <t>Metro Mart</t>
        </is>
      </c>
      <c r="E378" s="25" t="n">
        <v>678.78</v>
      </c>
      <c r="F378" s="25" t="n">
        <v>576.5</v>
      </c>
      <c r="G378" s="25" t="n">
        <v>102.28</v>
      </c>
    </row>
    <row r="379">
      <c r="A379" s="23" t="n">
        <v>46261</v>
      </c>
      <c r="B379" s="23" t="n">
        <v>46258</v>
      </c>
      <c r="C379" s="24" t="inlineStr">
        <is>
          <t>C013-0</t>
        </is>
      </c>
      <c r="D379" s="24" t="inlineStr">
        <is>
          <t>Metro Cafe</t>
        </is>
      </c>
      <c r="E379" s="25" t="n">
        <v>1439.02</v>
      </c>
      <c r="F379" s="25" t="n">
        <v>1284.83</v>
      </c>
      <c r="G379" s="25" t="n">
        <v>154.19</v>
      </c>
    </row>
    <row r="380">
      <c r="A380" s="23" t="n">
        <v>46290</v>
      </c>
      <c r="B380" s="23" t="n">
        <v>46286</v>
      </c>
      <c r="C380" s="24" t="inlineStr">
        <is>
          <t>C013-1</t>
        </is>
      </c>
      <c r="D380" s="24" t="inlineStr">
        <is>
          <t>Metro Cafe</t>
        </is>
      </c>
      <c r="E380" s="25" t="n">
        <v>1042.84</v>
      </c>
      <c r="F380" s="25" t="n">
        <v>931.1</v>
      </c>
      <c r="G380" s="25" t="n">
        <v>111.74</v>
      </c>
    </row>
    <row r="381">
      <c r="A381" s="23" t="n">
        <v>46248</v>
      </c>
      <c r="B381" s="23" t="n">
        <v>46244</v>
      </c>
      <c r="C381" s="24" t="inlineStr">
        <is>
          <t>C013-2</t>
        </is>
      </c>
      <c r="D381" s="24" t="inlineStr">
        <is>
          <t>Metro Cafe</t>
        </is>
      </c>
      <c r="E381" s="25" t="n">
        <v>1200.12</v>
      </c>
      <c r="F381" s="25" t="n">
        <v>1071.53</v>
      </c>
      <c r="G381" s="25" t="n">
        <v>128.59</v>
      </c>
    </row>
    <row r="382">
      <c r="A382" s="23" t="n">
        <v>46266</v>
      </c>
      <c r="B382" s="23" t="n">
        <v>46265</v>
      </c>
      <c r="C382" s="24" t="inlineStr">
        <is>
          <t>C013-3</t>
        </is>
      </c>
      <c r="D382" s="24" t="inlineStr">
        <is>
          <t>Metro Cafe</t>
        </is>
      </c>
      <c r="E382" s="25" t="n">
        <v>965.8200000000001</v>
      </c>
      <c r="F382" s="25" t="n">
        <v>862.33</v>
      </c>
      <c r="G382" s="25" t="n">
        <v>103.49</v>
      </c>
    </row>
    <row r="383">
      <c r="A383" s="23" t="n">
        <v>46241</v>
      </c>
      <c r="B383" s="23" t="n">
        <v>46237</v>
      </c>
      <c r="C383" s="24" t="inlineStr">
        <is>
          <t>C013-4</t>
        </is>
      </c>
      <c r="D383" s="24" t="inlineStr">
        <is>
          <t>Metro Cafe</t>
        </is>
      </c>
      <c r="E383" s="25" t="n">
        <v>1392.68</v>
      </c>
      <c r="F383" s="25" t="n">
        <v>1243.46</v>
      </c>
      <c r="G383" s="25" t="n">
        <v>149.22</v>
      </c>
    </row>
    <row r="384">
      <c r="A384" s="23" t="n">
        <v>46250</v>
      </c>
      <c r="B384" s="23" t="n">
        <v>46244</v>
      </c>
      <c r="C384" s="24" t="inlineStr">
        <is>
          <t>C013-5</t>
        </is>
      </c>
      <c r="D384" s="24" t="inlineStr">
        <is>
          <t>Metro Cafe</t>
        </is>
      </c>
      <c r="E384" s="25" t="n">
        <v>1095.19</v>
      </c>
      <c r="F384" s="25" t="n">
        <v>977.84</v>
      </c>
      <c r="G384" s="25" t="n">
        <v>117.35</v>
      </c>
    </row>
    <row r="385">
      <c r="A385" s="23" t="n">
        <v>46239</v>
      </c>
      <c r="B385" s="23" t="n">
        <v>46237</v>
      </c>
      <c r="C385" s="24" t="inlineStr">
        <is>
          <t>C013-6</t>
        </is>
      </c>
      <c r="D385" s="24" t="inlineStr">
        <is>
          <t>Metro Cafe</t>
        </is>
      </c>
      <c r="E385" s="25" t="n">
        <v>1490.71</v>
      </c>
      <c r="F385" s="25" t="n">
        <v>1330.98</v>
      </c>
      <c r="G385" s="25" t="n">
        <v>159.73</v>
      </c>
    </row>
    <row r="386">
      <c r="A386" s="23" t="n">
        <v>46204</v>
      </c>
      <c r="B386" s="23" t="n">
        <v>46202</v>
      </c>
      <c r="C386" s="24" t="inlineStr">
        <is>
          <t>C013-7</t>
        </is>
      </c>
      <c r="D386" s="24" t="inlineStr">
        <is>
          <t>Metro Cafe</t>
        </is>
      </c>
      <c r="E386" s="25" t="n">
        <v>1295.65</v>
      </c>
      <c r="F386" s="25" t="n">
        <v>1156.82</v>
      </c>
      <c r="G386" s="25" t="n">
        <v>138.83</v>
      </c>
    </row>
    <row r="387">
      <c r="A387" s="23" t="n">
        <v>46278</v>
      </c>
      <c r="B387" s="23" t="n">
        <v>46272</v>
      </c>
      <c r="C387" s="24" t="inlineStr">
        <is>
          <t>C013-8</t>
        </is>
      </c>
      <c r="D387" s="24" t="inlineStr">
        <is>
          <t>Metro Cafe</t>
        </is>
      </c>
      <c r="E387" s="25" t="n">
        <v>941.1900000000001</v>
      </c>
      <c r="F387" s="25" t="n">
        <v>840.34</v>
      </c>
      <c r="G387" s="25" t="n">
        <v>100.85</v>
      </c>
    </row>
    <row r="388">
      <c r="A388" s="23" t="n">
        <v>46201</v>
      </c>
      <c r="B388" s="23" t="n">
        <v>46195</v>
      </c>
      <c r="C388" s="24" t="inlineStr">
        <is>
          <t>C013-9</t>
        </is>
      </c>
      <c r="D388" s="24" t="inlineStr">
        <is>
          <t>Metro Cafe</t>
        </is>
      </c>
      <c r="E388" s="25" t="n">
        <v>1319.8</v>
      </c>
      <c r="F388" s="25" t="n">
        <v>1178.39</v>
      </c>
      <c r="G388" s="25" t="n">
        <v>141.41</v>
      </c>
    </row>
    <row r="389">
      <c r="A389" s="23" t="n">
        <v>46267</v>
      </c>
      <c r="B389" s="23" t="n">
        <v>46265</v>
      </c>
      <c r="C389" s="24" t="inlineStr">
        <is>
          <t>C013-10</t>
        </is>
      </c>
      <c r="D389" s="24" t="inlineStr">
        <is>
          <t>Metro Cafe</t>
        </is>
      </c>
      <c r="E389" s="25" t="n">
        <v>1536.8</v>
      </c>
      <c r="F389" s="25" t="n">
        <v>1372.13</v>
      </c>
      <c r="G389" s="25" t="n">
        <v>164.67</v>
      </c>
    </row>
    <row r="390">
      <c r="A390" s="23" t="n">
        <v>46241</v>
      </c>
      <c r="B390" s="23" t="n">
        <v>46237</v>
      </c>
      <c r="C390" s="24" t="inlineStr">
        <is>
          <t>C013-11</t>
        </is>
      </c>
      <c r="D390" s="24" t="inlineStr">
        <is>
          <t>Metro Cafe</t>
        </is>
      </c>
      <c r="E390" s="25" t="n">
        <v>1389.9</v>
      </c>
      <c r="F390" s="25" t="n">
        <v>1240.97</v>
      </c>
      <c r="G390" s="25" t="n">
        <v>148.93</v>
      </c>
    </row>
    <row r="391">
      <c r="A391" s="23" t="n">
        <v>46283</v>
      </c>
      <c r="B391" s="23" t="n">
        <v>46279</v>
      </c>
      <c r="C391" s="24" t="inlineStr">
        <is>
          <t>C013-12</t>
        </is>
      </c>
      <c r="D391" s="24" t="inlineStr">
        <is>
          <t>Metro Cafe</t>
        </is>
      </c>
      <c r="E391" s="25" t="n">
        <v>1543.12</v>
      </c>
      <c r="F391" s="25" t="n">
        <v>1377.77</v>
      </c>
      <c r="G391" s="25" t="n">
        <v>165.35</v>
      </c>
    </row>
    <row r="392">
      <c r="A392" s="23" t="n">
        <v>46228</v>
      </c>
      <c r="B392" s="23" t="n">
        <v>46223</v>
      </c>
      <c r="C392" s="24" t="inlineStr">
        <is>
          <t>C013-13</t>
        </is>
      </c>
      <c r="D392" s="24" t="inlineStr">
        <is>
          <t>Metro Cafe</t>
        </is>
      </c>
      <c r="E392" s="25" t="n">
        <v>1602.6</v>
      </c>
      <c r="F392" s="25" t="n">
        <v>1430.88</v>
      </c>
      <c r="G392" s="25" t="n">
        <v>171.72</v>
      </c>
    </row>
    <row r="393">
      <c r="A393" s="23" t="n">
        <v>46228</v>
      </c>
      <c r="B393" s="23" t="n">
        <v>46223</v>
      </c>
      <c r="C393" s="24" t="inlineStr">
        <is>
          <t>C013-14</t>
        </is>
      </c>
      <c r="D393" s="24" t="inlineStr">
        <is>
          <t>Metro Cafe</t>
        </is>
      </c>
      <c r="E393" s="25" t="n">
        <v>726.17</v>
      </c>
      <c r="F393" s="25" t="n">
        <v>648.36</v>
      </c>
      <c r="G393" s="25" t="n">
        <v>77.81</v>
      </c>
    </row>
    <row r="394">
      <c r="A394" s="23" t="n">
        <v>46284</v>
      </c>
      <c r="B394" s="23" t="n">
        <v>46279</v>
      </c>
      <c r="C394" s="24" t="inlineStr">
        <is>
          <t>C013-15</t>
        </is>
      </c>
      <c r="D394" s="24" t="inlineStr">
        <is>
          <t>Metro Cafe</t>
        </is>
      </c>
      <c r="E394" s="25" t="n">
        <v>1543.21</v>
      </c>
      <c r="F394" s="25" t="n">
        <v>1377.85</v>
      </c>
      <c r="G394" s="25" t="n">
        <v>165.36</v>
      </c>
    </row>
    <row r="395">
      <c r="A395" s="23" t="n">
        <v>46264</v>
      </c>
      <c r="B395" s="23" t="n">
        <v>46258</v>
      </c>
      <c r="C395" s="24" t="inlineStr">
        <is>
          <t>C013-16</t>
        </is>
      </c>
      <c r="D395" s="24" t="inlineStr">
        <is>
          <t>Metro Cafe</t>
        </is>
      </c>
      <c r="E395" s="25" t="n">
        <v>1041.99</v>
      </c>
      <c r="F395" s="25" t="n">
        <v>930.34</v>
      </c>
      <c r="G395" s="25" t="n">
        <v>111.65</v>
      </c>
    </row>
    <row r="396">
      <c r="A396" s="23" t="n">
        <v>46220</v>
      </c>
      <c r="B396" s="23" t="n">
        <v>46216</v>
      </c>
      <c r="C396" s="24" t="inlineStr">
        <is>
          <t>C013-17</t>
        </is>
      </c>
      <c r="D396" s="24" t="inlineStr">
        <is>
          <t>Metro Cafe</t>
        </is>
      </c>
      <c r="E396" s="25" t="n">
        <v>768.05</v>
      </c>
      <c r="F396" s="25" t="n">
        <v>685.75</v>
      </c>
      <c r="G396" s="25" t="n">
        <v>82.3</v>
      </c>
    </row>
    <row r="397">
      <c r="A397" s="23" t="n">
        <v>46221</v>
      </c>
      <c r="B397" s="23" t="n">
        <v>46216</v>
      </c>
      <c r="C397" s="24" t="inlineStr">
        <is>
          <t>C013-18</t>
        </is>
      </c>
      <c r="D397" s="24" t="inlineStr">
        <is>
          <t>Metro Cafe</t>
        </is>
      </c>
      <c r="E397" s="25" t="n">
        <v>713.16</v>
      </c>
      <c r="F397" s="25" t="n">
        <v>636.75</v>
      </c>
      <c r="G397" s="25" t="n">
        <v>76.41</v>
      </c>
    </row>
    <row r="398">
      <c r="A398" s="23" t="n">
        <v>46279</v>
      </c>
      <c r="B398" s="23" t="n">
        <v>46279</v>
      </c>
      <c r="C398" s="24" t="inlineStr">
        <is>
          <t>C013-19</t>
        </is>
      </c>
      <c r="D398" s="24" t="inlineStr">
        <is>
          <t>Metro Cafe</t>
        </is>
      </c>
      <c r="E398" s="25" t="n">
        <v>1099.4</v>
      </c>
      <c r="F398" s="25" t="n">
        <v>981.59</v>
      </c>
      <c r="G398" s="25" t="n">
        <v>117.81</v>
      </c>
    </row>
    <row r="399">
      <c r="A399" s="23" t="n">
        <v>46275</v>
      </c>
      <c r="B399" s="23" t="n">
        <v>46272</v>
      </c>
      <c r="C399" s="24" t="inlineStr">
        <is>
          <t>C013-20</t>
        </is>
      </c>
      <c r="D399" s="24" t="inlineStr">
        <is>
          <t>Metro Cafe</t>
        </is>
      </c>
      <c r="E399" s="25" t="n">
        <v>1348.88</v>
      </c>
      <c r="F399" s="25" t="n">
        <v>1204.35</v>
      </c>
      <c r="G399" s="25" t="n">
        <v>144.53</v>
      </c>
    </row>
    <row r="400">
      <c r="A400" s="23" t="n">
        <v>46224</v>
      </c>
      <c r="B400" s="23" t="n">
        <v>46223</v>
      </c>
      <c r="C400" s="24" t="inlineStr">
        <is>
          <t>C013-21</t>
        </is>
      </c>
      <c r="D400" s="24" t="inlineStr">
        <is>
          <t>Metro Cafe</t>
        </is>
      </c>
      <c r="E400" s="25" t="n">
        <v>773.6900000000001</v>
      </c>
      <c r="F400" s="25" t="n">
        <v>690.79</v>
      </c>
      <c r="G400" s="25" t="n">
        <v>82.90000000000001</v>
      </c>
    </row>
    <row r="401">
      <c r="A401" s="23" t="n">
        <v>46250</v>
      </c>
      <c r="B401" s="23" t="n">
        <v>46244</v>
      </c>
      <c r="C401" s="24" t="inlineStr">
        <is>
          <t>C013-22</t>
        </is>
      </c>
      <c r="D401" s="24" t="inlineStr">
        <is>
          <t>Metro Cafe</t>
        </is>
      </c>
      <c r="E401" s="25" t="n">
        <v>846.48</v>
      </c>
      <c r="F401" s="25" t="n">
        <v>755.78</v>
      </c>
      <c r="G401" s="25" t="n">
        <v>90.7</v>
      </c>
    </row>
    <row r="402">
      <c r="A402" s="23" t="n">
        <v>46280</v>
      </c>
      <c r="B402" s="23" t="n">
        <v>46279</v>
      </c>
      <c r="C402" s="24" t="inlineStr">
        <is>
          <t>C013-23</t>
        </is>
      </c>
      <c r="D402" s="24" t="inlineStr">
        <is>
          <t>Metro Cafe</t>
        </is>
      </c>
      <c r="E402" s="25" t="n">
        <v>1388.39</v>
      </c>
      <c r="F402" s="25" t="n">
        <v>1239.63</v>
      </c>
      <c r="G402" s="25" t="n">
        <v>148.76</v>
      </c>
    </row>
    <row r="403">
      <c r="A403" s="23" t="n">
        <v>46249</v>
      </c>
      <c r="B403" s="23" t="n">
        <v>46244</v>
      </c>
      <c r="C403" s="24" t="inlineStr">
        <is>
          <t>C013-24</t>
        </is>
      </c>
      <c r="D403" s="24" t="inlineStr">
        <is>
          <t>Metro Cafe</t>
        </is>
      </c>
      <c r="E403" s="25" t="n">
        <v>1143.79</v>
      </c>
      <c r="F403" s="25" t="n">
        <v>1021.23</v>
      </c>
      <c r="G403" s="25" t="n">
        <v>122.56</v>
      </c>
    </row>
    <row r="404">
      <c r="A404" s="23" t="n">
        <v>46283</v>
      </c>
      <c r="B404" s="23" t="n">
        <v>46279</v>
      </c>
      <c r="C404" s="24" t="inlineStr">
        <is>
          <t>C013-25</t>
        </is>
      </c>
      <c r="D404" s="24" t="inlineStr">
        <is>
          <t>Metro Cafe</t>
        </is>
      </c>
      <c r="E404" s="25" t="n">
        <v>1055.41</v>
      </c>
      <c r="F404" s="25" t="n">
        <v>942.3200000000001</v>
      </c>
      <c r="G404" s="25" t="n">
        <v>113.09</v>
      </c>
    </row>
    <row r="405">
      <c r="A405" s="23" t="n">
        <v>46204</v>
      </c>
      <c r="B405" s="23" t="n">
        <v>46202</v>
      </c>
      <c r="C405" s="24" t="inlineStr">
        <is>
          <t>C014-0</t>
        </is>
      </c>
      <c r="D405" s="24" t="inlineStr">
        <is>
          <t>Metro Superette</t>
        </is>
      </c>
      <c r="E405" s="25" t="n">
        <v>385.85</v>
      </c>
      <c r="F405" s="25" t="n">
        <v>315.06</v>
      </c>
      <c r="G405" s="25" t="n">
        <v>70.79000000000001</v>
      </c>
    </row>
    <row r="406">
      <c r="A406" s="23" t="n">
        <v>46241</v>
      </c>
      <c r="B406" s="23" t="n">
        <v>46237</v>
      </c>
      <c r="C406" s="24" t="inlineStr">
        <is>
          <t>C014-1</t>
        </is>
      </c>
      <c r="D406" s="24" t="inlineStr">
        <is>
          <t>Metro Superette</t>
        </is>
      </c>
      <c r="E406" s="25" t="n">
        <v>515.67</v>
      </c>
      <c r="F406" s="25" t="n">
        <v>421.07</v>
      </c>
      <c r="G406" s="25" t="n">
        <v>94.59999999999999</v>
      </c>
    </row>
    <row r="407">
      <c r="A407" s="23" t="n">
        <v>46212</v>
      </c>
      <c r="B407" s="23" t="n">
        <v>46209</v>
      </c>
      <c r="C407" s="24" t="inlineStr">
        <is>
          <t>C014-2</t>
        </is>
      </c>
      <c r="D407" s="24" t="inlineStr">
        <is>
          <t>Metro Superette</t>
        </is>
      </c>
      <c r="E407" s="25" t="n">
        <v>369.75</v>
      </c>
      <c r="F407" s="25" t="n">
        <v>301.91</v>
      </c>
      <c r="G407" s="25" t="n">
        <v>67.84</v>
      </c>
    </row>
    <row r="408">
      <c r="A408" s="23" t="n">
        <v>46245</v>
      </c>
      <c r="B408" s="23" t="n">
        <v>46244</v>
      </c>
      <c r="C408" s="24" t="inlineStr">
        <is>
          <t>C014-3</t>
        </is>
      </c>
      <c r="D408" s="24" t="inlineStr">
        <is>
          <t>Metro Superette</t>
        </is>
      </c>
      <c r="E408" s="25" t="n">
        <v>766.37</v>
      </c>
      <c r="F408" s="25" t="n">
        <v>625.77</v>
      </c>
      <c r="G408" s="25" t="n">
        <v>140.6</v>
      </c>
    </row>
    <row r="409">
      <c r="A409" s="23" t="n">
        <v>46248</v>
      </c>
      <c r="B409" s="23" t="n">
        <v>46244</v>
      </c>
      <c r="C409" s="24" t="inlineStr">
        <is>
          <t>C014-4</t>
        </is>
      </c>
      <c r="D409" s="24" t="inlineStr">
        <is>
          <t>Metro Superette</t>
        </is>
      </c>
      <c r="E409" s="25" t="n">
        <v>366.65</v>
      </c>
      <c r="F409" s="25" t="n">
        <v>299.38</v>
      </c>
      <c r="G409" s="25" t="n">
        <v>67.27</v>
      </c>
    </row>
    <row r="410">
      <c r="A410" s="23" t="n">
        <v>46283</v>
      </c>
      <c r="B410" s="23" t="n">
        <v>46279</v>
      </c>
      <c r="C410" s="24" t="inlineStr">
        <is>
          <t>C014-5</t>
        </is>
      </c>
      <c r="D410" s="24" t="inlineStr">
        <is>
          <t>Metro Superette</t>
        </is>
      </c>
      <c r="E410" s="25" t="n">
        <v>738.05</v>
      </c>
      <c r="F410" s="25" t="n">
        <v>602.65</v>
      </c>
      <c r="G410" s="25" t="n">
        <v>135.4</v>
      </c>
    </row>
    <row r="411">
      <c r="A411" s="23" t="n">
        <v>46224</v>
      </c>
      <c r="B411" s="23" t="n">
        <v>46223</v>
      </c>
      <c r="C411" s="24" t="inlineStr">
        <is>
          <t>C014-6</t>
        </is>
      </c>
      <c r="D411" s="24" t="inlineStr">
        <is>
          <t>Metro Superette</t>
        </is>
      </c>
      <c r="E411" s="25" t="n">
        <v>761.4400000000001</v>
      </c>
      <c r="F411" s="25" t="n">
        <v>621.75</v>
      </c>
      <c r="G411" s="25" t="n">
        <v>139.69</v>
      </c>
    </row>
    <row r="412">
      <c r="A412" s="23" t="n">
        <v>46232</v>
      </c>
      <c r="B412" s="23" t="n">
        <v>46230</v>
      </c>
      <c r="C412" s="24" t="inlineStr">
        <is>
          <t>C014-7</t>
        </is>
      </c>
      <c r="D412" s="24" t="inlineStr">
        <is>
          <t>Metro Superette</t>
        </is>
      </c>
      <c r="E412" s="25" t="n">
        <v>649.45</v>
      </c>
      <c r="F412" s="25" t="n">
        <v>530.3</v>
      </c>
      <c r="G412" s="25" t="n">
        <v>119.15</v>
      </c>
    </row>
    <row r="413">
      <c r="A413" s="23" t="n">
        <v>46283</v>
      </c>
      <c r="B413" s="23" t="n">
        <v>46279</v>
      </c>
      <c r="C413" s="24" t="inlineStr">
        <is>
          <t>C014-8</t>
        </is>
      </c>
      <c r="D413" s="24" t="inlineStr">
        <is>
          <t>Metro Superette</t>
        </is>
      </c>
      <c r="E413" s="25" t="n">
        <v>690.08</v>
      </c>
      <c r="F413" s="25" t="n">
        <v>563.48</v>
      </c>
      <c r="G413" s="25" t="n">
        <v>126.6</v>
      </c>
    </row>
    <row r="414">
      <c r="A414" s="23" t="n">
        <v>46243</v>
      </c>
      <c r="B414" s="23" t="n">
        <v>46237</v>
      </c>
      <c r="C414" s="24" t="inlineStr">
        <is>
          <t>C014-9</t>
        </is>
      </c>
      <c r="D414" s="24" t="inlineStr">
        <is>
          <t>Metro Superette</t>
        </is>
      </c>
      <c r="E414" s="25" t="n">
        <v>761.62</v>
      </c>
      <c r="F414" s="25" t="n">
        <v>621.89</v>
      </c>
      <c r="G414" s="25" t="n">
        <v>139.73</v>
      </c>
    </row>
    <row r="415">
      <c r="A415" s="23" t="n">
        <v>46255</v>
      </c>
      <c r="B415" s="23" t="n">
        <v>46251</v>
      </c>
      <c r="C415" s="24" t="inlineStr">
        <is>
          <t>C014-10</t>
        </is>
      </c>
      <c r="D415" s="24" t="inlineStr">
        <is>
          <t>Metro Superette</t>
        </is>
      </c>
      <c r="E415" s="25" t="n">
        <v>725.33</v>
      </c>
      <c r="F415" s="25" t="n">
        <v>592.26</v>
      </c>
      <c r="G415" s="25" t="n">
        <v>133.07</v>
      </c>
    </row>
    <row r="416">
      <c r="A416" s="23" t="n">
        <v>46218</v>
      </c>
      <c r="B416" s="23" t="n">
        <v>46216</v>
      </c>
      <c r="C416" s="24" t="inlineStr">
        <is>
          <t>C015-0</t>
        </is>
      </c>
      <c r="D416" s="24" t="inlineStr">
        <is>
          <t>Metro Grocers</t>
        </is>
      </c>
      <c r="E416" s="25" t="n">
        <v>273.98</v>
      </c>
      <c r="F416" s="25" t="n">
        <v>229.53</v>
      </c>
      <c r="G416" s="25" t="n">
        <v>44.45</v>
      </c>
    </row>
    <row r="417">
      <c r="A417" s="23" t="n">
        <v>46278</v>
      </c>
      <c r="B417" s="23" t="n">
        <v>46272</v>
      </c>
      <c r="C417" s="24" t="inlineStr">
        <is>
          <t>C015-1</t>
        </is>
      </c>
      <c r="D417" s="24" t="inlineStr">
        <is>
          <t>Metro Grocers</t>
        </is>
      </c>
      <c r="E417" s="25" t="n">
        <v>204.44</v>
      </c>
      <c r="F417" s="25" t="n">
        <v>171.27</v>
      </c>
      <c r="G417" s="25" t="n">
        <v>33.17</v>
      </c>
    </row>
    <row r="418">
      <c r="A418" s="23" t="n">
        <v>46275</v>
      </c>
      <c r="B418" s="23" t="n">
        <v>46272</v>
      </c>
      <c r="C418" s="24" t="inlineStr">
        <is>
          <t>C015-2</t>
        </is>
      </c>
      <c r="D418" s="24" t="inlineStr">
        <is>
          <t>Metro Grocers</t>
        </is>
      </c>
      <c r="E418" s="25" t="n">
        <v>174.65</v>
      </c>
      <c r="F418" s="25" t="n">
        <v>146.31</v>
      </c>
      <c r="G418" s="25" t="n">
        <v>28.34</v>
      </c>
    </row>
    <row r="419">
      <c r="A419" s="23" t="n">
        <v>46277</v>
      </c>
      <c r="B419" s="23" t="n">
        <v>46272</v>
      </c>
      <c r="C419" s="24" t="inlineStr">
        <is>
          <t>C015-3</t>
        </is>
      </c>
      <c r="D419" s="24" t="inlineStr">
        <is>
          <t>Metro Grocers</t>
        </is>
      </c>
      <c r="E419" s="25" t="n">
        <v>302.62</v>
      </c>
      <c r="F419" s="25" t="n">
        <v>253.53</v>
      </c>
      <c r="G419" s="25" t="n">
        <v>49.09</v>
      </c>
    </row>
    <row r="420">
      <c r="A420" s="23" t="n">
        <v>46286</v>
      </c>
      <c r="B420" s="23" t="n">
        <v>46286</v>
      </c>
      <c r="C420" s="24" t="inlineStr">
        <is>
          <t>C015-4</t>
        </is>
      </c>
      <c r="D420" s="24" t="inlineStr">
        <is>
          <t>Metro Grocers</t>
        </is>
      </c>
      <c r="E420" s="25" t="n">
        <v>221.66</v>
      </c>
      <c r="F420" s="25" t="n">
        <v>185.7</v>
      </c>
      <c r="G420" s="25" t="n">
        <v>35.96</v>
      </c>
    </row>
    <row r="421">
      <c r="A421" s="23" t="n">
        <v>46253</v>
      </c>
      <c r="B421" s="23" t="n">
        <v>46251</v>
      </c>
      <c r="C421" s="24" t="inlineStr">
        <is>
          <t>C015-5</t>
        </is>
      </c>
      <c r="D421" s="24" t="inlineStr">
        <is>
          <t>Metro Grocers</t>
        </is>
      </c>
      <c r="E421" s="25" t="n">
        <v>196.87</v>
      </c>
      <c r="F421" s="25" t="n">
        <v>164.93</v>
      </c>
      <c r="G421" s="25" t="n">
        <v>31.94</v>
      </c>
    </row>
    <row r="422">
      <c r="A422" s="23" t="n">
        <v>46242</v>
      </c>
      <c r="B422" s="23" t="n">
        <v>46237</v>
      </c>
      <c r="C422" s="24" t="inlineStr">
        <is>
          <t>C015-6</t>
        </is>
      </c>
      <c r="D422" s="24" t="inlineStr">
        <is>
          <t>Metro Grocers</t>
        </is>
      </c>
      <c r="E422" s="25" t="n">
        <v>262.89</v>
      </c>
      <c r="F422" s="25" t="n">
        <v>220.24</v>
      </c>
      <c r="G422" s="25" t="n">
        <v>42.65</v>
      </c>
    </row>
    <row r="423">
      <c r="A423" s="23" t="n">
        <v>46228</v>
      </c>
      <c r="B423" s="23" t="n">
        <v>46223</v>
      </c>
      <c r="C423" s="24" t="inlineStr">
        <is>
          <t>C015-7</t>
        </is>
      </c>
      <c r="D423" s="24" t="inlineStr">
        <is>
          <t>Metro Grocers</t>
        </is>
      </c>
      <c r="E423" s="25" t="n">
        <v>315.91</v>
      </c>
      <c r="F423" s="25" t="n">
        <v>264.66</v>
      </c>
      <c r="G423" s="25" t="n">
        <v>51.25</v>
      </c>
    </row>
    <row r="424">
      <c r="A424" s="23" t="n">
        <v>46248</v>
      </c>
      <c r="B424" s="23" t="n">
        <v>46244</v>
      </c>
      <c r="C424" s="24" t="inlineStr">
        <is>
          <t>C015-8</t>
        </is>
      </c>
      <c r="D424" s="24" t="inlineStr">
        <is>
          <t>Metro Grocers</t>
        </is>
      </c>
      <c r="E424" s="25" t="n">
        <v>168.33</v>
      </c>
      <c r="F424" s="25" t="n">
        <v>141.02</v>
      </c>
      <c r="G424" s="25" t="n">
        <v>27.31</v>
      </c>
    </row>
    <row r="425">
      <c r="A425" s="23" t="n">
        <v>46220</v>
      </c>
      <c r="B425" s="23" t="n">
        <v>46216</v>
      </c>
      <c r="C425" s="24" t="inlineStr">
        <is>
          <t>C015-9</t>
        </is>
      </c>
      <c r="D425" s="24" t="inlineStr">
        <is>
          <t>Metro Grocers</t>
        </is>
      </c>
      <c r="E425" s="25" t="n">
        <v>149.49</v>
      </c>
      <c r="F425" s="25" t="n">
        <v>125.24</v>
      </c>
      <c r="G425" s="25" t="n">
        <v>24.25</v>
      </c>
    </row>
    <row r="426">
      <c r="A426" s="23" t="n">
        <v>46262</v>
      </c>
      <c r="B426" s="23" t="n">
        <v>46258</v>
      </c>
      <c r="C426" s="24" t="inlineStr">
        <is>
          <t>C015-10</t>
        </is>
      </c>
      <c r="D426" s="24" t="inlineStr">
        <is>
          <t>Metro Grocers</t>
        </is>
      </c>
      <c r="E426" s="25" t="n">
        <v>189.92</v>
      </c>
      <c r="F426" s="25" t="n">
        <v>159.11</v>
      </c>
      <c r="G426" s="25" t="n">
        <v>30.81</v>
      </c>
    </row>
    <row r="427">
      <c r="A427" s="23" t="n">
        <v>46237</v>
      </c>
      <c r="B427" s="23" t="n">
        <v>46237</v>
      </c>
      <c r="C427" s="24" t="inlineStr">
        <is>
          <t>C015-11</t>
        </is>
      </c>
      <c r="D427" s="24" t="inlineStr">
        <is>
          <t>Metro Grocers</t>
        </is>
      </c>
      <c r="E427" s="25" t="n">
        <v>325.33</v>
      </c>
      <c r="F427" s="25" t="n">
        <v>272.55</v>
      </c>
      <c r="G427" s="25" t="n">
        <v>52.78</v>
      </c>
    </row>
    <row r="428">
      <c r="A428" s="23" t="n">
        <v>46236</v>
      </c>
      <c r="B428" s="23" t="n">
        <v>46230</v>
      </c>
      <c r="C428" s="24" t="inlineStr">
        <is>
          <t>C015-12</t>
        </is>
      </c>
      <c r="D428" s="24" t="inlineStr">
        <is>
          <t>Metro Grocers</t>
        </is>
      </c>
      <c r="E428" s="25" t="n">
        <v>258.38</v>
      </c>
      <c r="F428" s="25" t="n">
        <v>216.46</v>
      </c>
      <c r="G428" s="25" t="n">
        <v>41.92</v>
      </c>
    </row>
    <row r="429">
      <c r="A429" s="23" t="n">
        <v>46218</v>
      </c>
      <c r="B429" s="23" t="n">
        <v>46216</v>
      </c>
      <c r="C429" s="24" t="inlineStr">
        <is>
          <t>C015-13</t>
        </is>
      </c>
      <c r="D429" s="24" t="inlineStr">
        <is>
          <t>Metro Grocers</t>
        </is>
      </c>
      <c r="E429" s="25" t="n">
        <v>184.85</v>
      </c>
      <c r="F429" s="25" t="n">
        <v>154.86</v>
      </c>
      <c r="G429" s="25" t="n">
        <v>29.99</v>
      </c>
    </row>
    <row r="430">
      <c r="A430" s="23" t="n">
        <v>46252</v>
      </c>
      <c r="B430" s="23" t="n">
        <v>46251</v>
      </c>
      <c r="C430" s="24" t="inlineStr">
        <is>
          <t>C015-14</t>
        </is>
      </c>
      <c r="D430" s="24" t="inlineStr">
        <is>
          <t>Metro Grocers</t>
        </is>
      </c>
      <c r="E430" s="25" t="n">
        <v>293.41</v>
      </c>
      <c r="F430" s="25" t="n">
        <v>245.81</v>
      </c>
      <c r="G430" s="25" t="n">
        <v>47.6</v>
      </c>
    </row>
    <row r="431">
      <c r="A431" s="23" t="n">
        <v>46289</v>
      </c>
      <c r="B431" s="23" t="n">
        <v>46286</v>
      </c>
      <c r="C431" s="24" t="inlineStr">
        <is>
          <t>C015-15</t>
        </is>
      </c>
      <c r="D431" s="24" t="inlineStr">
        <is>
          <t>Metro Grocers</t>
        </is>
      </c>
      <c r="E431" s="25" t="n">
        <v>152.29</v>
      </c>
      <c r="F431" s="25" t="n">
        <v>127.58</v>
      </c>
      <c r="G431" s="25" t="n">
        <v>24.71</v>
      </c>
    </row>
    <row r="432">
      <c r="A432" s="23" t="n">
        <v>46209</v>
      </c>
      <c r="B432" s="23" t="n">
        <v>46209</v>
      </c>
      <c r="C432" s="24" t="inlineStr">
        <is>
          <t>C015-16</t>
        </is>
      </c>
      <c r="D432" s="24" t="inlineStr">
        <is>
          <t>Metro Grocers</t>
        </is>
      </c>
      <c r="E432" s="25" t="n">
        <v>200.94</v>
      </c>
      <c r="F432" s="25" t="n">
        <v>168.34</v>
      </c>
      <c r="G432" s="25" t="n">
        <v>32.6</v>
      </c>
    </row>
    <row r="433">
      <c r="A433" s="23" t="n">
        <v>46248</v>
      </c>
      <c r="B433" s="23" t="n">
        <v>46244</v>
      </c>
      <c r="C433" s="24" t="inlineStr">
        <is>
          <t>C015-17</t>
        </is>
      </c>
      <c r="D433" s="24" t="inlineStr">
        <is>
          <t>Metro Grocers</t>
        </is>
      </c>
      <c r="E433" s="25" t="n">
        <v>160.29</v>
      </c>
      <c r="F433" s="25" t="n">
        <v>134.29</v>
      </c>
      <c r="G433" s="25" t="n">
        <v>26</v>
      </c>
    </row>
    <row r="434">
      <c r="A434" s="23" t="n">
        <v>46202</v>
      </c>
      <c r="B434" s="23" t="n">
        <v>46202</v>
      </c>
      <c r="C434" s="24" t="inlineStr">
        <is>
          <t>C015-18</t>
        </is>
      </c>
      <c r="D434" s="24" t="inlineStr">
        <is>
          <t>Metro Grocers</t>
        </is>
      </c>
      <c r="E434" s="25" t="n">
        <v>165.66</v>
      </c>
      <c r="F434" s="25" t="n">
        <v>138.79</v>
      </c>
      <c r="G434" s="25" t="n">
        <v>26.87</v>
      </c>
    </row>
    <row r="435">
      <c r="A435" s="23" t="n">
        <v>46286</v>
      </c>
      <c r="B435" s="23" t="n">
        <v>46286</v>
      </c>
      <c r="C435" s="24" t="inlineStr">
        <is>
          <t>C015-19</t>
        </is>
      </c>
      <c r="D435" s="24" t="inlineStr">
        <is>
          <t>Metro Grocers</t>
        </is>
      </c>
      <c r="E435" s="25" t="n">
        <v>200.69</v>
      </c>
      <c r="F435" s="25" t="n">
        <v>168.13</v>
      </c>
      <c r="G435" s="25" t="n">
        <v>32.56</v>
      </c>
    </row>
    <row r="436">
      <c r="A436" s="23" t="n">
        <v>46221</v>
      </c>
      <c r="B436" s="23" t="n">
        <v>46216</v>
      </c>
      <c r="C436" s="24" t="inlineStr">
        <is>
          <t>C015-20</t>
        </is>
      </c>
      <c r="D436" s="24" t="inlineStr">
        <is>
          <t>Metro Grocers</t>
        </is>
      </c>
      <c r="E436" s="25" t="n">
        <v>159.03</v>
      </c>
      <c r="F436" s="25" t="n">
        <v>133.23</v>
      </c>
      <c r="G436" s="25" t="n">
        <v>25.8</v>
      </c>
    </row>
    <row r="437">
      <c r="A437" s="23" t="n">
        <v>46224</v>
      </c>
      <c r="B437" s="23" t="n">
        <v>46223</v>
      </c>
      <c r="C437" s="24" t="inlineStr">
        <is>
          <t>C015-21</t>
        </is>
      </c>
      <c r="D437" s="24" t="inlineStr">
        <is>
          <t>Metro Grocers</t>
        </is>
      </c>
      <c r="E437" s="25" t="n">
        <v>271.52</v>
      </c>
      <c r="F437" s="25" t="n">
        <v>227.47</v>
      </c>
      <c r="G437" s="25" t="n">
        <v>44.05</v>
      </c>
    </row>
    <row r="438">
      <c r="A438" s="23" t="n">
        <v>46257</v>
      </c>
      <c r="B438" s="23" t="n">
        <v>46251</v>
      </c>
      <c r="C438" s="24" t="inlineStr">
        <is>
          <t>C015-22</t>
        </is>
      </c>
      <c r="D438" s="24" t="inlineStr">
        <is>
          <t>Metro Grocers</t>
        </is>
      </c>
      <c r="E438" s="25" t="n">
        <v>336.42</v>
      </c>
      <c r="F438" s="25" t="n">
        <v>281.84</v>
      </c>
      <c r="G438" s="25" t="n">
        <v>54.58</v>
      </c>
    </row>
    <row r="439">
      <c r="A439" s="23" t="n">
        <v>46260</v>
      </c>
      <c r="B439" s="23" t="n">
        <v>46258</v>
      </c>
      <c r="C439" s="24" t="inlineStr">
        <is>
          <t>C015-23</t>
        </is>
      </c>
      <c r="D439" s="24" t="inlineStr">
        <is>
          <t>Metro Grocers</t>
        </is>
      </c>
      <c r="E439" s="25" t="n">
        <v>178.89</v>
      </c>
      <c r="F439" s="25" t="n">
        <v>149.86</v>
      </c>
      <c r="G439" s="25" t="n">
        <v>29.03</v>
      </c>
    </row>
    <row r="440">
      <c r="A440" s="23" t="n">
        <v>46271</v>
      </c>
      <c r="B440" s="23" t="n">
        <v>46265</v>
      </c>
      <c r="C440" s="24" t="inlineStr">
        <is>
          <t>C015-24</t>
        </is>
      </c>
      <c r="D440" s="24" t="inlineStr">
        <is>
          <t>Metro Grocers</t>
        </is>
      </c>
      <c r="E440" s="25" t="n">
        <v>207.5</v>
      </c>
      <c r="F440" s="25" t="n">
        <v>173.84</v>
      </c>
      <c r="G440" s="25" t="n">
        <v>33.66</v>
      </c>
    </row>
    <row r="441">
      <c r="A441" s="23" t="n">
        <v>46266</v>
      </c>
      <c r="B441" s="23" t="n">
        <v>46265</v>
      </c>
      <c r="C441" s="24" t="inlineStr">
        <is>
          <t>C015-25</t>
        </is>
      </c>
      <c r="D441" s="24" t="inlineStr">
        <is>
          <t>Metro Grocers</t>
        </is>
      </c>
      <c r="E441" s="25" t="n">
        <v>162.15</v>
      </c>
      <c r="F441" s="25" t="n">
        <v>135.85</v>
      </c>
      <c r="G441" s="25" t="n">
        <v>26.3</v>
      </c>
    </row>
    <row r="442">
      <c r="A442" s="23" t="n">
        <v>46202</v>
      </c>
      <c r="B442" s="23" t="n">
        <v>46202</v>
      </c>
      <c r="C442" s="24" t="inlineStr">
        <is>
          <t>C016-0</t>
        </is>
      </c>
      <c r="D442" s="24" t="inlineStr">
        <is>
          <t>Summit Foods</t>
        </is>
      </c>
      <c r="E442" s="25" t="n">
        <v>9760.290000000001</v>
      </c>
      <c r="F442" s="25" t="n">
        <v>8642.950000000001</v>
      </c>
      <c r="G442" s="25" t="n">
        <v>1117.34</v>
      </c>
    </row>
    <row r="443">
      <c r="A443" s="23" t="n">
        <v>46260</v>
      </c>
      <c r="B443" s="23" t="n">
        <v>46258</v>
      </c>
      <c r="C443" s="24" t="inlineStr">
        <is>
          <t>C016-1</t>
        </is>
      </c>
      <c r="D443" s="24" t="inlineStr">
        <is>
          <t>Summit Foods</t>
        </is>
      </c>
      <c r="E443" s="25" t="n">
        <v>12711.6</v>
      </c>
      <c r="F443" s="25" t="n">
        <v>11256.4</v>
      </c>
      <c r="G443" s="25" t="n">
        <v>1455.2</v>
      </c>
    </row>
    <row r="444">
      <c r="A444" s="23" t="n">
        <v>46220</v>
      </c>
      <c r="B444" s="23" t="n">
        <v>46216</v>
      </c>
      <c r="C444" s="24" t="inlineStr">
        <is>
          <t>C016-2</t>
        </is>
      </c>
      <c r="D444" s="24" t="inlineStr">
        <is>
          <t>Summit Foods</t>
        </is>
      </c>
      <c r="E444" s="25" t="n">
        <v>10086.8</v>
      </c>
      <c r="F444" s="25" t="n">
        <v>8932.08</v>
      </c>
      <c r="G444" s="25" t="n">
        <v>1154.72</v>
      </c>
    </row>
    <row r="445">
      <c r="A445" s="23" t="n">
        <v>46254</v>
      </c>
      <c r="B445" s="23" t="n">
        <v>46251</v>
      </c>
      <c r="C445" s="24" t="inlineStr">
        <is>
          <t>C016-3</t>
        </is>
      </c>
      <c r="D445" s="24" t="inlineStr">
        <is>
          <t>Summit Foods</t>
        </is>
      </c>
      <c r="E445" s="25" t="n">
        <v>6899.87</v>
      </c>
      <c r="F445" s="25" t="n">
        <v>6109.99</v>
      </c>
      <c r="G445" s="25" t="n">
        <v>789.88</v>
      </c>
    </row>
    <row r="446">
      <c r="A446" s="23" t="n">
        <v>46268</v>
      </c>
      <c r="B446" s="23" t="n">
        <v>46265</v>
      </c>
      <c r="C446" s="24" t="inlineStr">
        <is>
          <t>C016-4</t>
        </is>
      </c>
      <c r="D446" s="24" t="inlineStr">
        <is>
          <t>Summit Foods</t>
        </is>
      </c>
      <c r="E446" s="25" t="n">
        <v>6585.25</v>
      </c>
      <c r="F446" s="25" t="n">
        <v>5831.39</v>
      </c>
      <c r="G446" s="25" t="n">
        <v>753.86</v>
      </c>
    </row>
    <row r="447">
      <c r="A447" s="23" t="n">
        <v>46219</v>
      </c>
      <c r="B447" s="23" t="n">
        <v>46216</v>
      </c>
      <c r="C447" s="24" t="inlineStr">
        <is>
          <t>C017-0</t>
        </is>
      </c>
      <c r="D447" s="24" t="inlineStr">
        <is>
          <t>Summit Mart</t>
        </is>
      </c>
      <c r="E447" s="25" t="n">
        <v>1268.98</v>
      </c>
      <c r="F447" s="25" t="n">
        <v>1151.18</v>
      </c>
      <c r="G447" s="25" t="n">
        <v>117.8</v>
      </c>
    </row>
    <row r="448">
      <c r="A448" s="23" t="n">
        <v>46281</v>
      </c>
      <c r="B448" s="23" t="n">
        <v>46279</v>
      </c>
      <c r="C448" s="24" t="inlineStr">
        <is>
          <t>C017-1</t>
        </is>
      </c>
      <c r="D448" s="24" t="inlineStr">
        <is>
          <t>Summit Mart</t>
        </is>
      </c>
      <c r="E448" s="25" t="n">
        <v>1197.53</v>
      </c>
      <c r="F448" s="25" t="n">
        <v>1086.36</v>
      </c>
      <c r="G448" s="25" t="n">
        <v>111.17</v>
      </c>
    </row>
    <row r="449">
      <c r="A449" s="23" t="n">
        <v>46279</v>
      </c>
      <c r="B449" s="23" t="n">
        <v>46279</v>
      </c>
      <c r="C449" s="24" t="inlineStr">
        <is>
          <t>C017-2</t>
        </is>
      </c>
      <c r="D449" s="24" t="inlineStr">
        <is>
          <t>Summit Mart</t>
        </is>
      </c>
      <c r="E449" s="25" t="n">
        <v>1082.38</v>
      </c>
      <c r="F449" s="25" t="n">
        <v>981.9</v>
      </c>
      <c r="G449" s="25" t="n">
        <v>100.48</v>
      </c>
    </row>
    <row r="450">
      <c r="A450" s="23" t="n">
        <v>46249</v>
      </c>
      <c r="B450" s="23" t="n">
        <v>46244</v>
      </c>
      <c r="C450" s="24" t="inlineStr">
        <is>
          <t>C017-3</t>
        </is>
      </c>
      <c r="D450" s="24" t="inlineStr">
        <is>
          <t>Summit Mart</t>
        </is>
      </c>
      <c r="E450" s="25" t="n">
        <v>893.6900000000001</v>
      </c>
      <c r="F450" s="25" t="n">
        <v>810.72</v>
      </c>
      <c r="G450" s="25" t="n">
        <v>82.97</v>
      </c>
    </row>
    <row r="451">
      <c r="A451" s="23" t="n">
        <v>46269</v>
      </c>
      <c r="B451" s="23" t="n">
        <v>46265</v>
      </c>
      <c r="C451" s="24" t="inlineStr">
        <is>
          <t>C017-4</t>
        </is>
      </c>
      <c r="D451" s="24" t="inlineStr">
        <is>
          <t>Summit Mart</t>
        </is>
      </c>
      <c r="E451" s="25" t="n">
        <v>1524.87</v>
      </c>
      <c r="F451" s="25" t="n">
        <v>1383.31</v>
      </c>
      <c r="G451" s="25" t="n">
        <v>141.56</v>
      </c>
    </row>
    <row r="452">
      <c r="A452" s="23" t="n">
        <v>46231</v>
      </c>
      <c r="B452" s="23" t="n">
        <v>46230</v>
      </c>
      <c r="C452" s="24" t="inlineStr">
        <is>
          <t>C017-5</t>
        </is>
      </c>
      <c r="D452" s="24" t="inlineStr">
        <is>
          <t>Summit Mart</t>
        </is>
      </c>
      <c r="E452" s="25" t="n">
        <v>967.39</v>
      </c>
      <c r="F452" s="25" t="n">
        <v>877.58</v>
      </c>
      <c r="G452" s="25" t="n">
        <v>89.81</v>
      </c>
    </row>
    <row r="453">
      <c r="A453" s="23" t="n">
        <v>46228</v>
      </c>
      <c r="B453" s="23" t="n">
        <v>46223</v>
      </c>
      <c r="C453" s="24" t="inlineStr">
        <is>
          <t>C017-6</t>
        </is>
      </c>
      <c r="D453" s="24" t="inlineStr">
        <is>
          <t>Summit Mart</t>
        </is>
      </c>
      <c r="E453" s="25" t="n">
        <v>1558.78</v>
      </c>
      <c r="F453" s="25" t="n">
        <v>1414.07</v>
      </c>
      <c r="G453" s="25" t="n">
        <v>144.71</v>
      </c>
    </row>
    <row r="454">
      <c r="A454" s="23" t="n">
        <v>46205</v>
      </c>
      <c r="B454" s="23" t="n">
        <v>46202</v>
      </c>
      <c r="C454" s="24" t="inlineStr">
        <is>
          <t>C017-7</t>
        </is>
      </c>
      <c r="D454" s="24" t="inlineStr">
        <is>
          <t>Summit Mart</t>
        </is>
      </c>
      <c r="E454" s="25" t="n">
        <v>1637.53</v>
      </c>
      <c r="F454" s="25" t="n">
        <v>1485.51</v>
      </c>
      <c r="G454" s="25" t="n">
        <v>152.02</v>
      </c>
    </row>
    <row r="455">
      <c r="A455" s="23" t="n">
        <v>46219</v>
      </c>
      <c r="B455" s="23" t="n">
        <v>46216</v>
      </c>
      <c r="C455" s="24" t="inlineStr">
        <is>
          <t>C017-8</t>
        </is>
      </c>
      <c r="D455" s="24" t="inlineStr">
        <is>
          <t>Summit Mart</t>
        </is>
      </c>
      <c r="E455" s="25" t="n">
        <v>1731.52</v>
      </c>
      <c r="F455" s="25" t="n">
        <v>1570.78</v>
      </c>
      <c r="G455" s="25" t="n">
        <v>160.74</v>
      </c>
    </row>
    <row r="456">
      <c r="A456" s="23" t="n">
        <v>46286</v>
      </c>
      <c r="B456" s="23" t="n">
        <v>46286</v>
      </c>
      <c r="C456" s="24" t="inlineStr">
        <is>
          <t>C017-9</t>
        </is>
      </c>
      <c r="D456" s="24" t="inlineStr">
        <is>
          <t>Summit Mart</t>
        </is>
      </c>
      <c r="E456" s="25" t="n">
        <v>816.2</v>
      </c>
      <c r="F456" s="25" t="n">
        <v>740.4299999999999</v>
      </c>
      <c r="G456" s="25" t="n">
        <v>75.77</v>
      </c>
    </row>
    <row r="457">
      <c r="A457" s="23" t="n">
        <v>46216</v>
      </c>
      <c r="B457" s="23" t="n">
        <v>46216</v>
      </c>
      <c r="C457" s="24" t="inlineStr">
        <is>
          <t>C017-10</t>
        </is>
      </c>
      <c r="D457" s="24" t="inlineStr">
        <is>
          <t>Summit Mart</t>
        </is>
      </c>
      <c r="E457" s="25" t="n">
        <v>940.98</v>
      </c>
      <c r="F457" s="25" t="n">
        <v>853.63</v>
      </c>
      <c r="G457" s="25" t="n">
        <v>87.34999999999999</v>
      </c>
    </row>
    <row r="458">
      <c r="A458" s="23" t="n">
        <v>46216</v>
      </c>
      <c r="B458" s="23" t="n">
        <v>46216</v>
      </c>
      <c r="C458" s="24" t="inlineStr">
        <is>
          <t>C017-11</t>
        </is>
      </c>
      <c r="D458" s="24" t="inlineStr">
        <is>
          <t>Summit Mart</t>
        </is>
      </c>
      <c r="E458" s="25" t="n">
        <v>955.6799999999999</v>
      </c>
      <c r="F458" s="25" t="n">
        <v>866.96</v>
      </c>
      <c r="G458" s="25" t="n">
        <v>88.72</v>
      </c>
    </row>
    <row r="459">
      <c r="A459" s="23" t="n">
        <v>46286</v>
      </c>
      <c r="B459" s="23" t="n">
        <v>46286</v>
      </c>
      <c r="C459" s="24" t="inlineStr">
        <is>
          <t>C018-0</t>
        </is>
      </c>
      <c r="D459" s="24" t="inlineStr">
        <is>
          <t>Summit Cafe</t>
        </is>
      </c>
      <c r="E459" s="25" t="n">
        <v>175.47</v>
      </c>
      <c r="F459" s="25" t="n">
        <v>147.92</v>
      </c>
      <c r="G459" s="25" t="n">
        <v>27.55</v>
      </c>
    </row>
    <row r="460">
      <c r="A460" s="23" t="n">
        <v>46272</v>
      </c>
      <c r="B460" s="23" t="n">
        <v>46272</v>
      </c>
      <c r="C460" s="24" t="inlineStr">
        <is>
          <t>C018-1</t>
        </is>
      </c>
      <c r="D460" s="24" t="inlineStr">
        <is>
          <t>Summit Cafe</t>
        </is>
      </c>
      <c r="E460" s="25" t="n">
        <v>142.8</v>
      </c>
      <c r="F460" s="25" t="n">
        <v>120.38</v>
      </c>
      <c r="G460" s="25" t="n">
        <v>22.42</v>
      </c>
    </row>
    <row r="461">
      <c r="A461" s="23" t="n">
        <v>46273</v>
      </c>
      <c r="B461" s="23" t="n">
        <v>46272</v>
      </c>
      <c r="C461" s="24" t="inlineStr">
        <is>
          <t>C018-2</t>
        </is>
      </c>
      <c r="D461" s="24" t="inlineStr">
        <is>
          <t>Summit Cafe</t>
        </is>
      </c>
      <c r="E461" s="25" t="n">
        <v>91.06</v>
      </c>
      <c r="F461" s="25" t="n">
        <v>76.76000000000001</v>
      </c>
      <c r="G461" s="25" t="n">
        <v>14.3</v>
      </c>
    </row>
    <row r="462">
      <c r="A462" s="23" t="n">
        <v>46285</v>
      </c>
      <c r="B462" s="23" t="n">
        <v>46279</v>
      </c>
      <c r="C462" s="24" t="inlineStr">
        <is>
          <t>C018-3</t>
        </is>
      </c>
      <c r="D462" s="24" t="inlineStr">
        <is>
          <t>Summit Cafe</t>
        </is>
      </c>
      <c r="E462" s="25" t="n">
        <v>119.43</v>
      </c>
      <c r="F462" s="25" t="n">
        <v>100.68</v>
      </c>
      <c r="G462" s="25" t="n">
        <v>18.75</v>
      </c>
    </row>
    <row r="463">
      <c r="A463" s="23" t="n">
        <v>46240</v>
      </c>
      <c r="B463" s="23" t="n">
        <v>46237</v>
      </c>
      <c r="C463" s="24" t="inlineStr">
        <is>
          <t>C018-4</t>
        </is>
      </c>
      <c r="D463" s="24" t="inlineStr">
        <is>
          <t>Summit Cafe</t>
        </is>
      </c>
      <c r="E463" s="25" t="n">
        <v>149.86</v>
      </c>
      <c r="F463" s="25" t="n">
        <v>126.33</v>
      </c>
      <c r="G463" s="25" t="n">
        <v>23.53</v>
      </c>
    </row>
    <row r="464">
      <c r="A464" s="23" t="n">
        <v>46261</v>
      </c>
      <c r="B464" s="23" t="n">
        <v>46258</v>
      </c>
      <c r="C464" s="24" t="inlineStr">
        <is>
          <t>C018-5</t>
        </is>
      </c>
      <c r="D464" s="24" t="inlineStr">
        <is>
          <t>Summit Cafe</t>
        </is>
      </c>
      <c r="E464" s="25" t="n">
        <v>169.92</v>
      </c>
      <c r="F464" s="25" t="n">
        <v>143.24</v>
      </c>
      <c r="G464" s="25" t="n">
        <v>26.68</v>
      </c>
    </row>
    <row r="465">
      <c r="A465" s="23" t="n">
        <v>46235</v>
      </c>
      <c r="B465" s="23" t="n">
        <v>46230</v>
      </c>
      <c r="C465" s="24" t="inlineStr">
        <is>
          <t>C018-6</t>
        </is>
      </c>
      <c r="D465" s="24" t="inlineStr">
        <is>
          <t>Summit Cafe</t>
        </is>
      </c>
      <c r="E465" s="25" t="n">
        <v>127.62</v>
      </c>
      <c r="F465" s="25" t="n">
        <v>107.58</v>
      </c>
      <c r="G465" s="25" t="n">
        <v>20.04</v>
      </c>
    </row>
    <row r="466">
      <c r="A466" s="23" t="n">
        <v>46201</v>
      </c>
      <c r="B466" s="23" t="n">
        <v>46195</v>
      </c>
      <c r="C466" s="24" t="inlineStr">
        <is>
          <t>C018-7</t>
        </is>
      </c>
      <c r="D466" s="24" t="inlineStr">
        <is>
          <t>Summit Cafe</t>
        </is>
      </c>
      <c r="E466" s="25" t="n">
        <v>105.49</v>
      </c>
      <c r="F466" s="25" t="n">
        <v>88.92</v>
      </c>
      <c r="G466" s="25" t="n">
        <v>16.57</v>
      </c>
    </row>
    <row r="467">
      <c r="A467" s="23" t="n">
        <v>46281</v>
      </c>
      <c r="B467" s="23" t="n">
        <v>46279</v>
      </c>
      <c r="C467" s="24" t="inlineStr">
        <is>
          <t>C018-8</t>
        </is>
      </c>
      <c r="D467" s="24" t="inlineStr">
        <is>
          <t>Summit Cafe</t>
        </is>
      </c>
      <c r="E467" s="25" t="n">
        <v>191.84</v>
      </c>
      <c r="F467" s="25" t="n">
        <v>161.72</v>
      </c>
      <c r="G467" s="25" t="n">
        <v>30.12</v>
      </c>
    </row>
    <row r="468">
      <c r="A468" s="23" t="n">
        <v>46271</v>
      </c>
      <c r="B468" s="23" t="n">
        <v>46265</v>
      </c>
      <c r="C468" s="24" t="inlineStr">
        <is>
          <t>C018-9</t>
        </is>
      </c>
      <c r="D468" s="24" t="inlineStr">
        <is>
          <t>Summit Cafe</t>
        </is>
      </c>
      <c r="E468" s="25" t="n">
        <v>128.25</v>
      </c>
      <c r="F468" s="25" t="n">
        <v>108.11</v>
      </c>
      <c r="G468" s="25" t="n">
        <v>20.14</v>
      </c>
    </row>
    <row r="469">
      <c r="A469" s="23" t="n">
        <v>46225</v>
      </c>
      <c r="B469" s="23" t="n">
        <v>46223</v>
      </c>
      <c r="C469" s="24" t="inlineStr">
        <is>
          <t>C018-10</t>
        </is>
      </c>
      <c r="D469" s="24" t="inlineStr">
        <is>
          <t>Summit Cafe</t>
        </is>
      </c>
      <c r="E469" s="25" t="n">
        <v>150.36</v>
      </c>
      <c r="F469" s="25" t="n">
        <v>126.76</v>
      </c>
      <c r="G469" s="25" t="n">
        <v>23.6</v>
      </c>
    </row>
    <row r="470">
      <c r="A470" s="23" t="n">
        <v>46267</v>
      </c>
      <c r="B470" s="23" t="n">
        <v>46265</v>
      </c>
      <c r="C470" s="24" t="inlineStr">
        <is>
          <t>C018-11</t>
        </is>
      </c>
      <c r="D470" s="24" t="inlineStr">
        <is>
          <t>Summit Cafe</t>
        </is>
      </c>
      <c r="E470" s="25" t="n">
        <v>161.78</v>
      </c>
      <c r="F470" s="25" t="n">
        <v>136.38</v>
      </c>
      <c r="G470" s="25" t="n">
        <v>25.4</v>
      </c>
    </row>
    <row r="471">
      <c r="A471" s="23" t="n">
        <v>46248</v>
      </c>
      <c r="B471" s="23" t="n">
        <v>46244</v>
      </c>
      <c r="C471" s="24" t="inlineStr">
        <is>
          <t>C018-12</t>
        </is>
      </c>
      <c r="D471" s="24" t="inlineStr">
        <is>
          <t>Summit Cafe</t>
        </is>
      </c>
      <c r="E471" s="25" t="n">
        <v>164.92</v>
      </c>
      <c r="F471" s="25" t="n">
        <v>139.02</v>
      </c>
      <c r="G471" s="25" t="n">
        <v>25.9</v>
      </c>
    </row>
    <row r="472">
      <c r="A472" s="23" t="n">
        <v>46204</v>
      </c>
      <c r="B472" s="23" t="n">
        <v>46202</v>
      </c>
      <c r="C472" s="24" t="inlineStr">
        <is>
          <t>C018-13</t>
        </is>
      </c>
      <c r="D472" s="24" t="inlineStr">
        <is>
          <t>Summit Cafe</t>
        </is>
      </c>
      <c r="E472" s="25" t="n">
        <v>99.73999999999999</v>
      </c>
      <c r="F472" s="25" t="n">
        <v>84.08</v>
      </c>
      <c r="G472" s="25" t="n">
        <v>15.66</v>
      </c>
    </row>
    <row r="473">
      <c r="A473" s="23" t="n">
        <v>46269</v>
      </c>
      <c r="B473" s="23" t="n">
        <v>46265</v>
      </c>
      <c r="C473" s="24" t="inlineStr">
        <is>
          <t>C018-14</t>
        </is>
      </c>
      <c r="D473" s="24" t="inlineStr">
        <is>
          <t>Summit Cafe</t>
        </is>
      </c>
      <c r="E473" s="25" t="n">
        <v>150.73</v>
      </c>
      <c r="F473" s="25" t="n">
        <v>127.06</v>
      </c>
      <c r="G473" s="25" t="n">
        <v>23.67</v>
      </c>
    </row>
    <row r="474">
      <c r="A474" s="23" t="n">
        <v>46267</v>
      </c>
      <c r="B474" s="23" t="n">
        <v>46265</v>
      </c>
      <c r="C474" s="24" t="inlineStr">
        <is>
          <t>C018-15</t>
        </is>
      </c>
      <c r="D474" s="24" t="inlineStr">
        <is>
          <t>Summit Cafe</t>
        </is>
      </c>
      <c r="E474" s="25" t="n">
        <v>173.11</v>
      </c>
      <c r="F474" s="25" t="n">
        <v>145.93</v>
      </c>
      <c r="G474" s="25" t="n">
        <v>27.18</v>
      </c>
    </row>
    <row r="475">
      <c r="A475" s="23" t="n">
        <v>46227</v>
      </c>
      <c r="B475" s="23" t="n">
        <v>46223</v>
      </c>
      <c r="C475" s="24" t="inlineStr">
        <is>
          <t>C018-16</t>
        </is>
      </c>
      <c r="D475" s="24" t="inlineStr">
        <is>
          <t>Summit Cafe</t>
        </is>
      </c>
      <c r="E475" s="25" t="n">
        <v>136.97</v>
      </c>
      <c r="F475" s="25" t="n">
        <v>115.47</v>
      </c>
      <c r="G475" s="25" t="n">
        <v>21.5</v>
      </c>
    </row>
    <row r="476">
      <c r="A476" s="23" t="n">
        <v>46263</v>
      </c>
      <c r="B476" s="23" t="n">
        <v>46258</v>
      </c>
      <c r="C476" s="24" t="inlineStr">
        <is>
          <t>C018-17</t>
        </is>
      </c>
      <c r="D476" s="24" t="inlineStr">
        <is>
          <t>Summit Cafe</t>
        </is>
      </c>
      <c r="E476" s="25" t="n">
        <v>105.87</v>
      </c>
      <c r="F476" s="25" t="n">
        <v>89.23999999999999</v>
      </c>
      <c r="G476" s="25" t="n">
        <v>16.63</v>
      </c>
    </row>
    <row r="477">
      <c r="A477" s="23" t="n">
        <v>46246</v>
      </c>
      <c r="B477" s="23" t="n">
        <v>46244</v>
      </c>
      <c r="C477" s="24" t="inlineStr">
        <is>
          <t>C018-18</t>
        </is>
      </c>
      <c r="D477" s="24" t="inlineStr">
        <is>
          <t>Summit Cafe</t>
        </is>
      </c>
      <c r="E477" s="25" t="n">
        <v>189.82</v>
      </c>
      <c r="F477" s="25" t="n">
        <v>160.02</v>
      </c>
      <c r="G477" s="25" t="n">
        <v>29.8</v>
      </c>
    </row>
    <row r="478">
      <c r="A478" s="23" t="n">
        <v>46276</v>
      </c>
      <c r="B478" s="23" t="n">
        <v>46272</v>
      </c>
      <c r="C478" s="24" t="inlineStr">
        <is>
          <t>C018-19</t>
        </is>
      </c>
      <c r="D478" s="24" t="inlineStr">
        <is>
          <t>Summit Cafe</t>
        </is>
      </c>
      <c r="E478" s="25" t="n">
        <v>133.57</v>
      </c>
      <c r="F478" s="25" t="n">
        <v>112.6</v>
      </c>
      <c r="G478" s="25" t="n">
        <v>20.97</v>
      </c>
    </row>
    <row r="479">
      <c r="A479" s="23" t="n">
        <v>46278</v>
      </c>
      <c r="B479" s="23" t="n">
        <v>46272</v>
      </c>
      <c r="C479" s="24" t="inlineStr">
        <is>
          <t>C018-20</t>
        </is>
      </c>
      <c r="D479" s="24" t="inlineStr">
        <is>
          <t>Summit Cafe</t>
        </is>
      </c>
      <c r="E479" s="25" t="n">
        <v>98.37</v>
      </c>
      <c r="F479" s="25" t="n">
        <v>82.92</v>
      </c>
      <c r="G479" s="25" t="n">
        <v>15.45</v>
      </c>
    </row>
    <row r="480">
      <c r="A480" s="23" t="n">
        <v>46229</v>
      </c>
      <c r="B480" s="23" t="n">
        <v>46223</v>
      </c>
      <c r="C480" s="24" t="inlineStr">
        <is>
          <t>C018-21</t>
        </is>
      </c>
      <c r="D480" s="24" t="inlineStr">
        <is>
          <t>Summit Cafe</t>
        </is>
      </c>
      <c r="E480" s="25" t="n">
        <v>177.98</v>
      </c>
      <c r="F480" s="25" t="n">
        <v>150.04</v>
      </c>
      <c r="G480" s="25" t="n">
        <v>27.94</v>
      </c>
    </row>
    <row r="481">
      <c r="A481" s="23" t="n">
        <v>46204</v>
      </c>
      <c r="B481" s="23" t="n">
        <v>46202</v>
      </c>
      <c r="C481" s="24" t="inlineStr">
        <is>
          <t>C018-22</t>
        </is>
      </c>
      <c r="D481" s="24" t="inlineStr">
        <is>
          <t>Summit Cafe</t>
        </is>
      </c>
      <c r="E481" s="25" t="n">
        <v>165.5</v>
      </c>
      <c r="F481" s="25" t="n">
        <v>139.51</v>
      </c>
      <c r="G481" s="25" t="n">
        <v>25.99</v>
      </c>
    </row>
    <row r="482">
      <c r="A482" s="23" t="n">
        <v>46214</v>
      </c>
      <c r="B482" s="23" t="n">
        <v>46209</v>
      </c>
      <c r="C482" s="24" t="inlineStr">
        <is>
          <t>C018-23</t>
        </is>
      </c>
      <c r="D482" s="24" t="inlineStr">
        <is>
          <t>Summit Cafe</t>
        </is>
      </c>
      <c r="E482" s="25" t="n">
        <v>142.06</v>
      </c>
      <c r="F482" s="25" t="n">
        <v>119.75</v>
      </c>
      <c r="G482" s="25" t="n">
        <v>22.31</v>
      </c>
    </row>
    <row r="483">
      <c r="A483" s="23" t="n">
        <v>46282</v>
      </c>
      <c r="B483" s="23" t="n">
        <v>46279</v>
      </c>
      <c r="C483" s="24" t="inlineStr">
        <is>
          <t>C018-24</t>
        </is>
      </c>
      <c r="D483" s="24" t="inlineStr">
        <is>
          <t>Summit Cafe</t>
        </is>
      </c>
      <c r="E483" s="25" t="n">
        <v>176.12</v>
      </c>
      <c r="F483" s="25" t="n">
        <v>148.47</v>
      </c>
      <c r="G483" s="25" t="n">
        <v>27.65</v>
      </c>
    </row>
    <row r="484">
      <c r="A484" s="23" t="n">
        <v>46245</v>
      </c>
      <c r="B484" s="23" t="n">
        <v>46244</v>
      </c>
      <c r="C484" s="24" t="inlineStr">
        <is>
          <t>C018-25</t>
        </is>
      </c>
      <c r="D484" s="24" t="inlineStr">
        <is>
          <t>Summit Cafe</t>
        </is>
      </c>
      <c r="E484" s="25" t="n">
        <v>193.45</v>
      </c>
      <c r="F484" s="25" t="n">
        <v>163.08</v>
      </c>
      <c r="G484" s="25" t="n">
        <v>30.37</v>
      </c>
    </row>
    <row r="485">
      <c r="A485" s="23" t="n">
        <v>46263</v>
      </c>
      <c r="B485" s="23" t="n">
        <v>46258</v>
      </c>
      <c r="C485" s="24" t="inlineStr">
        <is>
          <t>C018-26</t>
        </is>
      </c>
      <c r="D485" s="24" t="inlineStr">
        <is>
          <t>Summit Cafe</t>
        </is>
      </c>
      <c r="E485" s="25" t="n">
        <v>100.32</v>
      </c>
      <c r="F485" s="25" t="n">
        <v>84.56999999999999</v>
      </c>
      <c r="G485" s="25" t="n">
        <v>15.75</v>
      </c>
    </row>
    <row r="486">
      <c r="A486" s="23" t="n">
        <v>46287</v>
      </c>
      <c r="B486" s="23" t="n">
        <v>46286</v>
      </c>
      <c r="C486" s="24" t="inlineStr">
        <is>
          <t>C018-27</t>
        </is>
      </c>
      <c r="D486" s="24" t="inlineStr">
        <is>
          <t>Summit Cafe</t>
        </is>
      </c>
      <c r="E486" s="25" t="n">
        <v>157.87</v>
      </c>
      <c r="F486" s="25" t="n">
        <v>133.08</v>
      </c>
      <c r="G486" s="25" t="n">
        <v>24.79</v>
      </c>
    </row>
    <row r="487">
      <c r="A487" s="23" t="n">
        <v>46277</v>
      </c>
      <c r="B487" s="23" t="n">
        <v>46272</v>
      </c>
      <c r="C487" s="24" t="inlineStr">
        <is>
          <t>C018-28</t>
        </is>
      </c>
      <c r="D487" s="24" t="inlineStr">
        <is>
          <t>Summit Cafe</t>
        </is>
      </c>
      <c r="E487" s="25" t="n">
        <v>147.51</v>
      </c>
      <c r="F487" s="25" t="n">
        <v>124.35</v>
      </c>
      <c r="G487" s="25" t="n">
        <v>23.16</v>
      </c>
    </row>
    <row r="488">
      <c r="A488" s="23" t="n">
        <v>46256</v>
      </c>
      <c r="B488" s="23" t="n">
        <v>46251</v>
      </c>
      <c r="C488" s="24" t="inlineStr">
        <is>
          <t>C018-29</t>
        </is>
      </c>
      <c r="D488" s="24" t="inlineStr">
        <is>
          <t>Summit Cafe</t>
        </is>
      </c>
      <c r="E488" s="25" t="n">
        <v>152.24</v>
      </c>
      <c r="F488" s="25" t="n">
        <v>128.34</v>
      </c>
      <c r="G488" s="25" t="n">
        <v>23.9</v>
      </c>
    </row>
    <row r="489">
      <c r="A489" s="23" t="n">
        <v>46203</v>
      </c>
      <c r="B489" s="23" t="n">
        <v>46202</v>
      </c>
      <c r="C489" s="24" t="inlineStr">
        <is>
          <t>C018-30</t>
        </is>
      </c>
      <c r="D489" s="24" t="inlineStr">
        <is>
          <t>Summit Cafe</t>
        </is>
      </c>
      <c r="E489" s="25" t="n">
        <v>174.98</v>
      </c>
      <c r="F489" s="25" t="n">
        <v>147.5</v>
      </c>
      <c r="G489" s="25" t="n">
        <v>27.48</v>
      </c>
    </row>
    <row r="490">
      <c r="A490" s="23" t="n">
        <v>46210</v>
      </c>
      <c r="B490" s="23" t="n">
        <v>46209</v>
      </c>
      <c r="C490" s="24" t="inlineStr">
        <is>
          <t>C018-31</t>
        </is>
      </c>
      <c r="D490" s="24" t="inlineStr">
        <is>
          <t>Summit Cafe</t>
        </is>
      </c>
      <c r="E490" s="25" t="n">
        <v>185.03</v>
      </c>
      <c r="F490" s="25" t="n">
        <v>155.98</v>
      </c>
      <c r="G490" s="25" t="n">
        <v>29.05</v>
      </c>
    </row>
    <row r="491">
      <c r="A491" s="23" t="n">
        <v>46243</v>
      </c>
      <c r="B491" s="23" t="n">
        <v>46237</v>
      </c>
      <c r="C491" s="24" t="inlineStr">
        <is>
          <t>C018-32</t>
        </is>
      </c>
      <c r="D491" s="24" t="inlineStr">
        <is>
          <t>Summit Cafe</t>
        </is>
      </c>
      <c r="E491" s="25" t="n">
        <v>139.77</v>
      </c>
      <c r="F491" s="25" t="n">
        <v>117.83</v>
      </c>
      <c r="G491" s="25" t="n">
        <v>21.94</v>
      </c>
    </row>
    <row r="492">
      <c r="A492" s="23" t="n">
        <v>46225</v>
      </c>
      <c r="B492" s="23" t="n">
        <v>46223</v>
      </c>
      <c r="C492" s="24" t="inlineStr">
        <is>
          <t>C018-33</t>
        </is>
      </c>
      <c r="D492" s="24" t="inlineStr">
        <is>
          <t>Summit Cafe</t>
        </is>
      </c>
      <c r="E492" s="25" t="n">
        <v>98.73</v>
      </c>
      <c r="F492" s="25" t="n">
        <v>83.23</v>
      </c>
      <c r="G492" s="25" t="n">
        <v>15.5</v>
      </c>
    </row>
    <row r="493">
      <c r="A493" s="23" t="n">
        <v>46218</v>
      </c>
      <c r="B493" s="23" t="n">
        <v>46216</v>
      </c>
      <c r="C493" s="24" t="inlineStr">
        <is>
          <t>C019-0</t>
        </is>
      </c>
      <c r="D493" s="24" t="inlineStr">
        <is>
          <t>Summit Superette</t>
        </is>
      </c>
      <c r="E493" s="25" t="n">
        <v>116.4</v>
      </c>
      <c r="F493" s="25" t="n">
        <v>96.37</v>
      </c>
      <c r="G493" s="25" t="n">
        <v>20.03</v>
      </c>
    </row>
    <row r="494">
      <c r="A494" s="23" t="n">
        <v>46228</v>
      </c>
      <c r="B494" s="23" t="n">
        <v>46223</v>
      </c>
      <c r="C494" s="24" t="inlineStr">
        <is>
          <t>C019-1</t>
        </is>
      </c>
      <c r="D494" s="24" t="inlineStr">
        <is>
          <t>Summit Superette</t>
        </is>
      </c>
      <c r="E494" s="25" t="n">
        <v>184.66</v>
      </c>
      <c r="F494" s="25" t="n">
        <v>152.88</v>
      </c>
      <c r="G494" s="25" t="n">
        <v>31.78</v>
      </c>
    </row>
    <row r="495">
      <c r="A495" s="23" t="n">
        <v>46246</v>
      </c>
      <c r="B495" s="23" t="n">
        <v>46244</v>
      </c>
      <c r="C495" s="24" t="inlineStr">
        <is>
          <t>C019-2</t>
        </is>
      </c>
      <c r="D495" s="24" t="inlineStr">
        <is>
          <t>Summit Superette</t>
        </is>
      </c>
      <c r="E495" s="25" t="n">
        <v>115.51</v>
      </c>
      <c r="F495" s="25" t="n">
        <v>95.63</v>
      </c>
      <c r="G495" s="25" t="n">
        <v>19.88</v>
      </c>
    </row>
    <row r="496">
      <c r="A496" s="23" t="n">
        <v>46237</v>
      </c>
      <c r="B496" s="23" t="n">
        <v>46237</v>
      </c>
      <c r="C496" s="24" t="inlineStr">
        <is>
          <t>C019-3</t>
        </is>
      </c>
      <c r="D496" s="24" t="inlineStr">
        <is>
          <t>Summit Superette</t>
        </is>
      </c>
      <c r="E496" s="25" t="n">
        <v>192.33</v>
      </c>
      <c r="F496" s="25" t="n">
        <v>159.23</v>
      </c>
      <c r="G496" s="25" t="n">
        <v>33.1</v>
      </c>
    </row>
    <row r="497">
      <c r="A497" s="23" t="n">
        <v>46261</v>
      </c>
      <c r="B497" s="23" t="n">
        <v>46258</v>
      </c>
      <c r="C497" s="24" t="inlineStr">
        <is>
          <t>C019-4</t>
        </is>
      </c>
      <c r="D497" s="24" t="inlineStr">
        <is>
          <t>Summit Superette</t>
        </is>
      </c>
      <c r="E497" s="25" t="n">
        <v>114.53</v>
      </c>
      <c r="F497" s="25" t="n">
        <v>94.81999999999999</v>
      </c>
      <c r="G497" s="25" t="n">
        <v>19.71</v>
      </c>
    </row>
    <row r="498">
      <c r="A498" s="23" t="n">
        <v>46258</v>
      </c>
      <c r="B498" s="23" t="n">
        <v>46258</v>
      </c>
      <c r="C498" s="24" t="inlineStr">
        <is>
          <t>C019-5</t>
        </is>
      </c>
      <c r="D498" s="24" t="inlineStr">
        <is>
          <t>Summit Superette</t>
        </is>
      </c>
      <c r="E498" s="25" t="n">
        <v>193.05</v>
      </c>
      <c r="F498" s="25" t="n">
        <v>159.83</v>
      </c>
      <c r="G498" s="25" t="n">
        <v>33.22</v>
      </c>
    </row>
    <row r="499">
      <c r="A499" s="23" t="n">
        <v>46275</v>
      </c>
      <c r="B499" s="23" t="n">
        <v>46272</v>
      </c>
      <c r="C499" s="24" t="inlineStr">
        <is>
          <t>C019-6</t>
        </is>
      </c>
      <c r="D499" s="24" t="inlineStr">
        <is>
          <t>Summit Superette</t>
        </is>
      </c>
      <c r="E499" s="25" t="n">
        <v>153.43</v>
      </c>
      <c r="F499" s="25" t="n">
        <v>127.03</v>
      </c>
      <c r="G499" s="25" t="n">
        <v>26.4</v>
      </c>
    </row>
    <row r="500">
      <c r="A500" s="23" t="n">
        <v>46241</v>
      </c>
      <c r="B500" s="23" t="n">
        <v>46237</v>
      </c>
      <c r="C500" s="24" t="inlineStr">
        <is>
          <t>C019-7</t>
        </is>
      </c>
      <c r="D500" s="24" t="inlineStr">
        <is>
          <t>Summit Superette</t>
        </is>
      </c>
      <c r="E500" s="25" t="n">
        <v>170.53</v>
      </c>
      <c r="F500" s="25" t="n">
        <v>141.18</v>
      </c>
      <c r="G500" s="25" t="n">
        <v>29.35</v>
      </c>
    </row>
    <row r="501">
      <c r="A501" s="23" t="n">
        <v>46238</v>
      </c>
      <c r="B501" s="23" t="n">
        <v>46237</v>
      </c>
      <c r="C501" s="24" t="inlineStr">
        <is>
          <t>C019-8</t>
        </is>
      </c>
      <c r="D501" s="24" t="inlineStr">
        <is>
          <t>Summit Superette</t>
        </is>
      </c>
      <c r="E501" s="25" t="n">
        <v>134.5</v>
      </c>
      <c r="F501" s="25" t="n">
        <v>111.35</v>
      </c>
      <c r="G501" s="25" t="n">
        <v>23.15</v>
      </c>
    </row>
    <row r="502">
      <c r="A502" s="23" t="n">
        <v>46243</v>
      </c>
      <c r="B502" s="23" t="n">
        <v>46237</v>
      </c>
      <c r="C502" s="24" t="inlineStr">
        <is>
          <t>C019-9</t>
        </is>
      </c>
      <c r="D502" s="24" t="inlineStr">
        <is>
          <t>Summit Superette</t>
        </is>
      </c>
      <c r="E502" s="25" t="n">
        <v>146.3</v>
      </c>
      <c r="F502" s="25" t="n">
        <v>121.13</v>
      </c>
      <c r="G502" s="25" t="n">
        <v>25.17</v>
      </c>
    </row>
    <row r="503">
      <c r="A503" s="23" t="n">
        <v>46250</v>
      </c>
      <c r="B503" s="23" t="n">
        <v>46244</v>
      </c>
      <c r="C503" s="24" t="inlineStr">
        <is>
          <t>C019-10</t>
        </is>
      </c>
      <c r="D503" s="24" t="inlineStr">
        <is>
          <t>Summit Superette</t>
        </is>
      </c>
      <c r="E503" s="25" t="n">
        <v>154.45</v>
      </c>
      <c r="F503" s="25" t="n">
        <v>127.87</v>
      </c>
      <c r="G503" s="25" t="n">
        <v>26.58</v>
      </c>
    </row>
    <row r="504">
      <c r="A504" s="23" t="n">
        <v>46204</v>
      </c>
      <c r="B504" s="23" t="n">
        <v>46202</v>
      </c>
      <c r="C504" s="24" t="inlineStr">
        <is>
          <t>C019-11</t>
        </is>
      </c>
      <c r="D504" s="24" t="inlineStr">
        <is>
          <t>Summit Superette</t>
        </is>
      </c>
      <c r="E504" s="25" t="n">
        <v>153.99</v>
      </c>
      <c r="F504" s="25" t="n">
        <v>127.49</v>
      </c>
      <c r="G504" s="25" t="n">
        <v>26.5</v>
      </c>
    </row>
    <row r="505">
      <c r="A505" s="23" t="n">
        <v>46203</v>
      </c>
      <c r="B505" s="23" t="n">
        <v>46202</v>
      </c>
      <c r="C505" s="24" t="inlineStr">
        <is>
          <t>C019-12</t>
        </is>
      </c>
      <c r="D505" s="24" t="inlineStr">
        <is>
          <t>Summit Superette</t>
        </is>
      </c>
      <c r="E505" s="25" t="n">
        <v>140.55</v>
      </c>
      <c r="F505" s="25" t="n">
        <v>116.36</v>
      </c>
      <c r="G505" s="25" t="n">
        <v>24.19</v>
      </c>
    </row>
    <row r="506">
      <c r="A506" s="23" t="n">
        <v>46247</v>
      </c>
      <c r="B506" s="23" t="n">
        <v>46244</v>
      </c>
      <c r="C506" s="24" t="inlineStr">
        <is>
          <t>C019-13</t>
        </is>
      </c>
      <c r="D506" s="24" t="inlineStr">
        <is>
          <t>Summit Superette</t>
        </is>
      </c>
      <c r="E506" s="25" t="n">
        <v>204.5</v>
      </c>
      <c r="F506" s="25" t="n">
        <v>169.3</v>
      </c>
      <c r="G506" s="25" t="n">
        <v>35.2</v>
      </c>
    </row>
    <row r="507">
      <c r="A507" s="23" t="n">
        <v>46276</v>
      </c>
      <c r="B507" s="23" t="n">
        <v>46272</v>
      </c>
      <c r="C507" s="24" t="inlineStr">
        <is>
          <t>C019-14</t>
        </is>
      </c>
      <c r="D507" s="24" t="inlineStr">
        <is>
          <t>Summit Superette</t>
        </is>
      </c>
      <c r="E507" s="25" t="n">
        <v>129.85</v>
      </c>
      <c r="F507" s="25" t="n">
        <v>107.5</v>
      </c>
      <c r="G507" s="25" t="n">
        <v>22.35</v>
      </c>
    </row>
    <row r="508">
      <c r="A508" s="23" t="n">
        <v>46262</v>
      </c>
      <c r="B508" s="23" t="n">
        <v>46258</v>
      </c>
      <c r="C508" s="24" t="inlineStr">
        <is>
          <t>C019-15</t>
        </is>
      </c>
      <c r="D508" s="24" t="inlineStr">
        <is>
          <t>Summit Superette</t>
        </is>
      </c>
      <c r="E508" s="25" t="n">
        <v>189.5</v>
      </c>
      <c r="F508" s="25" t="n">
        <v>156.89</v>
      </c>
      <c r="G508" s="25" t="n">
        <v>32.61</v>
      </c>
    </row>
    <row r="509">
      <c r="A509" s="23" t="n">
        <v>46212</v>
      </c>
      <c r="B509" s="23" t="n">
        <v>46209</v>
      </c>
      <c r="C509" s="24" t="inlineStr">
        <is>
          <t>C019-16</t>
        </is>
      </c>
      <c r="D509" s="24" t="inlineStr">
        <is>
          <t>Summit Superette</t>
        </is>
      </c>
      <c r="E509" s="25" t="n">
        <v>180.18</v>
      </c>
      <c r="F509" s="25" t="n">
        <v>149.17</v>
      </c>
      <c r="G509" s="25" t="n">
        <v>31.01</v>
      </c>
    </row>
    <row r="510">
      <c r="A510" s="23" t="n">
        <v>46255</v>
      </c>
      <c r="B510" s="23" t="n">
        <v>46251</v>
      </c>
      <c r="C510" s="24" t="inlineStr">
        <is>
          <t>C019-17</t>
        </is>
      </c>
      <c r="D510" s="24" t="inlineStr">
        <is>
          <t>Summit Superette</t>
        </is>
      </c>
      <c r="E510" s="25" t="n">
        <v>165.42</v>
      </c>
      <c r="F510" s="25" t="n">
        <v>136.95</v>
      </c>
      <c r="G510" s="25" t="n">
        <v>28.47</v>
      </c>
    </row>
    <row r="511">
      <c r="A511" s="23" t="n">
        <v>46283</v>
      </c>
      <c r="B511" s="23" t="n">
        <v>46279</v>
      </c>
      <c r="C511" s="24" t="inlineStr">
        <is>
          <t>C019-18</t>
        </is>
      </c>
      <c r="D511" s="24" t="inlineStr">
        <is>
          <t>Summit Superette</t>
        </is>
      </c>
      <c r="E511" s="25" t="n">
        <v>187.48</v>
      </c>
      <c r="F511" s="25" t="n">
        <v>155.22</v>
      </c>
      <c r="G511" s="25" t="n">
        <v>32.26</v>
      </c>
    </row>
    <row r="512">
      <c r="A512" s="23" t="n">
        <v>46238</v>
      </c>
      <c r="B512" s="23" t="n">
        <v>46237</v>
      </c>
      <c r="C512" s="24" t="inlineStr">
        <is>
          <t>C019-19</t>
        </is>
      </c>
      <c r="D512" s="24" t="inlineStr">
        <is>
          <t>Summit Superette</t>
        </is>
      </c>
      <c r="E512" s="25" t="n">
        <v>133.74</v>
      </c>
      <c r="F512" s="25" t="n">
        <v>110.73</v>
      </c>
      <c r="G512" s="25" t="n">
        <v>23.01</v>
      </c>
    </row>
    <row r="513">
      <c r="A513" s="23" t="n">
        <v>46229</v>
      </c>
      <c r="B513" s="23" t="n">
        <v>46223</v>
      </c>
      <c r="C513" s="24" t="inlineStr">
        <is>
          <t>C019-20</t>
        </is>
      </c>
      <c r="D513" s="24" t="inlineStr">
        <is>
          <t>Summit Superette</t>
        </is>
      </c>
      <c r="E513" s="25" t="n">
        <v>139.96</v>
      </c>
      <c r="F513" s="25" t="n">
        <v>115.88</v>
      </c>
      <c r="G513" s="25" t="n">
        <v>24.08</v>
      </c>
    </row>
    <row r="514">
      <c r="A514" s="23" t="n">
        <v>46258</v>
      </c>
      <c r="B514" s="23" t="n">
        <v>46258</v>
      </c>
      <c r="C514" s="24" t="inlineStr">
        <is>
          <t>C019-21</t>
        </is>
      </c>
      <c r="D514" s="24" t="inlineStr">
        <is>
          <t>Summit Superette</t>
        </is>
      </c>
      <c r="E514" s="25" t="n">
        <v>208.72</v>
      </c>
      <c r="F514" s="25" t="n">
        <v>172.8</v>
      </c>
      <c r="G514" s="25" t="n">
        <v>35.92</v>
      </c>
    </row>
    <row r="515">
      <c r="A515" s="23" t="n">
        <v>46254</v>
      </c>
      <c r="B515" s="23" t="n">
        <v>46251</v>
      </c>
      <c r="C515" s="24" t="inlineStr">
        <is>
          <t>C020-0</t>
        </is>
      </c>
      <c r="D515" s="24" t="inlineStr">
        <is>
          <t>Summit Grocers</t>
        </is>
      </c>
      <c r="E515" s="25" t="n">
        <v>887.96</v>
      </c>
      <c r="F515" s="25" t="n">
        <v>818.98</v>
      </c>
      <c r="G515" s="25" t="n">
        <v>68.98</v>
      </c>
    </row>
    <row r="516">
      <c r="A516" s="23" t="n">
        <v>46213</v>
      </c>
      <c r="B516" s="23" t="n">
        <v>46209</v>
      </c>
      <c r="C516" s="24" t="inlineStr">
        <is>
          <t>C020-1</t>
        </is>
      </c>
      <c r="D516" s="24" t="inlineStr">
        <is>
          <t>Summit Grocers</t>
        </is>
      </c>
      <c r="E516" s="25" t="n">
        <v>842.24</v>
      </c>
      <c r="F516" s="25" t="n">
        <v>776.8099999999999</v>
      </c>
      <c r="G516" s="25" t="n">
        <v>65.43000000000001</v>
      </c>
    </row>
    <row r="517">
      <c r="A517" s="23" t="n">
        <v>46231</v>
      </c>
      <c r="B517" s="23" t="n">
        <v>46230</v>
      </c>
      <c r="C517" s="24" t="inlineStr">
        <is>
          <t>C020-2</t>
        </is>
      </c>
      <c r="D517" s="24" t="inlineStr">
        <is>
          <t>Summit Grocers</t>
        </is>
      </c>
      <c r="E517" s="25" t="n">
        <v>1042.5</v>
      </c>
      <c r="F517" s="25" t="n">
        <v>961.51</v>
      </c>
      <c r="G517" s="25" t="n">
        <v>80.98999999999999</v>
      </c>
    </row>
    <row r="518">
      <c r="A518" s="23" t="n">
        <v>46228</v>
      </c>
      <c r="B518" s="23" t="n">
        <v>46223</v>
      </c>
      <c r="C518" s="24" t="inlineStr">
        <is>
          <t>C020-3</t>
        </is>
      </c>
      <c r="D518" s="24" t="inlineStr">
        <is>
          <t>Summit Grocers</t>
        </is>
      </c>
      <c r="E518" s="25" t="n">
        <v>1304.74</v>
      </c>
      <c r="F518" s="25" t="n">
        <v>1203.38</v>
      </c>
      <c r="G518" s="25" t="n">
        <v>101.36</v>
      </c>
    </row>
    <row r="519">
      <c r="A519" s="23" t="n">
        <v>46218</v>
      </c>
      <c r="B519" s="23" t="n">
        <v>46216</v>
      </c>
      <c r="C519" s="24" t="inlineStr">
        <is>
          <t>C020-4</t>
        </is>
      </c>
      <c r="D519" s="24" t="inlineStr">
        <is>
          <t>Summit Grocers</t>
        </is>
      </c>
      <c r="E519" s="25" t="n">
        <v>1128.08</v>
      </c>
      <c r="F519" s="25" t="n">
        <v>1040.45</v>
      </c>
      <c r="G519" s="25" t="n">
        <v>87.63</v>
      </c>
    </row>
    <row r="520">
      <c r="A520" s="23" t="n">
        <v>46218</v>
      </c>
      <c r="B520" s="23" t="n">
        <v>46216</v>
      </c>
      <c r="C520" s="24" t="inlineStr">
        <is>
          <t>C020-5</t>
        </is>
      </c>
      <c r="D520" s="24" t="inlineStr">
        <is>
          <t>Summit Grocers</t>
        </is>
      </c>
      <c r="E520" s="25" t="n">
        <v>648.12</v>
      </c>
      <c r="F520" s="25" t="n">
        <v>597.77</v>
      </c>
      <c r="G520" s="25" t="n">
        <v>50.35</v>
      </c>
    </row>
    <row r="521">
      <c r="A521" s="23" t="n">
        <v>46209</v>
      </c>
      <c r="B521" s="23" t="n">
        <v>46209</v>
      </c>
      <c r="C521" s="24" t="inlineStr">
        <is>
          <t>C020-6</t>
        </is>
      </c>
      <c r="D521" s="24" t="inlineStr">
        <is>
          <t>Summit Grocers</t>
        </is>
      </c>
      <c r="E521" s="25" t="n">
        <v>937.36</v>
      </c>
      <c r="F521" s="25" t="n">
        <v>864.54</v>
      </c>
      <c r="G521" s="25" t="n">
        <v>72.81999999999999</v>
      </c>
    </row>
    <row r="522">
      <c r="A522" s="23" t="n">
        <v>46259</v>
      </c>
      <c r="B522" s="23" t="n">
        <v>46258</v>
      </c>
      <c r="C522" s="24" t="inlineStr">
        <is>
          <t>C020-7</t>
        </is>
      </c>
      <c r="D522" s="24" t="inlineStr">
        <is>
          <t>Summit Grocers</t>
        </is>
      </c>
      <c r="E522" s="25" t="n">
        <v>1315.86</v>
      </c>
      <c r="F522" s="25" t="n">
        <v>1213.63</v>
      </c>
      <c r="G522" s="25" t="n">
        <v>102.23</v>
      </c>
    </row>
    <row r="523">
      <c r="A523" s="23" t="n">
        <v>46210</v>
      </c>
      <c r="B523" s="23" t="n">
        <v>46209</v>
      </c>
      <c r="C523" s="24" t="inlineStr">
        <is>
          <t>C020-8</t>
        </is>
      </c>
      <c r="D523" s="24" t="inlineStr">
        <is>
          <t>Summit Grocers</t>
        </is>
      </c>
      <c r="E523" s="25" t="n">
        <v>813.63</v>
      </c>
      <c r="F523" s="25" t="n">
        <v>750.42</v>
      </c>
      <c r="G523" s="25" t="n">
        <v>63.21</v>
      </c>
    </row>
    <row r="524">
      <c r="A524" s="23" t="n">
        <v>46237</v>
      </c>
      <c r="B524" s="23" t="n">
        <v>46237</v>
      </c>
      <c r="C524" s="24" t="inlineStr">
        <is>
          <t>C020-9</t>
        </is>
      </c>
      <c r="D524" s="24" t="inlineStr">
        <is>
          <t>Summit Grocers</t>
        </is>
      </c>
      <c r="E524" s="25" t="n">
        <v>813.84</v>
      </c>
      <c r="F524" s="25" t="n">
        <v>750.62</v>
      </c>
      <c r="G524" s="25" t="n">
        <v>63.22</v>
      </c>
    </row>
    <row r="525">
      <c r="A525" s="23" t="n">
        <v>46279</v>
      </c>
      <c r="B525" s="23" t="n">
        <v>46279</v>
      </c>
      <c r="C525" s="24" t="inlineStr">
        <is>
          <t>C020-10</t>
        </is>
      </c>
      <c r="D525" s="24" t="inlineStr">
        <is>
          <t>Summit Grocers</t>
        </is>
      </c>
      <c r="E525" s="25" t="n">
        <v>1041.35</v>
      </c>
      <c r="F525" s="25" t="n">
        <v>960.45</v>
      </c>
      <c r="G525" s="25" t="n">
        <v>80.90000000000001</v>
      </c>
    </row>
    <row r="526">
      <c r="A526" s="23" t="n">
        <v>46261</v>
      </c>
      <c r="B526" s="23" t="n">
        <v>46258</v>
      </c>
      <c r="C526" s="24" t="inlineStr">
        <is>
          <t>C020-11</t>
        </is>
      </c>
      <c r="D526" s="24" t="inlineStr">
        <is>
          <t>Summit Grocers</t>
        </is>
      </c>
      <c r="E526" s="25" t="n">
        <v>642.96</v>
      </c>
      <c r="F526" s="25" t="n">
        <v>593.01</v>
      </c>
      <c r="G526" s="25" t="n">
        <v>49.95</v>
      </c>
    </row>
    <row r="527">
      <c r="A527" s="23" t="n">
        <v>46288</v>
      </c>
      <c r="B527" s="23" t="n">
        <v>46286</v>
      </c>
      <c r="C527" s="24" t="inlineStr">
        <is>
          <t>C020-12</t>
        </is>
      </c>
      <c r="D527" s="24" t="inlineStr">
        <is>
          <t>Summit Grocers</t>
        </is>
      </c>
      <c r="E527" s="25" t="n">
        <v>869.28</v>
      </c>
      <c r="F527" s="25" t="n">
        <v>801.75</v>
      </c>
      <c r="G527" s="25" t="n">
        <v>67.53</v>
      </c>
    </row>
    <row r="528">
      <c r="A528" s="23" t="n">
        <v>46210</v>
      </c>
      <c r="B528" s="23" t="n">
        <v>46209</v>
      </c>
      <c r="C528" s="24" t="inlineStr">
        <is>
          <t>C020-13</t>
        </is>
      </c>
      <c r="D528" s="24" t="inlineStr">
        <is>
          <t>Summit Grocers</t>
        </is>
      </c>
      <c r="E528" s="25" t="n">
        <v>968.01</v>
      </c>
      <c r="F528" s="25" t="n">
        <v>892.8099999999999</v>
      </c>
      <c r="G528" s="25" t="n">
        <v>75.2</v>
      </c>
    </row>
    <row r="529">
      <c r="A529" s="23" t="n">
        <v>46216</v>
      </c>
      <c r="B529" s="23" t="n">
        <v>46216</v>
      </c>
      <c r="C529" s="24" t="inlineStr">
        <is>
          <t>C020-14</t>
        </is>
      </c>
      <c r="D529" s="24" t="inlineStr">
        <is>
          <t>Summit Grocers</t>
        </is>
      </c>
      <c r="E529" s="25" t="n">
        <v>831.49</v>
      </c>
      <c r="F529" s="25" t="n">
        <v>766.89</v>
      </c>
      <c r="G529" s="25" t="n">
        <v>64.59999999999999</v>
      </c>
    </row>
    <row r="530">
      <c r="A530" s="23" t="n">
        <v>46255</v>
      </c>
      <c r="B530" s="23" t="n">
        <v>46251</v>
      </c>
      <c r="C530" s="24" t="inlineStr">
        <is>
          <t>C020-15</t>
        </is>
      </c>
      <c r="D530" s="24" t="inlineStr">
        <is>
          <t>Summit Grocers</t>
        </is>
      </c>
      <c r="E530" s="25" t="n">
        <v>648.47</v>
      </c>
      <c r="F530" s="25" t="n">
        <v>598.09</v>
      </c>
      <c r="G530" s="25" t="n">
        <v>50.38</v>
      </c>
    </row>
    <row r="531">
      <c r="A531" s="23" t="n">
        <v>46280</v>
      </c>
      <c r="B531" s="23" t="n">
        <v>46279</v>
      </c>
      <c r="C531" s="24" t="inlineStr">
        <is>
          <t>C020-16</t>
        </is>
      </c>
      <c r="D531" s="24" t="inlineStr">
        <is>
          <t>Summit Grocers</t>
        </is>
      </c>
      <c r="E531" s="25" t="n">
        <v>1417.96</v>
      </c>
      <c r="F531" s="25" t="n">
        <v>1307.81</v>
      </c>
      <c r="G531" s="25" t="n">
        <v>110.15</v>
      </c>
    </row>
    <row r="532">
      <c r="A532" s="23" t="n">
        <v>46270</v>
      </c>
      <c r="B532" s="23" t="n">
        <v>46265</v>
      </c>
      <c r="C532" s="24" t="inlineStr">
        <is>
          <t>C020-17</t>
        </is>
      </c>
      <c r="D532" s="24" t="inlineStr">
        <is>
          <t>Summit Grocers</t>
        </is>
      </c>
      <c r="E532" s="25" t="n">
        <v>983.41</v>
      </c>
      <c r="F532" s="25" t="n">
        <v>907.01</v>
      </c>
      <c r="G532" s="25" t="n">
        <v>76.40000000000001</v>
      </c>
    </row>
    <row r="533">
      <c r="A533" s="23" t="n">
        <v>46223</v>
      </c>
      <c r="B533" s="23" t="n">
        <v>46223</v>
      </c>
      <c r="C533" s="24" t="inlineStr">
        <is>
          <t>C020-18</t>
        </is>
      </c>
      <c r="D533" s="24" t="inlineStr">
        <is>
          <t>Summit Grocers</t>
        </is>
      </c>
      <c r="E533" s="25" t="n">
        <v>1095.89</v>
      </c>
      <c r="F533" s="25" t="n">
        <v>1010.75</v>
      </c>
      <c r="G533" s="25" t="n">
        <v>85.14</v>
      </c>
    </row>
    <row r="534">
      <c r="A534" s="23" t="n">
        <v>46276</v>
      </c>
      <c r="B534" s="23" t="n">
        <v>46272</v>
      </c>
      <c r="C534" s="24" t="inlineStr">
        <is>
          <t>C020-19</t>
        </is>
      </c>
      <c r="D534" s="24" t="inlineStr">
        <is>
          <t>Summit Grocers</t>
        </is>
      </c>
      <c r="E534" s="25" t="n">
        <v>1274.49</v>
      </c>
      <c r="F534" s="25" t="n">
        <v>1175.48</v>
      </c>
      <c r="G534" s="25" t="n">
        <v>99.01000000000001</v>
      </c>
    </row>
    <row r="535">
      <c r="A535" s="23" t="n">
        <v>46224</v>
      </c>
      <c r="B535" s="23" t="n">
        <v>46223</v>
      </c>
      <c r="C535" s="24" t="inlineStr">
        <is>
          <t>C020-20</t>
        </is>
      </c>
      <c r="D535" s="24" t="inlineStr">
        <is>
          <t>Summit Grocers</t>
        </is>
      </c>
      <c r="E535" s="25" t="n">
        <v>1318.89</v>
      </c>
      <c r="F535" s="25" t="n">
        <v>1216.43</v>
      </c>
      <c r="G535" s="25" t="n">
        <v>102.46</v>
      </c>
    </row>
    <row r="536">
      <c r="A536" s="23" t="n">
        <v>46250</v>
      </c>
      <c r="B536" s="23" t="n">
        <v>46244</v>
      </c>
      <c r="C536" s="24" t="inlineStr">
        <is>
          <t>C021-0</t>
        </is>
      </c>
      <c r="D536" s="24" t="inlineStr">
        <is>
          <t>Coast Foods</t>
        </is>
      </c>
      <c r="E536" s="25" t="n">
        <v>783.0599999999999</v>
      </c>
      <c r="F536" s="25" t="n">
        <v>707.4400000000001</v>
      </c>
      <c r="G536" s="25" t="n">
        <v>75.62</v>
      </c>
    </row>
    <row r="537">
      <c r="A537" s="23" t="n">
        <v>46214</v>
      </c>
      <c r="B537" s="23" t="n">
        <v>46209</v>
      </c>
      <c r="C537" s="24" t="inlineStr">
        <is>
          <t>C021-1</t>
        </is>
      </c>
      <c r="D537" s="24" t="inlineStr">
        <is>
          <t>Coast Foods</t>
        </is>
      </c>
      <c r="E537" s="25" t="n">
        <v>567.71</v>
      </c>
      <c r="F537" s="25" t="n">
        <v>512.89</v>
      </c>
      <c r="G537" s="25" t="n">
        <v>54.82</v>
      </c>
    </row>
    <row r="538">
      <c r="A538" s="23" t="n">
        <v>46238</v>
      </c>
      <c r="B538" s="23" t="n">
        <v>46237</v>
      </c>
      <c r="C538" s="24" t="inlineStr">
        <is>
          <t>C021-2</t>
        </is>
      </c>
      <c r="D538" s="24" t="inlineStr">
        <is>
          <t>Coast Foods</t>
        </is>
      </c>
      <c r="E538" s="25" t="n">
        <v>441.44</v>
      </c>
      <c r="F538" s="25" t="n">
        <v>398.81</v>
      </c>
      <c r="G538" s="25" t="n">
        <v>42.63</v>
      </c>
    </row>
    <row r="539">
      <c r="A539" s="23" t="n">
        <v>46211</v>
      </c>
      <c r="B539" s="23" t="n">
        <v>46209</v>
      </c>
      <c r="C539" s="24" t="inlineStr">
        <is>
          <t>C021-3</t>
        </is>
      </c>
      <c r="D539" s="24" t="inlineStr">
        <is>
          <t>Coast Foods</t>
        </is>
      </c>
      <c r="E539" s="25" t="n">
        <v>738.15</v>
      </c>
      <c r="F539" s="25" t="n">
        <v>666.87</v>
      </c>
      <c r="G539" s="25" t="n">
        <v>71.28</v>
      </c>
    </row>
    <row r="540">
      <c r="A540" s="23" t="n">
        <v>46278</v>
      </c>
      <c r="B540" s="23" t="n">
        <v>46272</v>
      </c>
      <c r="C540" s="24" t="inlineStr">
        <is>
          <t>C021-4</t>
        </is>
      </c>
      <c r="D540" s="24" t="inlineStr">
        <is>
          <t>Coast Foods</t>
        </is>
      </c>
      <c r="E540" s="25" t="n">
        <v>658.5599999999999</v>
      </c>
      <c r="F540" s="25" t="n">
        <v>594.96</v>
      </c>
      <c r="G540" s="25" t="n">
        <v>63.6</v>
      </c>
    </row>
    <row r="541">
      <c r="A541" s="23" t="n">
        <v>46238</v>
      </c>
      <c r="B541" s="23" t="n">
        <v>46237</v>
      </c>
      <c r="C541" s="24" t="inlineStr">
        <is>
          <t>C021-5</t>
        </is>
      </c>
      <c r="D541" s="24" t="inlineStr">
        <is>
          <t>Coast Foods</t>
        </is>
      </c>
      <c r="E541" s="25" t="n">
        <v>616.73</v>
      </c>
      <c r="F541" s="25" t="n">
        <v>557.17</v>
      </c>
      <c r="G541" s="25" t="n">
        <v>59.56</v>
      </c>
    </row>
    <row r="542">
      <c r="A542" s="23" t="n">
        <v>46214</v>
      </c>
      <c r="B542" s="23" t="n">
        <v>46209</v>
      </c>
      <c r="C542" s="24" t="inlineStr">
        <is>
          <t>C021-6</t>
        </is>
      </c>
      <c r="D542" s="24" t="inlineStr">
        <is>
          <t>Coast Foods</t>
        </is>
      </c>
      <c r="E542" s="25" t="n">
        <v>507.51</v>
      </c>
      <c r="F542" s="25" t="n">
        <v>458.5</v>
      </c>
      <c r="G542" s="25" t="n">
        <v>49.01</v>
      </c>
    </row>
    <row r="543">
      <c r="A543" s="23" t="n">
        <v>46221</v>
      </c>
      <c r="B543" s="23" t="n">
        <v>46216</v>
      </c>
      <c r="C543" s="24" t="inlineStr">
        <is>
          <t>C021-7</t>
        </is>
      </c>
      <c r="D543" s="24" t="inlineStr">
        <is>
          <t>Coast Foods</t>
        </is>
      </c>
      <c r="E543" s="25" t="n">
        <v>721.6</v>
      </c>
      <c r="F543" s="25" t="n">
        <v>651.92</v>
      </c>
      <c r="G543" s="25" t="n">
        <v>69.68000000000001</v>
      </c>
    </row>
    <row r="544">
      <c r="A544" s="23" t="n">
        <v>46246</v>
      </c>
      <c r="B544" s="23" t="n">
        <v>46244</v>
      </c>
      <c r="C544" s="24" t="inlineStr">
        <is>
          <t>C021-8</t>
        </is>
      </c>
      <c r="D544" s="24" t="inlineStr">
        <is>
          <t>Coast Foods</t>
        </is>
      </c>
      <c r="E544" s="25" t="n">
        <v>845.11</v>
      </c>
      <c r="F544" s="25" t="n">
        <v>763.5</v>
      </c>
      <c r="G544" s="25" t="n">
        <v>81.61</v>
      </c>
    </row>
    <row r="545">
      <c r="A545" s="23" t="n">
        <v>46228</v>
      </c>
      <c r="B545" s="23" t="n">
        <v>46223</v>
      </c>
      <c r="C545" s="24" t="inlineStr">
        <is>
          <t>C021-9</t>
        </is>
      </c>
      <c r="D545" s="24" t="inlineStr">
        <is>
          <t>Coast Foods</t>
        </is>
      </c>
      <c r="E545" s="25" t="n">
        <v>702.17</v>
      </c>
      <c r="F545" s="25" t="n">
        <v>634.36</v>
      </c>
      <c r="G545" s="25" t="n">
        <v>67.81</v>
      </c>
    </row>
    <row r="546">
      <c r="A546" s="23" t="n">
        <v>46231</v>
      </c>
      <c r="B546" s="23" t="n">
        <v>46230</v>
      </c>
      <c r="C546" s="24" t="inlineStr">
        <is>
          <t>C021-10</t>
        </is>
      </c>
      <c r="D546" s="24" t="inlineStr">
        <is>
          <t>Coast Foods</t>
        </is>
      </c>
      <c r="E546" s="25" t="n">
        <v>627.11</v>
      </c>
      <c r="F546" s="25" t="n">
        <v>566.55</v>
      </c>
      <c r="G546" s="25" t="n">
        <v>60.56</v>
      </c>
    </row>
    <row r="547">
      <c r="A547" s="23" t="n">
        <v>46223</v>
      </c>
      <c r="B547" s="23" t="n">
        <v>46223</v>
      </c>
      <c r="C547" s="24" t="inlineStr">
        <is>
          <t>C021-11</t>
        </is>
      </c>
      <c r="D547" s="24" t="inlineStr">
        <is>
          <t>Coast Foods</t>
        </is>
      </c>
      <c r="E547" s="25" t="n">
        <v>710.6799999999999</v>
      </c>
      <c r="F547" s="25" t="n">
        <v>642.05</v>
      </c>
      <c r="G547" s="25" t="n">
        <v>68.63</v>
      </c>
    </row>
    <row r="548">
      <c r="A548" s="23" t="n">
        <v>46271</v>
      </c>
      <c r="B548" s="23" t="n">
        <v>46265</v>
      </c>
      <c r="C548" s="24" t="inlineStr">
        <is>
          <t>C021-12</t>
        </is>
      </c>
      <c r="D548" s="24" t="inlineStr">
        <is>
          <t>Coast Foods</t>
        </is>
      </c>
      <c r="E548" s="25" t="n">
        <v>446.74</v>
      </c>
      <c r="F548" s="25" t="n">
        <v>403.6</v>
      </c>
      <c r="G548" s="25" t="n">
        <v>43.14</v>
      </c>
    </row>
    <row r="549">
      <c r="A549" s="23" t="n">
        <v>46289</v>
      </c>
      <c r="B549" s="23" t="n">
        <v>46286</v>
      </c>
      <c r="C549" s="24" t="inlineStr">
        <is>
          <t>C021-13</t>
        </is>
      </c>
      <c r="D549" s="24" t="inlineStr">
        <is>
          <t>Coast Foods</t>
        </is>
      </c>
      <c r="E549" s="25" t="n">
        <v>573.73</v>
      </c>
      <c r="F549" s="25" t="n">
        <v>518.3200000000001</v>
      </c>
      <c r="G549" s="25" t="n">
        <v>55.41</v>
      </c>
    </row>
    <row r="550">
      <c r="A550" s="23" t="n">
        <v>46219</v>
      </c>
      <c r="B550" s="23" t="n">
        <v>46216</v>
      </c>
      <c r="C550" s="24" t="inlineStr">
        <is>
          <t>C021-14</t>
        </is>
      </c>
      <c r="D550" s="24" t="inlineStr">
        <is>
          <t>Coast Foods</t>
        </is>
      </c>
      <c r="E550" s="25" t="n">
        <v>553.5599999999999</v>
      </c>
      <c r="F550" s="25" t="n">
        <v>500.11</v>
      </c>
      <c r="G550" s="25" t="n">
        <v>53.45</v>
      </c>
    </row>
    <row r="551">
      <c r="A551" s="23" t="n">
        <v>46288</v>
      </c>
      <c r="B551" s="23" t="n">
        <v>46286</v>
      </c>
      <c r="C551" s="24" t="inlineStr">
        <is>
          <t>C021-15</t>
        </is>
      </c>
      <c r="D551" s="24" t="inlineStr">
        <is>
          <t>Coast Foods</t>
        </is>
      </c>
      <c r="E551" s="25" t="n">
        <v>505.68</v>
      </c>
      <c r="F551" s="25" t="n">
        <v>456.85</v>
      </c>
      <c r="G551" s="25" t="n">
        <v>48.83</v>
      </c>
    </row>
    <row r="552">
      <c r="A552" s="23" t="n">
        <v>46261</v>
      </c>
      <c r="B552" s="23" t="n">
        <v>46258</v>
      </c>
      <c r="C552" s="24" t="inlineStr">
        <is>
          <t>C021-16</t>
        </is>
      </c>
      <c r="D552" s="24" t="inlineStr">
        <is>
          <t>Coast Foods</t>
        </is>
      </c>
      <c r="E552" s="25" t="n">
        <v>517.9400000000001</v>
      </c>
      <c r="F552" s="25" t="n">
        <v>467.92</v>
      </c>
      <c r="G552" s="25" t="n">
        <v>50.02</v>
      </c>
    </row>
    <row r="553">
      <c r="A553" s="23" t="n">
        <v>46207</v>
      </c>
      <c r="B553" s="23" t="n">
        <v>46202</v>
      </c>
      <c r="C553" s="24" t="inlineStr">
        <is>
          <t>C021-17</t>
        </is>
      </c>
      <c r="D553" s="24" t="inlineStr">
        <is>
          <t>Coast Foods</t>
        </is>
      </c>
      <c r="E553" s="25" t="n">
        <v>683.9</v>
      </c>
      <c r="F553" s="25" t="n">
        <v>617.86</v>
      </c>
      <c r="G553" s="25" t="n">
        <v>66.04000000000001</v>
      </c>
    </row>
    <row r="554">
      <c r="A554" s="23" t="n">
        <v>46261</v>
      </c>
      <c r="B554" s="23" t="n">
        <v>46258</v>
      </c>
      <c r="C554" s="24" t="inlineStr">
        <is>
          <t>C021-18</t>
        </is>
      </c>
      <c r="D554" s="24" t="inlineStr">
        <is>
          <t>Coast Foods</t>
        </is>
      </c>
      <c r="E554" s="25" t="n">
        <v>813.71</v>
      </c>
      <c r="F554" s="25" t="n">
        <v>735.13</v>
      </c>
      <c r="G554" s="25" t="n">
        <v>78.58</v>
      </c>
    </row>
    <row r="555">
      <c r="A555" s="23" t="n">
        <v>46218</v>
      </c>
      <c r="B555" s="23" t="n">
        <v>46216</v>
      </c>
      <c r="C555" s="24" t="inlineStr">
        <is>
          <t>C021-19</t>
        </is>
      </c>
      <c r="D555" s="24" t="inlineStr">
        <is>
          <t>Coast Foods</t>
        </is>
      </c>
      <c r="E555" s="25" t="n">
        <v>586.63</v>
      </c>
      <c r="F555" s="25" t="n">
        <v>529.99</v>
      </c>
      <c r="G555" s="25" t="n">
        <v>56.64</v>
      </c>
    </row>
    <row r="556">
      <c r="A556" s="23" t="n">
        <v>46278</v>
      </c>
      <c r="B556" s="23" t="n">
        <v>46272</v>
      </c>
      <c r="C556" s="24" t="inlineStr">
        <is>
          <t>C021-20</t>
        </is>
      </c>
      <c r="D556" s="24" t="inlineStr">
        <is>
          <t>Coast Foods</t>
        </is>
      </c>
      <c r="E556" s="25" t="n">
        <v>816.98</v>
      </c>
      <c r="F556" s="25" t="n">
        <v>738.08</v>
      </c>
      <c r="G556" s="25" t="n">
        <v>78.90000000000001</v>
      </c>
    </row>
    <row r="557">
      <c r="A557" s="23" t="n">
        <v>46227</v>
      </c>
      <c r="B557" s="23" t="n">
        <v>46223</v>
      </c>
      <c r="C557" s="24" t="inlineStr">
        <is>
          <t>C021-21</t>
        </is>
      </c>
      <c r="D557" s="24" t="inlineStr">
        <is>
          <t>Coast Foods</t>
        </is>
      </c>
      <c r="E557" s="25" t="n">
        <v>642.54</v>
      </c>
      <c r="F557" s="25" t="n">
        <v>580.49</v>
      </c>
      <c r="G557" s="25" t="n">
        <v>62.05</v>
      </c>
    </row>
    <row r="558">
      <c r="A558" s="23" t="n">
        <v>46202</v>
      </c>
      <c r="B558" s="23" t="n">
        <v>46202</v>
      </c>
      <c r="C558" s="24" t="inlineStr">
        <is>
          <t>C022-0</t>
        </is>
      </c>
      <c r="D558" s="24" t="inlineStr">
        <is>
          <t>Coast Mart</t>
        </is>
      </c>
      <c r="E558" s="25" t="n">
        <v>412.96</v>
      </c>
      <c r="F558" s="25" t="n">
        <v>364.64</v>
      </c>
      <c r="G558" s="25" t="n">
        <v>48.32</v>
      </c>
    </row>
    <row r="559">
      <c r="A559" s="23" t="n">
        <v>46203</v>
      </c>
      <c r="B559" s="23" t="n">
        <v>46202</v>
      </c>
      <c r="C559" s="24" t="inlineStr">
        <is>
          <t>C022-1</t>
        </is>
      </c>
      <c r="D559" s="24" t="inlineStr">
        <is>
          <t>Coast Mart</t>
        </is>
      </c>
      <c r="E559" s="25" t="n">
        <v>454.91</v>
      </c>
      <c r="F559" s="25" t="n">
        <v>401.68</v>
      </c>
      <c r="G559" s="25" t="n">
        <v>53.23</v>
      </c>
    </row>
    <row r="560">
      <c r="A560" s="23" t="n">
        <v>46212</v>
      </c>
      <c r="B560" s="23" t="n">
        <v>46209</v>
      </c>
      <c r="C560" s="24" t="inlineStr">
        <is>
          <t>C022-2</t>
        </is>
      </c>
      <c r="D560" s="24" t="inlineStr">
        <is>
          <t>Coast Mart</t>
        </is>
      </c>
      <c r="E560" s="25" t="n">
        <v>264.8</v>
      </c>
      <c r="F560" s="25" t="n">
        <v>233.81</v>
      </c>
      <c r="G560" s="25" t="n">
        <v>30.99</v>
      </c>
    </row>
    <row r="561">
      <c r="A561" s="23" t="n">
        <v>46239</v>
      </c>
      <c r="B561" s="23" t="n">
        <v>46237</v>
      </c>
      <c r="C561" s="24" t="inlineStr">
        <is>
          <t>C022-3</t>
        </is>
      </c>
      <c r="D561" s="24" t="inlineStr">
        <is>
          <t>Coast Mart</t>
        </is>
      </c>
      <c r="E561" s="25" t="n">
        <v>472.06</v>
      </c>
      <c r="F561" s="25" t="n">
        <v>416.82</v>
      </c>
      <c r="G561" s="25" t="n">
        <v>55.24</v>
      </c>
    </row>
    <row r="562">
      <c r="A562" s="23" t="n">
        <v>46268</v>
      </c>
      <c r="B562" s="23" t="n">
        <v>46265</v>
      </c>
      <c r="C562" s="24" t="inlineStr">
        <is>
          <t>C022-4</t>
        </is>
      </c>
      <c r="D562" s="24" t="inlineStr">
        <is>
          <t>Coast Mart</t>
        </is>
      </c>
      <c r="E562" s="25" t="n">
        <v>253.97</v>
      </c>
      <c r="F562" s="25" t="n">
        <v>224.25</v>
      </c>
      <c r="G562" s="25" t="n">
        <v>29.72</v>
      </c>
    </row>
    <row r="563">
      <c r="A563" s="23" t="n">
        <v>46207</v>
      </c>
      <c r="B563" s="23" t="n">
        <v>46202</v>
      </c>
      <c r="C563" s="24" t="inlineStr">
        <is>
          <t>C022-5</t>
        </is>
      </c>
      <c r="D563" s="24" t="inlineStr">
        <is>
          <t>Coast Mart</t>
        </is>
      </c>
      <c r="E563" s="25" t="n">
        <v>477.19</v>
      </c>
      <c r="F563" s="25" t="n">
        <v>421.35</v>
      </c>
      <c r="G563" s="25" t="n">
        <v>55.84</v>
      </c>
    </row>
    <row r="564">
      <c r="A564" s="23" t="n">
        <v>46252</v>
      </c>
      <c r="B564" s="23" t="n">
        <v>46251</v>
      </c>
      <c r="C564" s="24" t="inlineStr">
        <is>
          <t>C022-6</t>
        </is>
      </c>
      <c r="D564" s="24" t="inlineStr">
        <is>
          <t>Coast Mart</t>
        </is>
      </c>
      <c r="E564" s="25" t="n">
        <v>464.6</v>
      </c>
      <c r="F564" s="25" t="n">
        <v>410.23</v>
      </c>
      <c r="G564" s="25" t="n">
        <v>54.37</v>
      </c>
    </row>
    <row r="565">
      <c r="A565" s="23" t="n">
        <v>46234</v>
      </c>
      <c r="B565" s="23" t="n">
        <v>46230</v>
      </c>
      <c r="C565" s="24" t="inlineStr">
        <is>
          <t>C022-7</t>
        </is>
      </c>
      <c r="D565" s="24" t="inlineStr">
        <is>
          <t>Coast Mart</t>
        </is>
      </c>
      <c r="E565" s="25" t="n">
        <v>429.42</v>
      </c>
      <c r="F565" s="25" t="n">
        <v>379.17</v>
      </c>
      <c r="G565" s="25" t="n">
        <v>50.25</v>
      </c>
    </row>
    <row r="566">
      <c r="A566" s="23" t="n">
        <v>46243</v>
      </c>
      <c r="B566" s="23" t="n">
        <v>46237</v>
      </c>
      <c r="C566" s="24" t="inlineStr">
        <is>
          <t>C022-8</t>
        </is>
      </c>
      <c r="D566" s="24" t="inlineStr">
        <is>
          <t>Coast Mart</t>
        </is>
      </c>
      <c r="E566" s="25" t="n">
        <v>447.91</v>
      </c>
      <c r="F566" s="25" t="n">
        <v>395.5</v>
      </c>
      <c r="G566" s="25" t="n">
        <v>52.41</v>
      </c>
    </row>
    <row r="567">
      <c r="A567" s="23" t="n">
        <v>46287</v>
      </c>
      <c r="B567" s="23" t="n">
        <v>46286</v>
      </c>
      <c r="C567" s="24" t="inlineStr">
        <is>
          <t>C022-9</t>
        </is>
      </c>
      <c r="D567" s="24" t="inlineStr">
        <is>
          <t>Coast Mart</t>
        </is>
      </c>
      <c r="E567" s="25" t="n">
        <v>248.77</v>
      </c>
      <c r="F567" s="25" t="n">
        <v>219.66</v>
      </c>
      <c r="G567" s="25" t="n">
        <v>29.11</v>
      </c>
    </row>
    <row r="568">
      <c r="A568" s="23" t="n">
        <v>46215</v>
      </c>
      <c r="B568" s="23" t="n">
        <v>46209</v>
      </c>
      <c r="C568" s="24" t="inlineStr">
        <is>
          <t>C022-10</t>
        </is>
      </c>
      <c r="D568" s="24" t="inlineStr">
        <is>
          <t>Coast Mart</t>
        </is>
      </c>
      <c r="E568" s="25" t="n">
        <v>443.34</v>
      </c>
      <c r="F568" s="25" t="n">
        <v>391.46</v>
      </c>
      <c r="G568" s="25" t="n">
        <v>51.88</v>
      </c>
    </row>
    <row r="569">
      <c r="A569" s="23" t="n">
        <v>46275</v>
      </c>
      <c r="B569" s="23" t="n">
        <v>46272</v>
      </c>
      <c r="C569" s="24" t="inlineStr">
        <is>
          <t>C022-11</t>
        </is>
      </c>
      <c r="D569" s="24" t="inlineStr">
        <is>
          <t>Coast Mart</t>
        </is>
      </c>
      <c r="E569" s="25" t="n">
        <v>224.55</v>
      </c>
      <c r="F569" s="25" t="n">
        <v>198.28</v>
      </c>
      <c r="G569" s="25" t="n">
        <v>26.27</v>
      </c>
    </row>
    <row r="570">
      <c r="A570" s="23" t="n">
        <v>46281</v>
      </c>
      <c r="B570" s="23" t="n">
        <v>46279</v>
      </c>
      <c r="C570" s="24" t="inlineStr">
        <is>
          <t>C022-12</t>
        </is>
      </c>
      <c r="D570" s="24" t="inlineStr">
        <is>
          <t>Coast Mart</t>
        </is>
      </c>
      <c r="E570" s="25" t="n">
        <v>346.48</v>
      </c>
      <c r="F570" s="25" t="n">
        <v>305.93</v>
      </c>
      <c r="G570" s="25" t="n">
        <v>40.55</v>
      </c>
    </row>
    <row r="571">
      <c r="A571" s="23" t="n">
        <v>46211</v>
      </c>
      <c r="B571" s="23" t="n">
        <v>46209</v>
      </c>
      <c r="C571" s="24" t="inlineStr">
        <is>
          <t>C022-13</t>
        </is>
      </c>
      <c r="D571" s="24" t="inlineStr">
        <is>
          <t>Coast Mart</t>
        </is>
      </c>
      <c r="E571" s="25" t="n">
        <v>241.43</v>
      </c>
      <c r="F571" s="25" t="n">
        <v>213.17</v>
      </c>
      <c r="G571" s="25" t="n">
        <v>28.26</v>
      </c>
    </row>
    <row r="572">
      <c r="A572" s="23" t="n">
        <v>46249</v>
      </c>
      <c r="B572" s="23" t="n">
        <v>46244</v>
      </c>
      <c r="C572" s="24" t="inlineStr">
        <is>
          <t>C022-14</t>
        </is>
      </c>
      <c r="D572" s="24" t="inlineStr">
        <is>
          <t>Coast Mart</t>
        </is>
      </c>
      <c r="E572" s="25" t="n">
        <v>498.97</v>
      </c>
      <c r="F572" s="25" t="n">
        <v>440.58</v>
      </c>
      <c r="G572" s="25" t="n">
        <v>58.39</v>
      </c>
    </row>
    <row r="573">
      <c r="A573" s="23" t="n">
        <v>46242</v>
      </c>
      <c r="B573" s="23" t="n">
        <v>46237</v>
      </c>
      <c r="C573" s="24" t="inlineStr">
        <is>
          <t>C022-15</t>
        </is>
      </c>
      <c r="D573" s="24" t="inlineStr">
        <is>
          <t>Coast Mart</t>
        </is>
      </c>
      <c r="E573" s="25" t="n">
        <v>442.31</v>
      </c>
      <c r="F573" s="25" t="n">
        <v>390.55</v>
      </c>
      <c r="G573" s="25" t="n">
        <v>51.76</v>
      </c>
    </row>
    <row r="574">
      <c r="A574" s="23" t="n">
        <v>46245</v>
      </c>
      <c r="B574" s="23" t="n">
        <v>46244</v>
      </c>
      <c r="C574" s="24" t="inlineStr">
        <is>
          <t>C022-16</t>
        </is>
      </c>
      <c r="D574" s="24" t="inlineStr">
        <is>
          <t>Coast Mart</t>
        </is>
      </c>
      <c r="E574" s="25" t="n">
        <v>266.93</v>
      </c>
      <c r="F574" s="25" t="n">
        <v>235.69</v>
      </c>
      <c r="G574" s="25" t="n">
        <v>31.24</v>
      </c>
    </row>
    <row r="575">
      <c r="A575" s="23" t="n">
        <v>46275</v>
      </c>
      <c r="B575" s="23" t="n">
        <v>46272</v>
      </c>
      <c r="C575" s="24" t="inlineStr">
        <is>
          <t>C022-17</t>
        </is>
      </c>
      <c r="D575" s="24" t="inlineStr">
        <is>
          <t>Coast Mart</t>
        </is>
      </c>
      <c r="E575" s="25" t="n">
        <v>495.31</v>
      </c>
      <c r="F575" s="25" t="n">
        <v>437.34</v>
      </c>
      <c r="G575" s="25" t="n">
        <v>57.97</v>
      </c>
    </row>
    <row r="576">
      <c r="A576" s="23" t="n">
        <v>46248</v>
      </c>
      <c r="B576" s="23" t="n">
        <v>46244</v>
      </c>
      <c r="C576" s="24" t="inlineStr">
        <is>
          <t>C022-18</t>
        </is>
      </c>
      <c r="D576" s="24" t="inlineStr">
        <is>
          <t>Coast Mart</t>
        </is>
      </c>
      <c r="E576" s="25" t="n">
        <v>222.15</v>
      </c>
      <c r="F576" s="25" t="n">
        <v>196.16</v>
      </c>
      <c r="G576" s="25" t="n">
        <v>25.99</v>
      </c>
    </row>
    <row r="577">
      <c r="A577" s="23" t="n">
        <v>46228</v>
      </c>
      <c r="B577" s="23" t="n">
        <v>46223</v>
      </c>
      <c r="C577" s="24" t="inlineStr">
        <is>
          <t>C022-19</t>
        </is>
      </c>
      <c r="D577" s="24" t="inlineStr">
        <is>
          <t>Coast Mart</t>
        </is>
      </c>
      <c r="E577" s="25" t="n">
        <v>275.42</v>
      </c>
      <c r="F577" s="25" t="n">
        <v>243.19</v>
      </c>
      <c r="G577" s="25" t="n">
        <v>32.23</v>
      </c>
    </row>
    <row r="578">
      <c r="A578" s="23" t="n">
        <v>46290</v>
      </c>
      <c r="B578" s="23" t="n">
        <v>46286</v>
      </c>
      <c r="C578" s="24" t="inlineStr">
        <is>
          <t>C022-20</t>
        </is>
      </c>
      <c r="D578" s="24" t="inlineStr">
        <is>
          <t>Coast Mart</t>
        </is>
      </c>
      <c r="E578" s="25" t="n">
        <v>429.21</v>
      </c>
      <c r="F578" s="25" t="n">
        <v>378.98</v>
      </c>
      <c r="G578" s="25" t="n">
        <v>50.23</v>
      </c>
    </row>
    <row r="579">
      <c r="A579" s="23" t="n">
        <v>46287</v>
      </c>
      <c r="B579" s="23" t="n">
        <v>46286</v>
      </c>
      <c r="C579" s="24" t="inlineStr">
        <is>
          <t>C022-21</t>
        </is>
      </c>
      <c r="D579" s="24" t="inlineStr">
        <is>
          <t>Coast Mart</t>
        </is>
      </c>
      <c r="E579" s="25" t="n">
        <v>416.65</v>
      </c>
      <c r="F579" s="25" t="n">
        <v>367.89</v>
      </c>
      <c r="G579" s="25" t="n">
        <v>48.76</v>
      </c>
    </row>
    <row r="580">
      <c r="A580" s="23" t="n">
        <v>46219</v>
      </c>
      <c r="B580" s="23" t="n">
        <v>46216</v>
      </c>
      <c r="C580" s="24" t="inlineStr">
        <is>
          <t>C022-22</t>
        </is>
      </c>
      <c r="D580" s="24" t="inlineStr">
        <is>
          <t>Coast Mart</t>
        </is>
      </c>
      <c r="E580" s="25" t="n">
        <v>311.3</v>
      </c>
      <c r="F580" s="25" t="n">
        <v>274.87</v>
      </c>
      <c r="G580" s="25" t="n">
        <v>36.43</v>
      </c>
    </row>
    <row r="581">
      <c r="A581" s="23" t="n">
        <v>46273</v>
      </c>
      <c r="B581" s="23" t="n">
        <v>46272</v>
      </c>
      <c r="C581" s="24" t="inlineStr">
        <is>
          <t>C022-23</t>
        </is>
      </c>
      <c r="D581" s="24" t="inlineStr">
        <is>
          <t>Coast Mart</t>
        </is>
      </c>
      <c r="E581" s="25" t="n">
        <v>271.44</v>
      </c>
      <c r="F581" s="25" t="n">
        <v>239.68</v>
      </c>
      <c r="G581" s="25" t="n">
        <v>31.76</v>
      </c>
    </row>
    <row r="582">
      <c r="A582" s="23" t="n">
        <v>46212</v>
      </c>
      <c r="B582" s="23" t="n">
        <v>46209</v>
      </c>
      <c r="C582" s="24" t="inlineStr">
        <is>
          <t>C022-24</t>
        </is>
      </c>
      <c r="D582" s="24" t="inlineStr">
        <is>
          <t>Coast Mart</t>
        </is>
      </c>
      <c r="E582" s="25" t="n">
        <v>434.03</v>
      </c>
      <c r="F582" s="25" t="n">
        <v>383.24</v>
      </c>
      <c r="G582" s="25" t="n">
        <v>50.79</v>
      </c>
    </row>
    <row r="583">
      <c r="A583" s="23" t="n">
        <v>46245</v>
      </c>
      <c r="B583" s="23" t="n">
        <v>46244</v>
      </c>
      <c r="C583" s="24" t="inlineStr">
        <is>
          <t>C022-25</t>
        </is>
      </c>
      <c r="D583" s="24" t="inlineStr">
        <is>
          <t>Coast Mart</t>
        </is>
      </c>
      <c r="E583" s="25" t="n">
        <v>342.19</v>
      </c>
      <c r="F583" s="25" t="n">
        <v>302.15</v>
      </c>
      <c r="G583" s="25" t="n">
        <v>40.04</v>
      </c>
    </row>
    <row r="584">
      <c r="A584" s="23" t="n">
        <v>46263</v>
      </c>
      <c r="B584" s="23" t="n">
        <v>46258</v>
      </c>
      <c r="C584" s="24" t="inlineStr">
        <is>
          <t>C022-26</t>
        </is>
      </c>
      <c r="D584" s="24" t="inlineStr">
        <is>
          <t>Coast Mart</t>
        </is>
      </c>
      <c r="E584" s="25" t="n">
        <v>366.46</v>
      </c>
      <c r="F584" s="25" t="n">
        <v>323.57</v>
      </c>
      <c r="G584" s="25" t="n">
        <v>42.89</v>
      </c>
    </row>
    <row r="585">
      <c r="A585" s="23" t="n">
        <v>46277</v>
      </c>
      <c r="B585" s="23" t="n">
        <v>46272</v>
      </c>
      <c r="C585" s="24" t="inlineStr">
        <is>
          <t>C022-27</t>
        </is>
      </c>
      <c r="D585" s="24" t="inlineStr">
        <is>
          <t>Coast Mart</t>
        </is>
      </c>
      <c r="E585" s="25" t="n">
        <v>414.42</v>
      </c>
      <c r="F585" s="25" t="n">
        <v>365.92</v>
      </c>
      <c r="G585" s="25" t="n">
        <v>48.5</v>
      </c>
    </row>
    <row r="586">
      <c r="A586" s="23" t="n">
        <v>46203</v>
      </c>
      <c r="B586" s="23" t="n">
        <v>46202</v>
      </c>
      <c r="C586" s="24" t="inlineStr">
        <is>
          <t>C022-28</t>
        </is>
      </c>
      <c r="D586" s="24" t="inlineStr">
        <is>
          <t>Coast Mart</t>
        </is>
      </c>
      <c r="E586" s="25" t="n">
        <v>287.11</v>
      </c>
      <c r="F586" s="25" t="n">
        <v>253.51</v>
      </c>
      <c r="G586" s="25" t="n">
        <v>33.6</v>
      </c>
    </row>
    <row r="587">
      <c r="A587" s="23" t="n">
        <v>46208</v>
      </c>
      <c r="B587" s="23" t="n">
        <v>46202</v>
      </c>
      <c r="C587" s="24" t="inlineStr">
        <is>
          <t>C022-29</t>
        </is>
      </c>
      <c r="D587" s="24" t="inlineStr">
        <is>
          <t>Coast Mart</t>
        </is>
      </c>
      <c r="E587" s="25" t="n">
        <v>412.07</v>
      </c>
      <c r="F587" s="25" t="n">
        <v>363.85</v>
      </c>
      <c r="G587" s="25" t="n">
        <v>48.22</v>
      </c>
    </row>
    <row r="588">
      <c r="A588" s="23" t="n">
        <v>46207</v>
      </c>
      <c r="B588" s="23" t="n">
        <v>46202</v>
      </c>
      <c r="C588" s="24" t="inlineStr">
        <is>
          <t>C023-0</t>
        </is>
      </c>
      <c r="D588" s="24" t="inlineStr">
        <is>
          <t>Coast Cafe</t>
        </is>
      </c>
      <c r="E588" s="25" t="n">
        <v>511.23</v>
      </c>
      <c r="F588" s="25" t="n">
        <v>460.17</v>
      </c>
      <c r="G588" s="25" t="n">
        <v>51.06</v>
      </c>
    </row>
    <row r="589">
      <c r="A589" s="23" t="n">
        <v>46226</v>
      </c>
      <c r="B589" s="23" t="n">
        <v>46223</v>
      </c>
      <c r="C589" s="24" t="inlineStr">
        <is>
          <t>C023-1</t>
        </is>
      </c>
      <c r="D589" s="24" t="inlineStr">
        <is>
          <t>Coast Cafe</t>
        </is>
      </c>
      <c r="E589" s="25" t="n">
        <v>748.71</v>
      </c>
      <c r="F589" s="25" t="n">
        <v>673.9299999999999</v>
      </c>
      <c r="G589" s="25" t="n">
        <v>74.78</v>
      </c>
    </row>
    <row r="590">
      <c r="A590" s="23" t="n">
        <v>46233</v>
      </c>
      <c r="B590" s="23" t="n">
        <v>46230</v>
      </c>
      <c r="C590" s="24" t="inlineStr">
        <is>
          <t>C023-2</t>
        </is>
      </c>
      <c r="D590" s="24" t="inlineStr">
        <is>
          <t>Coast Cafe</t>
        </is>
      </c>
      <c r="E590" s="25" t="n">
        <v>648.03</v>
      </c>
      <c r="F590" s="25" t="n">
        <v>583.3200000000001</v>
      </c>
      <c r="G590" s="25" t="n">
        <v>64.70999999999999</v>
      </c>
    </row>
    <row r="591">
      <c r="A591" s="23" t="n">
        <v>46288</v>
      </c>
      <c r="B591" s="23" t="n">
        <v>46286</v>
      </c>
      <c r="C591" s="24" t="inlineStr">
        <is>
          <t>C023-3</t>
        </is>
      </c>
      <c r="D591" s="24" t="inlineStr">
        <is>
          <t>Coast Cafe</t>
        </is>
      </c>
      <c r="E591" s="25" t="n">
        <v>796.21</v>
      </c>
      <c r="F591" s="25" t="n">
        <v>716.7</v>
      </c>
      <c r="G591" s="25" t="n">
        <v>79.51000000000001</v>
      </c>
    </row>
    <row r="592">
      <c r="A592" s="23" t="n">
        <v>46254</v>
      </c>
      <c r="B592" s="23" t="n">
        <v>46251</v>
      </c>
      <c r="C592" s="24" t="inlineStr">
        <is>
          <t>C023-4</t>
        </is>
      </c>
      <c r="D592" s="24" t="inlineStr">
        <is>
          <t>Coast Cafe</t>
        </is>
      </c>
      <c r="E592" s="25" t="n">
        <v>453.22</v>
      </c>
      <c r="F592" s="25" t="n">
        <v>407.95</v>
      </c>
      <c r="G592" s="25" t="n">
        <v>45.27</v>
      </c>
    </row>
    <row r="593">
      <c r="A593" s="23" t="n">
        <v>46267</v>
      </c>
      <c r="B593" s="23" t="n">
        <v>46265</v>
      </c>
      <c r="C593" s="24" t="inlineStr">
        <is>
          <t>C023-5</t>
        </is>
      </c>
      <c r="D593" s="24" t="inlineStr">
        <is>
          <t>Coast Cafe</t>
        </is>
      </c>
      <c r="E593" s="25" t="n">
        <v>595.25</v>
      </c>
      <c r="F593" s="25" t="n">
        <v>535.8</v>
      </c>
      <c r="G593" s="25" t="n">
        <v>59.45</v>
      </c>
    </row>
    <row r="594">
      <c r="A594" s="23" t="n">
        <v>46289</v>
      </c>
      <c r="B594" s="23" t="n">
        <v>46286</v>
      </c>
      <c r="C594" s="24" t="inlineStr">
        <is>
          <t>C023-6</t>
        </is>
      </c>
      <c r="D594" s="24" t="inlineStr">
        <is>
          <t>Coast Cafe</t>
        </is>
      </c>
      <c r="E594" s="25" t="n">
        <v>804.47</v>
      </c>
      <c r="F594" s="25" t="n">
        <v>724.13</v>
      </c>
      <c r="G594" s="25" t="n">
        <v>80.34</v>
      </c>
    </row>
    <row r="595">
      <c r="A595" s="23" t="n">
        <v>46241</v>
      </c>
      <c r="B595" s="23" t="n">
        <v>46237</v>
      </c>
      <c r="C595" s="24" t="inlineStr">
        <is>
          <t>C023-7</t>
        </is>
      </c>
      <c r="D595" s="24" t="inlineStr">
        <is>
          <t>Coast Cafe</t>
        </is>
      </c>
      <c r="E595" s="25" t="n">
        <v>1014.96</v>
      </c>
      <c r="F595" s="25" t="n">
        <v>913.6</v>
      </c>
      <c r="G595" s="25" t="n">
        <v>101.36</v>
      </c>
    </row>
    <row r="596">
      <c r="A596" s="23" t="n">
        <v>46205</v>
      </c>
      <c r="B596" s="23" t="n">
        <v>46202</v>
      </c>
      <c r="C596" s="24" t="inlineStr">
        <is>
          <t>C023-8</t>
        </is>
      </c>
      <c r="D596" s="24" t="inlineStr">
        <is>
          <t>Coast Cafe</t>
        </is>
      </c>
      <c r="E596" s="25" t="n">
        <v>577.5700000000001</v>
      </c>
      <c r="F596" s="25" t="n">
        <v>519.89</v>
      </c>
      <c r="G596" s="25" t="n">
        <v>57.68</v>
      </c>
    </row>
    <row r="597">
      <c r="A597" s="23" t="n">
        <v>46246</v>
      </c>
      <c r="B597" s="23" t="n">
        <v>46244</v>
      </c>
      <c r="C597" s="24" t="inlineStr">
        <is>
          <t>C023-9</t>
        </is>
      </c>
      <c r="D597" s="24" t="inlineStr">
        <is>
          <t>Coast Cafe</t>
        </is>
      </c>
      <c r="E597" s="25" t="n">
        <v>557.3099999999999</v>
      </c>
      <c r="F597" s="25" t="n">
        <v>501.65</v>
      </c>
      <c r="G597" s="25" t="n">
        <v>55.66</v>
      </c>
    </row>
    <row r="598">
      <c r="A598" s="23" t="n">
        <v>46247</v>
      </c>
      <c r="B598" s="23" t="n">
        <v>46244</v>
      </c>
      <c r="C598" s="24" t="inlineStr">
        <is>
          <t>C023-10</t>
        </is>
      </c>
      <c r="D598" s="24" t="inlineStr">
        <is>
          <t>Coast Cafe</t>
        </is>
      </c>
      <c r="E598" s="25" t="n">
        <v>667.37</v>
      </c>
      <c r="F598" s="25" t="n">
        <v>600.72</v>
      </c>
      <c r="G598" s="25" t="n">
        <v>66.65000000000001</v>
      </c>
    </row>
    <row r="599">
      <c r="A599" s="23" t="n">
        <v>46232</v>
      </c>
      <c r="B599" s="23" t="n">
        <v>46230</v>
      </c>
      <c r="C599" s="24" t="inlineStr">
        <is>
          <t>C023-11</t>
        </is>
      </c>
      <c r="D599" s="24" t="inlineStr">
        <is>
          <t>Coast Cafe</t>
        </is>
      </c>
      <c r="E599" s="25" t="n">
        <v>602.74</v>
      </c>
      <c r="F599" s="25" t="n">
        <v>542.54</v>
      </c>
      <c r="G599" s="25" t="n">
        <v>60.2</v>
      </c>
    </row>
    <row r="600">
      <c r="A600" s="23" t="n">
        <v>46283</v>
      </c>
      <c r="B600" s="23" t="n">
        <v>46279</v>
      </c>
      <c r="C600" s="24" t="inlineStr">
        <is>
          <t>C023-12</t>
        </is>
      </c>
      <c r="D600" s="24" t="inlineStr">
        <is>
          <t>Coast Cafe</t>
        </is>
      </c>
      <c r="E600" s="25" t="n">
        <v>815.61</v>
      </c>
      <c r="F600" s="25" t="n">
        <v>734.16</v>
      </c>
      <c r="G600" s="25" t="n">
        <v>81.45</v>
      </c>
    </row>
    <row r="601">
      <c r="A601" s="23" t="n">
        <v>46230</v>
      </c>
      <c r="B601" s="23" t="n">
        <v>46230</v>
      </c>
      <c r="C601" s="24" t="inlineStr">
        <is>
          <t>C023-13</t>
        </is>
      </c>
      <c r="D601" s="24" t="inlineStr">
        <is>
          <t>Coast Cafe</t>
        </is>
      </c>
      <c r="E601" s="25" t="n">
        <v>926.1799999999999</v>
      </c>
      <c r="F601" s="25" t="n">
        <v>833.6799999999999</v>
      </c>
      <c r="G601" s="25" t="n">
        <v>92.5</v>
      </c>
    </row>
    <row r="602">
      <c r="A602" s="23" t="n">
        <v>46256</v>
      </c>
      <c r="B602" s="23" t="n">
        <v>46251</v>
      </c>
      <c r="C602" s="24" t="inlineStr">
        <is>
          <t>C024-0</t>
        </is>
      </c>
      <c r="D602" s="24" t="inlineStr">
        <is>
          <t>Coast Superette</t>
        </is>
      </c>
      <c r="E602" s="25" t="n">
        <v>334.82</v>
      </c>
      <c r="F602" s="25" t="n">
        <v>283.29</v>
      </c>
      <c r="G602" s="25" t="n">
        <v>51.53</v>
      </c>
    </row>
    <row r="603">
      <c r="A603" s="23" t="n">
        <v>46251</v>
      </c>
      <c r="B603" s="23" t="n">
        <v>46251</v>
      </c>
      <c r="C603" s="24" t="inlineStr">
        <is>
          <t>C024-1</t>
        </is>
      </c>
      <c r="D603" s="24" t="inlineStr">
        <is>
          <t>Coast Superette</t>
        </is>
      </c>
      <c r="E603" s="25" t="n">
        <v>236.03</v>
      </c>
      <c r="F603" s="25" t="n">
        <v>199.7</v>
      </c>
      <c r="G603" s="25" t="n">
        <v>36.33</v>
      </c>
    </row>
    <row r="604">
      <c r="A604" s="23" t="n">
        <v>46265</v>
      </c>
      <c r="B604" s="23" t="n">
        <v>46265</v>
      </c>
      <c r="C604" s="24" t="inlineStr">
        <is>
          <t>C024-2</t>
        </is>
      </c>
      <c r="D604" s="24" t="inlineStr">
        <is>
          <t>Coast Superette</t>
        </is>
      </c>
      <c r="E604" s="25" t="n">
        <v>362.33</v>
      </c>
      <c r="F604" s="25" t="n">
        <v>306.57</v>
      </c>
      <c r="G604" s="25" t="n">
        <v>55.76</v>
      </c>
    </row>
    <row r="605">
      <c r="A605" s="23" t="n">
        <v>46230</v>
      </c>
      <c r="B605" s="23" t="n">
        <v>46230</v>
      </c>
      <c r="C605" s="24" t="inlineStr">
        <is>
          <t>C024-3</t>
        </is>
      </c>
      <c r="D605" s="24" t="inlineStr">
        <is>
          <t>Coast Superette</t>
        </is>
      </c>
      <c r="E605" s="25" t="n">
        <v>376.33</v>
      </c>
      <c r="F605" s="25" t="n">
        <v>318.41</v>
      </c>
      <c r="G605" s="25" t="n">
        <v>57.92</v>
      </c>
    </row>
    <row r="606">
      <c r="A606" s="23" t="n">
        <v>46206</v>
      </c>
      <c r="B606" s="23" t="n">
        <v>46202</v>
      </c>
      <c r="C606" s="24" t="inlineStr">
        <is>
          <t>C024-4</t>
        </is>
      </c>
      <c r="D606" s="24" t="inlineStr">
        <is>
          <t>Coast Superette</t>
        </is>
      </c>
      <c r="E606" s="25" t="n">
        <v>483</v>
      </c>
      <c r="F606" s="25" t="n">
        <v>408.67</v>
      </c>
      <c r="G606" s="25" t="n">
        <v>74.33</v>
      </c>
    </row>
    <row r="607">
      <c r="A607" s="23" t="n">
        <v>46219</v>
      </c>
      <c r="B607" s="23" t="n">
        <v>46216</v>
      </c>
      <c r="C607" s="24" t="inlineStr">
        <is>
          <t>C024-5</t>
        </is>
      </c>
      <c r="D607" s="24" t="inlineStr">
        <is>
          <t>Coast Superette</t>
        </is>
      </c>
      <c r="E607" s="25" t="n">
        <v>323.36</v>
      </c>
      <c r="F607" s="25" t="n">
        <v>273.59</v>
      </c>
      <c r="G607" s="25" t="n">
        <v>49.77</v>
      </c>
    </row>
    <row r="608">
      <c r="A608" s="23" t="n">
        <v>46268</v>
      </c>
      <c r="B608" s="23" t="n">
        <v>46265</v>
      </c>
      <c r="C608" s="24" t="inlineStr">
        <is>
          <t>C024-6</t>
        </is>
      </c>
      <c r="D608" s="24" t="inlineStr">
        <is>
          <t>Coast Superette</t>
        </is>
      </c>
      <c r="E608" s="25" t="n">
        <v>427.24</v>
      </c>
      <c r="F608" s="25" t="n">
        <v>361.48</v>
      </c>
      <c r="G608" s="25" t="n">
        <v>65.76000000000001</v>
      </c>
    </row>
    <row r="609">
      <c r="A609" s="23" t="n">
        <v>46241</v>
      </c>
      <c r="B609" s="23" t="n">
        <v>46237</v>
      </c>
      <c r="C609" s="24" t="inlineStr">
        <is>
          <t>C024-7</t>
        </is>
      </c>
      <c r="D609" s="24" t="inlineStr">
        <is>
          <t>Coast Superette</t>
        </is>
      </c>
      <c r="E609" s="25" t="n">
        <v>258.69</v>
      </c>
      <c r="F609" s="25" t="n">
        <v>218.88</v>
      </c>
      <c r="G609" s="25" t="n">
        <v>39.81</v>
      </c>
    </row>
    <row r="610">
      <c r="A610" s="23" t="n">
        <v>46269</v>
      </c>
      <c r="B610" s="23" t="n">
        <v>46265</v>
      </c>
      <c r="C610" s="24" t="inlineStr">
        <is>
          <t>C024-8</t>
        </is>
      </c>
      <c r="D610" s="24" t="inlineStr">
        <is>
          <t>Coast Superette</t>
        </is>
      </c>
      <c r="E610" s="25" t="n">
        <v>521.67</v>
      </c>
      <c r="F610" s="25" t="n">
        <v>441.38</v>
      </c>
      <c r="G610" s="25" t="n">
        <v>80.29000000000001</v>
      </c>
    </row>
    <row r="611">
      <c r="A611" s="23" t="n">
        <v>46269</v>
      </c>
      <c r="B611" s="23" t="n">
        <v>46265</v>
      </c>
      <c r="C611" s="24" t="inlineStr">
        <is>
          <t>C024-9</t>
        </is>
      </c>
      <c r="D611" s="24" t="inlineStr">
        <is>
          <t>Coast Superette</t>
        </is>
      </c>
      <c r="E611" s="25" t="n">
        <v>490.25</v>
      </c>
      <c r="F611" s="25" t="n">
        <v>414.8</v>
      </c>
      <c r="G611" s="25" t="n">
        <v>75.45</v>
      </c>
    </row>
    <row r="612">
      <c r="A612" s="23" t="n">
        <v>46205</v>
      </c>
      <c r="B612" s="23" t="n">
        <v>46202</v>
      </c>
      <c r="C612" s="24" t="inlineStr">
        <is>
          <t>C024-10</t>
        </is>
      </c>
      <c r="D612" s="24" t="inlineStr">
        <is>
          <t>Coast Superette</t>
        </is>
      </c>
      <c r="E612" s="25" t="n">
        <v>348.59</v>
      </c>
      <c r="F612" s="25" t="n">
        <v>294.94</v>
      </c>
      <c r="G612" s="25" t="n">
        <v>53.65</v>
      </c>
    </row>
    <row r="613">
      <c r="A613" s="23" t="n">
        <v>46281</v>
      </c>
      <c r="B613" s="23" t="n">
        <v>46279</v>
      </c>
      <c r="C613" s="24" t="inlineStr">
        <is>
          <t>C024-11</t>
        </is>
      </c>
      <c r="D613" s="24" t="inlineStr">
        <is>
          <t>Coast Superette</t>
        </is>
      </c>
      <c r="E613" s="25" t="n">
        <v>446.63</v>
      </c>
      <c r="F613" s="25" t="n">
        <v>377.89</v>
      </c>
      <c r="G613" s="25" t="n">
        <v>68.73999999999999</v>
      </c>
    </row>
    <row r="614">
      <c r="A614" s="23" t="n">
        <v>46204</v>
      </c>
      <c r="B614" s="23" t="n">
        <v>46202</v>
      </c>
      <c r="C614" s="24" t="inlineStr">
        <is>
          <t>C024-12</t>
        </is>
      </c>
      <c r="D614" s="24" t="inlineStr">
        <is>
          <t>Coast Superette</t>
        </is>
      </c>
      <c r="E614" s="25" t="n">
        <v>417.75</v>
      </c>
      <c r="F614" s="25" t="n">
        <v>353.46</v>
      </c>
      <c r="G614" s="25" t="n">
        <v>64.29000000000001</v>
      </c>
    </row>
    <row r="615">
      <c r="A615" s="23" t="n">
        <v>46236</v>
      </c>
      <c r="B615" s="23" t="n">
        <v>46230</v>
      </c>
      <c r="C615" s="24" t="inlineStr">
        <is>
          <t>C024-13</t>
        </is>
      </c>
      <c r="D615" s="24" t="inlineStr">
        <is>
          <t>Coast Superette</t>
        </is>
      </c>
      <c r="E615" s="25" t="n">
        <v>531.13</v>
      </c>
      <c r="F615" s="25" t="n">
        <v>449.39</v>
      </c>
      <c r="G615" s="25" t="n">
        <v>81.73999999999999</v>
      </c>
    </row>
    <row r="616">
      <c r="A616" s="23" t="n">
        <v>46224</v>
      </c>
      <c r="B616" s="23" t="n">
        <v>46223</v>
      </c>
      <c r="C616" s="24" t="inlineStr">
        <is>
          <t>C024-14</t>
        </is>
      </c>
      <c r="D616" s="24" t="inlineStr">
        <is>
          <t>Coast Superette</t>
        </is>
      </c>
      <c r="E616" s="25" t="n">
        <v>317.55</v>
      </c>
      <c r="F616" s="25" t="n">
        <v>268.68</v>
      </c>
      <c r="G616" s="25" t="n">
        <v>48.87</v>
      </c>
    </row>
    <row r="617">
      <c r="A617" s="23" t="n">
        <v>46233</v>
      </c>
      <c r="B617" s="23" t="n">
        <v>46230</v>
      </c>
      <c r="C617" s="24" t="inlineStr">
        <is>
          <t>C025-0</t>
        </is>
      </c>
      <c r="D617" s="24" t="inlineStr">
        <is>
          <t>Coast Grocers</t>
        </is>
      </c>
      <c r="E617" s="25" t="n">
        <v>1066.53</v>
      </c>
      <c r="F617" s="25" t="n">
        <v>919.47</v>
      </c>
      <c r="G617" s="25" t="n">
        <v>147.06</v>
      </c>
    </row>
    <row r="618">
      <c r="A618" s="23" t="n">
        <v>46268</v>
      </c>
      <c r="B618" s="23" t="n">
        <v>46265</v>
      </c>
      <c r="C618" s="24" t="inlineStr">
        <is>
          <t>C025-1</t>
        </is>
      </c>
      <c r="D618" s="24" t="inlineStr">
        <is>
          <t>Coast Grocers</t>
        </is>
      </c>
      <c r="E618" s="25" t="n">
        <v>972.6</v>
      </c>
      <c r="F618" s="25" t="n">
        <v>838.49</v>
      </c>
      <c r="G618" s="25" t="n">
        <v>134.11</v>
      </c>
    </row>
    <row r="619">
      <c r="A619" s="23" t="n">
        <v>46240</v>
      </c>
      <c r="B619" s="23" t="n">
        <v>46237</v>
      </c>
      <c r="C619" s="24" t="inlineStr">
        <is>
          <t>C025-2</t>
        </is>
      </c>
      <c r="D619" s="24" t="inlineStr">
        <is>
          <t>Coast Grocers</t>
        </is>
      </c>
      <c r="E619" s="25" t="n">
        <v>1037.8</v>
      </c>
      <c r="F619" s="25" t="n">
        <v>894.7</v>
      </c>
      <c r="G619" s="25" t="n">
        <v>143.1</v>
      </c>
    </row>
    <row r="620">
      <c r="A620" s="23" t="n">
        <v>46248</v>
      </c>
      <c r="B620" s="23" t="n">
        <v>46244</v>
      </c>
      <c r="C620" s="24" t="inlineStr">
        <is>
          <t>C025-3</t>
        </is>
      </c>
      <c r="D620" s="24" t="inlineStr">
        <is>
          <t>Coast Grocers</t>
        </is>
      </c>
      <c r="E620" s="25" t="n">
        <v>729.8</v>
      </c>
      <c r="F620" s="25" t="n">
        <v>629.17</v>
      </c>
      <c r="G620" s="25" t="n">
        <v>100.63</v>
      </c>
    </row>
    <row r="621">
      <c r="A621" s="23" t="n">
        <v>46229</v>
      </c>
      <c r="B621" s="23" t="n">
        <v>46223</v>
      </c>
      <c r="C621" s="24" t="inlineStr">
        <is>
          <t>C025-4</t>
        </is>
      </c>
      <c r="D621" s="24" t="inlineStr">
        <is>
          <t>Coast Grocers</t>
        </is>
      </c>
      <c r="E621" s="25" t="n">
        <v>1280.18</v>
      </c>
      <c r="F621" s="25" t="n">
        <v>1103.65</v>
      </c>
      <c r="G621" s="25" t="n">
        <v>176.53</v>
      </c>
    </row>
    <row r="622">
      <c r="A622" s="23" t="n">
        <v>46233</v>
      </c>
      <c r="B622" s="23" t="n">
        <v>46230</v>
      </c>
      <c r="C622" s="24" t="inlineStr">
        <is>
          <t>C025-5</t>
        </is>
      </c>
      <c r="D622" s="24" t="inlineStr">
        <is>
          <t>Coast Grocers</t>
        </is>
      </c>
      <c r="E622" s="25" t="n">
        <v>725.6900000000001</v>
      </c>
      <c r="F622" s="25" t="n">
        <v>625.63</v>
      </c>
      <c r="G622" s="25" t="n">
        <v>100.06</v>
      </c>
    </row>
    <row r="623">
      <c r="A623" s="23" t="n">
        <v>46263</v>
      </c>
      <c r="B623" s="23" t="n">
        <v>46258</v>
      </c>
      <c r="C623" s="24" t="inlineStr">
        <is>
          <t>C025-6</t>
        </is>
      </c>
      <c r="D623" s="24" t="inlineStr">
        <is>
          <t>Coast Grocers</t>
        </is>
      </c>
      <c r="E623" s="25" t="n">
        <v>1165.39</v>
      </c>
      <c r="F623" s="25" t="n">
        <v>1004.7</v>
      </c>
      <c r="G623" s="25" t="n">
        <v>160.69</v>
      </c>
    </row>
    <row r="624">
      <c r="A624" s="23" t="n">
        <v>46280</v>
      </c>
      <c r="B624" s="23" t="n">
        <v>46279</v>
      </c>
      <c r="C624" s="24" t="inlineStr">
        <is>
          <t>C025-7</t>
        </is>
      </c>
      <c r="D624" s="24" t="inlineStr">
        <is>
          <t>Coast Grocers</t>
        </is>
      </c>
      <c r="E624" s="25" t="n">
        <v>1267.92</v>
      </c>
      <c r="F624" s="25" t="n">
        <v>1093.08</v>
      </c>
      <c r="G624" s="25" t="n">
        <v>174.84</v>
      </c>
    </row>
    <row r="625">
      <c r="A625" s="23" t="n">
        <v>46273</v>
      </c>
      <c r="B625" s="23" t="n">
        <v>46272</v>
      </c>
      <c r="C625" s="24" t="inlineStr">
        <is>
          <t>C025-8</t>
        </is>
      </c>
      <c r="D625" s="24" t="inlineStr">
        <is>
          <t>Coast Grocers</t>
        </is>
      </c>
      <c r="E625" s="25" t="n">
        <v>886.27</v>
      </c>
      <c r="F625" s="25" t="n">
        <v>764.0700000000001</v>
      </c>
      <c r="G625" s="25" t="n">
        <v>122.2</v>
      </c>
    </row>
    <row r="626">
      <c r="A626" s="23" t="n">
        <v>46217</v>
      </c>
      <c r="B626" s="23" t="n">
        <v>46216</v>
      </c>
      <c r="C626" s="24" t="inlineStr">
        <is>
          <t>C025-9</t>
        </is>
      </c>
      <c r="D626" s="24" t="inlineStr">
        <is>
          <t>Coast Grocers</t>
        </is>
      </c>
      <c r="E626" s="25" t="n">
        <v>700.41</v>
      </c>
      <c r="F626" s="25" t="n">
        <v>603.83</v>
      </c>
      <c r="G626" s="25" t="n">
        <v>96.58</v>
      </c>
    </row>
    <row r="627">
      <c r="A627" s="23" t="n">
        <v>46232</v>
      </c>
      <c r="B627" s="23" t="n">
        <v>46230</v>
      </c>
      <c r="C627" s="24" t="inlineStr">
        <is>
          <t>C025-10</t>
        </is>
      </c>
      <c r="D627" s="24" t="inlineStr">
        <is>
          <t>Coast Grocers</t>
        </is>
      </c>
      <c r="E627" s="25" t="n">
        <v>860.09</v>
      </c>
      <c r="F627" s="25" t="n">
        <v>741.49</v>
      </c>
      <c r="G627" s="25" t="n">
        <v>118.6</v>
      </c>
    </row>
    <row r="628">
      <c r="A628" s="23" t="n">
        <v>46202</v>
      </c>
      <c r="B628" s="23" t="n">
        <v>46202</v>
      </c>
      <c r="C628" s="24" t="inlineStr">
        <is>
          <t>C025-11</t>
        </is>
      </c>
      <c r="D628" s="24" t="inlineStr">
        <is>
          <t>Coast Grocers</t>
        </is>
      </c>
      <c r="E628" s="25" t="n">
        <v>681.99</v>
      </c>
      <c r="F628" s="25" t="n">
        <v>587.95</v>
      </c>
      <c r="G628" s="25" t="n">
        <v>94.04000000000001</v>
      </c>
    </row>
    <row r="629">
      <c r="A629" s="23" t="n">
        <v>46275</v>
      </c>
      <c r="B629" s="23" t="n">
        <v>46272</v>
      </c>
      <c r="C629" s="24" t="inlineStr">
        <is>
          <t>C025-12</t>
        </is>
      </c>
      <c r="D629" s="24" t="inlineStr">
        <is>
          <t>Coast Grocers</t>
        </is>
      </c>
      <c r="E629" s="25" t="n">
        <v>732.8099999999999</v>
      </c>
      <c r="F629" s="25" t="n">
        <v>631.76</v>
      </c>
      <c r="G629" s="25" t="n">
        <v>101.05</v>
      </c>
    </row>
    <row r="630">
      <c r="A630" s="23" t="n">
        <v>46246</v>
      </c>
      <c r="B630" s="23" t="n">
        <v>46244</v>
      </c>
      <c r="C630" s="24" t="inlineStr">
        <is>
          <t>C025-13</t>
        </is>
      </c>
      <c r="D630" s="24" t="inlineStr">
        <is>
          <t>Coast Grocers</t>
        </is>
      </c>
      <c r="E630" s="25" t="n">
        <v>658.0599999999999</v>
      </c>
      <c r="F630" s="25" t="n">
        <v>567.3200000000001</v>
      </c>
      <c r="G630" s="25" t="n">
        <v>90.73999999999999</v>
      </c>
    </row>
    <row r="631">
      <c r="A631" s="23" t="n">
        <v>46262</v>
      </c>
      <c r="B631" s="23" t="n">
        <v>46258</v>
      </c>
      <c r="C631" s="24" t="inlineStr">
        <is>
          <t>C025-14</t>
        </is>
      </c>
      <c r="D631" s="24" t="inlineStr">
        <is>
          <t>Coast Grocers</t>
        </is>
      </c>
      <c r="E631" s="25" t="n">
        <v>1087.61</v>
      </c>
      <c r="F631" s="25" t="n">
        <v>937.64</v>
      </c>
      <c r="G631" s="25" t="n">
        <v>149.97</v>
      </c>
    </row>
    <row r="632">
      <c r="A632" s="23" t="n">
        <v>46216</v>
      </c>
      <c r="B632" s="23" t="n">
        <v>46216</v>
      </c>
      <c r="C632" s="24" t="inlineStr">
        <is>
          <t>C025-15</t>
        </is>
      </c>
      <c r="D632" s="24" t="inlineStr">
        <is>
          <t>Coast Grocers</t>
        </is>
      </c>
      <c r="E632" s="25" t="n">
        <v>774.39</v>
      </c>
      <c r="F632" s="25" t="n">
        <v>667.61</v>
      </c>
      <c r="G632" s="25" t="n">
        <v>106.78</v>
      </c>
    </row>
    <row r="633">
      <c r="A633" s="23" t="n">
        <v>46216</v>
      </c>
      <c r="B633" s="23" t="n">
        <v>46216</v>
      </c>
      <c r="C633" s="24" t="inlineStr">
        <is>
          <t>C025-16</t>
        </is>
      </c>
      <c r="D633" s="24" t="inlineStr">
        <is>
          <t>Coast Grocers</t>
        </is>
      </c>
      <c r="E633" s="25" t="n">
        <v>945.48</v>
      </c>
      <c r="F633" s="25" t="n">
        <v>815.11</v>
      </c>
      <c r="G633" s="25" t="n">
        <v>130.37</v>
      </c>
    </row>
    <row r="634">
      <c r="A634" s="23" t="n">
        <v>46226</v>
      </c>
      <c r="B634" s="23" t="n">
        <v>46223</v>
      </c>
      <c r="C634" s="24" t="inlineStr">
        <is>
          <t>C025-17</t>
        </is>
      </c>
      <c r="D634" s="24" t="inlineStr">
        <is>
          <t>Coast Grocers</t>
        </is>
      </c>
      <c r="E634" s="25" t="n">
        <v>1451.27</v>
      </c>
      <c r="F634" s="25" t="n">
        <v>1251.15</v>
      </c>
      <c r="G634" s="25" t="n">
        <v>200.12</v>
      </c>
    </row>
    <row r="635">
      <c r="A635" s="23" t="n">
        <v>46246</v>
      </c>
      <c r="B635" s="23" t="n">
        <v>46244</v>
      </c>
      <c r="C635" s="24" t="inlineStr">
        <is>
          <t>C025-18</t>
        </is>
      </c>
      <c r="D635" s="24" t="inlineStr">
        <is>
          <t>Coast Grocers</t>
        </is>
      </c>
      <c r="E635" s="25" t="n">
        <v>1407.02</v>
      </c>
      <c r="F635" s="25" t="n">
        <v>1213.01</v>
      </c>
      <c r="G635" s="25" t="n">
        <v>194.01</v>
      </c>
    </row>
    <row r="636">
      <c r="A636" s="23" t="n">
        <v>46272</v>
      </c>
      <c r="B636" s="23" t="n">
        <v>46272</v>
      </c>
      <c r="C636" s="24" t="inlineStr">
        <is>
          <t>C025-19</t>
        </is>
      </c>
      <c r="D636" s="24" t="inlineStr">
        <is>
          <t>Coast Grocers</t>
        </is>
      </c>
      <c r="E636" s="25" t="n">
        <v>764.1</v>
      </c>
      <c r="F636" s="25" t="n">
        <v>658.74</v>
      </c>
      <c r="G636" s="25" t="n">
        <v>105.36</v>
      </c>
    </row>
    <row r="637">
      <c r="A637" s="23" t="n">
        <v>46276</v>
      </c>
      <c r="B637" s="23" t="n">
        <v>46272</v>
      </c>
      <c r="C637" s="24" t="inlineStr">
        <is>
          <t>C025-20</t>
        </is>
      </c>
      <c r="D637" s="24" t="inlineStr">
        <is>
          <t>Coast Grocers</t>
        </is>
      </c>
      <c r="E637" s="25" t="n">
        <v>984.3099999999999</v>
      </c>
      <c r="F637" s="25" t="n">
        <v>848.58</v>
      </c>
      <c r="G637" s="25" t="n">
        <v>135.73</v>
      </c>
    </row>
    <row r="638">
      <c r="A638" s="23" t="n">
        <v>46252</v>
      </c>
      <c r="B638" s="23" t="n">
        <v>46251</v>
      </c>
      <c r="C638" s="24" t="inlineStr">
        <is>
          <t>C025-21</t>
        </is>
      </c>
      <c r="D638" s="24" t="inlineStr">
        <is>
          <t>Coast Grocers</t>
        </is>
      </c>
      <c r="E638" s="25" t="n">
        <v>1345.09</v>
      </c>
      <c r="F638" s="25" t="n">
        <v>1159.61</v>
      </c>
      <c r="G638" s="25" t="n">
        <v>185.48</v>
      </c>
    </row>
    <row r="639">
      <c r="A639" s="23" t="n">
        <v>46219</v>
      </c>
      <c r="B639" s="23" t="n">
        <v>46216</v>
      </c>
      <c r="C639" s="24" t="inlineStr">
        <is>
          <t>C025-22</t>
        </is>
      </c>
      <c r="D639" s="24" t="inlineStr">
        <is>
          <t>Coast Grocers</t>
        </is>
      </c>
      <c r="E639" s="25" t="n">
        <v>833.9299999999999</v>
      </c>
      <c r="F639" s="25" t="n">
        <v>718.9400000000001</v>
      </c>
      <c r="G639" s="25" t="n">
        <v>114.99</v>
      </c>
    </row>
    <row r="640">
      <c r="A640" s="23" t="n">
        <v>46257</v>
      </c>
      <c r="B640" s="23" t="n">
        <v>46251</v>
      </c>
      <c r="C640" s="24" t="inlineStr">
        <is>
          <t>C025-23</t>
        </is>
      </c>
      <c r="D640" s="24" t="inlineStr">
        <is>
          <t>Coast Grocers</t>
        </is>
      </c>
      <c r="E640" s="25" t="n">
        <v>781.97</v>
      </c>
      <c r="F640" s="25" t="n">
        <v>674.14</v>
      </c>
      <c r="G640" s="25" t="n">
        <v>107.83</v>
      </c>
    </row>
    <row r="641">
      <c r="A641" s="23" t="n">
        <v>46280</v>
      </c>
      <c r="B641" s="23" t="n">
        <v>46279</v>
      </c>
      <c r="C641" s="24" t="inlineStr">
        <is>
          <t>C025-24</t>
        </is>
      </c>
      <c r="D641" s="24" t="inlineStr">
        <is>
          <t>Coast Grocers</t>
        </is>
      </c>
      <c r="E641" s="25" t="n">
        <v>739.85</v>
      </c>
      <c r="F641" s="25" t="n">
        <v>637.83</v>
      </c>
      <c r="G641" s="25" t="n">
        <v>102.02</v>
      </c>
    </row>
    <row r="642">
      <c r="A642" s="23" t="n">
        <v>46237</v>
      </c>
      <c r="B642" s="23" t="n">
        <v>46237</v>
      </c>
      <c r="C642" s="24" t="inlineStr">
        <is>
          <t>C025-25</t>
        </is>
      </c>
      <c r="D642" s="24" t="inlineStr">
        <is>
          <t>Coast Grocers</t>
        </is>
      </c>
      <c r="E642" s="25" t="n">
        <v>1053.39</v>
      </c>
      <c r="F642" s="25" t="n">
        <v>908.14</v>
      </c>
      <c r="G642" s="25" t="n">
        <v>145.25</v>
      </c>
    </row>
    <row r="643">
      <c r="A643" s="23" t="n">
        <v>46287</v>
      </c>
      <c r="B643" s="23" t="n">
        <v>46286</v>
      </c>
      <c r="C643" s="24" t="inlineStr">
        <is>
          <t>C025-26</t>
        </is>
      </c>
      <c r="D643" s="24" t="inlineStr">
        <is>
          <t>Coast Grocers</t>
        </is>
      </c>
      <c r="E643" s="25" t="n">
        <v>803.98</v>
      </c>
      <c r="F643" s="25" t="n">
        <v>693.12</v>
      </c>
      <c r="G643" s="25" t="n">
        <v>110.86</v>
      </c>
    </row>
    <row r="644">
      <c r="A644" s="23" t="n">
        <v>46208</v>
      </c>
      <c r="B644" s="23" t="n">
        <v>46202</v>
      </c>
      <c r="C644" s="24" t="inlineStr">
        <is>
          <t>C025-27</t>
        </is>
      </c>
      <c r="D644" s="24" t="inlineStr">
        <is>
          <t>Coast Grocers</t>
        </is>
      </c>
      <c r="E644" s="25" t="n">
        <v>886.52</v>
      </c>
      <c r="F644" s="25" t="n">
        <v>764.28</v>
      </c>
      <c r="G644" s="25" t="n">
        <v>122.24</v>
      </c>
    </row>
    <row r="645">
      <c r="A645" s="23" t="n">
        <v>46229</v>
      </c>
      <c r="B645" s="23" t="n">
        <v>46223</v>
      </c>
      <c r="C645" s="24" t="inlineStr">
        <is>
          <t>C025-28</t>
        </is>
      </c>
      <c r="D645" s="24" t="inlineStr">
        <is>
          <t>Coast Grocers</t>
        </is>
      </c>
      <c r="E645" s="25" t="n">
        <v>815.3200000000001</v>
      </c>
      <c r="F645" s="25" t="n">
        <v>702.89</v>
      </c>
      <c r="G645" s="25" t="n">
        <v>112.43</v>
      </c>
    </row>
    <row r="646">
      <c r="A646" s="23" t="n">
        <v>46206</v>
      </c>
      <c r="B646" s="23" t="n">
        <v>46202</v>
      </c>
      <c r="C646" s="24" t="inlineStr">
        <is>
          <t>C025-29</t>
        </is>
      </c>
      <c r="D646" s="24" t="inlineStr">
        <is>
          <t>Coast Grocers</t>
        </is>
      </c>
      <c r="E646" s="25" t="n">
        <v>998.42</v>
      </c>
      <c r="F646" s="25" t="n">
        <v>860.75</v>
      </c>
      <c r="G646" s="25" t="n">
        <v>137.67</v>
      </c>
    </row>
    <row r="647">
      <c r="A647" s="23" t="n">
        <v>46236</v>
      </c>
      <c r="B647" s="23" t="n">
        <v>46230</v>
      </c>
      <c r="C647" s="24" t="inlineStr">
        <is>
          <t>C025-30</t>
        </is>
      </c>
      <c r="D647" s="24" t="inlineStr">
        <is>
          <t>Coast Grocers</t>
        </is>
      </c>
      <c r="E647" s="25" t="n">
        <v>741.0599999999999</v>
      </c>
      <c r="F647" s="25" t="n">
        <v>638.87</v>
      </c>
      <c r="G647" s="25" t="n">
        <v>102.19</v>
      </c>
    </row>
    <row r="648">
      <c r="A648" s="23" t="n">
        <v>46229</v>
      </c>
      <c r="B648" s="23" t="n">
        <v>46223</v>
      </c>
      <c r="C648" s="24" t="inlineStr">
        <is>
          <t>C025-31</t>
        </is>
      </c>
      <c r="D648" s="24" t="inlineStr">
        <is>
          <t>Coast Grocers</t>
        </is>
      </c>
      <c r="E648" s="25" t="n">
        <v>899.92</v>
      </c>
      <c r="F648" s="25" t="n">
        <v>775.83</v>
      </c>
      <c r="G648" s="25" t="n">
        <v>124.09</v>
      </c>
    </row>
    <row r="649">
      <c r="A649" s="23" t="n">
        <v>46244</v>
      </c>
      <c r="B649" s="23" t="n">
        <v>46244</v>
      </c>
      <c r="C649" s="24" t="inlineStr">
        <is>
          <t>C025-32</t>
        </is>
      </c>
      <c r="D649" s="24" t="inlineStr">
        <is>
          <t>Coast Grocers</t>
        </is>
      </c>
      <c r="E649" s="25" t="n">
        <v>996.4400000000001</v>
      </c>
      <c r="F649" s="25" t="n">
        <v>859.04</v>
      </c>
      <c r="G649" s="25" t="n">
        <v>137.4</v>
      </c>
    </row>
    <row r="650">
      <c r="A650" s="23" t="n">
        <v>46227</v>
      </c>
      <c r="B650" s="23" t="n">
        <v>46223</v>
      </c>
      <c r="C650" s="24" t="inlineStr">
        <is>
          <t>C025-33</t>
        </is>
      </c>
      <c r="D650" s="24" t="inlineStr">
        <is>
          <t>Coast Grocers</t>
        </is>
      </c>
      <c r="E650" s="25" t="n">
        <v>1177.67</v>
      </c>
      <c r="F650" s="25" t="n">
        <v>1015.28</v>
      </c>
      <c r="G650" s="25" t="n">
        <v>162.39</v>
      </c>
    </row>
    <row r="651">
      <c r="A651" s="23" t="n">
        <v>46275</v>
      </c>
      <c r="B651" s="23" t="n">
        <v>46272</v>
      </c>
      <c r="C651" s="24" t="inlineStr">
        <is>
          <t>C026-0</t>
        </is>
      </c>
      <c r="D651" s="24" t="inlineStr">
        <is>
          <t>Valley Foods</t>
        </is>
      </c>
      <c r="E651" s="25" t="n">
        <v>1952.73</v>
      </c>
      <c r="F651" s="25" t="n">
        <v>1686.69</v>
      </c>
      <c r="G651" s="25" t="n">
        <v>266.04</v>
      </c>
    </row>
    <row r="652">
      <c r="A652" s="23" t="n">
        <v>46222</v>
      </c>
      <c r="B652" s="23" t="n">
        <v>46216</v>
      </c>
      <c r="C652" s="24" t="inlineStr">
        <is>
          <t>C026-1</t>
        </is>
      </c>
      <c r="D652" s="24" t="inlineStr">
        <is>
          <t>Valley Foods</t>
        </is>
      </c>
      <c r="E652" s="25" t="n">
        <v>2030.37</v>
      </c>
      <c r="F652" s="25" t="n">
        <v>1753.75</v>
      </c>
      <c r="G652" s="25" t="n">
        <v>276.62</v>
      </c>
    </row>
    <row r="653">
      <c r="A653" s="23" t="n">
        <v>46259</v>
      </c>
      <c r="B653" s="23" t="n">
        <v>46258</v>
      </c>
      <c r="C653" s="24" t="inlineStr">
        <is>
          <t>C026-2</t>
        </is>
      </c>
      <c r="D653" s="24" t="inlineStr">
        <is>
          <t>Valley Foods</t>
        </is>
      </c>
      <c r="E653" s="25" t="n">
        <v>1275.91</v>
      </c>
      <c r="F653" s="25" t="n">
        <v>1102.08</v>
      </c>
      <c r="G653" s="25" t="n">
        <v>173.83</v>
      </c>
    </row>
    <row r="654">
      <c r="A654" s="23" t="n">
        <v>46241</v>
      </c>
      <c r="B654" s="23" t="n">
        <v>46237</v>
      </c>
      <c r="C654" s="24" t="inlineStr">
        <is>
          <t>C026-3</t>
        </is>
      </c>
      <c r="D654" s="24" t="inlineStr">
        <is>
          <t>Valley Foods</t>
        </is>
      </c>
      <c r="E654" s="25" t="n">
        <v>1372.05</v>
      </c>
      <c r="F654" s="25" t="n">
        <v>1185.12</v>
      </c>
      <c r="G654" s="25" t="n">
        <v>186.93</v>
      </c>
    </row>
    <row r="655">
      <c r="A655" s="23" t="n">
        <v>46226</v>
      </c>
      <c r="B655" s="23" t="n">
        <v>46223</v>
      </c>
      <c r="C655" s="24" t="inlineStr">
        <is>
          <t>C026-4</t>
        </is>
      </c>
      <c r="D655" s="24" t="inlineStr">
        <is>
          <t>Valley Foods</t>
        </is>
      </c>
      <c r="E655" s="25" t="n">
        <v>1338.6</v>
      </c>
      <c r="F655" s="25" t="n">
        <v>1156.23</v>
      </c>
      <c r="G655" s="25" t="n">
        <v>182.37</v>
      </c>
    </row>
    <row r="656">
      <c r="A656" s="23" t="n">
        <v>46271</v>
      </c>
      <c r="B656" s="23" t="n">
        <v>46265</v>
      </c>
      <c r="C656" s="24" t="inlineStr">
        <is>
          <t>C026-5</t>
        </is>
      </c>
      <c r="D656" s="24" t="inlineStr">
        <is>
          <t>Valley Foods</t>
        </is>
      </c>
      <c r="E656" s="25" t="n">
        <v>1084.27</v>
      </c>
      <c r="F656" s="25" t="n">
        <v>936.55</v>
      </c>
      <c r="G656" s="25" t="n">
        <v>147.72</v>
      </c>
    </row>
    <row r="657">
      <c r="A657" s="23" t="n">
        <v>46255</v>
      </c>
      <c r="B657" s="23" t="n">
        <v>46251</v>
      </c>
      <c r="C657" s="24" t="inlineStr">
        <is>
          <t>C026-6</t>
        </is>
      </c>
      <c r="D657" s="24" t="inlineStr">
        <is>
          <t>Valley Foods</t>
        </is>
      </c>
      <c r="E657" s="25" t="n">
        <v>2269.74</v>
      </c>
      <c r="F657" s="25" t="n">
        <v>1960.51</v>
      </c>
      <c r="G657" s="25" t="n">
        <v>309.23</v>
      </c>
    </row>
    <row r="658">
      <c r="A658" s="23" t="n">
        <v>46255</v>
      </c>
      <c r="B658" s="23" t="n">
        <v>46251</v>
      </c>
      <c r="C658" s="24" t="inlineStr">
        <is>
          <t>C026-7</t>
        </is>
      </c>
      <c r="D658" s="24" t="inlineStr">
        <is>
          <t>Valley Foods</t>
        </is>
      </c>
      <c r="E658" s="25" t="n">
        <v>1521.7</v>
      </c>
      <c r="F658" s="25" t="n">
        <v>1314.38</v>
      </c>
      <c r="G658" s="25" t="n">
        <v>207.32</v>
      </c>
    </row>
    <row r="659">
      <c r="A659" s="23" t="n">
        <v>46264</v>
      </c>
      <c r="B659" s="23" t="n">
        <v>46258</v>
      </c>
      <c r="C659" s="24" t="inlineStr">
        <is>
          <t>C026-8</t>
        </is>
      </c>
      <c r="D659" s="24" t="inlineStr">
        <is>
          <t>Valley Foods</t>
        </is>
      </c>
      <c r="E659" s="25" t="n">
        <v>1299.03</v>
      </c>
      <c r="F659" s="25" t="n">
        <v>1122.05</v>
      </c>
      <c r="G659" s="25" t="n">
        <v>176.98</v>
      </c>
    </row>
    <row r="660">
      <c r="A660" s="23" t="n">
        <v>46268</v>
      </c>
      <c r="B660" s="23" t="n">
        <v>46265</v>
      </c>
      <c r="C660" s="24" t="inlineStr">
        <is>
          <t>C026-9</t>
        </is>
      </c>
      <c r="D660" s="24" t="inlineStr">
        <is>
          <t>Valley Foods</t>
        </is>
      </c>
      <c r="E660" s="25" t="n">
        <v>1800.66</v>
      </c>
      <c r="F660" s="25" t="n">
        <v>1555.34</v>
      </c>
      <c r="G660" s="25" t="n">
        <v>245.32</v>
      </c>
    </row>
    <row r="661">
      <c r="A661" s="23" t="n">
        <v>46232</v>
      </c>
      <c r="B661" s="23" t="n">
        <v>46230</v>
      </c>
      <c r="C661" s="24" t="inlineStr">
        <is>
          <t>C026-10</t>
        </is>
      </c>
      <c r="D661" s="24" t="inlineStr">
        <is>
          <t>Valley Foods</t>
        </is>
      </c>
      <c r="E661" s="25" t="n">
        <v>1880.15</v>
      </c>
      <c r="F661" s="25" t="n">
        <v>1624</v>
      </c>
      <c r="G661" s="25" t="n">
        <v>256.15</v>
      </c>
    </row>
    <row r="662">
      <c r="A662" s="23" t="n">
        <v>46274</v>
      </c>
      <c r="B662" s="23" t="n">
        <v>46272</v>
      </c>
      <c r="C662" s="24" t="inlineStr">
        <is>
          <t>C026-11</t>
        </is>
      </c>
      <c r="D662" s="24" t="inlineStr">
        <is>
          <t>Valley Foods</t>
        </is>
      </c>
      <c r="E662" s="25" t="n">
        <v>1244.23</v>
      </c>
      <c r="F662" s="25" t="n">
        <v>1074.72</v>
      </c>
      <c r="G662" s="25" t="n">
        <v>169.51</v>
      </c>
    </row>
    <row r="663">
      <c r="A663" s="23" t="n">
        <v>46280</v>
      </c>
      <c r="B663" s="23" t="n">
        <v>46279</v>
      </c>
      <c r="C663" s="24" t="inlineStr">
        <is>
          <t>C026-12</t>
        </is>
      </c>
      <c r="D663" s="24" t="inlineStr">
        <is>
          <t>Valley Foods</t>
        </is>
      </c>
      <c r="E663" s="25" t="n">
        <v>1691.64</v>
      </c>
      <c r="F663" s="25" t="n">
        <v>1461.17</v>
      </c>
      <c r="G663" s="25" t="n">
        <v>230.47</v>
      </c>
    </row>
    <row r="664">
      <c r="A664" s="23" t="n">
        <v>46212</v>
      </c>
      <c r="B664" s="23" t="n">
        <v>46209</v>
      </c>
      <c r="C664" s="24" t="inlineStr">
        <is>
          <t>C026-13</t>
        </is>
      </c>
      <c r="D664" s="24" t="inlineStr">
        <is>
          <t>Valley Foods</t>
        </is>
      </c>
      <c r="E664" s="25" t="n">
        <v>2146.7</v>
      </c>
      <c r="F664" s="25" t="n">
        <v>1854.24</v>
      </c>
      <c r="G664" s="25" t="n">
        <v>292.46</v>
      </c>
    </row>
    <row r="665">
      <c r="A665" s="23" t="n">
        <v>46282</v>
      </c>
      <c r="B665" s="23" t="n">
        <v>46279</v>
      </c>
      <c r="C665" s="24" t="inlineStr">
        <is>
          <t>C026-14</t>
        </is>
      </c>
      <c r="D665" s="24" t="inlineStr">
        <is>
          <t>Valley Foods</t>
        </is>
      </c>
      <c r="E665" s="25" t="n">
        <v>996.72</v>
      </c>
      <c r="F665" s="25" t="n">
        <v>860.9299999999999</v>
      </c>
      <c r="G665" s="25" t="n">
        <v>135.79</v>
      </c>
    </row>
    <row r="666">
      <c r="A666" s="23" t="n">
        <v>46267</v>
      </c>
      <c r="B666" s="23" t="n">
        <v>46265</v>
      </c>
      <c r="C666" s="24" t="inlineStr">
        <is>
          <t>C026-15</t>
        </is>
      </c>
      <c r="D666" s="24" t="inlineStr">
        <is>
          <t>Valley Foods</t>
        </is>
      </c>
      <c r="E666" s="25" t="n">
        <v>1692.35</v>
      </c>
      <c r="F666" s="25" t="n">
        <v>1461.79</v>
      </c>
      <c r="G666" s="25" t="n">
        <v>230.56</v>
      </c>
    </row>
    <row r="667">
      <c r="A667" s="23" t="n">
        <v>46238</v>
      </c>
      <c r="B667" s="23" t="n">
        <v>46237</v>
      </c>
      <c r="C667" s="24" t="inlineStr">
        <is>
          <t>C026-16</t>
        </is>
      </c>
      <c r="D667" s="24" t="inlineStr">
        <is>
          <t>Valley Foods</t>
        </is>
      </c>
      <c r="E667" s="25" t="n">
        <v>1501.36</v>
      </c>
      <c r="F667" s="25" t="n">
        <v>1296.82</v>
      </c>
      <c r="G667" s="25" t="n">
        <v>204.54</v>
      </c>
    </row>
    <row r="668">
      <c r="A668" s="23" t="n">
        <v>46250</v>
      </c>
      <c r="B668" s="23" t="n">
        <v>46244</v>
      </c>
      <c r="C668" s="24" t="inlineStr">
        <is>
          <t>C026-17</t>
        </is>
      </c>
      <c r="D668" s="24" t="inlineStr">
        <is>
          <t>Valley Foods</t>
        </is>
      </c>
      <c r="E668" s="25" t="n">
        <v>1977.93</v>
      </c>
      <c r="F668" s="25" t="n">
        <v>1708.46</v>
      </c>
      <c r="G668" s="25" t="n">
        <v>269.47</v>
      </c>
    </row>
    <row r="669">
      <c r="A669" s="23" t="n">
        <v>46201</v>
      </c>
      <c r="B669" s="23" t="n">
        <v>46195</v>
      </c>
      <c r="C669" s="24" t="inlineStr">
        <is>
          <t>C026-18</t>
        </is>
      </c>
      <c r="D669" s="24" t="inlineStr">
        <is>
          <t>Valley Foods</t>
        </is>
      </c>
      <c r="E669" s="25" t="n">
        <v>1317.8</v>
      </c>
      <c r="F669" s="25" t="n">
        <v>1138.26</v>
      </c>
      <c r="G669" s="25" t="n">
        <v>179.54</v>
      </c>
    </row>
    <row r="670">
      <c r="A670" s="23" t="n">
        <v>46256</v>
      </c>
      <c r="B670" s="23" t="n">
        <v>46251</v>
      </c>
      <c r="C670" s="24" t="inlineStr">
        <is>
          <t>C026-19</t>
        </is>
      </c>
      <c r="D670" s="24" t="inlineStr">
        <is>
          <t>Valley Foods</t>
        </is>
      </c>
      <c r="E670" s="25" t="n">
        <v>2269.97</v>
      </c>
      <c r="F670" s="25" t="n">
        <v>1960.71</v>
      </c>
      <c r="G670" s="25" t="n">
        <v>309.26</v>
      </c>
    </row>
    <row r="671">
      <c r="A671" s="23" t="n">
        <v>46266</v>
      </c>
      <c r="B671" s="23" t="n">
        <v>46265</v>
      </c>
      <c r="C671" s="24" t="inlineStr">
        <is>
          <t>C027-0</t>
        </is>
      </c>
      <c r="D671" s="24" t="inlineStr">
        <is>
          <t>Valley Mart</t>
        </is>
      </c>
      <c r="E671" s="25" t="n">
        <v>1552.47</v>
      </c>
      <c r="F671" s="25" t="n">
        <v>1266.42</v>
      </c>
      <c r="G671" s="25" t="n">
        <v>286.05</v>
      </c>
    </row>
    <row r="672">
      <c r="A672" s="23" t="n">
        <v>46253</v>
      </c>
      <c r="B672" s="23" t="n">
        <v>46251</v>
      </c>
      <c r="C672" s="24" t="inlineStr">
        <is>
          <t>C027-1</t>
        </is>
      </c>
      <c r="D672" s="24" t="inlineStr">
        <is>
          <t>Valley Mart</t>
        </is>
      </c>
      <c r="E672" s="25" t="n">
        <v>1788.83</v>
      </c>
      <c r="F672" s="25" t="n">
        <v>1459.23</v>
      </c>
      <c r="G672" s="25" t="n">
        <v>329.6</v>
      </c>
    </row>
    <row r="673">
      <c r="A673" s="23" t="n">
        <v>46243</v>
      </c>
      <c r="B673" s="23" t="n">
        <v>46237</v>
      </c>
      <c r="C673" s="24" t="inlineStr">
        <is>
          <t>C027-2</t>
        </is>
      </c>
      <c r="D673" s="24" t="inlineStr">
        <is>
          <t>Valley Mart</t>
        </is>
      </c>
      <c r="E673" s="25" t="n">
        <v>1110.65</v>
      </c>
      <c r="F673" s="25" t="n">
        <v>906.01</v>
      </c>
      <c r="G673" s="25" t="n">
        <v>204.64</v>
      </c>
    </row>
    <row r="674">
      <c r="A674" s="23" t="n">
        <v>46201</v>
      </c>
      <c r="B674" s="23" t="n">
        <v>46195</v>
      </c>
      <c r="C674" s="24" t="inlineStr">
        <is>
          <t>C027-3</t>
        </is>
      </c>
      <c r="D674" s="24" t="inlineStr">
        <is>
          <t>Valley Mart</t>
        </is>
      </c>
      <c r="E674" s="25" t="n">
        <v>1489.33</v>
      </c>
      <c r="F674" s="25" t="n">
        <v>1214.91</v>
      </c>
      <c r="G674" s="25" t="n">
        <v>274.42</v>
      </c>
    </row>
    <row r="675">
      <c r="A675" s="23" t="n">
        <v>46264</v>
      </c>
      <c r="B675" s="23" t="n">
        <v>46258</v>
      </c>
      <c r="C675" s="24" t="inlineStr">
        <is>
          <t>C027-4</t>
        </is>
      </c>
      <c r="D675" s="24" t="inlineStr">
        <is>
          <t>Valley Mart</t>
        </is>
      </c>
      <c r="E675" s="25" t="n">
        <v>1396.8</v>
      </c>
      <c r="F675" s="25" t="n">
        <v>1139.43</v>
      </c>
      <c r="G675" s="25" t="n">
        <v>257.37</v>
      </c>
    </row>
    <row r="676">
      <c r="A676" s="23" t="n">
        <v>46284</v>
      </c>
      <c r="B676" s="23" t="n">
        <v>46279</v>
      </c>
      <c r="C676" s="24" t="inlineStr">
        <is>
          <t>C027-5</t>
        </is>
      </c>
      <c r="D676" s="24" t="inlineStr">
        <is>
          <t>Valley Mart</t>
        </is>
      </c>
      <c r="E676" s="25" t="n">
        <v>1632.03</v>
      </c>
      <c r="F676" s="25" t="n">
        <v>1331.32</v>
      </c>
      <c r="G676" s="25" t="n">
        <v>300.71</v>
      </c>
    </row>
    <row r="677">
      <c r="A677" s="23" t="n">
        <v>46254</v>
      </c>
      <c r="B677" s="23" t="n">
        <v>46251</v>
      </c>
      <c r="C677" s="24" t="inlineStr">
        <is>
          <t>C027-6</t>
        </is>
      </c>
      <c r="D677" s="24" t="inlineStr">
        <is>
          <t>Valley Mart</t>
        </is>
      </c>
      <c r="E677" s="25" t="n">
        <v>842.98</v>
      </c>
      <c r="F677" s="25" t="n">
        <v>687.66</v>
      </c>
      <c r="G677" s="25" t="n">
        <v>155.32</v>
      </c>
    </row>
    <row r="678">
      <c r="A678" s="23" t="n">
        <v>46290</v>
      </c>
      <c r="B678" s="23" t="n">
        <v>46286</v>
      </c>
      <c r="C678" s="24" t="inlineStr">
        <is>
          <t>C027-7</t>
        </is>
      </c>
      <c r="D678" s="24" t="inlineStr">
        <is>
          <t>Valley Mart</t>
        </is>
      </c>
      <c r="E678" s="25" t="n">
        <v>1579.49</v>
      </c>
      <c r="F678" s="25" t="n">
        <v>1288.46</v>
      </c>
      <c r="G678" s="25" t="n">
        <v>291.03</v>
      </c>
    </row>
    <row r="679">
      <c r="A679" s="23" t="n">
        <v>46207</v>
      </c>
      <c r="B679" s="23" t="n">
        <v>46202</v>
      </c>
      <c r="C679" s="24" t="inlineStr">
        <is>
          <t>C027-8</t>
        </is>
      </c>
      <c r="D679" s="24" t="inlineStr">
        <is>
          <t>Valley Mart</t>
        </is>
      </c>
      <c r="E679" s="25" t="n">
        <v>1020.41</v>
      </c>
      <c r="F679" s="25" t="n">
        <v>832.4</v>
      </c>
      <c r="G679" s="25" t="n">
        <v>188.01</v>
      </c>
    </row>
    <row r="680">
      <c r="A680" s="23" t="n">
        <v>46250</v>
      </c>
      <c r="B680" s="23" t="n">
        <v>46244</v>
      </c>
      <c r="C680" s="24" t="inlineStr">
        <is>
          <t>C027-9</t>
        </is>
      </c>
      <c r="D680" s="24" t="inlineStr">
        <is>
          <t>Valley Mart</t>
        </is>
      </c>
      <c r="E680" s="25" t="n">
        <v>1390.71</v>
      </c>
      <c r="F680" s="25" t="n">
        <v>1134.46</v>
      </c>
      <c r="G680" s="25" t="n">
        <v>256.25</v>
      </c>
    </row>
    <row r="681">
      <c r="A681" s="23" t="n">
        <v>46217</v>
      </c>
      <c r="B681" s="23" t="n">
        <v>46216</v>
      </c>
      <c r="C681" s="24" t="inlineStr">
        <is>
          <t>C027-10</t>
        </is>
      </c>
      <c r="D681" s="24" t="inlineStr">
        <is>
          <t>Valley Mart</t>
        </is>
      </c>
      <c r="E681" s="25" t="n">
        <v>938.92</v>
      </c>
      <c r="F681" s="25" t="n">
        <v>765.92</v>
      </c>
      <c r="G681" s="25" t="n">
        <v>173</v>
      </c>
    </row>
    <row r="682">
      <c r="A682" s="23" t="n">
        <v>46249</v>
      </c>
      <c r="B682" s="23" t="n">
        <v>46244</v>
      </c>
      <c r="C682" s="24" t="inlineStr">
        <is>
          <t>C027-11</t>
        </is>
      </c>
      <c r="D682" s="24" t="inlineStr">
        <is>
          <t>Valley Mart</t>
        </is>
      </c>
      <c r="E682" s="25" t="n">
        <v>1219.37</v>
      </c>
      <c r="F682" s="25" t="n">
        <v>994.6900000000001</v>
      </c>
      <c r="G682" s="25" t="n">
        <v>224.68</v>
      </c>
    </row>
    <row r="683">
      <c r="A683" s="23" t="n">
        <v>46257</v>
      </c>
      <c r="B683" s="23" t="n">
        <v>46251</v>
      </c>
      <c r="C683" s="24" t="inlineStr">
        <is>
          <t>C027-12</t>
        </is>
      </c>
      <c r="D683" s="24" t="inlineStr">
        <is>
          <t>Valley Mart</t>
        </is>
      </c>
      <c r="E683" s="25" t="n">
        <v>1024.6</v>
      </c>
      <c r="F683" s="25" t="n">
        <v>835.8099999999999</v>
      </c>
      <c r="G683" s="25" t="n">
        <v>188.79</v>
      </c>
    </row>
    <row r="684">
      <c r="A684" s="23" t="n">
        <v>46231</v>
      </c>
      <c r="B684" s="23" t="n">
        <v>46230</v>
      </c>
      <c r="C684" s="24" t="inlineStr">
        <is>
          <t>C027-13</t>
        </is>
      </c>
      <c r="D684" s="24" t="inlineStr">
        <is>
          <t>Valley Mart</t>
        </is>
      </c>
      <c r="E684" s="25" t="n">
        <v>1241.8</v>
      </c>
      <c r="F684" s="25" t="n">
        <v>1012.99</v>
      </c>
      <c r="G684" s="25" t="n">
        <v>228.81</v>
      </c>
    </row>
    <row r="685">
      <c r="A685" s="23" t="n">
        <v>46265</v>
      </c>
      <c r="B685" s="23" t="n">
        <v>46265</v>
      </c>
      <c r="C685" s="24" t="inlineStr">
        <is>
          <t>C027-14</t>
        </is>
      </c>
      <c r="D685" s="24" t="inlineStr">
        <is>
          <t>Valley Mart</t>
        </is>
      </c>
      <c r="E685" s="25" t="n">
        <v>1161.16</v>
      </c>
      <c r="F685" s="25" t="n">
        <v>947.21</v>
      </c>
      <c r="G685" s="25" t="n">
        <v>213.95</v>
      </c>
    </row>
    <row r="686">
      <c r="A686" s="23" t="n">
        <v>46248</v>
      </c>
      <c r="B686" s="23" t="n">
        <v>46244</v>
      </c>
      <c r="C686" s="24" t="inlineStr">
        <is>
          <t>C027-15</t>
        </is>
      </c>
      <c r="D686" s="24" t="inlineStr">
        <is>
          <t>Valley Mart</t>
        </is>
      </c>
      <c r="E686" s="25" t="n">
        <v>1280.18</v>
      </c>
      <c r="F686" s="25" t="n">
        <v>1044.3</v>
      </c>
      <c r="G686" s="25" t="n">
        <v>235.88</v>
      </c>
    </row>
    <row r="687">
      <c r="A687" s="23" t="n">
        <v>46273</v>
      </c>
      <c r="B687" s="23" t="n">
        <v>46272</v>
      </c>
      <c r="C687" s="24" t="inlineStr">
        <is>
          <t>C027-16</t>
        </is>
      </c>
      <c r="D687" s="24" t="inlineStr">
        <is>
          <t>Valley Mart</t>
        </is>
      </c>
      <c r="E687" s="25" t="n">
        <v>1890.83</v>
      </c>
      <c r="F687" s="25" t="n">
        <v>1542.43</v>
      </c>
      <c r="G687" s="25" t="n">
        <v>348.4</v>
      </c>
    </row>
    <row r="688">
      <c r="A688" s="23" t="n">
        <v>46286</v>
      </c>
      <c r="B688" s="23" t="n">
        <v>46286</v>
      </c>
      <c r="C688" s="24" t="inlineStr">
        <is>
          <t>C028-0</t>
        </is>
      </c>
      <c r="D688" s="24" t="inlineStr">
        <is>
          <t>Valley Cafe</t>
        </is>
      </c>
      <c r="E688" s="25" t="n">
        <v>1536.99</v>
      </c>
      <c r="F688" s="25" t="n">
        <v>1322.11</v>
      </c>
      <c r="G688" s="25" t="n">
        <v>214.88</v>
      </c>
    </row>
    <row r="689">
      <c r="A689" s="23" t="n">
        <v>46273</v>
      </c>
      <c r="B689" s="23" t="n">
        <v>46272</v>
      </c>
      <c r="C689" s="24" t="inlineStr">
        <is>
          <t>C028-1</t>
        </is>
      </c>
      <c r="D689" s="24" t="inlineStr">
        <is>
          <t>Valley Cafe</t>
        </is>
      </c>
      <c r="E689" s="25" t="n">
        <v>1944.78</v>
      </c>
      <c r="F689" s="25" t="n">
        <v>1672.88</v>
      </c>
      <c r="G689" s="25" t="n">
        <v>271.9</v>
      </c>
    </row>
    <row r="690">
      <c r="A690" s="23" t="n">
        <v>46243</v>
      </c>
      <c r="B690" s="23" t="n">
        <v>46237</v>
      </c>
      <c r="C690" s="24" t="inlineStr">
        <is>
          <t>C028-2</t>
        </is>
      </c>
      <c r="D690" s="24" t="inlineStr">
        <is>
          <t>Valley Cafe</t>
        </is>
      </c>
      <c r="E690" s="25" t="n">
        <v>3031.94</v>
      </c>
      <c r="F690" s="25" t="n">
        <v>2608.05</v>
      </c>
      <c r="G690" s="25" t="n">
        <v>423.89</v>
      </c>
    </row>
    <row r="691">
      <c r="A691" s="23" t="n">
        <v>46244</v>
      </c>
      <c r="B691" s="23" t="n">
        <v>46244</v>
      </c>
      <c r="C691" s="24" t="inlineStr">
        <is>
          <t>C028-3</t>
        </is>
      </c>
      <c r="D691" s="24" t="inlineStr">
        <is>
          <t>Valley Cafe</t>
        </is>
      </c>
      <c r="E691" s="25" t="n">
        <v>2377.71</v>
      </c>
      <c r="F691" s="25" t="n">
        <v>2045.28</v>
      </c>
      <c r="G691" s="25" t="n">
        <v>332.43</v>
      </c>
    </row>
    <row r="692">
      <c r="A692" s="23" t="n">
        <v>46235</v>
      </c>
      <c r="B692" s="23" t="n">
        <v>46230</v>
      </c>
      <c r="C692" s="24" t="inlineStr">
        <is>
          <t>C028-4</t>
        </is>
      </c>
      <c r="D692" s="24" t="inlineStr">
        <is>
          <t>Valley Cafe</t>
        </is>
      </c>
      <c r="E692" s="25" t="n">
        <v>2503.32</v>
      </c>
      <c r="F692" s="25" t="n">
        <v>2153.34</v>
      </c>
      <c r="G692" s="25" t="n">
        <v>349.98</v>
      </c>
    </row>
    <row r="693">
      <c r="A693" s="23" t="n">
        <v>46218</v>
      </c>
      <c r="B693" s="23" t="n">
        <v>46216</v>
      </c>
      <c r="C693" s="24" t="inlineStr">
        <is>
          <t>C028-5</t>
        </is>
      </c>
      <c r="D693" s="24" t="inlineStr">
        <is>
          <t>Valley Cafe</t>
        </is>
      </c>
      <c r="E693" s="25" t="n">
        <v>2998.25</v>
      </c>
      <c r="F693" s="25" t="n">
        <v>2579.07</v>
      </c>
      <c r="G693" s="25" t="n">
        <v>419.18</v>
      </c>
    </row>
    <row r="694">
      <c r="A694" s="23" t="n">
        <v>46289</v>
      </c>
      <c r="B694" s="23" t="n">
        <v>46286</v>
      </c>
      <c r="C694" s="24" t="inlineStr">
        <is>
          <t>C028-6</t>
        </is>
      </c>
      <c r="D694" s="24" t="inlineStr">
        <is>
          <t>Valley Cafe</t>
        </is>
      </c>
      <c r="E694" s="25" t="n">
        <v>2333.8</v>
      </c>
      <c r="F694" s="25" t="n">
        <v>2007.51</v>
      </c>
      <c r="G694" s="25" t="n">
        <v>326.29</v>
      </c>
    </row>
    <row r="695">
      <c r="A695" s="23" t="n">
        <v>46251</v>
      </c>
      <c r="B695" s="23" t="n">
        <v>46251</v>
      </c>
      <c r="C695" s="24" t="inlineStr">
        <is>
          <t>C028-7</t>
        </is>
      </c>
      <c r="D695" s="24" t="inlineStr">
        <is>
          <t>Valley Cafe</t>
        </is>
      </c>
      <c r="E695" s="25" t="n">
        <v>2537.26</v>
      </c>
      <c r="F695" s="25" t="n">
        <v>2182.53</v>
      </c>
      <c r="G695" s="25" t="n">
        <v>354.73</v>
      </c>
    </row>
    <row r="696">
      <c r="A696" s="23" t="n">
        <v>46222</v>
      </c>
      <c r="B696" s="23" t="n">
        <v>46216</v>
      </c>
      <c r="C696" s="24" t="inlineStr">
        <is>
          <t>C028-8</t>
        </is>
      </c>
      <c r="D696" s="24" t="inlineStr">
        <is>
          <t>Valley Cafe</t>
        </is>
      </c>
      <c r="E696" s="25" t="n">
        <v>1875</v>
      </c>
      <c r="F696" s="25" t="n">
        <v>1612.86</v>
      </c>
      <c r="G696" s="25" t="n">
        <v>262.14</v>
      </c>
    </row>
    <row r="697">
      <c r="A697" s="23" t="n">
        <v>46242</v>
      </c>
      <c r="B697" s="23" t="n">
        <v>46237</v>
      </c>
      <c r="C697" s="24" t="inlineStr">
        <is>
          <t>C028-9</t>
        </is>
      </c>
      <c r="D697" s="24" t="inlineStr">
        <is>
          <t>Valley Cafe</t>
        </is>
      </c>
      <c r="E697" s="25" t="n">
        <v>2029.46</v>
      </c>
      <c r="F697" s="25" t="n">
        <v>1745.72</v>
      </c>
      <c r="G697" s="25" t="n">
        <v>283.74</v>
      </c>
    </row>
    <row r="698">
      <c r="A698" s="23" t="n">
        <v>46266</v>
      </c>
      <c r="B698" s="23" t="n">
        <v>46265</v>
      </c>
      <c r="C698" s="24" t="inlineStr">
        <is>
          <t>C028-10</t>
        </is>
      </c>
      <c r="D698" s="24" t="inlineStr">
        <is>
          <t>Valley Cafe</t>
        </is>
      </c>
      <c r="E698" s="25" t="n">
        <v>2094.62</v>
      </c>
      <c r="F698" s="25" t="n">
        <v>1801.78</v>
      </c>
      <c r="G698" s="25" t="n">
        <v>292.84</v>
      </c>
    </row>
    <row r="699">
      <c r="A699" s="23" t="n">
        <v>46250</v>
      </c>
      <c r="B699" s="23" t="n">
        <v>46244</v>
      </c>
      <c r="C699" s="24" t="inlineStr">
        <is>
          <t>C028-11</t>
        </is>
      </c>
      <c r="D699" s="24" t="inlineStr">
        <is>
          <t>Valley Cafe</t>
        </is>
      </c>
      <c r="E699" s="25" t="n">
        <v>2962.35</v>
      </c>
      <c r="F699" s="25" t="n">
        <v>2548.19</v>
      </c>
      <c r="G699" s="25" t="n">
        <v>414.16</v>
      </c>
    </row>
    <row r="700">
      <c r="A700" s="23" t="n">
        <v>46258</v>
      </c>
      <c r="B700" s="23" t="n">
        <v>46258</v>
      </c>
      <c r="C700" s="24" t="inlineStr">
        <is>
          <t>C028-12</t>
        </is>
      </c>
      <c r="D700" s="24" t="inlineStr">
        <is>
          <t>Valley Cafe</t>
        </is>
      </c>
      <c r="E700" s="25" t="n">
        <v>2694.52</v>
      </c>
      <c r="F700" s="25" t="n">
        <v>2317.8</v>
      </c>
      <c r="G700" s="25" t="n">
        <v>376.72</v>
      </c>
    </row>
    <row r="701">
      <c r="A701" s="23" t="n">
        <v>46283</v>
      </c>
      <c r="B701" s="23" t="n">
        <v>46279</v>
      </c>
      <c r="C701" s="24" t="inlineStr">
        <is>
          <t>C028-13</t>
        </is>
      </c>
      <c r="D701" s="24" t="inlineStr">
        <is>
          <t>Valley Cafe</t>
        </is>
      </c>
      <c r="E701" s="25" t="n">
        <v>2959.25</v>
      </c>
      <c r="F701" s="25" t="n">
        <v>2545.52</v>
      </c>
      <c r="G701" s="25" t="n">
        <v>413.73</v>
      </c>
    </row>
    <row r="702">
      <c r="A702" s="23" t="n">
        <v>46251</v>
      </c>
      <c r="B702" s="23" t="n">
        <v>46251</v>
      </c>
      <c r="C702" s="24" t="inlineStr">
        <is>
          <t>C028-14</t>
        </is>
      </c>
      <c r="D702" s="24" t="inlineStr">
        <is>
          <t>Valley Cafe</t>
        </is>
      </c>
      <c r="E702" s="25" t="n">
        <v>2502.96</v>
      </c>
      <c r="F702" s="25" t="n">
        <v>2153.03</v>
      </c>
      <c r="G702" s="25" t="n">
        <v>349.93</v>
      </c>
    </row>
    <row r="703">
      <c r="A703" s="23" t="n">
        <v>46237</v>
      </c>
      <c r="B703" s="23" t="n">
        <v>46237</v>
      </c>
      <c r="C703" s="24" t="inlineStr">
        <is>
          <t>C028-15</t>
        </is>
      </c>
      <c r="D703" s="24" t="inlineStr">
        <is>
          <t>Valley Cafe</t>
        </is>
      </c>
      <c r="E703" s="25" t="n">
        <v>3013.68</v>
      </c>
      <c r="F703" s="25" t="n">
        <v>2592.34</v>
      </c>
      <c r="G703" s="25" t="n">
        <v>421.34</v>
      </c>
    </row>
    <row r="704">
      <c r="A704" s="23" t="n">
        <v>46215</v>
      </c>
      <c r="B704" s="23" t="n">
        <v>46209</v>
      </c>
      <c r="C704" s="24" t="inlineStr">
        <is>
          <t>C029-0</t>
        </is>
      </c>
      <c r="D704" s="24" t="inlineStr">
        <is>
          <t>Valley Superette</t>
        </is>
      </c>
      <c r="E704" s="25" t="n">
        <v>1048</v>
      </c>
      <c r="F704" s="25" t="n">
        <v>833.91</v>
      </c>
      <c r="G704" s="25" t="n">
        <v>214.09</v>
      </c>
    </row>
    <row r="705">
      <c r="A705" s="23" t="n">
        <v>46211</v>
      </c>
      <c r="B705" s="23" t="n">
        <v>46209</v>
      </c>
      <c r="C705" s="24" t="inlineStr">
        <is>
          <t>C029-1</t>
        </is>
      </c>
      <c r="D705" s="24" t="inlineStr">
        <is>
          <t>Valley Superette</t>
        </is>
      </c>
      <c r="E705" s="25" t="n">
        <v>633.1</v>
      </c>
      <c r="F705" s="25" t="n">
        <v>503.77</v>
      </c>
      <c r="G705" s="25" t="n">
        <v>129.33</v>
      </c>
    </row>
    <row r="706">
      <c r="A706" s="23" t="n">
        <v>46267</v>
      </c>
      <c r="B706" s="23" t="n">
        <v>46265</v>
      </c>
      <c r="C706" s="24" t="inlineStr">
        <is>
          <t>C029-2</t>
        </is>
      </c>
      <c r="D706" s="24" t="inlineStr">
        <is>
          <t>Valley Superette</t>
        </is>
      </c>
      <c r="E706" s="25" t="n">
        <v>799.72</v>
      </c>
      <c r="F706" s="25" t="n">
        <v>636.35</v>
      </c>
      <c r="G706" s="25" t="n">
        <v>163.37</v>
      </c>
    </row>
    <row r="707">
      <c r="A707" s="23" t="n">
        <v>46214</v>
      </c>
      <c r="B707" s="23" t="n">
        <v>46209</v>
      </c>
      <c r="C707" s="24" t="inlineStr">
        <is>
          <t>C029-3</t>
        </is>
      </c>
      <c r="D707" s="24" t="inlineStr">
        <is>
          <t>Valley Superette</t>
        </is>
      </c>
      <c r="E707" s="25" t="n">
        <v>913.96</v>
      </c>
      <c r="F707" s="25" t="n">
        <v>727.25</v>
      </c>
      <c r="G707" s="25" t="n">
        <v>186.71</v>
      </c>
    </row>
    <row r="708">
      <c r="A708" s="23" t="n">
        <v>46248</v>
      </c>
      <c r="B708" s="23" t="n">
        <v>46244</v>
      </c>
      <c r="C708" s="24" t="inlineStr">
        <is>
          <t>C029-4</t>
        </is>
      </c>
      <c r="D708" s="24" t="inlineStr">
        <is>
          <t>Valley Superette</t>
        </is>
      </c>
      <c r="E708" s="25" t="n">
        <v>1053.76</v>
      </c>
      <c r="F708" s="25" t="n">
        <v>838.49</v>
      </c>
      <c r="G708" s="25" t="n">
        <v>215.27</v>
      </c>
    </row>
    <row r="709">
      <c r="A709" s="23" t="n">
        <v>46287</v>
      </c>
      <c r="B709" s="23" t="n">
        <v>46286</v>
      </c>
      <c r="C709" s="24" t="inlineStr">
        <is>
          <t>C029-5</t>
        </is>
      </c>
      <c r="D709" s="24" t="inlineStr">
        <is>
          <t>Valley Superette</t>
        </is>
      </c>
      <c r="E709" s="25" t="n">
        <v>1054.02</v>
      </c>
      <c r="F709" s="25" t="n">
        <v>838.7</v>
      </c>
      <c r="G709" s="25" t="n">
        <v>215.32</v>
      </c>
    </row>
    <row r="710">
      <c r="A710" s="23" t="n">
        <v>46279</v>
      </c>
      <c r="B710" s="23" t="n">
        <v>46279</v>
      </c>
      <c r="C710" s="24" t="inlineStr">
        <is>
          <t>C029-6</t>
        </is>
      </c>
      <c r="D710" s="24" t="inlineStr">
        <is>
          <t>Valley Superette</t>
        </is>
      </c>
      <c r="E710" s="25" t="n">
        <v>588</v>
      </c>
      <c r="F710" s="25" t="n">
        <v>467.88</v>
      </c>
      <c r="G710" s="25" t="n">
        <v>120.12</v>
      </c>
    </row>
    <row r="711">
      <c r="A711" s="23" t="n">
        <v>46271</v>
      </c>
      <c r="B711" s="23" t="n">
        <v>46265</v>
      </c>
      <c r="C711" s="24" t="inlineStr">
        <is>
          <t>C029-7</t>
        </is>
      </c>
      <c r="D711" s="24" t="inlineStr">
        <is>
          <t>Valley Superette</t>
        </is>
      </c>
      <c r="E711" s="25" t="n">
        <v>566.5700000000001</v>
      </c>
      <c r="F711" s="25" t="n">
        <v>450.83</v>
      </c>
      <c r="G711" s="25" t="n">
        <v>115.74</v>
      </c>
    </row>
    <row r="712">
      <c r="A712" s="23" t="n">
        <v>46206</v>
      </c>
      <c r="B712" s="23" t="n">
        <v>46202</v>
      </c>
      <c r="C712" s="24" t="inlineStr">
        <is>
          <t>C029-8</t>
        </is>
      </c>
      <c r="D712" s="24" t="inlineStr">
        <is>
          <t>Valley Superette</t>
        </is>
      </c>
      <c r="E712" s="25" t="n">
        <v>875.42</v>
      </c>
      <c r="F712" s="25" t="n">
        <v>696.59</v>
      </c>
      <c r="G712" s="25" t="n">
        <v>178.83</v>
      </c>
    </row>
    <row r="713">
      <c r="A713" s="23" t="n">
        <v>46216</v>
      </c>
      <c r="B713" s="23" t="n">
        <v>46216</v>
      </c>
      <c r="C713" s="24" t="inlineStr">
        <is>
          <t>C029-9</t>
        </is>
      </c>
      <c r="D713" s="24" t="inlineStr">
        <is>
          <t>Valley Superette</t>
        </is>
      </c>
      <c r="E713" s="25" t="n">
        <v>648.83</v>
      </c>
      <c r="F713" s="25" t="n">
        <v>516.28</v>
      </c>
      <c r="G713" s="25" t="n">
        <v>132.55</v>
      </c>
    </row>
    <row r="714">
      <c r="A714" s="23" t="n">
        <v>46272</v>
      </c>
      <c r="B714" s="23" t="n">
        <v>46272</v>
      </c>
      <c r="C714" s="24" t="inlineStr">
        <is>
          <t>C029-10</t>
        </is>
      </c>
      <c r="D714" s="24" t="inlineStr">
        <is>
          <t>Valley Superette</t>
        </is>
      </c>
      <c r="E714" s="25" t="n">
        <v>538.78</v>
      </c>
      <c r="F714" s="25" t="n">
        <v>428.71</v>
      </c>
      <c r="G714" s="25" t="n">
        <v>110.07</v>
      </c>
    </row>
    <row r="715">
      <c r="A715" s="23" t="n">
        <v>46254</v>
      </c>
      <c r="B715" s="23" t="n">
        <v>46251</v>
      </c>
      <c r="C715" s="24" t="inlineStr">
        <is>
          <t>C029-11</t>
        </is>
      </c>
      <c r="D715" s="24" t="inlineStr">
        <is>
          <t>Valley Superette</t>
        </is>
      </c>
      <c r="E715" s="25" t="n">
        <v>1144.06</v>
      </c>
      <c r="F715" s="25" t="n">
        <v>910.35</v>
      </c>
      <c r="G715" s="25" t="n">
        <v>233.71</v>
      </c>
    </row>
    <row r="716">
      <c r="A716" s="23" t="n">
        <v>46221</v>
      </c>
      <c r="B716" s="23" t="n">
        <v>46216</v>
      </c>
      <c r="C716" s="24" t="inlineStr">
        <is>
          <t>C029-12</t>
        </is>
      </c>
      <c r="D716" s="24" t="inlineStr">
        <is>
          <t>Valley Superette</t>
        </is>
      </c>
      <c r="E716" s="25" t="n">
        <v>504.71</v>
      </c>
      <c r="F716" s="25" t="n">
        <v>401.61</v>
      </c>
      <c r="G716" s="25" t="n">
        <v>103.1</v>
      </c>
    </row>
    <row r="717">
      <c r="A717" s="23" t="n">
        <v>46271</v>
      </c>
      <c r="B717" s="23" t="n">
        <v>46265</v>
      </c>
      <c r="C717" s="24" t="inlineStr">
        <is>
          <t>C029-13</t>
        </is>
      </c>
      <c r="D717" s="24" t="inlineStr">
        <is>
          <t>Valley Superette</t>
        </is>
      </c>
      <c r="E717" s="25" t="n">
        <v>1141.95</v>
      </c>
      <c r="F717" s="25" t="n">
        <v>908.67</v>
      </c>
      <c r="G717" s="25" t="n">
        <v>233.28</v>
      </c>
    </row>
    <row r="718">
      <c r="A718" s="23" t="n">
        <v>46257</v>
      </c>
      <c r="B718" s="23" t="n">
        <v>46251</v>
      </c>
      <c r="C718" s="24" t="inlineStr">
        <is>
          <t>C029-14</t>
        </is>
      </c>
      <c r="D718" s="24" t="inlineStr">
        <is>
          <t>Valley Superette</t>
        </is>
      </c>
      <c r="E718" s="25" t="n">
        <v>916.87</v>
      </c>
      <c r="F718" s="25" t="n">
        <v>729.5700000000001</v>
      </c>
      <c r="G718" s="25" t="n">
        <v>187.3</v>
      </c>
    </row>
    <row r="719">
      <c r="A719" s="23" t="n">
        <v>46287</v>
      </c>
      <c r="B719" s="23" t="n">
        <v>46286</v>
      </c>
      <c r="C719" s="24" t="inlineStr">
        <is>
          <t>C029-15</t>
        </is>
      </c>
      <c r="D719" s="24" t="inlineStr">
        <is>
          <t>Valley Superette</t>
        </is>
      </c>
      <c r="E719" s="25" t="n">
        <v>519.62</v>
      </c>
      <c r="F719" s="25" t="n">
        <v>413.47</v>
      </c>
      <c r="G719" s="25" t="n">
        <v>106.15</v>
      </c>
    </row>
    <row r="720">
      <c r="A720" s="23" t="n">
        <v>46228</v>
      </c>
      <c r="B720" s="23" t="n">
        <v>46223</v>
      </c>
      <c r="C720" s="24" t="inlineStr">
        <is>
          <t>C029-16</t>
        </is>
      </c>
      <c r="D720" s="24" t="inlineStr">
        <is>
          <t>Valley Superette</t>
        </is>
      </c>
      <c r="E720" s="25" t="n">
        <v>672.51</v>
      </c>
      <c r="F720" s="25" t="n">
        <v>535.12</v>
      </c>
      <c r="G720" s="25" t="n">
        <v>137.39</v>
      </c>
    </row>
    <row r="721">
      <c r="A721" s="23" t="n">
        <v>46285</v>
      </c>
      <c r="B721" s="23" t="n">
        <v>46279</v>
      </c>
      <c r="C721" s="24" t="inlineStr">
        <is>
          <t>C029-17</t>
        </is>
      </c>
      <c r="D721" s="24" t="inlineStr">
        <is>
          <t>Valley Superette</t>
        </is>
      </c>
      <c r="E721" s="25" t="n">
        <v>1144.56</v>
      </c>
      <c r="F721" s="25" t="n">
        <v>910.74</v>
      </c>
      <c r="G721" s="25" t="n">
        <v>233.82</v>
      </c>
    </row>
    <row r="722">
      <c r="A722" s="23" t="n">
        <v>46239</v>
      </c>
      <c r="B722" s="23" t="n">
        <v>46237</v>
      </c>
      <c r="C722" s="24" t="inlineStr">
        <is>
          <t>C029-18</t>
        </is>
      </c>
      <c r="D722" s="24" t="inlineStr">
        <is>
          <t>Valley Superette</t>
        </is>
      </c>
      <c r="E722" s="25" t="n">
        <v>906.03</v>
      </c>
      <c r="F722" s="25" t="n">
        <v>720.9400000000001</v>
      </c>
      <c r="G722" s="25" t="n">
        <v>185.09</v>
      </c>
    </row>
    <row r="723">
      <c r="A723" s="23" t="n">
        <v>46257</v>
      </c>
      <c r="B723" s="23" t="n">
        <v>46251</v>
      </c>
      <c r="C723" s="24" t="inlineStr">
        <is>
          <t>C029-19</t>
        </is>
      </c>
      <c r="D723" s="24" t="inlineStr">
        <is>
          <t>Valley Superette</t>
        </is>
      </c>
      <c r="E723" s="25" t="n">
        <v>658.63</v>
      </c>
      <c r="F723" s="25" t="n">
        <v>524.08</v>
      </c>
      <c r="G723" s="25" t="n">
        <v>134.55</v>
      </c>
    </row>
    <row r="724">
      <c r="A724" s="23" t="n">
        <v>46236</v>
      </c>
      <c r="B724" s="23" t="n">
        <v>46230</v>
      </c>
      <c r="C724" s="24" t="inlineStr">
        <is>
          <t>C029-20</t>
        </is>
      </c>
      <c r="D724" s="24" t="inlineStr">
        <is>
          <t>Valley Superette</t>
        </is>
      </c>
      <c r="E724" s="25" t="n">
        <v>548.0700000000001</v>
      </c>
      <c r="F724" s="25" t="n">
        <v>436.11</v>
      </c>
      <c r="G724" s="25" t="n">
        <v>111.96</v>
      </c>
    </row>
    <row r="725">
      <c r="A725" s="23" t="n">
        <v>46201</v>
      </c>
      <c r="B725" s="23" t="n">
        <v>46195</v>
      </c>
      <c r="C725" s="24" t="inlineStr">
        <is>
          <t>C029-21</t>
        </is>
      </c>
      <c r="D725" s="24" t="inlineStr">
        <is>
          <t>Valley Superette</t>
        </is>
      </c>
      <c r="E725" s="25" t="n">
        <v>1073.51</v>
      </c>
      <c r="F725" s="25" t="n">
        <v>854.21</v>
      </c>
      <c r="G725" s="25" t="n">
        <v>219.3</v>
      </c>
    </row>
    <row r="726">
      <c r="A726" s="23" t="n">
        <v>46251</v>
      </c>
      <c r="B726" s="23" t="n">
        <v>46251</v>
      </c>
      <c r="C726" s="24" t="inlineStr">
        <is>
          <t>C029-22</t>
        </is>
      </c>
      <c r="D726" s="24" t="inlineStr">
        <is>
          <t>Valley Superette</t>
        </is>
      </c>
      <c r="E726" s="25" t="n">
        <v>745.87</v>
      </c>
      <c r="F726" s="25" t="n">
        <v>593.5</v>
      </c>
      <c r="G726" s="25" t="n">
        <v>152.37</v>
      </c>
    </row>
    <row r="727">
      <c r="A727" s="23" t="n">
        <v>46270</v>
      </c>
      <c r="B727" s="23" t="n">
        <v>46265</v>
      </c>
      <c r="C727" s="24" t="inlineStr">
        <is>
          <t>C029-23</t>
        </is>
      </c>
      <c r="D727" s="24" t="inlineStr">
        <is>
          <t>Valley Superette</t>
        </is>
      </c>
      <c r="E727" s="25" t="n">
        <v>839.4299999999999</v>
      </c>
      <c r="F727" s="25" t="n">
        <v>667.95</v>
      </c>
      <c r="G727" s="25" t="n">
        <v>171.48</v>
      </c>
    </row>
    <row r="728">
      <c r="A728" s="23" t="n">
        <v>46278</v>
      </c>
      <c r="B728" s="23" t="n">
        <v>46272</v>
      </c>
      <c r="C728" s="24" t="inlineStr">
        <is>
          <t>C029-24</t>
        </is>
      </c>
      <c r="D728" s="24" t="inlineStr">
        <is>
          <t>Valley Superette</t>
        </is>
      </c>
      <c r="E728" s="25" t="n">
        <v>588.14</v>
      </c>
      <c r="F728" s="25" t="n">
        <v>467.99</v>
      </c>
      <c r="G728" s="25" t="n">
        <v>120.15</v>
      </c>
    </row>
    <row r="729">
      <c r="A729" s="23" t="n">
        <v>46209</v>
      </c>
      <c r="B729" s="23" t="n">
        <v>46209</v>
      </c>
      <c r="C729" s="24" t="inlineStr">
        <is>
          <t>C029-25</t>
        </is>
      </c>
      <c r="D729" s="24" t="inlineStr">
        <is>
          <t>Valley Superette</t>
        </is>
      </c>
      <c r="E729" s="25" t="n">
        <v>1041.27</v>
      </c>
      <c r="F729" s="25" t="n">
        <v>828.5599999999999</v>
      </c>
      <c r="G729" s="25" t="n">
        <v>212.71</v>
      </c>
    </row>
    <row r="730">
      <c r="A730" s="23" t="n">
        <v>46225</v>
      </c>
      <c r="B730" s="23" t="n">
        <v>46223</v>
      </c>
      <c r="C730" s="24" t="inlineStr">
        <is>
          <t>C029-26</t>
        </is>
      </c>
      <c r="D730" s="24" t="inlineStr">
        <is>
          <t>Valley Superette</t>
        </is>
      </c>
      <c r="E730" s="25" t="n">
        <v>1112.73</v>
      </c>
      <c r="F730" s="25" t="n">
        <v>885.42</v>
      </c>
      <c r="G730" s="25" t="n">
        <v>227.31</v>
      </c>
    </row>
    <row r="731">
      <c r="A731" s="23" t="n">
        <v>46219</v>
      </c>
      <c r="B731" s="23" t="n">
        <v>46216</v>
      </c>
      <c r="C731" s="24" t="inlineStr">
        <is>
          <t>C029-27</t>
        </is>
      </c>
      <c r="D731" s="24" t="inlineStr">
        <is>
          <t>Valley Superette</t>
        </is>
      </c>
      <c r="E731" s="25" t="n">
        <v>974.03</v>
      </c>
      <c r="F731" s="25" t="n">
        <v>775.05</v>
      </c>
      <c r="G731" s="25" t="n">
        <v>198.98</v>
      </c>
    </row>
    <row r="732">
      <c r="A732" s="23" t="n">
        <v>46252</v>
      </c>
      <c r="B732" s="23" t="n">
        <v>46251</v>
      </c>
      <c r="C732" s="24" t="inlineStr">
        <is>
          <t>C029-28</t>
        </is>
      </c>
      <c r="D732" s="24" t="inlineStr">
        <is>
          <t>Valley Superette</t>
        </is>
      </c>
      <c r="E732" s="25" t="n">
        <v>962.91</v>
      </c>
      <c r="F732" s="25" t="n">
        <v>766.2</v>
      </c>
      <c r="G732" s="25" t="n">
        <v>196.71</v>
      </c>
    </row>
    <row r="733">
      <c r="A733" s="23" t="n">
        <v>46240</v>
      </c>
      <c r="B733" s="23" t="n">
        <v>46237</v>
      </c>
      <c r="C733" s="24" t="inlineStr">
        <is>
          <t>C029-29</t>
        </is>
      </c>
      <c r="D733" s="24" t="inlineStr">
        <is>
          <t>Valley Superette</t>
        </is>
      </c>
      <c r="E733" s="25" t="n">
        <v>934.5599999999999</v>
      </c>
      <c r="F733" s="25" t="n">
        <v>743.64</v>
      </c>
      <c r="G733" s="25" t="n">
        <v>190.92</v>
      </c>
    </row>
    <row r="734">
      <c r="A734" s="23" t="n">
        <v>46229</v>
      </c>
      <c r="B734" s="23" t="n">
        <v>46223</v>
      </c>
      <c r="C734" s="24" t="inlineStr">
        <is>
          <t>C029-30</t>
        </is>
      </c>
      <c r="D734" s="24" t="inlineStr">
        <is>
          <t>Valley Superette</t>
        </is>
      </c>
      <c r="E734" s="25" t="n">
        <v>1029.08</v>
      </c>
      <c r="F734" s="25" t="n">
        <v>818.86</v>
      </c>
      <c r="G734" s="25" t="n">
        <v>210.22</v>
      </c>
    </row>
    <row r="735">
      <c r="A735" s="23" t="n">
        <v>46256</v>
      </c>
      <c r="B735" s="23" t="n">
        <v>46251</v>
      </c>
      <c r="C735" s="24" t="inlineStr">
        <is>
          <t>C029-31</t>
        </is>
      </c>
      <c r="D735" s="24" t="inlineStr">
        <is>
          <t>Valley Superette</t>
        </is>
      </c>
      <c r="E735" s="25" t="n">
        <v>1166.99</v>
      </c>
      <c r="F735" s="25" t="n">
        <v>928.59</v>
      </c>
      <c r="G735" s="25" t="n">
        <v>238.4</v>
      </c>
    </row>
    <row r="736">
      <c r="A736" s="23" t="n">
        <v>46233</v>
      </c>
      <c r="B736" s="23" t="n">
        <v>46230</v>
      </c>
      <c r="C736" s="24" t="inlineStr">
        <is>
          <t>C029-32</t>
        </is>
      </c>
      <c r="D736" s="24" t="inlineStr">
        <is>
          <t>Valley Superette</t>
        </is>
      </c>
      <c r="E736" s="25" t="n">
        <v>624.05</v>
      </c>
      <c r="F736" s="25" t="n">
        <v>496.57</v>
      </c>
      <c r="G736" s="25" t="n">
        <v>127.48</v>
      </c>
    </row>
    <row r="737">
      <c r="A737" s="23" t="n">
        <v>46227</v>
      </c>
      <c r="B737" s="23" t="n">
        <v>46223</v>
      </c>
      <c r="C737" s="24" t="inlineStr">
        <is>
          <t>C029-33</t>
        </is>
      </c>
      <c r="D737" s="24" t="inlineStr">
        <is>
          <t>Valley Superette</t>
        </is>
      </c>
      <c r="E737" s="25" t="n">
        <v>559.14</v>
      </c>
      <c r="F737" s="25" t="n">
        <v>444.92</v>
      </c>
      <c r="G737" s="25" t="n">
        <v>114.22</v>
      </c>
    </row>
    <row r="738">
      <c r="A738" s="23" t="n">
        <v>46249</v>
      </c>
      <c r="B738" s="23" t="n">
        <v>46244</v>
      </c>
      <c r="C738" s="24" t="inlineStr">
        <is>
          <t>C029-34</t>
        </is>
      </c>
      <c r="D738" s="24" t="inlineStr">
        <is>
          <t>Valley Superette</t>
        </is>
      </c>
      <c r="E738" s="25" t="n">
        <v>600.92</v>
      </c>
      <c r="F738" s="25" t="n">
        <v>478.16</v>
      </c>
      <c r="G738" s="25" t="n">
        <v>122.76</v>
      </c>
    </row>
    <row r="739">
      <c r="A739" s="23" t="n">
        <v>46286</v>
      </c>
      <c r="B739" s="23" t="n">
        <v>46286</v>
      </c>
      <c r="C739" s="24" t="inlineStr">
        <is>
          <t>C029-35</t>
        </is>
      </c>
      <c r="D739" s="24" t="inlineStr">
        <is>
          <t>Valley Superette</t>
        </is>
      </c>
      <c r="E739" s="25" t="n">
        <v>1092.29</v>
      </c>
      <c r="F739" s="25" t="n">
        <v>869.15</v>
      </c>
      <c r="G739" s="25" t="n">
        <v>223.14</v>
      </c>
    </row>
    <row r="740">
      <c r="A740" s="23" t="n">
        <v>46265</v>
      </c>
      <c r="B740" s="23" t="n">
        <v>46265</v>
      </c>
      <c r="C740" s="24" t="inlineStr">
        <is>
          <t>C029-36</t>
        </is>
      </c>
      <c r="D740" s="24" t="inlineStr">
        <is>
          <t>Valley Superette</t>
        </is>
      </c>
      <c r="E740" s="25" t="n">
        <v>972.08</v>
      </c>
      <c r="F740" s="25" t="n">
        <v>773.5</v>
      </c>
      <c r="G740" s="25" t="n">
        <v>198.58</v>
      </c>
    </row>
    <row r="741">
      <c r="A741" s="23" t="n">
        <v>46234</v>
      </c>
      <c r="B741" s="23" t="n">
        <v>46230</v>
      </c>
      <c r="C741" s="24" t="inlineStr">
        <is>
          <t>C029-37</t>
        </is>
      </c>
      <c r="D741" s="24" t="inlineStr">
        <is>
          <t>Valley Superette</t>
        </is>
      </c>
      <c r="E741" s="25" t="n">
        <v>789.85</v>
      </c>
      <c r="F741" s="25" t="n">
        <v>628.49</v>
      </c>
      <c r="G741" s="25" t="n">
        <v>161.36</v>
      </c>
    </row>
    <row r="742">
      <c r="A742" s="23" t="n">
        <v>46284</v>
      </c>
      <c r="B742" s="23" t="n">
        <v>46279</v>
      </c>
      <c r="C742" s="24" t="inlineStr">
        <is>
          <t>C030-0</t>
        </is>
      </c>
      <c r="D742" s="24" t="inlineStr">
        <is>
          <t>Valley Grocers</t>
        </is>
      </c>
      <c r="E742" s="25" t="n">
        <v>625.6799999999999</v>
      </c>
      <c r="F742" s="25" t="n">
        <v>519.15</v>
      </c>
      <c r="G742" s="25" t="n">
        <v>106.53</v>
      </c>
    </row>
    <row r="743">
      <c r="A743" s="23" t="n">
        <v>46242</v>
      </c>
      <c r="B743" s="23" t="n">
        <v>46237</v>
      </c>
      <c r="C743" s="24" t="inlineStr">
        <is>
          <t>C030-1</t>
        </is>
      </c>
      <c r="D743" s="24" t="inlineStr">
        <is>
          <t>Valley Grocers</t>
        </is>
      </c>
      <c r="E743" s="25" t="n">
        <v>725.59</v>
      </c>
      <c r="F743" s="25" t="n">
        <v>602.05</v>
      </c>
      <c r="G743" s="25" t="n">
        <v>123.54</v>
      </c>
    </row>
    <row r="744">
      <c r="A744" s="23" t="n">
        <v>46240</v>
      </c>
      <c r="B744" s="23" t="n">
        <v>46237</v>
      </c>
      <c r="C744" s="24" t="inlineStr">
        <is>
          <t>C030-2</t>
        </is>
      </c>
      <c r="D744" s="24" t="inlineStr">
        <is>
          <t>Valley Grocers</t>
        </is>
      </c>
      <c r="E744" s="25" t="n">
        <v>580.62</v>
      </c>
      <c r="F744" s="25" t="n">
        <v>481.77</v>
      </c>
      <c r="G744" s="25" t="n">
        <v>98.84999999999999</v>
      </c>
    </row>
    <row r="745">
      <c r="A745" s="23" t="n">
        <v>46207</v>
      </c>
      <c r="B745" s="23" t="n">
        <v>46202</v>
      </c>
      <c r="C745" s="24" t="inlineStr">
        <is>
          <t>C030-3</t>
        </is>
      </c>
      <c r="D745" s="24" t="inlineStr">
        <is>
          <t>Valley Grocers</t>
        </is>
      </c>
      <c r="E745" s="25" t="n">
        <v>522.39</v>
      </c>
      <c r="F745" s="25" t="n">
        <v>433.45</v>
      </c>
      <c r="G745" s="25" t="n">
        <v>88.94</v>
      </c>
    </row>
    <row r="746">
      <c r="A746" s="23" t="n">
        <v>46235</v>
      </c>
      <c r="B746" s="23" t="n">
        <v>46230</v>
      </c>
      <c r="C746" s="24" t="inlineStr">
        <is>
          <t>C030-4</t>
        </is>
      </c>
      <c r="D746" s="24" t="inlineStr">
        <is>
          <t>Valley Grocers</t>
        </is>
      </c>
      <c r="E746" s="25" t="n">
        <v>718.0700000000001</v>
      </c>
      <c r="F746" s="25" t="n">
        <v>595.8099999999999</v>
      </c>
      <c r="G746" s="25" t="n">
        <v>122.26</v>
      </c>
    </row>
    <row r="747">
      <c r="A747" s="23" t="n">
        <v>46255</v>
      </c>
      <c r="B747" s="23" t="n">
        <v>46251</v>
      </c>
      <c r="C747" s="24" t="inlineStr">
        <is>
          <t>C030-5</t>
        </is>
      </c>
      <c r="D747" s="24" t="inlineStr">
        <is>
          <t>Valley Grocers</t>
        </is>
      </c>
      <c r="E747" s="25" t="n">
        <v>380.51</v>
      </c>
      <c r="F747" s="25" t="n">
        <v>315.73</v>
      </c>
      <c r="G747" s="25" t="n">
        <v>64.78</v>
      </c>
    </row>
    <row r="748">
      <c r="A748" s="23" t="n">
        <v>46240</v>
      </c>
      <c r="B748" s="23" t="n">
        <v>46237</v>
      </c>
      <c r="C748" s="24" t="inlineStr">
        <is>
          <t>C030-6</t>
        </is>
      </c>
      <c r="D748" s="24" t="inlineStr">
        <is>
          <t>Valley Grocers</t>
        </is>
      </c>
      <c r="E748" s="25" t="n">
        <v>549.1799999999999</v>
      </c>
      <c r="F748" s="25" t="n">
        <v>455.67</v>
      </c>
      <c r="G748" s="25" t="n">
        <v>93.51000000000001</v>
      </c>
    </row>
    <row r="749">
      <c r="A749" s="23" t="n">
        <v>46226</v>
      </c>
      <c r="B749" s="23" t="n">
        <v>46223</v>
      </c>
      <c r="C749" s="24" t="inlineStr">
        <is>
          <t>C030-7</t>
        </is>
      </c>
      <c r="D749" s="24" t="inlineStr">
        <is>
          <t>Valley Grocers</t>
        </is>
      </c>
      <c r="E749" s="25" t="n">
        <v>655.53</v>
      </c>
      <c r="F749" s="25" t="n">
        <v>543.92</v>
      </c>
      <c r="G749" s="25" t="n">
        <v>111.61</v>
      </c>
    </row>
    <row r="750">
      <c r="A750" s="23" t="n">
        <v>46207</v>
      </c>
      <c r="B750" s="23" t="n">
        <v>46202</v>
      </c>
      <c r="C750" s="24" t="inlineStr">
        <is>
          <t>C030-8</t>
        </is>
      </c>
      <c r="D750" s="24" t="inlineStr">
        <is>
          <t>Valley Grocers</t>
        </is>
      </c>
      <c r="E750" s="25" t="n">
        <v>614.98</v>
      </c>
      <c r="F750" s="25" t="n">
        <v>510.27</v>
      </c>
      <c r="G750" s="25" t="n">
        <v>104.71</v>
      </c>
    </row>
    <row r="751">
      <c r="A751" s="23" t="n">
        <v>46242</v>
      </c>
      <c r="B751" s="23" t="n">
        <v>46237</v>
      </c>
      <c r="C751" s="24" t="inlineStr">
        <is>
          <t>C030-9</t>
        </is>
      </c>
      <c r="D751" s="24" t="inlineStr">
        <is>
          <t>Valley Grocers</t>
        </is>
      </c>
      <c r="E751" s="25" t="n">
        <v>719.29</v>
      </c>
      <c r="F751" s="25" t="n">
        <v>596.8200000000001</v>
      </c>
      <c r="G751" s="25" t="n">
        <v>122.47</v>
      </c>
    </row>
    <row r="752">
      <c r="A752" s="23" t="n">
        <v>46238</v>
      </c>
      <c r="B752" s="23" t="n">
        <v>46237</v>
      </c>
      <c r="C752" s="24" t="inlineStr">
        <is>
          <t>C030-10</t>
        </is>
      </c>
      <c r="D752" s="24" t="inlineStr">
        <is>
          <t>Valley Grocers</t>
        </is>
      </c>
      <c r="E752" s="25" t="n">
        <v>534.52</v>
      </c>
      <c r="F752" s="25" t="n">
        <v>443.51</v>
      </c>
      <c r="G752" s="25" t="n">
        <v>91.01000000000001</v>
      </c>
    </row>
    <row r="753">
      <c r="A753" s="23" t="n">
        <v>46217</v>
      </c>
      <c r="B753" s="23" t="n">
        <v>46216</v>
      </c>
      <c r="C753" s="24" t="inlineStr">
        <is>
          <t>C030-11</t>
        </is>
      </c>
      <c r="D753" s="24" t="inlineStr">
        <is>
          <t>Valley Grocers</t>
        </is>
      </c>
      <c r="E753" s="25" t="n">
        <v>782.0599999999999</v>
      </c>
      <c r="F753" s="25" t="n">
        <v>648.91</v>
      </c>
      <c r="G753" s="25" t="n">
        <v>133.15</v>
      </c>
    </row>
    <row r="754">
      <c r="A754" s="23" t="n">
        <v>46203</v>
      </c>
      <c r="B754" s="23" t="n">
        <v>46202</v>
      </c>
      <c r="C754" s="24" t="inlineStr">
        <is>
          <t>C030-12</t>
        </is>
      </c>
      <c r="D754" s="24" t="inlineStr">
        <is>
          <t>Valley Grocers</t>
        </is>
      </c>
      <c r="E754" s="25" t="n">
        <v>630.39</v>
      </c>
      <c r="F754" s="25" t="n">
        <v>523.0599999999999</v>
      </c>
      <c r="G754" s="25" t="n">
        <v>107.33</v>
      </c>
    </row>
    <row r="755">
      <c r="A755" s="23" t="n">
        <v>46264</v>
      </c>
      <c r="B755" s="23" t="n">
        <v>46258</v>
      </c>
      <c r="C755" s="24" t="inlineStr">
        <is>
          <t>C030-13</t>
        </is>
      </c>
      <c r="D755" s="24" t="inlineStr">
        <is>
          <t>Valley Grocers</t>
        </is>
      </c>
      <c r="E755" s="25" t="n">
        <v>482.81</v>
      </c>
      <c r="F755" s="25" t="n">
        <v>400.61</v>
      </c>
      <c r="G755" s="25" t="n">
        <v>82.2</v>
      </c>
    </row>
    <row r="756">
      <c r="A756" s="23" t="n">
        <v>46226</v>
      </c>
      <c r="B756" s="23" t="n">
        <v>46223</v>
      </c>
      <c r="C756" s="24" t="inlineStr">
        <is>
          <t>C030-14</t>
        </is>
      </c>
      <c r="D756" s="24" t="inlineStr">
        <is>
          <t>Valley Grocers</t>
        </is>
      </c>
      <c r="E756" s="25" t="n">
        <v>781.49</v>
      </c>
      <c r="F756" s="25" t="n">
        <v>648.4299999999999</v>
      </c>
      <c r="G756" s="25" t="n">
        <v>133.06</v>
      </c>
    </row>
    <row r="757">
      <c r="A757" s="23" t="n">
        <v>46230</v>
      </c>
      <c r="B757" s="23" t="n">
        <v>46230</v>
      </c>
      <c r="C757" s="24" t="inlineStr">
        <is>
          <t>C030-15</t>
        </is>
      </c>
      <c r="D757" s="24" t="inlineStr">
        <is>
          <t>Valley Grocers</t>
        </is>
      </c>
      <c r="E757" s="25" t="n">
        <v>672.04</v>
      </c>
      <c r="F757" s="25" t="n">
        <v>557.62</v>
      </c>
      <c r="G757" s="25" t="n">
        <v>114.42</v>
      </c>
    </row>
    <row r="758">
      <c r="A758" s="23" t="n">
        <v>46209</v>
      </c>
      <c r="B758" s="23" t="n">
        <v>46209</v>
      </c>
      <c r="C758" s="24" t="inlineStr">
        <is>
          <t>C030-16</t>
        </is>
      </c>
      <c r="D758" s="24" t="inlineStr">
        <is>
          <t>Valley Grocers</t>
        </is>
      </c>
      <c r="E758" s="25" t="n">
        <v>642.98</v>
      </c>
      <c r="F758" s="25" t="n">
        <v>533.51</v>
      </c>
      <c r="G758" s="25" t="n">
        <v>109.47</v>
      </c>
    </row>
    <row r="759">
      <c r="A759" s="23" t="n">
        <v>46287</v>
      </c>
      <c r="B759" s="23" t="n">
        <v>46286</v>
      </c>
      <c r="C759" s="24" t="inlineStr">
        <is>
          <t>C030-17</t>
        </is>
      </c>
      <c r="D759" s="24" t="inlineStr">
        <is>
          <t>Valley Grocers</t>
        </is>
      </c>
      <c r="E759" s="25" t="n">
        <v>349.37</v>
      </c>
      <c r="F759" s="25" t="n">
        <v>289.89</v>
      </c>
      <c r="G759" s="25" t="n">
        <v>59.48</v>
      </c>
    </row>
    <row r="760">
      <c r="A760" s="23" t="n">
        <v>46277</v>
      </c>
      <c r="B760" s="23" t="n">
        <v>46272</v>
      </c>
      <c r="C760" s="24" t="inlineStr">
        <is>
          <t>C030-18</t>
        </is>
      </c>
      <c r="D760" s="24" t="inlineStr">
        <is>
          <t>Valley Grocers</t>
        </is>
      </c>
      <c r="E760" s="25" t="n">
        <v>584.6799999999999</v>
      </c>
      <c r="F760" s="25" t="n">
        <v>485.13</v>
      </c>
      <c r="G760" s="25" t="n">
        <v>99.55</v>
      </c>
    </row>
    <row r="761">
      <c r="A761" s="23" t="n">
        <v>46234</v>
      </c>
      <c r="B761" s="23" t="n">
        <v>46230</v>
      </c>
      <c r="C761" s="24" t="inlineStr">
        <is>
          <t>C030-19</t>
        </is>
      </c>
      <c r="D761" s="24" t="inlineStr">
        <is>
          <t>Valley Grocers</t>
        </is>
      </c>
      <c r="E761" s="25" t="n">
        <v>652.13</v>
      </c>
      <c r="F761" s="25" t="n">
        <v>541.1</v>
      </c>
      <c r="G761" s="25" t="n">
        <v>111.03</v>
      </c>
    </row>
    <row r="762">
      <c r="A762" s="23" t="n">
        <v>46257</v>
      </c>
      <c r="B762" s="23" t="n">
        <v>46251</v>
      </c>
      <c r="C762" s="24" t="inlineStr">
        <is>
          <t>C030-20</t>
        </is>
      </c>
      <c r="D762" s="24" t="inlineStr">
        <is>
          <t>Valley Grocers</t>
        </is>
      </c>
      <c r="E762" s="25" t="n">
        <v>728.3099999999999</v>
      </c>
      <c r="F762" s="25" t="n">
        <v>604.3099999999999</v>
      </c>
      <c r="G762" s="25" t="n">
        <v>124</v>
      </c>
    </row>
    <row r="763">
      <c r="A763" s="23" t="n">
        <v>46219</v>
      </c>
      <c r="B763" s="23" t="n">
        <v>46216</v>
      </c>
      <c r="C763" s="24" t="inlineStr">
        <is>
          <t>C030-21</t>
        </is>
      </c>
      <c r="D763" s="24" t="inlineStr">
        <is>
          <t>Valley Grocers</t>
        </is>
      </c>
      <c r="E763" s="25" t="n">
        <v>490.57</v>
      </c>
      <c r="F763" s="25" t="n">
        <v>407.04</v>
      </c>
      <c r="G763" s="25" t="n">
        <v>83.53</v>
      </c>
    </row>
    <row r="764">
      <c r="A764" s="23" t="n">
        <v>46268</v>
      </c>
      <c r="B764" s="23" t="n">
        <v>46265</v>
      </c>
      <c r="C764" s="24" t="inlineStr">
        <is>
          <t>C030-22</t>
        </is>
      </c>
      <c r="D764" s="24" t="inlineStr">
        <is>
          <t>Valley Grocers</t>
        </is>
      </c>
      <c r="E764" s="25" t="n">
        <v>681.3</v>
      </c>
      <c r="F764" s="25" t="n">
        <v>565.3</v>
      </c>
      <c r="G764" s="25" t="n">
        <v>116</v>
      </c>
    </row>
    <row r="765">
      <c r="A765" s="23" t="n">
        <v>46287</v>
      </c>
      <c r="B765" s="23" t="n">
        <v>46286</v>
      </c>
      <c r="C765" s="24" t="inlineStr">
        <is>
          <t>C030-23</t>
        </is>
      </c>
      <c r="D765" s="24" t="inlineStr">
        <is>
          <t>Valley Grocers</t>
        </is>
      </c>
      <c r="E765" s="25" t="n">
        <v>459.88</v>
      </c>
      <c r="F765" s="25" t="n">
        <v>381.58</v>
      </c>
      <c r="G765" s="25" t="n">
        <v>78.3</v>
      </c>
    </row>
    <row r="766">
      <c r="A766" s="23" t="n">
        <v>46284</v>
      </c>
      <c r="B766" s="23" t="n">
        <v>46279</v>
      </c>
      <c r="C766" s="24" t="inlineStr">
        <is>
          <t>C030-24</t>
        </is>
      </c>
      <c r="D766" s="24" t="inlineStr">
        <is>
          <t>Valley Grocers</t>
        </is>
      </c>
      <c r="E766" s="25" t="n">
        <v>677.16</v>
      </c>
      <c r="F766" s="25" t="n">
        <v>561.87</v>
      </c>
      <c r="G766" s="25" t="n">
        <v>115.29</v>
      </c>
    </row>
    <row r="767">
      <c r="A767" s="23" t="n">
        <v>46272</v>
      </c>
      <c r="B767" s="23" t="n">
        <v>46272</v>
      </c>
      <c r="C767" s="24" t="inlineStr">
        <is>
          <t>C030-25</t>
        </is>
      </c>
      <c r="D767" s="24" t="inlineStr">
        <is>
          <t>Valley Grocers</t>
        </is>
      </c>
      <c r="E767" s="25" t="n">
        <v>645.99</v>
      </c>
      <c r="F767" s="25" t="n">
        <v>536</v>
      </c>
      <c r="G767" s="25" t="n">
        <v>109.99</v>
      </c>
    </row>
    <row r="768">
      <c r="A768" s="23" t="n">
        <v>46229</v>
      </c>
      <c r="B768" s="23" t="n">
        <v>46223</v>
      </c>
      <c r="C768" s="24" t="inlineStr">
        <is>
          <t>C030-26</t>
        </is>
      </c>
      <c r="D768" s="24" t="inlineStr">
        <is>
          <t>Valley Grocers</t>
        </is>
      </c>
      <c r="E768" s="25" t="n">
        <v>608.6900000000001</v>
      </c>
      <c r="F768" s="25" t="n">
        <v>505.06</v>
      </c>
      <c r="G768" s="25" t="n">
        <v>103.63</v>
      </c>
    </row>
    <row r="769">
      <c r="A769" s="23" t="n">
        <v>46231</v>
      </c>
      <c r="B769" s="23" t="n">
        <v>46230</v>
      </c>
      <c r="C769" s="24" t="inlineStr">
        <is>
          <t>C030-27</t>
        </is>
      </c>
      <c r="D769" s="24" t="inlineStr">
        <is>
          <t>Valley Grocers</t>
        </is>
      </c>
      <c r="E769" s="25" t="n">
        <v>536.9</v>
      </c>
      <c r="F769" s="25" t="n">
        <v>445.49</v>
      </c>
      <c r="G769" s="25" t="n">
        <v>91.41</v>
      </c>
    </row>
    <row r="770">
      <c r="A770" s="23" t="n">
        <v>46272</v>
      </c>
      <c r="B770" s="23" t="n">
        <v>46272</v>
      </c>
      <c r="C770" s="24" t="inlineStr">
        <is>
          <t>C031-0</t>
        </is>
      </c>
      <c r="D770" s="24" t="inlineStr">
        <is>
          <t>City Foods</t>
        </is>
      </c>
      <c r="E770" s="25" t="n">
        <v>1161.11</v>
      </c>
      <c r="F770" s="25" t="n">
        <v>1047.15</v>
      </c>
      <c r="G770" s="25" t="n">
        <v>113.96</v>
      </c>
    </row>
    <row r="771">
      <c r="A771" s="23" t="n">
        <v>46220</v>
      </c>
      <c r="B771" s="23" t="n">
        <v>46216</v>
      </c>
      <c r="C771" s="24" t="inlineStr">
        <is>
          <t>C031-1</t>
        </is>
      </c>
      <c r="D771" s="24" t="inlineStr">
        <is>
          <t>City Foods</t>
        </is>
      </c>
      <c r="E771" s="25" t="n">
        <v>1564.77</v>
      </c>
      <c r="F771" s="25" t="n">
        <v>1411.2</v>
      </c>
      <c r="G771" s="25" t="n">
        <v>153.57</v>
      </c>
    </row>
    <row r="772">
      <c r="A772" s="23" t="n">
        <v>46270</v>
      </c>
      <c r="B772" s="23" t="n">
        <v>46265</v>
      </c>
      <c r="C772" s="24" t="inlineStr">
        <is>
          <t>C031-2</t>
        </is>
      </c>
      <c r="D772" s="24" t="inlineStr">
        <is>
          <t>City Foods</t>
        </is>
      </c>
      <c r="E772" s="25" t="n">
        <v>928.88</v>
      </c>
      <c r="F772" s="25" t="n">
        <v>837.72</v>
      </c>
      <c r="G772" s="25" t="n">
        <v>91.16</v>
      </c>
    </row>
    <row r="773">
      <c r="A773" s="23" t="n">
        <v>46231</v>
      </c>
      <c r="B773" s="23" t="n">
        <v>46230</v>
      </c>
      <c r="C773" s="24" t="inlineStr">
        <is>
          <t>C031-3</t>
        </is>
      </c>
      <c r="D773" s="24" t="inlineStr">
        <is>
          <t>City Foods</t>
        </is>
      </c>
      <c r="E773" s="25" t="n">
        <v>776.21</v>
      </c>
      <c r="F773" s="25" t="n">
        <v>700.03</v>
      </c>
      <c r="G773" s="25" t="n">
        <v>76.18000000000001</v>
      </c>
    </row>
    <row r="774">
      <c r="A774" s="23" t="n">
        <v>46201</v>
      </c>
      <c r="B774" s="23" t="n">
        <v>46195</v>
      </c>
      <c r="C774" s="24" t="inlineStr">
        <is>
          <t>C031-4</t>
        </is>
      </c>
      <c r="D774" s="24" t="inlineStr">
        <is>
          <t>City Foods</t>
        </is>
      </c>
      <c r="E774" s="25" t="n">
        <v>1296.01</v>
      </c>
      <c r="F774" s="25" t="n">
        <v>1168.82</v>
      </c>
      <c r="G774" s="25" t="n">
        <v>127.19</v>
      </c>
    </row>
    <row r="775">
      <c r="A775" s="23" t="n">
        <v>46253</v>
      </c>
      <c r="B775" s="23" t="n">
        <v>46251</v>
      </c>
      <c r="C775" s="24" t="inlineStr">
        <is>
          <t>C031-5</t>
        </is>
      </c>
      <c r="D775" s="24" t="inlineStr">
        <is>
          <t>City Foods</t>
        </is>
      </c>
      <c r="E775" s="25" t="n">
        <v>1478.05</v>
      </c>
      <c r="F775" s="25" t="n">
        <v>1332.99</v>
      </c>
      <c r="G775" s="25" t="n">
        <v>145.06</v>
      </c>
    </row>
    <row r="776">
      <c r="A776" s="23" t="n">
        <v>46268</v>
      </c>
      <c r="B776" s="23" t="n">
        <v>46265</v>
      </c>
      <c r="C776" s="24" t="inlineStr">
        <is>
          <t>C031-6</t>
        </is>
      </c>
      <c r="D776" s="24" t="inlineStr">
        <is>
          <t>City Foods</t>
        </is>
      </c>
      <c r="E776" s="25" t="n">
        <v>1193.38</v>
      </c>
      <c r="F776" s="25" t="n">
        <v>1076.26</v>
      </c>
      <c r="G776" s="25" t="n">
        <v>117.12</v>
      </c>
    </row>
    <row r="777">
      <c r="A777" s="23" t="n">
        <v>46241</v>
      </c>
      <c r="B777" s="23" t="n">
        <v>46237</v>
      </c>
      <c r="C777" s="24" t="inlineStr">
        <is>
          <t>C031-7</t>
        </is>
      </c>
      <c r="D777" s="24" t="inlineStr">
        <is>
          <t>City Foods</t>
        </is>
      </c>
      <c r="E777" s="25" t="n">
        <v>1055.63</v>
      </c>
      <c r="F777" s="25" t="n">
        <v>952.03</v>
      </c>
      <c r="G777" s="25" t="n">
        <v>103.6</v>
      </c>
    </row>
    <row r="778">
      <c r="A778" s="23" t="n">
        <v>46244</v>
      </c>
      <c r="B778" s="23" t="n">
        <v>46244</v>
      </c>
      <c r="C778" s="24" t="inlineStr">
        <is>
          <t>C031-8</t>
        </is>
      </c>
      <c r="D778" s="24" t="inlineStr">
        <is>
          <t>City Foods</t>
        </is>
      </c>
      <c r="E778" s="25" t="n">
        <v>1199.29</v>
      </c>
      <c r="F778" s="25" t="n">
        <v>1081.59</v>
      </c>
      <c r="G778" s="25" t="n">
        <v>117.7</v>
      </c>
    </row>
    <row r="779">
      <c r="A779" s="23" t="n">
        <v>46263</v>
      </c>
      <c r="B779" s="23" t="n">
        <v>46258</v>
      </c>
      <c r="C779" s="24" t="inlineStr">
        <is>
          <t>C031-9</t>
        </is>
      </c>
      <c r="D779" s="24" t="inlineStr">
        <is>
          <t>City Foods</t>
        </is>
      </c>
      <c r="E779" s="25" t="n">
        <v>724.34</v>
      </c>
      <c r="F779" s="25" t="n">
        <v>653.25</v>
      </c>
      <c r="G779" s="25" t="n">
        <v>71.09</v>
      </c>
    </row>
    <row r="780">
      <c r="A780" s="23" t="n">
        <v>46267</v>
      </c>
      <c r="B780" s="23" t="n">
        <v>46265</v>
      </c>
      <c r="C780" s="24" t="inlineStr">
        <is>
          <t>C031-10</t>
        </is>
      </c>
      <c r="D780" s="24" t="inlineStr">
        <is>
          <t>City Foods</t>
        </is>
      </c>
      <c r="E780" s="25" t="n">
        <v>1363.98</v>
      </c>
      <c r="F780" s="25" t="n">
        <v>1230.11</v>
      </c>
      <c r="G780" s="25" t="n">
        <v>133.87</v>
      </c>
    </row>
    <row r="781">
      <c r="A781" s="23" t="n">
        <v>46276</v>
      </c>
      <c r="B781" s="23" t="n">
        <v>46272</v>
      </c>
      <c r="C781" s="24" t="inlineStr">
        <is>
          <t>C031-11</t>
        </is>
      </c>
      <c r="D781" s="24" t="inlineStr">
        <is>
          <t>City Foods</t>
        </is>
      </c>
      <c r="E781" s="25" t="n">
        <v>705.11</v>
      </c>
      <c r="F781" s="25" t="n">
        <v>635.91</v>
      </c>
      <c r="G781" s="25" t="n">
        <v>69.2</v>
      </c>
    </row>
    <row r="782">
      <c r="A782" s="23" t="n">
        <v>46280</v>
      </c>
      <c r="B782" s="23" t="n">
        <v>46279</v>
      </c>
      <c r="C782" s="24" t="inlineStr">
        <is>
          <t>C031-12</t>
        </is>
      </c>
      <c r="D782" s="24" t="inlineStr">
        <is>
          <t>City Foods</t>
        </is>
      </c>
      <c r="E782" s="25" t="n">
        <v>1395.4</v>
      </c>
      <c r="F782" s="25" t="n">
        <v>1258.45</v>
      </c>
      <c r="G782" s="25" t="n">
        <v>136.95</v>
      </c>
    </row>
    <row r="783">
      <c r="A783" s="23" t="n">
        <v>46287</v>
      </c>
      <c r="B783" s="23" t="n">
        <v>46286</v>
      </c>
      <c r="C783" s="24" t="inlineStr">
        <is>
          <t>C031-13</t>
        </is>
      </c>
      <c r="D783" s="24" t="inlineStr">
        <is>
          <t>City Foods</t>
        </is>
      </c>
      <c r="E783" s="25" t="n">
        <v>1419.84</v>
      </c>
      <c r="F783" s="25" t="n">
        <v>1280.49</v>
      </c>
      <c r="G783" s="25" t="n">
        <v>139.35</v>
      </c>
    </row>
    <row r="784">
      <c r="A784" s="23" t="n">
        <v>46219</v>
      </c>
      <c r="B784" s="23" t="n">
        <v>46216</v>
      </c>
      <c r="C784" s="24" t="inlineStr">
        <is>
          <t>C031-14</t>
        </is>
      </c>
      <c r="D784" s="24" t="inlineStr">
        <is>
          <t>City Foods</t>
        </is>
      </c>
      <c r="E784" s="25" t="n">
        <v>1531.9</v>
      </c>
      <c r="F784" s="25" t="n">
        <v>1381.56</v>
      </c>
      <c r="G784" s="25" t="n">
        <v>150.34</v>
      </c>
    </row>
    <row r="785">
      <c r="A785" s="23" t="n">
        <v>46271</v>
      </c>
      <c r="B785" s="23" t="n">
        <v>46265</v>
      </c>
      <c r="C785" s="24" t="inlineStr">
        <is>
          <t>C031-15</t>
        </is>
      </c>
      <c r="D785" s="24" t="inlineStr">
        <is>
          <t>City Foods</t>
        </is>
      </c>
      <c r="E785" s="25" t="n">
        <v>1273.52</v>
      </c>
      <c r="F785" s="25" t="n">
        <v>1148.54</v>
      </c>
      <c r="G785" s="25" t="n">
        <v>124.98</v>
      </c>
    </row>
    <row r="786">
      <c r="A786" s="23" t="n">
        <v>46257</v>
      </c>
      <c r="B786" s="23" t="n">
        <v>46251</v>
      </c>
      <c r="C786" s="24" t="inlineStr">
        <is>
          <t>C031-16</t>
        </is>
      </c>
      <c r="D786" s="24" t="inlineStr">
        <is>
          <t>City Foods</t>
        </is>
      </c>
      <c r="E786" s="25" t="n">
        <v>762.45</v>
      </c>
      <c r="F786" s="25" t="n">
        <v>687.62</v>
      </c>
      <c r="G786" s="25" t="n">
        <v>74.83</v>
      </c>
    </row>
    <row r="787">
      <c r="A787" s="23" t="n">
        <v>46221</v>
      </c>
      <c r="B787" s="23" t="n">
        <v>46216</v>
      </c>
      <c r="C787" s="24" t="inlineStr">
        <is>
          <t>C031-17</t>
        </is>
      </c>
      <c r="D787" s="24" t="inlineStr">
        <is>
          <t>City Foods</t>
        </is>
      </c>
      <c r="E787" s="25" t="n">
        <v>1070.8</v>
      </c>
      <c r="F787" s="25" t="n">
        <v>965.71</v>
      </c>
      <c r="G787" s="25" t="n">
        <v>105.09</v>
      </c>
    </row>
    <row r="788">
      <c r="A788" s="23" t="n">
        <v>46201</v>
      </c>
      <c r="B788" s="23" t="n">
        <v>46195</v>
      </c>
      <c r="C788" s="24" t="inlineStr">
        <is>
          <t>C031-18</t>
        </is>
      </c>
      <c r="D788" s="24" t="inlineStr">
        <is>
          <t>City Foods</t>
        </is>
      </c>
      <c r="E788" s="25" t="n">
        <v>1404.57</v>
      </c>
      <c r="F788" s="25" t="n">
        <v>1266.72</v>
      </c>
      <c r="G788" s="25" t="n">
        <v>137.85</v>
      </c>
    </row>
    <row r="789">
      <c r="A789" s="23" t="n">
        <v>46216</v>
      </c>
      <c r="B789" s="23" t="n">
        <v>46216</v>
      </c>
      <c r="C789" s="24" t="inlineStr">
        <is>
          <t>C031-19</t>
        </is>
      </c>
      <c r="D789" s="24" t="inlineStr">
        <is>
          <t>City Foods</t>
        </is>
      </c>
      <c r="E789" s="25" t="n">
        <v>1495.45</v>
      </c>
      <c r="F789" s="25" t="n">
        <v>1348.69</v>
      </c>
      <c r="G789" s="25" t="n">
        <v>146.76</v>
      </c>
    </row>
    <row r="790">
      <c r="A790" s="23" t="n">
        <v>46248</v>
      </c>
      <c r="B790" s="23" t="n">
        <v>46244</v>
      </c>
      <c r="C790" s="24" t="inlineStr">
        <is>
          <t>C031-20</t>
        </is>
      </c>
      <c r="D790" s="24" t="inlineStr">
        <is>
          <t>City Foods</t>
        </is>
      </c>
      <c r="E790" s="25" t="n">
        <v>1142.02</v>
      </c>
      <c r="F790" s="25" t="n">
        <v>1029.94</v>
      </c>
      <c r="G790" s="25" t="n">
        <v>112.08</v>
      </c>
    </row>
    <row r="791">
      <c r="A791" s="23" t="n">
        <v>46254</v>
      </c>
      <c r="B791" s="23" t="n">
        <v>46251</v>
      </c>
      <c r="C791" s="24" t="inlineStr">
        <is>
          <t>C032-0</t>
        </is>
      </c>
      <c r="D791" s="24" t="inlineStr">
        <is>
          <t>City Mart</t>
        </is>
      </c>
      <c r="E791" s="25" t="n">
        <v>898.67</v>
      </c>
      <c r="F791" s="25" t="n">
        <v>775.0700000000001</v>
      </c>
      <c r="G791" s="25" t="n">
        <v>123.6</v>
      </c>
    </row>
    <row r="792">
      <c r="A792" s="23" t="n">
        <v>46224</v>
      </c>
      <c r="B792" s="23" t="n">
        <v>46223</v>
      </c>
      <c r="C792" s="24" t="inlineStr">
        <is>
          <t>C032-1</t>
        </is>
      </c>
      <c r="D792" s="24" t="inlineStr">
        <is>
          <t>City Mart</t>
        </is>
      </c>
      <c r="E792" s="25" t="n">
        <v>505.91</v>
      </c>
      <c r="F792" s="25" t="n">
        <v>436.33</v>
      </c>
      <c r="G792" s="25" t="n">
        <v>69.58</v>
      </c>
    </row>
    <row r="793">
      <c r="A793" s="23" t="n">
        <v>46280</v>
      </c>
      <c r="B793" s="23" t="n">
        <v>46279</v>
      </c>
      <c r="C793" s="24" t="inlineStr">
        <is>
          <t>C032-2</t>
        </is>
      </c>
      <c r="D793" s="24" t="inlineStr">
        <is>
          <t>City Mart</t>
        </is>
      </c>
      <c r="E793" s="25" t="n">
        <v>799.41</v>
      </c>
      <c r="F793" s="25" t="n">
        <v>689.46</v>
      </c>
      <c r="G793" s="25" t="n">
        <v>109.95</v>
      </c>
    </row>
    <row r="794">
      <c r="A794" s="23" t="n">
        <v>46252</v>
      </c>
      <c r="B794" s="23" t="n">
        <v>46251</v>
      </c>
      <c r="C794" s="24" t="inlineStr">
        <is>
          <t>C032-3</t>
        </is>
      </c>
      <c r="D794" s="24" t="inlineStr">
        <is>
          <t>City Mart</t>
        </is>
      </c>
      <c r="E794" s="25" t="n">
        <v>448.01</v>
      </c>
      <c r="F794" s="25" t="n">
        <v>386.39</v>
      </c>
      <c r="G794" s="25" t="n">
        <v>61.62</v>
      </c>
    </row>
    <row r="795">
      <c r="A795" s="23" t="n">
        <v>46222</v>
      </c>
      <c r="B795" s="23" t="n">
        <v>46216</v>
      </c>
      <c r="C795" s="24" t="inlineStr">
        <is>
          <t>C032-4</t>
        </is>
      </c>
      <c r="D795" s="24" t="inlineStr">
        <is>
          <t>City Mart</t>
        </is>
      </c>
      <c r="E795" s="25" t="n">
        <v>801.5700000000001</v>
      </c>
      <c r="F795" s="25" t="n">
        <v>691.33</v>
      </c>
      <c r="G795" s="25" t="n">
        <v>110.24</v>
      </c>
    </row>
    <row r="796">
      <c r="A796" s="23" t="n">
        <v>46235</v>
      </c>
      <c r="B796" s="23" t="n">
        <v>46230</v>
      </c>
      <c r="C796" s="24" t="inlineStr">
        <is>
          <t>C032-5</t>
        </is>
      </c>
      <c r="D796" s="24" t="inlineStr">
        <is>
          <t>City Mart</t>
        </is>
      </c>
      <c r="E796" s="25" t="n">
        <v>863.3200000000001</v>
      </c>
      <c r="F796" s="25" t="n">
        <v>744.58</v>
      </c>
      <c r="G796" s="25" t="n">
        <v>118.74</v>
      </c>
    </row>
    <row r="797">
      <c r="A797" s="23" t="n">
        <v>46258</v>
      </c>
      <c r="B797" s="23" t="n">
        <v>46258</v>
      </c>
      <c r="C797" s="24" t="inlineStr">
        <is>
          <t>C032-6</t>
        </is>
      </c>
      <c r="D797" s="24" t="inlineStr">
        <is>
          <t>City Mart</t>
        </is>
      </c>
      <c r="E797" s="25" t="n">
        <v>531.0599999999999</v>
      </c>
      <c r="F797" s="25" t="n">
        <v>458.02</v>
      </c>
      <c r="G797" s="25" t="n">
        <v>73.04000000000001</v>
      </c>
    </row>
    <row r="798">
      <c r="A798" s="23" t="n">
        <v>46283</v>
      </c>
      <c r="B798" s="23" t="n">
        <v>46279</v>
      </c>
      <c r="C798" s="24" t="inlineStr">
        <is>
          <t>C032-7</t>
        </is>
      </c>
      <c r="D798" s="24" t="inlineStr">
        <is>
          <t>City Mart</t>
        </is>
      </c>
      <c r="E798" s="25" t="n">
        <v>532.05</v>
      </c>
      <c r="F798" s="25" t="n">
        <v>458.88</v>
      </c>
      <c r="G798" s="25" t="n">
        <v>73.17</v>
      </c>
    </row>
    <row r="799">
      <c r="A799" s="23" t="n">
        <v>46211</v>
      </c>
      <c r="B799" s="23" t="n">
        <v>46209</v>
      </c>
      <c r="C799" s="24" t="inlineStr">
        <is>
          <t>C032-8</t>
        </is>
      </c>
      <c r="D799" s="24" t="inlineStr">
        <is>
          <t>City Mart</t>
        </is>
      </c>
      <c r="E799" s="25" t="n">
        <v>925.78</v>
      </c>
      <c r="F799" s="25" t="n">
        <v>798.45</v>
      </c>
      <c r="G799" s="25" t="n">
        <v>127.33</v>
      </c>
    </row>
    <row r="800">
      <c r="A800" s="23" t="n">
        <v>46280</v>
      </c>
      <c r="B800" s="23" t="n">
        <v>46279</v>
      </c>
      <c r="C800" s="24" t="inlineStr">
        <is>
          <t>C032-9</t>
        </is>
      </c>
      <c r="D800" s="24" t="inlineStr">
        <is>
          <t>City Mart</t>
        </is>
      </c>
      <c r="E800" s="25" t="n">
        <v>459.76</v>
      </c>
      <c r="F800" s="25" t="n">
        <v>396.52</v>
      </c>
      <c r="G800" s="25" t="n">
        <v>63.24</v>
      </c>
    </row>
    <row r="801">
      <c r="A801" s="23" t="n">
        <v>46230</v>
      </c>
      <c r="B801" s="23" t="n">
        <v>46230</v>
      </c>
      <c r="C801" s="24" t="inlineStr">
        <is>
          <t>C032-10</t>
        </is>
      </c>
      <c r="D801" s="24" t="inlineStr">
        <is>
          <t>City Mart</t>
        </is>
      </c>
      <c r="E801" s="25" t="n">
        <v>824.53</v>
      </c>
      <c r="F801" s="25" t="n">
        <v>711.13</v>
      </c>
      <c r="G801" s="25" t="n">
        <v>113.4</v>
      </c>
    </row>
    <row r="802">
      <c r="A802" s="23" t="n">
        <v>46248</v>
      </c>
      <c r="B802" s="23" t="n">
        <v>46244</v>
      </c>
      <c r="C802" s="24" t="inlineStr">
        <is>
          <t>C032-11</t>
        </is>
      </c>
      <c r="D802" s="24" t="inlineStr">
        <is>
          <t>City Mart</t>
        </is>
      </c>
      <c r="E802" s="25" t="n">
        <v>540.39</v>
      </c>
      <c r="F802" s="25" t="n">
        <v>466.07</v>
      </c>
      <c r="G802" s="25" t="n">
        <v>74.31999999999999</v>
      </c>
    </row>
    <row r="803">
      <c r="A803" s="23" t="n">
        <v>46237</v>
      </c>
      <c r="B803" s="23" t="n">
        <v>46237</v>
      </c>
      <c r="C803" s="24" t="inlineStr">
        <is>
          <t>C032-12</t>
        </is>
      </c>
      <c r="D803" s="24" t="inlineStr">
        <is>
          <t>City Mart</t>
        </is>
      </c>
      <c r="E803" s="25" t="n">
        <v>440</v>
      </c>
      <c r="F803" s="25" t="n">
        <v>379.48</v>
      </c>
      <c r="G803" s="25" t="n">
        <v>60.52</v>
      </c>
    </row>
    <row r="804">
      <c r="A804" s="23" t="n">
        <v>46252</v>
      </c>
      <c r="B804" s="23" t="n">
        <v>46251</v>
      </c>
      <c r="C804" s="24" t="inlineStr">
        <is>
          <t>C032-13</t>
        </is>
      </c>
      <c r="D804" s="24" t="inlineStr">
        <is>
          <t>City Mart</t>
        </is>
      </c>
      <c r="E804" s="25" t="n">
        <v>734.4</v>
      </c>
      <c r="F804" s="25" t="n">
        <v>633.39</v>
      </c>
      <c r="G804" s="25" t="n">
        <v>101.01</v>
      </c>
    </row>
    <row r="805">
      <c r="A805" s="23" t="n">
        <v>46235</v>
      </c>
      <c r="B805" s="23" t="n">
        <v>46230</v>
      </c>
      <c r="C805" s="24" t="inlineStr">
        <is>
          <t>C032-14</t>
        </is>
      </c>
      <c r="D805" s="24" t="inlineStr">
        <is>
          <t>City Mart</t>
        </is>
      </c>
      <c r="E805" s="25" t="n">
        <v>582.09</v>
      </c>
      <c r="F805" s="25" t="n">
        <v>502.03</v>
      </c>
      <c r="G805" s="25" t="n">
        <v>80.06</v>
      </c>
    </row>
    <row r="806">
      <c r="A806" s="23" t="n">
        <v>46207</v>
      </c>
      <c r="B806" s="23" t="n">
        <v>46202</v>
      </c>
      <c r="C806" s="24" t="inlineStr">
        <is>
          <t>C032-15</t>
        </is>
      </c>
      <c r="D806" s="24" t="inlineStr">
        <is>
          <t>City Mart</t>
        </is>
      </c>
      <c r="E806" s="25" t="n">
        <v>820.3200000000001</v>
      </c>
      <c r="F806" s="25" t="n">
        <v>707.49</v>
      </c>
      <c r="G806" s="25" t="n">
        <v>112.83</v>
      </c>
    </row>
    <row r="807">
      <c r="A807" s="23" t="n">
        <v>46202</v>
      </c>
      <c r="B807" s="23" t="n">
        <v>46202</v>
      </c>
      <c r="C807" s="24" t="inlineStr">
        <is>
          <t>C032-16</t>
        </is>
      </c>
      <c r="D807" s="24" t="inlineStr">
        <is>
          <t>City Mart</t>
        </is>
      </c>
      <c r="E807" s="25" t="n">
        <v>637.48</v>
      </c>
      <c r="F807" s="25" t="n">
        <v>549.8</v>
      </c>
      <c r="G807" s="25" t="n">
        <v>87.68000000000001</v>
      </c>
    </row>
    <row r="808">
      <c r="A808" s="23" t="n">
        <v>46222</v>
      </c>
      <c r="B808" s="23" t="n">
        <v>46216</v>
      </c>
      <c r="C808" s="24" t="inlineStr">
        <is>
          <t>C032-17</t>
        </is>
      </c>
      <c r="D808" s="24" t="inlineStr">
        <is>
          <t>City Mart</t>
        </is>
      </c>
      <c r="E808" s="25" t="n">
        <v>435.12</v>
      </c>
      <c r="F808" s="25" t="n">
        <v>375.27</v>
      </c>
      <c r="G808" s="25" t="n">
        <v>59.85</v>
      </c>
    </row>
    <row r="809">
      <c r="A809" s="23" t="n">
        <v>46244</v>
      </c>
      <c r="B809" s="23" t="n">
        <v>46244</v>
      </c>
      <c r="C809" s="24" t="inlineStr">
        <is>
          <t>C032-18</t>
        </is>
      </c>
      <c r="D809" s="24" t="inlineStr">
        <is>
          <t>City Mart</t>
        </is>
      </c>
      <c r="E809" s="25" t="n">
        <v>856.34</v>
      </c>
      <c r="F809" s="25" t="n">
        <v>738.5599999999999</v>
      </c>
      <c r="G809" s="25" t="n">
        <v>117.78</v>
      </c>
    </row>
    <row r="810">
      <c r="A810" s="23" t="n">
        <v>46232</v>
      </c>
      <c r="B810" s="23" t="n">
        <v>46230</v>
      </c>
      <c r="C810" s="24" t="inlineStr">
        <is>
          <t>C032-19</t>
        </is>
      </c>
      <c r="D810" s="24" t="inlineStr">
        <is>
          <t>City Mart</t>
        </is>
      </c>
      <c r="E810" s="25" t="n">
        <v>681.47</v>
      </c>
      <c r="F810" s="25" t="n">
        <v>587.74</v>
      </c>
      <c r="G810" s="25" t="n">
        <v>93.73</v>
      </c>
    </row>
    <row r="811">
      <c r="A811" s="23" t="n">
        <v>46289</v>
      </c>
      <c r="B811" s="23" t="n">
        <v>46286</v>
      </c>
      <c r="C811" s="24" t="inlineStr">
        <is>
          <t>C032-20</t>
        </is>
      </c>
      <c r="D811" s="24" t="inlineStr">
        <is>
          <t>City Mart</t>
        </is>
      </c>
      <c r="E811" s="25" t="n">
        <v>548.92</v>
      </c>
      <c r="F811" s="25" t="n">
        <v>473.42</v>
      </c>
      <c r="G811" s="25" t="n">
        <v>75.5</v>
      </c>
    </row>
    <row r="812">
      <c r="A812" s="23" t="n">
        <v>46289</v>
      </c>
      <c r="B812" s="23" t="n">
        <v>46286</v>
      </c>
      <c r="C812" s="24" t="inlineStr">
        <is>
          <t>C032-21</t>
        </is>
      </c>
      <c r="D812" s="24" t="inlineStr">
        <is>
          <t>City Mart</t>
        </is>
      </c>
      <c r="E812" s="25" t="n">
        <v>914.42</v>
      </c>
      <c r="F812" s="25" t="n">
        <v>788.65</v>
      </c>
      <c r="G812" s="25" t="n">
        <v>125.77</v>
      </c>
    </row>
    <row r="813">
      <c r="A813" s="23" t="n">
        <v>46241</v>
      </c>
      <c r="B813" s="23" t="n">
        <v>46237</v>
      </c>
      <c r="C813" s="24" t="inlineStr">
        <is>
          <t>C033-0</t>
        </is>
      </c>
      <c r="D813" s="24" t="inlineStr">
        <is>
          <t>City Cafe</t>
        </is>
      </c>
      <c r="E813" s="25" t="n">
        <v>8204.190000000001</v>
      </c>
      <c r="F813" s="25" t="n">
        <v>6764.63</v>
      </c>
      <c r="G813" s="25" t="n">
        <v>1439.56</v>
      </c>
    </row>
    <row r="814">
      <c r="A814" s="23" t="n">
        <v>46223</v>
      </c>
      <c r="B814" s="23" t="n">
        <v>46223</v>
      </c>
      <c r="C814" s="24" t="inlineStr">
        <is>
          <t>C033-1</t>
        </is>
      </c>
      <c r="D814" s="24" t="inlineStr">
        <is>
          <t>City Cafe</t>
        </is>
      </c>
      <c r="E814" s="25" t="n">
        <v>8725.040000000001</v>
      </c>
      <c r="F814" s="25" t="n">
        <v>7194.09</v>
      </c>
      <c r="G814" s="25" t="n">
        <v>1530.95</v>
      </c>
    </row>
    <row r="815">
      <c r="A815" s="23" t="n">
        <v>46238</v>
      </c>
      <c r="B815" s="23" t="n">
        <v>46237</v>
      </c>
      <c r="C815" s="24" t="inlineStr">
        <is>
          <t>C033-2</t>
        </is>
      </c>
      <c r="D815" s="24" t="inlineStr">
        <is>
          <t>City Cafe</t>
        </is>
      </c>
      <c r="E815" s="25" t="n">
        <v>7560.72</v>
      </c>
      <c r="F815" s="25" t="n">
        <v>6234.06</v>
      </c>
      <c r="G815" s="25" t="n">
        <v>1326.66</v>
      </c>
    </row>
    <row r="816">
      <c r="A816" s="23" t="n">
        <v>46230</v>
      </c>
      <c r="B816" s="23" t="n">
        <v>46230</v>
      </c>
      <c r="C816" s="24" t="inlineStr">
        <is>
          <t>C033-3</t>
        </is>
      </c>
      <c r="D816" s="24" t="inlineStr">
        <is>
          <t>City Cafe</t>
        </is>
      </c>
      <c r="E816" s="25" t="n">
        <v>7272.45</v>
      </c>
      <c r="F816" s="25" t="n">
        <v>5996.38</v>
      </c>
      <c r="G816" s="25" t="n">
        <v>1276.07</v>
      </c>
    </row>
    <row r="817">
      <c r="A817" s="23" t="n">
        <v>46241</v>
      </c>
      <c r="B817" s="23" t="n">
        <v>46237</v>
      </c>
      <c r="C817" s="24" t="inlineStr">
        <is>
          <t>C033-4</t>
        </is>
      </c>
      <c r="D817" s="24" t="inlineStr">
        <is>
          <t>City Cafe</t>
        </is>
      </c>
      <c r="E817" s="25" t="n">
        <v>7405.01</v>
      </c>
      <c r="F817" s="25" t="n">
        <v>6105.68</v>
      </c>
      <c r="G817" s="25" t="n">
        <v>1299.33</v>
      </c>
    </row>
    <row r="818">
      <c r="A818" s="23" t="n">
        <v>46201</v>
      </c>
      <c r="B818" s="23" t="n">
        <v>46195</v>
      </c>
      <c r="C818" s="24" t="inlineStr">
        <is>
          <t>C033-5</t>
        </is>
      </c>
      <c r="D818" s="24" t="inlineStr">
        <is>
          <t>City Cafe</t>
        </is>
      </c>
      <c r="E818" s="25" t="n">
        <v>6853.58</v>
      </c>
      <c r="F818" s="25" t="n">
        <v>5651.01</v>
      </c>
      <c r="G818" s="25" t="n">
        <v>1202.57</v>
      </c>
    </row>
    <row r="819">
      <c r="A819" s="23" t="n">
        <v>46214</v>
      </c>
      <c r="B819" s="23" t="n">
        <v>46209</v>
      </c>
      <c r="C819" s="24" t="inlineStr">
        <is>
          <t>C033-6</t>
        </is>
      </c>
      <c r="D819" s="24" t="inlineStr">
        <is>
          <t>City Cafe</t>
        </is>
      </c>
      <c r="E819" s="25" t="n">
        <v>7733.69</v>
      </c>
      <c r="F819" s="25" t="n">
        <v>6376.69</v>
      </c>
      <c r="G819" s="25" t="n">
        <v>1357</v>
      </c>
    </row>
    <row r="820">
      <c r="A820" s="23" t="n">
        <v>46252</v>
      </c>
      <c r="B820" s="23" t="n">
        <v>46251</v>
      </c>
      <c r="C820" s="24" t="inlineStr">
        <is>
          <t>C034-0</t>
        </is>
      </c>
      <c r="D820" s="24" t="inlineStr">
        <is>
          <t>City Superette</t>
        </is>
      </c>
      <c r="E820" s="25" t="n">
        <v>374.97</v>
      </c>
      <c r="F820" s="25" t="n">
        <v>336.2</v>
      </c>
      <c r="G820" s="25" t="n">
        <v>38.77</v>
      </c>
    </row>
    <row r="821">
      <c r="A821" s="23" t="n">
        <v>46251</v>
      </c>
      <c r="B821" s="23" t="n">
        <v>46251</v>
      </c>
      <c r="C821" s="24" t="inlineStr">
        <is>
          <t>C034-1</t>
        </is>
      </c>
      <c r="D821" s="24" t="inlineStr">
        <is>
          <t>City Superette</t>
        </is>
      </c>
      <c r="E821" s="25" t="n">
        <v>577.83</v>
      </c>
      <c r="F821" s="25" t="n">
        <v>518.08</v>
      </c>
      <c r="G821" s="25" t="n">
        <v>59.75</v>
      </c>
    </row>
    <row r="822">
      <c r="A822" s="23" t="n">
        <v>46244</v>
      </c>
      <c r="B822" s="23" t="n">
        <v>46244</v>
      </c>
      <c r="C822" s="24" t="inlineStr">
        <is>
          <t>C034-2</t>
        </is>
      </c>
      <c r="D822" s="24" t="inlineStr">
        <is>
          <t>City Superette</t>
        </is>
      </c>
      <c r="E822" s="25" t="n">
        <v>397.23</v>
      </c>
      <c r="F822" s="25" t="n">
        <v>356.16</v>
      </c>
      <c r="G822" s="25" t="n">
        <v>41.07</v>
      </c>
    </row>
    <row r="823">
      <c r="A823" s="23" t="n">
        <v>46213</v>
      </c>
      <c r="B823" s="23" t="n">
        <v>46209</v>
      </c>
      <c r="C823" s="24" t="inlineStr">
        <is>
          <t>C034-3</t>
        </is>
      </c>
      <c r="D823" s="24" t="inlineStr">
        <is>
          <t>City Superette</t>
        </is>
      </c>
      <c r="E823" s="25" t="n">
        <v>625.26</v>
      </c>
      <c r="F823" s="25" t="n">
        <v>560.6</v>
      </c>
      <c r="G823" s="25" t="n">
        <v>64.66</v>
      </c>
    </row>
    <row r="824">
      <c r="A824" s="23" t="n">
        <v>46212</v>
      </c>
      <c r="B824" s="23" t="n">
        <v>46209</v>
      </c>
      <c r="C824" s="24" t="inlineStr">
        <is>
          <t>C034-4</t>
        </is>
      </c>
      <c r="D824" s="24" t="inlineStr">
        <is>
          <t>City Superette</t>
        </is>
      </c>
      <c r="E824" s="25" t="n">
        <v>680.3099999999999</v>
      </c>
      <c r="F824" s="25" t="n">
        <v>609.96</v>
      </c>
      <c r="G824" s="25" t="n">
        <v>70.34999999999999</v>
      </c>
    </row>
    <row r="825">
      <c r="A825" s="23" t="n">
        <v>46263</v>
      </c>
      <c r="B825" s="23" t="n">
        <v>46258</v>
      </c>
      <c r="C825" s="24" t="inlineStr">
        <is>
          <t>C034-5</t>
        </is>
      </c>
      <c r="D825" s="24" t="inlineStr">
        <is>
          <t>City Superette</t>
        </is>
      </c>
      <c r="E825" s="25" t="n">
        <v>773.75</v>
      </c>
      <c r="F825" s="25" t="n">
        <v>693.74</v>
      </c>
      <c r="G825" s="25" t="n">
        <v>80.01000000000001</v>
      </c>
    </row>
    <row r="826">
      <c r="A826" s="23" t="n">
        <v>46236</v>
      </c>
      <c r="B826" s="23" t="n">
        <v>46230</v>
      </c>
      <c r="C826" s="24" t="inlineStr">
        <is>
          <t>C034-6</t>
        </is>
      </c>
      <c r="D826" s="24" t="inlineStr">
        <is>
          <t>City Superette</t>
        </is>
      </c>
      <c r="E826" s="25" t="n">
        <v>784.38</v>
      </c>
      <c r="F826" s="25" t="n">
        <v>703.28</v>
      </c>
      <c r="G826" s="25" t="n">
        <v>81.09999999999999</v>
      </c>
    </row>
    <row r="827">
      <c r="A827" s="23" t="n">
        <v>46250</v>
      </c>
      <c r="B827" s="23" t="n">
        <v>46244</v>
      </c>
      <c r="C827" s="24" t="inlineStr">
        <is>
          <t>C034-7</t>
        </is>
      </c>
      <c r="D827" s="24" t="inlineStr">
        <is>
          <t>City Superette</t>
        </is>
      </c>
      <c r="E827" s="25" t="n">
        <v>380.44</v>
      </c>
      <c r="F827" s="25" t="n">
        <v>341.1</v>
      </c>
      <c r="G827" s="25" t="n">
        <v>39.34</v>
      </c>
    </row>
    <row r="828">
      <c r="A828" s="23" t="n">
        <v>46232</v>
      </c>
      <c r="B828" s="23" t="n">
        <v>46230</v>
      </c>
      <c r="C828" s="24" t="inlineStr">
        <is>
          <t>C034-8</t>
        </is>
      </c>
      <c r="D828" s="24" t="inlineStr">
        <is>
          <t>City Superette</t>
        </is>
      </c>
      <c r="E828" s="25" t="n">
        <v>461.84</v>
      </c>
      <c r="F828" s="25" t="n">
        <v>414.08</v>
      </c>
      <c r="G828" s="25" t="n">
        <v>47.76</v>
      </c>
    </row>
    <row r="829">
      <c r="A829" s="23" t="n">
        <v>46276</v>
      </c>
      <c r="B829" s="23" t="n">
        <v>46272</v>
      </c>
      <c r="C829" s="24" t="inlineStr">
        <is>
          <t>C034-9</t>
        </is>
      </c>
      <c r="D829" s="24" t="inlineStr">
        <is>
          <t>City Superette</t>
        </is>
      </c>
      <c r="E829" s="25" t="n">
        <v>749</v>
      </c>
      <c r="F829" s="25" t="n">
        <v>671.55</v>
      </c>
      <c r="G829" s="25" t="n">
        <v>77.45</v>
      </c>
    </row>
    <row r="830">
      <c r="A830" s="23" t="n">
        <v>46290</v>
      </c>
      <c r="B830" s="23" t="n">
        <v>46286</v>
      </c>
      <c r="C830" s="24" t="inlineStr">
        <is>
          <t>C034-10</t>
        </is>
      </c>
      <c r="D830" s="24" t="inlineStr">
        <is>
          <t>City Superette</t>
        </is>
      </c>
      <c r="E830" s="25" t="n">
        <v>705.88</v>
      </c>
      <c r="F830" s="25" t="n">
        <v>632.89</v>
      </c>
      <c r="G830" s="25" t="n">
        <v>72.98999999999999</v>
      </c>
    </row>
    <row r="831">
      <c r="A831" s="23" t="n">
        <v>46210</v>
      </c>
      <c r="B831" s="23" t="n">
        <v>46209</v>
      </c>
      <c r="C831" s="24" t="inlineStr">
        <is>
          <t>C034-11</t>
        </is>
      </c>
      <c r="D831" s="24" t="inlineStr">
        <is>
          <t>City Superette</t>
        </is>
      </c>
      <c r="E831" s="25" t="n">
        <v>658.55</v>
      </c>
      <c r="F831" s="25" t="n">
        <v>590.45</v>
      </c>
      <c r="G831" s="25" t="n">
        <v>68.09999999999999</v>
      </c>
    </row>
    <row r="832">
      <c r="A832" s="23" t="n">
        <v>46226</v>
      </c>
      <c r="B832" s="23" t="n">
        <v>46223</v>
      </c>
      <c r="C832" s="24" t="inlineStr">
        <is>
          <t>C034-12</t>
        </is>
      </c>
      <c r="D832" s="24" t="inlineStr">
        <is>
          <t>City Superette</t>
        </is>
      </c>
      <c r="E832" s="25" t="n">
        <v>598.5599999999999</v>
      </c>
      <c r="F832" s="25" t="n">
        <v>536.67</v>
      </c>
      <c r="G832" s="25" t="n">
        <v>61.89</v>
      </c>
    </row>
    <row r="833">
      <c r="A833" s="23" t="n">
        <v>46230</v>
      </c>
      <c r="B833" s="23" t="n">
        <v>46230</v>
      </c>
      <c r="C833" s="24" t="inlineStr">
        <is>
          <t>C034-13</t>
        </is>
      </c>
      <c r="D833" s="24" t="inlineStr">
        <is>
          <t>City Superette</t>
        </is>
      </c>
      <c r="E833" s="25" t="n">
        <v>364.47</v>
      </c>
      <c r="F833" s="25" t="n">
        <v>326.78</v>
      </c>
      <c r="G833" s="25" t="n">
        <v>37.69</v>
      </c>
    </row>
    <row r="834">
      <c r="A834" s="23" t="n">
        <v>46248</v>
      </c>
      <c r="B834" s="23" t="n">
        <v>46244</v>
      </c>
      <c r="C834" s="24" t="inlineStr">
        <is>
          <t>C034-14</t>
        </is>
      </c>
      <c r="D834" s="24" t="inlineStr">
        <is>
          <t>City Superette</t>
        </is>
      </c>
      <c r="E834" s="25" t="n">
        <v>355.94</v>
      </c>
      <c r="F834" s="25" t="n">
        <v>319.14</v>
      </c>
      <c r="G834" s="25" t="n">
        <v>36.8</v>
      </c>
    </row>
    <row r="835">
      <c r="A835" s="23" t="n">
        <v>46236</v>
      </c>
      <c r="B835" s="23" t="n">
        <v>46230</v>
      </c>
      <c r="C835" s="24" t="inlineStr">
        <is>
          <t>C034-15</t>
        </is>
      </c>
      <c r="D835" s="24" t="inlineStr">
        <is>
          <t>City Superette</t>
        </is>
      </c>
      <c r="E835" s="25" t="n">
        <v>411.32</v>
      </c>
      <c r="F835" s="25" t="n">
        <v>368.79</v>
      </c>
      <c r="G835" s="25" t="n">
        <v>42.53</v>
      </c>
    </row>
    <row r="836">
      <c r="A836" s="23" t="n">
        <v>46235</v>
      </c>
      <c r="B836" s="23" t="n">
        <v>46230</v>
      </c>
      <c r="C836" s="24" t="inlineStr">
        <is>
          <t>C034-16</t>
        </is>
      </c>
      <c r="D836" s="24" t="inlineStr">
        <is>
          <t>City Superette</t>
        </is>
      </c>
      <c r="E836" s="25" t="n">
        <v>434.69</v>
      </c>
      <c r="F836" s="25" t="n">
        <v>389.74</v>
      </c>
      <c r="G836" s="25" t="n">
        <v>44.95</v>
      </c>
    </row>
    <row r="837">
      <c r="A837" s="23" t="n">
        <v>46271</v>
      </c>
      <c r="B837" s="23" t="n">
        <v>46265</v>
      </c>
      <c r="C837" s="24" t="inlineStr">
        <is>
          <t>C034-17</t>
        </is>
      </c>
      <c r="D837" s="24" t="inlineStr">
        <is>
          <t>City Superette</t>
        </is>
      </c>
      <c r="E837" s="25" t="n">
        <v>564.9299999999999</v>
      </c>
      <c r="F837" s="25" t="n">
        <v>506.51</v>
      </c>
      <c r="G837" s="25" t="n">
        <v>58.42</v>
      </c>
    </row>
    <row r="838">
      <c r="A838" s="23" t="n">
        <v>46284</v>
      </c>
      <c r="B838" s="23" t="n">
        <v>46279</v>
      </c>
      <c r="C838" s="24" t="inlineStr">
        <is>
          <t>C034-18</t>
        </is>
      </c>
      <c r="D838" s="24" t="inlineStr">
        <is>
          <t>City Superette</t>
        </is>
      </c>
      <c r="E838" s="25" t="n">
        <v>566.87</v>
      </c>
      <c r="F838" s="25" t="n">
        <v>508.25</v>
      </c>
      <c r="G838" s="25" t="n">
        <v>58.62</v>
      </c>
    </row>
    <row r="839">
      <c r="A839" s="23" t="n">
        <v>46212</v>
      </c>
      <c r="B839" s="23" t="n">
        <v>46209</v>
      </c>
      <c r="C839" s="24" t="inlineStr">
        <is>
          <t>C034-19</t>
        </is>
      </c>
      <c r="D839" s="24" t="inlineStr">
        <is>
          <t>City Superette</t>
        </is>
      </c>
      <c r="E839" s="25" t="n">
        <v>779.3099999999999</v>
      </c>
      <c r="F839" s="25" t="n">
        <v>698.73</v>
      </c>
      <c r="G839" s="25" t="n">
        <v>80.58</v>
      </c>
    </row>
    <row r="840">
      <c r="A840" s="23" t="n">
        <v>46271</v>
      </c>
      <c r="B840" s="23" t="n">
        <v>46265</v>
      </c>
      <c r="C840" s="24" t="inlineStr">
        <is>
          <t>C035-0</t>
        </is>
      </c>
      <c r="D840" s="24" t="inlineStr">
        <is>
          <t>City Grocers</t>
        </is>
      </c>
      <c r="E840" s="25" t="n">
        <v>641.4</v>
      </c>
      <c r="F840" s="25" t="n">
        <v>579.1900000000001</v>
      </c>
      <c r="G840" s="25" t="n">
        <v>62.21</v>
      </c>
    </row>
    <row r="841">
      <c r="A841" s="23" t="n">
        <v>46284</v>
      </c>
      <c r="B841" s="23" t="n">
        <v>46279</v>
      </c>
      <c r="C841" s="24" t="inlineStr">
        <is>
          <t>C035-1</t>
        </is>
      </c>
      <c r="D841" s="24" t="inlineStr">
        <is>
          <t>City Grocers</t>
        </is>
      </c>
      <c r="E841" s="25" t="n">
        <v>765.22</v>
      </c>
      <c r="F841" s="25" t="n">
        <v>691.01</v>
      </c>
      <c r="G841" s="25" t="n">
        <v>74.20999999999999</v>
      </c>
    </row>
    <row r="842">
      <c r="A842" s="23" t="n">
        <v>46243</v>
      </c>
      <c r="B842" s="23" t="n">
        <v>46237</v>
      </c>
      <c r="C842" s="24" t="inlineStr">
        <is>
          <t>C035-2</t>
        </is>
      </c>
      <c r="D842" s="24" t="inlineStr">
        <is>
          <t>City Grocers</t>
        </is>
      </c>
      <c r="E842" s="25" t="n">
        <v>818.12</v>
      </c>
      <c r="F842" s="25" t="n">
        <v>738.77</v>
      </c>
      <c r="G842" s="25" t="n">
        <v>79.34999999999999</v>
      </c>
    </row>
    <row r="843">
      <c r="A843" s="23" t="n">
        <v>46259</v>
      </c>
      <c r="B843" s="23" t="n">
        <v>46258</v>
      </c>
      <c r="C843" s="24" t="inlineStr">
        <is>
          <t>C035-3</t>
        </is>
      </c>
      <c r="D843" s="24" t="inlineStr">
        <is>
          <t>City Grocers</t>
        </is>
      </c>
      <c r="E843" s="25" t="n">
        <v>580.21</v>
      </c>
      <c r="F843" s="25" t="n">
        <v>523.9400000000001</v>
      </c>
      <c r="G843" s="25" t="n">
        <v>56.27</v>
      </c>
    </row>
    <row r="844">
      <c r="A844" s="23" t="n">
        <v>46203</v>
      </c>
      <c r="B844" s="23" t="n">
        <v>46202</v>
      </c>
      <c r="C844" s="24" t="inlineStr">
        <is>
          <t>C035-4</t>
        </is>
      </c>
      <c r="D844" s="24" t="inlineStr">
        <is>
          <t>City Grocers</t>
        </is>
      </c>
      <c r="E844" s="25" t="n">
        <v>690.8099999999999</v>
      </c>
      <c r="F844" s="25" t="n">
        <v>623.8099999999999</v>
      </c>
      <c r="G844" s="25" t="n">
        <v>67</v>
      </c>
    </row>
    <row r="845">
      <c r="A845" s="23" t="n">
        <v>46246</v>
      </c>
      <c r="B845" s="23" t="n">
        <v>46244</v>
      </c>
      <c r="C845" s="24" t="inlineStr">
        <is>
          <t>C035-5</t>
        </is>
      </c>
      <c r="D845" s="24" t="inlineStr">
        <is>
          <t>City Grocers</t>
        </is>
      </c>
      <c r="E845" s="25" t="n">
        <v>554.78</v>
      </c>
      <c r="F845" s="25" t="n">
        <v>500.97</v>
      </c>
      <c r="G845" s="25" t="n">
        <v>53.81</v>
      </c>
    </row>
    <row r="846">
      <c r="A846" s="23" t="n">
        <v>46281</v>
      </c>
      <c r="B846" s="23" t="n">
        <v>46279</v>
      </c>
      <c r="C846" s="24" t="inlineStr">
        <is>
          <t>C035-6</t>
        </is>
      </c>
      <c r="D846" s="24" t="inlineStr">
        <is>
          <t>City Grocers</t>
        </is>
      </c>
      <c r="E846" s="25" t="n">
        <v>928.29</v>
      </c>
      <c r="F846" s="25" t="n">
        <v>838.26</v>
      </c>
      <c r="G846" s="25" t="n">
        <v>90.03</v>
      </c>
    </row>
    <row r="847">
      <c r="A847" s="23" t="n">
        <v>46223</v>
      </c>
      <c r="B847" s="23" t="n">
        <v>46223</v>
      </c>
      <c r="C847" s="24" t="inlineStr">
        <is>
          <t>C035-7</t>
        </is>
      </c>
      <c r="D847" s="24" t="inlineStr">
        <is>
          <t>City Grocers</t>
        </is>
      </c>
      <c r="E847" s="25" t="n">
        <v>816.63</v>
      </c>
      <c r="F847" s="25" t="n">
        <v>737.4299999999999</v>
      </c>
      <c r="G847" s="25" t="n">
        <v>79.2</v>
      </c>
    </row>
    <row r="848">
      <c r="A848" s="23" t="n">
        <v>46262</v>
      </c>
      <c r="B848" s="23" t="n">
        <v>46258</v>
      </c>
      <c r="C848" s="24" t="inlineStr">
        <is>
          <t>C035-8</t>
        </is>
      </c>
      <c r="D848" s="24" t="inlineStr">
        <is>
          <t>City Grocers</t>
        </is>
      </c>
      <c r="E848" s="25" t="n">
        <v>582.25</v>
      </c>
      <c r="F848" s="25" t="n">
        <v>525.78</v>
      </c>
      <c r="G848" s="25" t="n">
        <v>56.47</v>
      </c>
    </row>
    <row r="849">
      <c r="A849" s="23" t="n">
        <v>46267</v>
      </c>
      <c r="B849" s="23" t="n">
        <v>46265</v>
      </c>
      <c r="C849" s="24" t="inlineStr">
        <is>
          <t>C035-9</t>
        </is>
      </c>
      <c r="D849" s="24" t="inlineStr">
        <is>
          <t>City Grocers</t>
        </is>
      </c>
      <c r="E849" s="25" t="n">
        <v>553.91</v>
      </c>
      <c r="F849" s="25" t="n">
        <v>500.19</v>
      </c>
      <c r="G849" s="25" t="n">
        <v>53.72</v>
      </c>
    </row>
    <row r="850">
      <c r="A850" s="23" t="n">
        <v>46226</v>
      </c>
      <c r="B850" s="23" t="n">
        <v>46223</v>
      </c>
      <c r="C850" s="24" t="inlineStr">
        <is>
          <t>C035-10</t>
        </is>
      </c>
      <c r="D850" s="24" t="inlineStr">
        <is>
          <t>City Grocers</t>
        </is>
      </c>
      <c r="E850" s="25" t="n">
        <v>454.91</v>
      </c>
      <c r="F850" s="25" t="n">
        <v>410.79</v>
      </c>
      <c r="G850" s="25" t="n">
        <v>44.12</v>
      </c>
    </row>
    <row r="851">
      <c r="A851" s="23" t="n">
        <v>46267</v>
      </c>
      <c r="B851" s="23" t="n">
        <v>46265</v>
      </c>
      <c r="C851" s="24" t="inlineStr">
        <is>
          <t>C035-11</t>
        </is>
      </c>
      <c r="D851" s="24" t="inlineStr">
        <is>
          <t>City Grocers</t>
        </is>
      </c>
      <c r="E851" s="25" t="n">
        <v>539.16</v>
      </c>
      <c r="F851" s="25" t="n">
        <v>486.87</v>
      </c>
      <c r="G851" s="25" t="n">
        <v>52.29</v>
      </c>
    </row>
    <row r="852">
      <c r="A852" s="23" t="n">
        <v>46287</v>
      </c>
      <c r="B852" s="23" t="n">
        <v>46286</v>
      </c>
      <c r="C852" s="24" t="inlineStr">
        <is>
          <t>C035-12</t>
        </is>
      </c>
      <c r="D852" s="24" t="inlineStr">
        <is>
          <t>City Grocers</t>
        </is>
      </c>
      <c r="E852" s="25" t="n">
        <v>818.23</v>
      </c>
      <c r="F852" s="25" t="n">
        <v>738.87</v>
      </c>
      <c r="G852" s="25" t="n">
        <v>79.36</v>
      </c>
    </row>
    <row r="853">
      <c r="A853" s="23" t="n">
        <v>46259</v>
      </c>
      <c r="B853" s="23" t="n">
        <v>46258</v>
      </c>
      <c r="C853" s="24" t="inlineStr">
        <is>
          <t>C035-13</t>
        </is>
      </c>
      <c r="D853" s="24" t="inlineStr">
        <is>
          <t>City Grocers</t>
        </is>
      </c>
      <c r="E853" s="25" t="n">
        <v>567.33</v>
      </c>
      <c r="F853" s="25" t="n">
        <v>512.3099999999999</v>
      </c>
      <c r="G853" s="25" t="n">
        <v>55.02</v>
      </c>
    </row>
    <row r="854">
      <c r="A854" s="23" t="n">
        <v>46211</v>
      </c>
      <c r="B854" s="23" t="n">
        <v>46209</v>
      </c>
      <c r="C854" s="24" t="inlineStr">
        <is>
          <t>C035-14</t>
        </is>
      </c>
      <c r="D854" s="24" t="inlineStr">
        <is>
          <t>City Grocers</t>
        </is>
      </c>
      <c r="E854" s="25" t="n">
        <v>648.6799999999999</v>
      </c>
      <c r="F854" s="25" t="n">
        <v>585.76</v>
      </c>
      <c r="G854" s="25" t="n">
        <v>62.92</v>
      </c>
    </row>
    <row r="855">
      <c r="A855" s="23" t="n">
        <v>46272</v>
      </c>
      <c r="B855" s="23" t="n">
        <v>46272</v>
      </c>
      <c r="C855" s="24" t="inlineStr">
        <is>
          <t>C035-15</t>
        </is>
      </c>
      <c r="D855" s="24" t="inlineStr">
        <is>
          <t>City Grocers</t>
        </is>
      </c>
      <c r="E855" s="25" t="n">
        <v>726.39</v>
      </c>
      <c r="F855" s="25" t="n">
        <v>655.9400000000001</v>
      </c>
      <c r="G855" s="25" t="n">
        <v>70.45</v>
      </c>
    </row>
    <row r="856">
      <c r="A856" s="23" t="n">
        <v>46218</v>
      </c>
      <c r="B856" s="23" t="n">
        <v>46216</v>
      </c>
      <c r="C856" s="24" t="inlineStr">
        <is>
          <t>C035-16</t>
        </is>
      </c>
      <c r="D856" s="24" t="inlineStr">
        <is>
          <t>City Grocers</t>
        </is>
      </c>
      <c r="E856" s="25" t="n">
        <v>748.09</v>
      </c>
      <c r="F856" s="25" t="n">
        <v>675.53</v>
      </c>
      <c r="G856" s="25" t="n">
        <v>72.56</v>
      </c>
    </row>
    <row r="857">
      <c r="A857" s="23" t="n">
        <v>46277</v>
      </c>
      <c r="B857" s="23" t="n">
        <v>46272</v>
      </c>
      <c r="C857" s="24" t="inlineStr">
        <is>
          <t>C035-17</t>
        </is>
      </c>
      <c r="D857" s="24" t="inlineStr">
        <is>
          <t>City Grocers</t>
        </is>
      </c>
      <c r="E857" s="25" t="n">
        <v>946.17</v>
      </c>
      <c r="F857" s="25" t="n">
        <v>854.4</v>
      </c>
      <c r="G857" s="25" t="n">
        <v>91.77</v>
      </c>
    </row>
    <row r="858">
      <c r="A858" s="23" t="n">
        <v>46250</v>
      </c>
      <c r="B858" s="23" t="n">
        <v>46244</v>
      </c>
      <c r="C858" s="24" t="inlineStr">
        <is>
          <t>C035-18</t>
        </is>
      </c>
      <c r="D858" s="24" t="inlineStr">
        <is>
          <t>City Grocers</t>
        </is>
      </c>
      <c r="E858" s="25" t="n">
        <v>900.41</v>
      </c>
      <c r="F858" s="25" t="n">
        <v>813.09</v>
      </c>
      <c r="G858" s="25" t="n">
        <v>87.31999999999999</v>
      </c>
    </row>
    <row r="859">
      <c r="A859" s="23" t="n">
        <v>46290</v>
      </c>
      <c r="B859" s="23" t="n">
        <v>46286</v>
      </c>
      <c r="C859" s="24" t="inlineStr">
        <is>
          <t>C035-19</t>
        </is>
      </c>
      <c r="D859" s="24" t="inlineStr">
        <is>
          <t>City Grocers</t>
        </is>
      </c>
      <c r="E859" s="25" t="n">
        <v>883.5599999999999</v>
      </c>
      <c r="F859" s="25" t="n">
        <v>797.87</v>
      </c>
      <c r="G859" s="25" t="n">
        <v>85.69</v>
      </c>
    </row>
    <row r="860">
      <c r="A860" s="23" t="n">
        <v>46211</v>
      </c>
      <c r="B860" s="23" t="n">
        <v>46209</v>
      </c>
      <c r="C860" s="24" t="inlineStr">
        <is>
          <t>C035-20</t>
        </is>
      </c>
      <c r="D860" s="24" t="inlineStr">
        <is>
          <t>City Grocers</t>
        </is>
      </c>
      <c r="E860" s="25" t="n">
        <v>769.6</v>
      </c>
      <c r="F860" s="25" t="n">
        <v>694.96</v>
      </c>
      <c r="G860" s="25" t="n">
        <v>74.64</v>
      </c>
    </row>
    <row r="861">
      <c r="A861" s="23" t="n">
        <v>46260</v>
      </c>
      <c r="B861" s="23" t="n">
        <v>46258</v>
      </c>
      <c r="C861" s="24" t="inlineStr">
        <is>
          <t>C035-21</t>
        </is>
      </c>
      <c r="D861" s="24" t="inlineStr">
        <is>
          <t>City Grocers</t>
        </is>
      </c>
      <c r="E861" s="25" t="n">
        <v>496.3</v>
      </c>
      <c r="F861" s="25" t="n">
        <v>448.16</v>
      </c>
      <c r="G861" s="25" t="n">
        <v>48.14</v>
      </c>
    </row>
    <row r="862">
      <c r="A862" s="23" t="n">
        <v>46255</v>
      </c>
      <c r="B862" s="23" t="n">
        <v>46251</v>
      </c>
      <c r="C862" s="24" t="inlineStr">
        <is>
          <t>C035-22</t>
        </is>
      </c>
      <c r="D862" s="24" t="inlineStr">
        <is>
          <t>City Grocers</t>
        </is>
      </c>
      <c r="E862" s="25" t="n">
        <v>839.8200000000001</v>
      </c>
      <c r="F862" s="25" t="n">
        <v>758.37</v>
      </c>
      <c r="G862" s="25" t="n">
        <v>81.45</v>
      </c>
    </row>
    <row r="863">
      <c r="A863" s="23" t="n">
        <v>46268</v>
      </c>
      <c r="B863" s="23" t="n">
        <v>46265</v>
      </c>
      <c r="C863" s="24" t="inlineStr">
        <is>
          <t>C036-0</t>
        </is>
      </c>
      <c r="D863" s="24" t="inlineStr">
        <is>
          <t>North Foods</t>
        </is>
      </c>
      <c r="E863" s="25" t="n">
        <v>1091.22</v>
      </c>
      <c r="F863" s="25" t="n">
        <v>887.66</v>
      </c>
      <c r="G863" s="25" t="n">
        <v>203.56</v>
      </c>
    </row>
    <row r="864">
      <c r="A864" s="23" t="n">
        <v>46280</v>
      </c>
      <c r="B864" s="23" t="n">
        <v>46279</v>
      </c>
      <c r="C864" s="24" t="inlineStr">
        <is>
          <t>C036-1</t>
        </is>
      </c>
      <c r="D864" s="24" t="inlineStr">
        <is>
          <t>North Foods</t>
        </is>
      </c>
      <c r="E864" s="25" t="n">
        <v>633.08</v>
      </c>
      <c r="F864" s="25" t="n">
        <v>514.99</v>
      </c>
      <c r="G864" s="25" t="n">
        <v>118.09</v>
      </c>
    </row>
    <row r="865">
      <c r="A865" s="23" t="n">
        <v>46273</v>
      </c>
      <c r="B865" s="23" t="n">
        <v>46272</v>
      </c>
      <c r="C865" s="24" t="inlineStr">
        <is>
          <t>C036-2</t>
        </is>
      </c>
      <c r="D865" s="24" t="inlineStr">
        <is>
          <t>North Foods</t>
        </is>
      </c>
      <c r="E865" s="25" t="n">
        <v>757.88</v>
      </c>
      <c r="F865" s="25" t="n">
        <v>616.5</v>
      </c>
      <c r="G865" s="25" t="n">
        <v>141.38</v>
      </c>
    </row>
    <row r="866">
      <c r="A866" s="23" t="n">
        <v>46283</v>
      </c>
      <c r="B866" s="23" t="n">
        <v>46279</v>
      </c>
      <c r="C866" s="24" t="inlineStr">
        <is>
          <t>C036-3</t>
        </is>
      </c>
      <c r="D866" s="24" t="inlineStr">
        <is>
          <t>North Foods</t>
        </is>
      </c>
      <c r="E866" s="25" t="n">
        <v>745.39</v>
      </c>
      <c r="F866" s="25" t="n">
        <v>606.34</v>
      </c>
      <c r="G866" s="25" t="n">
        <v>139.05</v>
      </c>
    </row>
    <row r="867">
      <c r="A867" s="23" t="n">
        <v>46237</v>
      </c>
      <c r="B867" s="23" t="n">
        <v>46237</v>
      </c>
      <c r="C867" s="24" t="inlineStr">
        <is>
          <t>C036-4</t>
        </is>
      </c>
      <c r="D867" s="24" t="inlineStr">
        <is>
          <t>North Foods</t>
        </is>
      </c>
      <c r="E867" s="25" t="n">
        <v>551.11</v>
      </c>
      <c r="F867" s="25" t="n">
        <v>448.3</v>
      </c>
      <c r="G867" s="25" t="n">
        <v>102.81</v>
      </c>
    </row>
    <row r="868">
      <c r="A868" s="23" t="n">
        <v>46212</v>
      </c>
      <c r="B868" s="23" t="n">
        <v>46209</v>
      </c>
      <c r="C868" s="24" t="inlineStr">
        <is>
          <t>C036-5</t>
        </is>
      </c>
      <c r="D868" s="24" t="inlineStr">
        <is>
          <t>North Foods</t>
        </is>
      </c>
      <c r="E868" s="25" t="n">
        <v>888.72</v>
      </c>
      <c r="F868" s="25" t="n">
        <v>722.9400000000001</v>
      </c>
      <c r="G868" s="25" t="n">
        <v>165.78</v>
      </c>
    </row>
    <row r="869">
      <c r="A869" s="23" t="n">
        <v>46211</v>
      </c>
      <c r="B869" s="23" t="n">
        <v>46209</v>
      </c>
      <c r="C869" s="24" t="inlineStr">
        <is>
          <t>C036-6</t>
        </is>
      </c>
      <c r="D869" s="24" t="inlineStr">
        <is>
          <t>North Foods</t>
        </is>
      </c>
      <c r="E869" s="25" t="n">
        <v>681.66</v>
      </c>
      <c r="F869" s="25" t="n">
        <v>554.5</v>
      </c>
      <c r="G869" s="25" t="n">
        <v>127.16</v>
      </c>
    </row>
    <row r="870">
      <c r="A870" s="23" t="n">
        <v>46225</v>
      </c>
      <c r="B870" s="23" t="n">
        <v>46223</v>
      </c>
      <c r="C870" s="24" t="inlineStr">
        <is>
          <t>C036-7</t>
        </is>
      </c>
      <c r="D870" s="24" t="inlineStr">
        <is>
          <t>North Foods</t>
        </is>
      </c>
      <c r="E870" s="25" t="n">
        <v>886.65</v>
      </c>
      <c r="F870" s="25" t="n">
        <v>721.25</v>
      </c>
      <c r="G870" s="25" t="n">
        <v>165.4</v>
      </c>
    </row>
    <row r="871">
      <c r="A871" s="23" t="n">
        <v>46286</v>
      </c>
      <c r="B871" s="23" t="n">
        <v>46286</v>
      </c>
      <c r="C871" s="24" t="inlineStr">
        <is>
          <t>C036-8</t>
        </is>
      </c>
      <c r="D871" s="24" t="inlineStr">
        <is>
          <t>North Foods</t>
        </is>
      </c>
      <c r="E871" s="25" t="n">
        <v>790.87</v>
      </c>
      <c r="F871" s="25" t="n">
        <v>643.34</v>
      </c>
      <c r="G871" s="25" t="n">
        <v>147.53</v>
      </c>
    </row>
    <row r="872">
      <c r="A872" s="23" t="n">
        <v>46261</v>
      </c>
      <c r="B872" s="23" t="n">
        <v>46258</v>
      </c>
      <c r="C872" s="24" t="inlineStr">
        <is>
          <t>C036-9</t>
        </is>
      </c>
      <c r="D872" s="24" t="inlineStr">
        <is>
          <t>North Foods</t>
        </is>
      </c>
      <c r="E872" s="25" t="n">
        <v>915.59</v>
      </c>
      <c r="F872" s="25" t="n">
        <v>744.79</v>
      </c>
      <c r="G872" s="25" t="n">
        <v>170.8</v>
      </c>
    </row>
    <row r="873">
      <c r="A873" s="23" t="n">
        <v>46213</v>
      </c>
      <c r="B873" s="23" t="n">
        <v>46209</v>
      </c>
      <c r="C873" s="24" t="inlineStr">
        <is>
          <t>C036-10</t>
        </is>
      </c>
      <c r="D873" s="24" t="inlineStr">
        <is>
          <t>North Foods</t>
        </is>
      </c>
      <c r="E873" s="25" t="n">
        <v>964.11</v>
      </c>
      <c r="F873" s="25" t="n">
        <v>784.26</v>
      </c>
      <c r="G873" s="25" t="n">
        <v>179.85</v>
      </c>
    </row>
    <row r="874">
      <c r="A874" s="23" t="n">
        <v>46215</v>
      </c>
      <c r="B874" s="23" t="n">
        <v>46209</v>
      </c>
      <c r="C874" s="24" t="inlineStr">
        <is>
          <t>C036-11</t>
        </is>
      </c>
      <c r="D874" s="24" t="inlineStr">
        <is>
          <t>North Foods</t>
        </is>
      </c>
      <c r="E874" s="25" t="n">
        <v>647.5</v>
      </c>
      <c r="F874" s="25" t="n">
        <v>526.71</v>
      </c>
      <c r="G874" s="25" t="n">
        <v>120.79</v>
      </c>
    </row>
    <row r="875">
      <c r="A875" s="23" t="n">
        <v>46252</v>
      </c>
      <c r="B875" s="23" t="n">
        <v>46251</v>
      </c>
      <c r="C875" s="24" t="inlineStr">
        <is>
          <t>C036-12</t>
        </is>
      </c>
      <c r="D875" s="24" t="inlineStr">
        <is>
          <t>North Foods</t>
        </is>
      </c>
      <c r="E875" s="25" t="n">
        <v>1010.22</v>
      </c>
      <c r="F875" s="25" t="n">
        <v>821.77</v>
      </c>
      <c r="G875" s="25" t="n">
        <v>188.45</v>
      </c>
    </row>
    <row r="876">
      <c r="A876" s="23" t="n">
        <v>46247</v>
      </c>
      <c r="B876" s="23" t="n">
        <v>46244</v>
      </c>
      <c r="C876" s="24" t="inlineStr">
        <is>
          <t>C036-13</t>
        </is>
      </c>
      <c r="D876" s="24" t="inlineStr">
        <is>
          <t>North Foods</t>
        </is>
      </c>
      <c r="E876" s="25" t="n">
        <v>1011.68</v>
      </c>
      <c r="F876" s="25" t="n">
        <v>822.96</v>
      </c>
      <c r="G876" s="25" t="n">
        <v>188.72</v>
      </c>
    </row>
    <row r="877">
      <c r="A877" s="23" t="n">
        <v>46255</v>
      </c>
      <c r="B877" s="23" t="n">
        <v>46251</v>
      </c>
      <c r="C877" s="24" t="inlineStr">
        <is>
          <t>C036-14</t>
        </is>
      </c>
      <c r="D877" s="24" t="inlineStr">
        <is>
          <t>North Foods</t>
        </is>
      </c>
      <c r="E877" s="25" t="n">
        <v>893.12</v>
      </c>
      <c r="F877" s="25" t="n">
        <v>726.51</v>
      </c>
      <c r="G877" s="25" t="n">
        <v>166.61</v>
      </c>
    </row>
    <row r="878">
      <c r="A878" s="23" t="n">
        <v>46283</v>
      </c>
      <c r="B878" s="23" t="n">
        <v>46279</v>
      </c>
      <c r="C878" s="24" t="inlineStr">
        <is>
          <t>C036-15</t>
        </is>
      </c>
      <c r="D878" s="24" t="inlineStr">
        <is>
          <t>North Foods</t>
        </is>
      </c>
      <c r="E878" s="25" t="n">
        <v>682.72</v>
      </c>
      <c r="F878" s="25" t="n">
        <v>555.36</v>
      </c>
      <c r="G878" s="25" t="n">
        <v>127.36</v>
      </c>
    </row>
    <row r="879">
      <c r="A879" s="23" t="n">
        <v>46275</v>
      </c>
      <c r="B879" s="23" t="n">
        <v>46272</v>
      </c>
      <c r="C879" s="24" t="inlineStr">
        <is>
          <t>C036-16</t>
        </is>
      </c>
      <c r="D879" s="24" t="inlineStr">
        <is>
          <t>North Foods</t>
        </is>
      </c>
      <c r="E879" s="25" t="n">
        <v>566.12</v>
      </c>
      <c r="F879" s="25" t="n">
        <v>460.52</v>
      </c>
      <c r="G879" s="25" t="n">
        <v>105.6</v>
      </c>
    </row>
    <row r="880">
      <c r="A880" s="23" t="n">
        <v>46254</v>
      </c>
      <c r="B880" s="23" t="n">
        <v>46251</v>
      </c>
      <c r="C880" s="24" t="inlineStr">
        <is>
          <t>C036-17</t>
        </is>
      </c>
      <c r="D880" s="24" t="inlineStr">
        <is>
          <t>North Foods</t>
        </is>
      </c>
      <c r="E880" s="25" t="n">
        <v>809.62</v>
      </c>
      <c r="F880" s="25" t="n">
        <v>658.59</v>
      </c>
      <c r="G880" s="25" t="n">
        <v>151.03</v>
      </c>
    </row>
    <row r="881">
      <c r="A881" s="23" t="n">
        <v>46220</v>
      </c>
      <c r="B881" s="23" t="n">
        <v>46216</v>
      </c>
      <c r="C881" s="24" t="inlineStr">
        <is>
          <t>C036-18</t>
        </is>
      </c>
      <c r="D881" s="24" t="inlineStr">
        <is>
          <t>North Foods</t>
        </is>
      </c>
      <c r="E881" s="25" t="n">
        <v>913.37</v>
      </c>
      <c r="F881" s="25" t="n">
        <v>742.99</v>
      </c>
      <c r="G881" s="25" t="n">
        <v>170.38</v>
      </c>
    </row>
    <row r="882">
      <c r="A882" s="23" t="n">
        <v>46217</v>
      </c>
      <c r="B882" s="23" t="n">
        <v>46216</v>
      </c>
      <c r="C882" s="24" t="inlineStr">
        <is>
          <t>C036-19</t>
        </is>
      </c>
      <c r="D882" s="24" t="inlineStr">
        <is>
          <t>North Foods</t>
        </is>
      </c>
      <c r="E882" s="25" t="n">
        <v>535.1900000000001</v>
      </c>
      <c r="F882" s="25" t="n">
        <v>435.35</v>
      </c>
      <c r="G882" s="25" t="n">
        <v>99.84</v>
      </c>
    </row>
    <row r="883">
      <c r="A883" s="23" t="n">
        <v>46270</v>
      </c>
      <c r="B883" s="23" t="n">
        <v>46265</v>
      </c>
      <c r="C883" s="24" t="inlineStr">
        <is>
          <t>C036-20</t>
        </is>
      </c>
      <c r="D883" s="24" t="inlineStr">
        <is>
          <t>North Foods</t>
        </is>
      </c>
      <c r="E883" s="25" t="n">
        <v>1172.84</v>
      </c>
      <c r="F883" s="25" t="n">
        <v>954.0599999999999</v>
      </c>
      <c r="G883" s="25" t="n">
        <v>218.78</v>
      </c>
    </row>
    <row r="884">
      <c r="A884" s="23" t="n">
        <v>46281</v>
      </c>
      <c r="B884" s="23" t="n">
        <v>46279</v>
      </c>
      <c r="C884" s="24" t="inlineStr">
        <is>
          <t>C036-21</t>
        </is>
      </c>
      <c r="D884" s="24" t="inlineStr">
        <is>
          <t>North Foods</t>
        </is>
      </c>
      <c r="E884" s="25" t="n">
        <v>575.62</v>
      </c>
      <c r="F884" s="25" t="n">
        <v>468.24</v>
      </c>
      <c r="G884" s="25" t="n">
        <v>107.38</v>
      </c>
    </row>
    <row r="885">
      <c r="A885" s="23" t="n">
        <v>46241</v>
      </c>
      <c r="B885" s="23" t="n">
        <v>46237</v>
      </c>
      <c r="C885" s="24" t="inlineStr">
        <is>
          <t>C036-22</t>
        </is>
      </c>
      <c r="D885" s="24" t="inlineStr">
        <is>
          <t>North Foods</t>
        </is>
      </c>
      <c r="E885" s="25" t="n">
        <v>876.53</v>
      </c>
      <c r="F885" s="25" t="n">
        <v>713.02</v>
      </c>
      <c r="G885" s="25" t="n">
        <v>163.51</v>
      </c>
    </row>
    <row r="886">
      <c r="A886" s="23" t="n">
        <v>46283</v>
      </c>
      <c r="B886" s="23" t="n">
        <v>46279</v>
      </c>
      <c r="C886" s="24" t="inlineStr">
        <is>
          <t>C036-23</t>
        </is>
      </c>
      <c r="D886" s="24" t="inlineStr">
        <is>
          <t>North Foods</t>
        </is>
      </c>
      <c r="E886" s="25" t="n">
        <v>1080.95</v>
      </c>
      <c r="F886" s="25" t="n">
        <v>879.3099999999999</v>
      </c>
      <c r="G886" s="25" t="n">
        <v>201.64</v>
      </c>
    </row>
    <row r="887">
      <c r="A887" s="23" t="n">
        <v>46243</v>
      </c>
      <c r="B887" s="23" t="n">
        <v>46237</v>
      </c>
      <c r="C887" s="24" t="inlineStr">
        <is>
          <t>C036-24</t>
        </is>
      </c>
      <c r="D887" s="24" t="inlineStr">
        <is>
          <t>North Foods</t>
        </is>
      </c>
      <c r="E887" s="25" t="n">
        <v>669.74</v>
      </c>
      <c r="F887" s="25" t="n">
        <v>544.8</v>
      </c>
      <c r="G887" s="25" t="n">
        <v>124.94</v>
      </c>
    </row>
    <row r="888">
      <c r="A888" s="23" t="n">
        <v>46254</v>
      </c>
      <c r="B888" s="23" t="n">
        <v>46251</v>
      </c>
      <c r="C888" s="24" t="inlineStr">
        <is>
          <t>C036-25</t>
        </is>
      </c>
      <c r="D888" s="24" t="inlineStr">
        <is>
          <t>North Foods</t>
        </is>
      </c>
      <c r="E888" s="25" t="n">
        <v>1105.86</v>
      </c>
      <c r="F888" s="25" t="n">
        <v>899.5700000000001</v>
      </c>
      <c r="G888" s="25" t="n">
        <v>206.29</v>
      </c>
    </row>
    <row r="889">
      <c r="A889" s="23" t="n">
        <v>46290</v>
      </c>
      <c r="B889" s="23" t="n">
        <v>46286</v>
      </c>
      <c r="C889" s="24" t="inlineStr">
        <is>
          <t>C036-26</t>
        </is>
      </c>
      <c r="D889" s="24" t="inlineStr">
        <is>
          <t>North Foods</t>
        </is>
      </c>
      <c r="E889" s="25" t="n">
        <v>997.62</v>
      </c>
      <c r="F889" s="25" t="n">
        <v>811.52</v>
      </c>
      <c r="G889" s="25" t="n">
        <v>186.1</v>
      </c>
    </row>
    <row r="890">
      <c r="A890" s="23" t="n">
        <v>46271</v>
      </c>
      <c r="B890" s="23" t="n">
        <v>46265</v>
      </c>
      <c r="C890" s="24" t="inlineStr">
        <is>
          <t>C036-27</t>
        </is>
      </c>
      <c r="D890" s="24" t="inlineStr">
        <is>
          <t>North Foods</t>
        </is>
      </c>
      <c r="E890" s="25" t="n">
        <v>578.3</v>
      </c>
      <c r="F890" s="25" t="n">
        <v>470.42</v>
      </c>
      <c r="G890" s="25" t="n">
        <v>107.88</v>
      </c>
    </row>
    <row r="891">
      <c r="A891" s="23" t="n">
        <v>46279</v>
      </c>
      <c r="B891" s="23" t="n">
        <v>46279</v>
      </c>
      <c r="C891" s="24" t="inlineStr">
        <is>
          <t>C037-0</t>
        </is>
      </c>
      <c r="D891" s="24" t="inlineStr">
        <is>
          <t>North Mart</t>
        </is>
      </c>
      <c r="E891" s="25" t="n">
        <v>4842.86</v>
      </c>
      <c r="F891" s="25" t="n">
        <v>4224.33</v>
      </c>
      <c r="G891" s="25" t="n">
        <v>618.53</v>
      </c>
    </row>
    <row r="892">
      <c r="A892" s="23" t="n">
        <v>46228</v>
      </c>
      <c r="B892" s="23" t="n">
        <v>46223</v>
      </c>
      <c r="C892" s="24" t="inlineStr">
        <is>
          <t>C037-1</t>
        </is>
      </c>
      <c r="D892" s="24" t="inlineStr">
        <is>
          <t>North Mart</t>
        </is>
      </c>
      <c r="E892" s="25" t="n">
        <v>3553.23</v>
      </c>
      <c r="F892" s="25" t="n">
        <v>3099.41</v>
      </c>
      <c r="G892" s="25" t="n">
        <v>453.82</v>
      </c>
    </row>
    <row r="893">
      <c r="A893" s="23" t="n">
        <v>46225</v>
      </c>
      <c r="B893" s="23" t="n">
        <v>46223</v>
      </c>
      <c r="C893" s="24" t="inlineStr">
        <is>
          <t>C037-2</t>
        </is>
      </c>
      <c r="D893" s="24" t="inlineStr">
        <is>
          <t>North Mart</t>
        </is>
      </c>
      <c r="E893" s="25" t="n">
        <v>2678.25</v>
      </c>
      <c r="F893" s="25" t="n">
        <v>2336.18</v>
      </c>
      <c r="G893" s="25" t="n">
        <v>342.07</v>
      </c>
    </row>
    <row r="894">
      <c r="A894" s="23" t="n">
        <v>46264</v>
      </c>
      <c r="B894" s="23" t="n">
        <v>46258</v>
      </c>
      <c r="C894" s="24" t="inlineStr">
        <is>
          <t>C037-3</t>
        </is>
      </c>
      <c r="D894" s="24" t="inlineStr">
        <is>
          <t>North Mart</t>
        </is>
      </c>
      <c r="E894" s="25" t="n">
        <v>5626.11</v>
      </c>
      <c r="F894" s="25" t="n">
        <v>4907.54</v>
      </c>
      <c r="G894" s="25" t="n">
        <v>718.5700000000001</v>
      </c>
    </row>
    <row r="895">
      <c r="A895" s="23" t="n">
        <v>46288</v>
      </c>
      <c r="B895" s="23" t="n">
        <v>46286</v>
      </c>
      <c r="C895" s="24" t="inlineStr">
        <is>
          <t>C037-4</t>
        </is>
      </c>
      <c r="D895" s="24" t="inlineStr">
        <is>
          <t>North Mart</t>
        </is>
      </c>
      <c r="E895" s="25" t="n">
        <v>3480</v>
      </c>
      <c r="F895" s="25" t="n">
        <v>3035.53</v>
      </c>
      <c r="G895" s="25" t="n">
        <v>444.47</v>
      </c>
    </row>
    <row r="896">
      <c r="A896" s="23" t="n">
        <v>46234</v>
      </c>
      <c r="B896" s="23" t="n">
        <v>46230</v>
      </c>
      <c r="C896" s="24" t="inlineStr">
        <is>
          <t>C037-5</t>
        </is>
      </c>
      <c r="D896" s="24" t="inlineStr">
        <is>
          <t>North Mart</t>
        </is>
      </c>
      <c r="E896" s="25" t="n">
        <v>4746.63</v>
      </c>
      <c r="F896" s="25" t="n">
        <v>4140.39</v>
      </c>
      <c r="G896" s="25" t="n">
        <v>606.24</v>
      </c>
    </row>
    <row r="897">
      <c r="A897" s="23" t="n">
        <v>46288</v>
      </c>
      <c r="B897" s="23" t="n">
        <v>46286</v>
      </c>
      <c r="C897" s="24" t="inlineStr">
        <is>
          <t>C037-6</t>
        </is>
      </c>
      <c r="D897" s="24" t="inlineStr">
        <is>
          <t>North Mart</t>
        </is>
      </c>
      <c r="E897" s="25" t="n">
        <v>4051.96</v>
      </c>
      <c r="F897" s="25" t="n">
        <v>3534.44</v>
      </c>
      <c r="G897" s="25" t="n">
        <v>517.52</v>
      </c>
    </row>
    <row r="898">
      <c r="A898" s="23" t="n">
        <v>46234</v>
      </c>
      <c r="B898" s="23" t="n">
        <v>46230</v>
      </c>
      <c r="C898" s="24" t="inlineStr">
        <is>
          <t>C037-7</t>
        </is>
      </c>
      <c r="D898" s="24" t="inlineStr">
        <is>
          <t>North Mart</t>
        </is>
      </c>
      <c r="E898" s="25" t="n">
        <v>5425.93</v>
      </c>
      <c r="F898" s="25" t="n">
        <v>4732.93</v>
      </c>
      <c r="G898" s="25" t="n">
        <v>693</v>
      </c>
    </row>
    <row r="899">
      <c r="A899" s="23" t="n">
        <v>46267</v>
      </c>
      <c r="B899" s="23" t="n">
        <v>46265</v>
      </c>
      <c r="C899" s="24" t="inlineStr">
        <is>
          <t>C038-0</t>
        </is>
      </c>
      <c r="D899" s="24" t="inlineStr">
        <is>
          <t>North Cafe</t>
        </is>
      </c>
      <c r="E899" s="25" t="n">
        <v>1193.75</v>
      </c>
      <c r="F899" s="25" t="n">
        <v>1109.93</v>
      </c>
      <c r="G899" s="25" t="n">
        <v>83.81999999999999</v>
      </c>
    </row>
    <row r="900">
      <c r="A900" s="23" t="n">
        <v>46259</v>
      </c>
      <c r="B900" s="23" t="n">
        <v>46258</v>
      </c>
      <c r="C900" s="24" t="inlineStr">
        <is>
          <t>C038-1</t>
        </is>
      </c>
      <c r="D900" s="24" t="inlineStr">
        <is>
          <t>North Cafe</t>
        </is>
      </c>
      <c r="E900" s="25" t="n">
        <v>1497.9</v>
      </c>
      <c r="F900" s="25" t="n">
        <v>1392.72</v>
      </c>
      <c r="G900" s="25" t="n">
        <v>105.18</v>
      </c>
    </row>
    <row r="901">
      <c r="A901" s="23" t="n">
        <v>46253</v>
      </c>
      <c r="B901" s="23" t="n">
        <v>46251</v>
      </c>
      <c r="C901" s="24" t="inlineStr">
        <is>
          <t>C038-2</t>
        </is>
      </c>
      <c r="D901" s="24" t="inlineStr">
        <is>
          <t>North Cafe</t>
        </is>
      </c>
      <c r="E901" s="25" t="n">
        <v>1290.39</v>
      </c>
      <c r="F901" s="25" t="n">
        <v>1199.78</v>
      </c>
      <c r="G901" s="25" t="n">
        <v>90.61</v>
      </c>
    </row>
    <row r="902">
      <c r="A902" s="23" t="n">
        <v>46288</v>
      </c>
      <c r="B902" s="23" t="n">
        <v>46286</v>
      </c>
      <c r="C902" s="24" t="inlineStr">
        <is>
          <t>C038-3</t>
        </is>
      </c>
      <c r="D902" s="24" t="inlineStr">
        <is>
          <t>North Cafe</t>
        </is>
      </c>
      <c r="E902" s="25" t="n">
        <v>1009.91</v>
      </c>
      <c r="F902" s="25" t="n">
        <v>939</v>
      </c>
      <c r="G902" s="25" t="n">
        <v>70.91</v>
      </c>
    </row>
    <row r="903">
      <c r="A903" s="23" t="n">
        <v>46269</v>
      </c>
      <c r="B903" s="23" t="n">
        <v>46265</v>
      </c>
      <c r="C903" s="24" t="inlineStr">
        <is>
          <t>C038-4</t>
        </is>
      </c>
      <c r="D903" s="24" t="inlineStr">
        <is>
          <t>North Cafe</t>
        </is>
      </c>
      <c r="E903" s="25" t="n">
        <v>976.9400000000001</v>
      </c>
      <c r="F903" s="25" t="n">
        <v>908.34</v>
      </c>
      <c r="G903" s="25" t="n">
        <v>68.59999999999999</v>
      </c>
    </row>
    <row r="904">
      <c r="A904" s="23" t="n">
        <v>46252</v>
      </c>
      <c r="B904" s="23" t="n">
        <v>46251</v>
      </c>
      <c r="C904" s="24" t="inlineStr">
        <is>
          <t>C038-5</t>
        </is>
      </c>
      <c r="D904" s="24" t="inlineStr">
        <is>
          <t>North Cafe</t>
        </is>
      </c>
      <c r="E904" s="25" t="n">
        <v>1153.78</v>
      </c>
      <c r="F904" s="25" t="n">
        <v>1072.77</v>
      </c>
      <c r="G904" s="25" t="n">
        <v>81.01000000000001</v>
      </c>
    </row>
    <row r="905">
      <c r="A905" s="23" t="n">
        <v>46248</v>
      </c>
      <c r="B905" s="23" t="n">
        <v>46244</v>
      </c>
      <c r="C905" s="24" t="inlineStr">
        <is>
          <t>C038-6</t>
        </is>
      </c>
      <c r="D905" s="24" t="inlineStr">
        <is>
          <t>North Cafe</t>
        </is>
      </c>
      <c r="E905" s="25" t="n">
        <v>957.52</v>
      </c>
      <c r="F905" s="25" t="n">
        <v>890.28</v>
      </c>
      <c r="G905" s="25" t="n">
        <v>67.23999999999999</v>
      </c>
    </row>
    <row r="906">
      <c r="A906" s="23" t="n">
        <v>46274</v>
      </c>
      <c r="B906" s="23" t="n">
        <v>46272</v>
      </c>
      <c r="C906" s="24" t="inlineStr">
        <is>
          <t>C038-7</t>
        </is>
      </c>
      <c r="D906" s="24" t="inlineStr">
        <is>
          <t>North Cafe</t>
        </is>
      </c>
      <c r="E906" s="25" t="n">
        <v>995.8099999999999</v>
      </c>
      <c r="F906" s="25" t="n">
        <v>925.89</v>
      </c>
      <c r="G906" s="25" t="n">
        <v>69.92</v>
      </c>
    </row>
    <row r="907">
      <c r="A907" s="23" t="n">
        <v>46261</v>
      </c>
      <c r="B907" s="23" t="n">
        <v>46258</v>
      </c>
      <c r="C907" s="24" t="inlineStr">
        <is>
          <t>C038-8</t>
        </is>
      </c>
      <c r="D907" s="24" t="inlineStr">
        <is>
          <t>North Cafe</t>
        </is>
      </c>
      <c r="E907" s="25" t="n">
        <v>665.66</v>
      </c>
      <c r="F907" s="25" t="n">
        <v>618.92</v>
      </c>
      <c r="G907" s="25" t="n">
        <v>46.74</v>
      </c>
    </row>
    <row r="908">
      <c r="A908" s="23" t="n">
        <v>46221</v>
      </c>
      <c r="B908" s="23" t="n">
        <v>46216</v>
      </c>
      <c r="C908" s="24" t="inlineStr">
        <is>
          <t>C038-9</t>
        </is>
      </c>
      <c r="D908" s="24" t="inlineStr">
        <is>
          <t>North Cafe</t>
        </is>
      </c>
      <c r="E908" s="25" t="n">
        <v>1462.39</v>
      </c>
      <c r="F908" s="25" t="n">
        <v>1359.7</v>
      </c>
      <c r="G908" s="25" t="n">
        <v>102.69</v>
      </c>
    </row>
    <row r="909">
      <c r="A909" s="23" t="n">
        <v>46218</v>
      </c>
      <c r="B909" s="23" t="n">
        <v>46216</v>
      </c>
      <c r="C909" s="24" t="inlineStr">
        <is>
          <t>C038-10</t>
        </is>
      </c>
      <c r="D909" s="24" t="inlineStr">
        <is>
          <t>North Cafe</t>
        </is>
      </c>
      <c r="E909" s="25" t="n">
        <v>718.76</v>
      </c>
      <c r="F909" s="25" t="n">
        <v>668.29</v>
      </c>
      <c r="G909" s="25" t="n">
        <v>50.47</v>
      </c>
    </row>
    <row r="910">
      <c r="A910" s="23" t="n">
        <v>46244</v>
      </c>
      <c r="B910" s="23" t="n">
        <v>46244</v>
      </c>
      <c r="C910" s="24" t="inlineStr">
        <is>
          <t>C038-11</t>
        </is>
      </c>
      <c r="D910" s="24" t="inlineStr">
        <is>
          <t>North Cafe</t>
        </is>
      </c>
      <c r="E910" s="25" t="n">
        <v>1279.37</v>
      </c>
      <c r="F910" s="25" t="n">
        <v>1189.54</v>
      </c>
      <c r="G910" s="25" t="n">
        <v>89.83</v>
      </c>
    </row>
    <row r="911">
      <c r="A911" s="23" t="n">
        <v>46240</v>
      </c>
      <c r="B911" s="23" t="n">
        <v>46237</v>
      </c>
      <c r="C911" s="24" t="inlineStr">
        <is>
          <t>C038-12</t>
        </is>
      </c>
      <c r="D911" s="24" t="inlineStr">
        <is>
          <t>North Cafe</t>
        </is>
      </c>
      <c r="E911" s="25" t="n">
        <v>1184.6</v>
      </c>
      <c r="F911" s="25" t="n">
        <v>1101.42</v>
      </c>
      <c r="G911" s="25" t="n">
        <v>83.18000000000001</v>
      </c>
    </row>
    <row r="912">
      <c r="A912" s="23" t="n">
        <v>46232</v>
      </c>
      <c r="B912" s="23" t="n">
        <v>46230</v>
      </c>
      <c r="C912" s="24" t="inlineStr">
        <is>
          <t>C039-0</t>
        </is>
      </c>
      <c r="D912" s="24" t="inlineStr">
        <is>
          <t>North Superette</t>
        </is>
      </c>
      <c r="E912" s="25" t="n">
        <v>4708.41</v>
      </c>
      <c r="F912" s="25" t="n">
        <v>4302.06</v>
      </c>
      <c r="G912" s="25" t="n">
        <v>406.35</v>
      </c>
    </row>
    <row r="913">
      <c r="A913" s="23" t="n">
        <v>46261</v>
      </c>
      <c r="B913" s="23" t="n">
        <v>46258</v>
      </c>
      <c r="C913" s="24" t="inlineStr">
        <is>
          <t>C039-1</t>
        </is>
      </c>
      <c r="D913" s="24" t="inlineStr">
        <is>
          <t>North Superette</t>
        </is>
      </c>
      <c r="E913" s="25" t="n">
        <v>4260.25</v>
      </c>
      <c r="F913" s="25" t="n">
        <v>3892.57</v>
      </c>
      <c r="G913" s="25" t="n">
        <v>367.68</v>
      </c>
    </row>
    <row r="914">
      <c r="A914" s="23" t="n">
        <v>46203</v>
      </c>
      <c r="B914" s="23" t="n">
        <v>46202</v>
      </c>
      <c r="C914" s="24" t="inlineStr">
        <is>
          <t>C039-2</t>
        </is>
      </c>
      <c r="D914" s="24" t="inlineStr">
        <is>
          <t>North Superette</t>
        </is>
      </c>
      <c r="E914" s="25" t="n">
        <v>3176.62</v>
      </c>
      <c r="F914" s="25" t="n">
        <v>2902.46</v>
      </c>
      <c r="G914" s="25" t="n">
        <v>274.16</v>
      </c>
    </row>
    <row r="915">
      <c r="A915" s="23" t="n">
        <v>46216</v>
      </c>
      <c r="B915" s="23" t="n">
        <v>46216</v>
      </c>
      <c r="C915" s="24" t="inlineStr">
        <is>
          <t>C039-3</t>
        </is>
      </c>
      <c r="D915" s="24" t="inlineStr">
        <is>
          <t>North Superette</t>
        </is>
      </c>
      <c r="E915" s="25" t="n">
        <v>3564.08</v>
      </c>
      <c r="F915" s="25" t="n">
        <v>3256.48</v>
      </c>
      <c r="G915" s="25" t="n">
        <v>307.6</v>
      </c>
    </row>
    <row r="916">
      <c r="A916" s="23" t="n">
        <v>46272</v>
      </c>
      <c r="B916" s="23" t="n">
        <v>46272</v>
      </c>
      <c r="C916" s="24" t="inlineStr">
        <is>
          <t>C039-4</t>
        </is>
      </c>
      <c r="D916" s="24" t="inlineStr">
        <is>
          <t>North Superette</t>
        </is>
      </c>
      <c r="E916" s="25" t="n">
        <v>4142.3</v>
      </c>
      <c r="F916" s="25" t="n">
        <v>3784.8</v>
      </c>
      <c r="G916" s="25" t="n">
        <v>357.5</v>
      </c>
    </row>
    <row r="917">
      <c r="A917" s="23" t="n">
        <v>46227</v>
      </c>
      <c r="B917" s="23" t="n">
        <v>46223</v>
      </c>
      <c r="C917" s="24" t="inlineStr">
        <is>
          <t>C040-0</t>
        </is>
      </c>
      <c r="D917" s="24" t="inlineStr">
        <is>
          <t>North Grocers</t>
        </is>
      </c>
      <c r="E917" s="25" t="n">
        <v>23.64</v>
      </c>
      <c r="F917" s="25" t="n">
        <v>20.84</v>
      </c>
      <c r="G917" s="25" t="n">
        <v>2.8</v>
      </c>
    </row>
    <row r="918">
      <c r="A918" s="23" t="n">
        <v>46228</v>
      </c>
      <c r="B918" s="23" t="n">
        <v>46223</v>
      </c>
      <c r="C918" s="24" t="inlineStr">
        <is>
          <t>C040-1</t>
        </is>
      </c>
      <c r="D918" s="24" t="inlineStr">
        <is>
          <t>North Grocers</t>
        </is>
      </c>
      <c r="E918" s="25" t="n">
        <v>23.99</v>
      </c>
      <c r="F918" s="25" t="n">
        <v>21.15</v>
      </c>
      <c r="G918" s="25" t="n">
        <v>2.84</v>
      </c>
    </row>
    <row r="919">
      <c r="A919" s="23" t="n">
        <v>46218</v>
      </c>
      <c r="B919" s="23" t="n">
        <v>46216</v>
      </c>
      <c r="C919" s="24" t="inlineStr">
        <is>
          <t>C040-2</t>
        </is>
      </c>
      <c r="D919" s="24" t="inlineStr">
        <is>
          <t>North Grocers</t>
        </is>
      </c>
      <c r="E919" s="25" t="n">
        <v>14.31</v>
      </c>
      <c r="F919" s="25" t="n">
        <v>12.62</v>
      </c>
      <c r="G919" s="25" t="n">
        <v>1.69</v>
      </c>
    </row>
    <row r="920">
      <c r="A920" s="23" t="n">
        <v>46285</v>
      </c>
      <c r="B920" s="23" t="n">
        <v>46279</v>
      </c>
      <c r="C920" s="24" t="inlineStr">
        <is>
          <t>C040-3</t>
        </is>
      </c>
      <c r="D920" s="24" t="inlineStr">
        <is>
          <t>North Grocers</t>
        </is>
      </c>
      <c r="E920" s="25" t="n">
        <v>13.89</v>
      </c>
      <c r="F920" s="25" t="n">
        <v>12.24</v>
      </c>
      <c r="G920" s="25" t="n">
        <v>1.65</v>
      </c>
    </row>
    <row r="921">
      <c r="A921" s="23" t="n">
        <v>46239</v>
      </c>
      <c r="B921" s="23" t="n">
        <v>46237</v>
      </c>
      <c r="C921" s="24" t="inlineStr">
        <is>
          <t>C040-4</t>
        </is>
      </c>
      <c r="D921" s="24" t="inlineStr">
        <is>
          <t>North Grocers</t>
        </is>
      </c>
      <c r="E921" s="25" t="n">
        <v>18.05</v>
      </c>
      <c r="F921" s="25" t="n">
        <v>15.91</v>
      </c>
      <c r="G921" s="25" t="n">
        <v>2.14</v>
      </c>
    </row>
    <row r="922">
      <c r="A922" s="23" t="n">
        <v>46236</v>
      </c>
      <c r="B922" s="23" t="n">
        <v>46230</v>
      </c>
      <c r="C922" s="24" t="inlineStr">
        <is>
          <t>C040-5</t>
        </is>
      </c>
      <c r="D922" s="24" t="inlineStr">
        <is>
          <t>North Grocers</t>
        </is>
      </c>
      <c r="E922" s="25" t="n">
        <v>22.38</v>
      </c>
      <c r="F922" s="25" t="n">
        <v>19.73</v>
      </c>
      <c r="G922" s="25" t="n">
        <v>2.65</v>
      </c>
    </row>
    <row r="923">
      <c r="A923" s="23" t="n">
        <v>46218</v>
      </c>
      <c r="B923" s="23" t="n">
        <v>46216</v>
      </c>
      <c r="C923" s="24" t="inlineStr">
        <is>
          <t>C040-6</t>
        </is>
      </c>
      <c r="D923" s="24" t="inlineStr">
        <is>
          <t>North Grocers</t>
        </is>
      </c>
      <c r="E923" s="25" t="n">
        <v>13.93</v>
      </c>
      <c r="F923" s="25" t="n">
        <v>12.28</v>
      </c>
      <c r="G923" s="25" t="n">
        <v>1.65</v>
      </c>
    </row>
    <row r="924">
      <c r="A924" s="23" t="n">
        <v>46228</v>
      </c>
      <c r="B924" s="23" t="n">
        <v>46223</v>
      </c>
      <c r="C924" s="24" t="inlineStr">
        <is>
          <t>C040-7</t>
        </is>
      </c>
      <c r="D924" s="24" t="inlineStr">
        <is>
          <t>North Grocers</t>
        </is>
      </c>
      <c r="E924" s="25" t="n">
        <v>25.47</v>
      </c>
      <c r="F924" s="25" t="n">
        <v>22.45</v>
      </c>
      <c r="G924" s="25" t="n">
        <v>3.02</v>
      </c>
    </row>
    <row r="925">
      <c r="A925" s="23" t="n">
        <v>46248</v>
      </c>
      <c r="B925" s="23" t="n">
        <v>46244</v>
      </c>
      <c r="C925" s="24" t="inlineStr">
        <is>
          <t>C040-8</t>
        </is>
      </c>
      <c r="D925" s="24" t="inlineStr">
        <is>
          <t>North Grocers</t>
        </is>
      </c>
      <c r="E925" s="25" t="n">
        <v>13.28</v>
      </c>
      <c r="F925" s="25" t="n">
        <v>11.71</v>
      </c>
      <c r="G925" s="25" t="n">
        <v>1.57</v>
      </c>
    </row>
    <row r="926">
      <c r="A926" s="23" t="n">
        <v>46267</v>
      </c>
      <c r="B926" s="23" t="n">
        <v>46265</v>
      </c>
      <c r="C926" s="24" t="inlineStr">
        <is>
          <t>C040-9</t>
        </is>
      </c>
      <c r="D926" s="24" t="inlineStr">
        <is>
          <t>North Grocers</t>
        </is>
      </c>
      <c r="E926" s="25" t="n">
        <v>13.06</v>
      </c>
      <c r="F926" s="25" t="n">
        <v>11.51</v>
      </c>
      <c r="G926" s="25" t="n">
        <v>1.55</v>
      </c>
    </row>
    <row r="927">
      <c r="A927" s="23" t="n">
        <v>46236</v>
      </c>
      <c r="B927" s="23" t="n">
        <v>46230</v>
      </c>
      <c r="C927" s="24" t="inlineStr">
        <is>
          <t>C040-10</t>
        </is>
      </c>
      <c r="D927" s="24" t="inlineStr">
        <is>
          <t>North Grocers</t>
        </is>
      </c>
      <c r="E927" s="25" t="n">
        <v>14.13</v>
      </c>
      <c r="F927" s="25" t="n">
        <v>12.45</v>
      </c>
      <c r="G927" s="25" t="n">
        <v>1.68</v>
      </c>
    </row>
    <row r="928">
      <c r="A928" s="23" t="n">
        <v>46232</v>
      </c>
      <c r="B928" s="23" t="n">
        <v>46230</v>
      </c>
      <c r="C928" s="24" t="inlineStr">
        <is>
          <t>C040-11</t>
        </is>
      </c>
      <c r="D928" s="24" t="inlineStr">
        <is>
          <t>North Grocers</t>
        </is>
      </c>
      <c r="E928" s="25" t="n">
        <v>13.82</v>
      </c>
      <c r="F928" s="25" t="n">
        <v>12.18</v>
      </c>
      <c r="G928" s="25" t="n">
        <v>1.64</v>
      </c>
    </row>
    <row r="929">
      <c r="A929" s="23" t="n">
        <v>46226</v>
      </c>
      <c r="B929" s="23" t="n">
        <v>46223</v>
      </c>
      <c r="C929" s="24" t="inlineStr">
        <is>
          <t>C040-12</t>
        </is>
      </c>
      <c r="D929" s="24" t="inlineStr">
        <is>
          <t>North Grocers</t>
        </is>
      </c>
      <c r="E929" s="25" t="n">
        <v>18.92</v>
      </c>
      <c r="F929" s="25" t="n">
        <v>16.68</v>
      </c>
      <c r="G929" s="25" t="n">
        <v>2.24</v>
      </c>
    </row>
    <row r="930">
      <c r="A930" s="23" t="n">
        <v>46256</v>
      </c>
      <c r="B930" s="23" t="n">
        <v>46251</v>
      </c>
      <c r="C930" s="24" t="inlineStr">
        <is>
          <t>C040-13</t>
        </is>
      </c>
      <c r="D930" s="24" t="inlineStr">
        <is>
          <t>North Grocers</t>
        </is>
      </c>
      <c r="E930" s="25" t="n">
        <v>19.8</v>
      </c>
      <c r="F930" s="25" t="n">
        <v>17.45</v>
      </c>
      <c r="G930" s="25" t="n">
        <v>2.35</v>
      </c>
    </row>
    <row r="931">
      <c r="A931" s="23" t="n">
        <v>46222</v>
      </c>
      <c r="B931" s="23" t="n">
        <v>46216</v>
      </c>
      <c r="C931" s="24" t="inlineStr">
        <is>
          <t>C040-14</t>
        </is>
      </c>
      <c r="D931" s="24" t="inlineStr">
        <is>
          <t>North Grocers</t>
        </is>
      </c>
      <c r="E931" s="25" t="n">
        <v>22.82</v>
      </c>
      <c r="F931" s="25" t="n">
        <v>20.11</v>
      </c>
      <c r="G931" s="25" t="n">
        <v>2.71</v>
      </c>
    </row>
    <row r="932">
      <c r="A932" s="23" t="n">
        <v>46272</v>
      </c>
      <c r="B932" s="23" t="n">
        <v>46272</v>
      </c>
      <c r="C932" s="24" t="inlineStr">
        <is>
          <t>C040-15</t>
        </is>
      </c>
      <c r="D932" s="24" t="inlineStr">
        <is>
          <t>North Grocers</t>
        </is>
      </c>
      <c r="E932" s="25" t="n">
        <v>20.55</v>
      </c>
      <c r="F932" s="25" t="n">
        <v>18.12</v>
      </c>
      <c r="G932" s="25" t="n">
        <v>2.43</v>
      </c>
    </row>
    <row r="933">
      <c r="A933" s="23" t="n">
        <v>46279</v>
      </c>
      <c r="B933" s="23" t="n">
        <v>46279</v>
      </c>
      <c r="C933" s="24" t="inlineStr">
        <is>
          <t>C040-16</t>
        </is>
      </c>
      <c r="D933" s="24" t="inlineStr">
        <is>
          <t>North Grocers</t>
        </is>
      </c>
      <c r="E933" s="25" t="n">
        <v>17.65</v>
      </c>
      <c r="F933" s="25" t="n">
        <v>15.56</v>
      </c>
      <c r="G933" s="25" t="n">
        <v>2.09</v>
      </c>
    </row>
    <row r="934">
      <c r="A934" s="23" t="n">
        <v>46232</v>
      </c>
      <c r="B934" s="23" t="n">
        <v>46230</v>
      </c>
      <c r="C934" s="24" t="inlineStr">
        <is>
          <t>C040-17</t>
        </is>
      </c>
      <c r="D934" s="24" t="inlineStr">
        <is>
          <t>North Grocers</t>
        </is>
      </c>
      <c r="E934" s="25" t="n">
        <v>16.8</v>
      </c>
      <c r="F934" s="25" t="n">
        <v>14.81</v>
      </c>
      <c r="G934" s="25" t="n">
        <v>1.99</v>
      </c>
    </row>
    <row r="935">
      <c r="A935" s="23" t="n">
        <v>46229</v>
      </c>
      <c r="B935" s="23" t="n">
        <v>46223</v>
      </c>
      <c r="C935" s="24" t="inlineStr">
        <is>
          <t>C040-18</t>
        </is>
      </c>
      <c r="D935" s="24" t="inlineStr">
        <is>
          <t>North Grocers</t>
        </is>
      </c>
      <c r="E935" s="25" t="n">
        <v>24.39</v>
      </c>
      <c r="F935" s="25" t="n">
        <v>21.5</v>
      </c>
      <c r="G935" s="25" t="n">
        <v>2.89</v>
      </c>
    </row>
    <row r="936">
      <c r="A936" s="23" t="n">
        <v>46258</v>
      </c>
      <c r="B936" s="23" t="n">
        <v>46258</v>
      </c>
      <c r="C936" s="24" t="inlineStr">
        <is>
          <t>C040-19</t>
        </is>
      </c>
      <c r="D936" s="24" t="inlineStr">
        <is>
          <t>North Grocers</t>
        </is>
      </c>
      <c r="E936" s="25" t="n">
        <v>22.36</v>
      </c>
      <c r="F936" s="25" t="n">
        <v>19.71</v>
      </c>
      <c r="G936" s="25" t="n">
        <v>2.65</v>
      </c>
    </row>
    <row r="937">
      <c r="A937" s="23" t="n">
        <v>46203</v>
      </c>
      <c r="B937" s="23" t="n">
        <v>46202</v>
      </c>
      <c r="C937" s="24" t="inlineStr">
        <is>
          <t>C040-20</t>
        </is>
      </c>
      <c r="D937" s="24" t="inlineStr">
        <is>
          <t>North Grocers</t>
        </is>
      </c>
      <c r="E937" s="25" t="n">
        <v>26.13</v>
      </c>
      <c r="F937" s="25" t="n">
        <v>23.03</v>
      </c>
      <c r="G937" s="25" t="n">
        <v>3.1</v>
      </c>
    </row>
    <row r="938">
      <c r="A938" s="23" t="n">
        <v>46238</v>
      </c>
      <c r="B938" s="23" t="n">
        <v>46237</v>
      </c>
      <c r="C938" s="24" t="inlineStr">
        <is>
          <t>C040-21</t>
        </is>
      </c>
      <c r="D938" s="24" t="inlineStr">
        <is>
          <t>North Grocers</t>
        </is>
      </c>
      <c r="E938" s="25" t="n">
        <v>13.98</v>
      </c>
      <c r="F938" s="25" t="n">
        <v>12.32</v>
      </c>
      <c r="G938" s="25" t="n">
        <v>1.66</v>
      </c>
    </row>
    <row r="939">
      <c r="A939" s="23" t="n">
        <v>46240</v>
      </c>
      <c r="B939" s="23" t="n">
        <v>46237</v>
      </c>
      <c r="C939" s="24" t="inlineStr">
        <is>
          <t>C040-22</t>
        </is>
      </c>
      <c r="D939" s="24" t="inlineStr">
        <is>
          <t>North Grocers</t>
        </is>
      </c>
      <c r="E939" s="25" t="n">
        <v>17.79</v>
      </c>
      <c r="F939" s="25" t="n">
        <v>15.68</v>
      </c>
      <c r="G939" s="25" t="n">
        <v>2.11</v>
      </c>
    </row>
    <row r="940">
      <c r="A940" s="23" t="n">
        <v>46241</v>
      </c>
      <c r="B940" s="23" t="n">
        <v>46237</v>
      </c>
      <c r="C940" s="24" t="inlineStr">
        <is>
          <t>C040-23</t>
        </is>
      </c>
      <c r="D940" s="24" t="inlineStr">
        <is>
          <t>North Grocers</t>
        </is>
      </c>
      <c r="E940" s="25" t="n">
        <v>23.85</v>
      </c>
      <c r="F940" s="25" t="n">
        <v>21.02</v>
      </c>
      <c r="G940" s="25" t="n">
        <v>2.83</v>
      </c>
    </row>
    <row r="941">
      <c r="A941" s="23" t="n">
        <v>46214</v>
      </c>
      <c r="B941" s="23" t="n">
        <v>46209</v>
      </c>
      <c r="C941" s="24" t="inlineStr">
        <is>
          <t>C040-24</t>
        </is>
      </c>
      <c r="D941" s="24" t="inlineStr">
        <is>
          <t>North Grocers</t>
        </is>
      </c>
      <c r="E941" s="25" t="n">
        <v>23.79</v>
      </c>
      <c r="F941" s="25" t="n">
        <v>20.97</v>
      </c>
      <c r="G941" s="25" t="n">
        <v>2.82</v>
      </c>
    </row>
    <row r="942">
      <c r="A942" s="23" t="n">
        <v>46201</v>
      </c>
      <c r="B942" s="23" t="n">
        <v>46195</v>
      </c>
      <c r="C942" s="24" t="inlineStr">
        <is>
          <t>C040-25</t>
        </is>
      </c>
      <c r="D942" s="24" t="inlineStr">
        <is>
          <t>North Grocers</t>
        </is>
      </c>
      <c r="E942" s="25" t="n">
        <v>22.63</v>
      </c>
      <c r="F942" s="25" t="n">
        <v>19.95</v>
      </c>
      <c r="G942" s="25" t="n">
        <v>2.68</v>
      </c>
    </row>
    <row r="943">
      <c r="A943" s="23" t="n">
        <v>46204</v>
      </c>
      <c r="B943" s="23" t="n">
        <v>46202</v>
      </c>
      <c r="C943" s="24" t="inlineStr">
        <is>
          <t>C040-26</t>
        </is>
      </c>
      <c r="D943" s="24" t="inlineStr">
        <is>
          <t>North Grocers</t>
        </is>
      </c>
      <c r="E943" s="25" t="n">
        <v>26.24</v>
      </c>
      <c r="F943" s="25" t="n">
        <v>23.14</v>
      </c>
      <c r="G943" s="25" t="n">
        <v>3.1</v>
      </c>
    </row>
    <row r="944">
      <c r="A944" s="23" t="n">
        <v>46268</v>
      </c>
      <c r="B944" s="23" t="n">
        <v>46265</v>
      </c>
      <c r="C944" s="24" t="inlineStr">
        <is>
          <t>C040-27</t>
        </is>
      </c>
      <c r="D944" s="24" t="inlineStr">
        <is>
          <t>North Grocers</t>
        </is>
      </c>
      <c r="E944" s="25" t="n">
        <v>11.28</v>
      </c>
      <c r="F944" s="25" t="n">
        <v>9.94</v>
      </c>
      <c r="G944" s="25" t="n">
        <v>1.34</v>
      </c>
    </row>
    <row r="945">
      <c r="A945" s="23" t="n">
        <v>46259</v>
      </c>
      <c r="B945" s="23" t="n">
        <v>46258</v>
      </c>
      <c r="C945" s="24" t="inlineStr">
        <is>
          <t>C040-28</t>
        </is>
      </c>
      <c r="D945" s="24" t="inlineStr">
        <is>
          <t>North Grocers</t>
        </is>
      </c>
      <c r="E945" s="25" t="n">
        <v>17</v>
      </c>
      <c r="F945" s="25" t="n">
        <v>14.99</v>
      </c>
      <c r="G945" s="25" t="n">
        <v>2.01</v>
      </c>
    </row>
    <row r="946">
      <c r="A946" s="23" t="n">
        <v>46210</v>
      </c>
      <c r="B946" s="23" t="n">
        <v>46209</v>
      </c>
      <c r="C946" s="24" t="inlineStr">
        <is>
          <t>C040-29</t>
        </is>
      </c>
      <c r="D946" s="24" t="inlineStr">
        <is>
          <t>North Grocers</t>
        </is>
      </c>
      <c r="E946" s="25" t="n">
        <v>11.36</v>
      </c>
      <c r="F946" s="25" t="n">
        <v>10.01</v>
      </c>
      <c r="G946" s="25" t="n">
        <v>1.35</v>
      </c>
    </row>
    <row r="947">
      <c r="A947" s="23" t="n">
        <v>46214</v>
      </c>
      <c r="B947" s="23" t="n">
        <v>46209</v>
      </c>
      <c r="C947" s="24" t="inlineStr">
        <is>
          <t>C040-30</t>
        </is>
      </c>
      <c r="D947" s="24" t="inlineStr">
        <is>
          <t>North Grocers</t>
        </is>
      </c>
      <c r="E947" s="25" t="n">
        <v>11.36</v>
      </c>
      <c r="F947" s="25" t="n">
        <v>10.01</v>
      </c>
      <c r="G947" s="25" t="n">
        <v>1.35</v>
      </c>
    </row>
    <row r="948">
      <c r="A948" s="23" t="n">
        <v>46228</v>
      </c>
      <c r="B948" s="23" t="n">
        <v>46223</v>
      </c>
      <c r="C948" s="24" t="inlineStr">
        <is>
          <t>C040-31</t>
        </is>
      </c>
      <c r="D948" s="24" t="inlineStr">
        <is>
          <t>North Grocers</t>
        </is>
      </c>
      <c r="E948" s="25" t="n">
        <v>19.38</v>
      </c>
      <c r="F948" s="25" t="n">
        <v>17.08</v>
      </c>
      <c r="G948" s="25" t="n">
        <v>2.3</v>
      </c>
    </row>
    <row r="949">
      <c r="A949" s="23" t="n">
        <v>46283</v>
      </c>
      <c r="B949" s="23" t="n">
        <v>46279</v>
      </c>
      <c r="C949" s="24" t="inlineStr">
        <is>
          <t>C040-32</t>
        </is>
      </c>
      <c r="D949" s="24" t="inlineStr">
        <is>
          <t>North Grocers</t>
        </is>
      </c>
      <c r="E949" s="25" t="n">
        <v>13</v>
      </c>
      <c r="F949" s="25" t="n">
        <v>11.46</v>
      </c>
      <c r="G949" s="25" t="n">
        <v>1.54</v>
      </c>
    </row>
    <row r="950">
      <c r="A950" s="23" t="n">
        <v>46242</v>
      </c>
      <c r="B950" s="23" t="n">
        <v>46237</v>
      </c>
      <c r="C950" s="24" t="inlineStr">
        <is>
          <t>C040-33</t>
        </is>
      </c>
      <c r="D950" s="24" t="inlineStr">
        <is>
          <t>North Grocers</t>
        </is>
      </c>
      <c r="E950" s="25" t="n">
        <v>12.16</v>
      </c>
      <c r="F950" s="25" t="n">
        <v>10.72</v>
      </c>
      <c r="G950" s="25" t="n">
        <v>1.44</v>
      </c>
    </row>
    <row r="951">
      <c r="A951" s="23" t="n">
        <v>46239</v>
      </c>
      <c r="B951" s="23" t="n">
        <v>46237</v>
      </c>
      <c r="C951" s="24" t="inlineStr">
        <is>
          <t>C040-34</t>
        </is>
      </c>
      <c r="D951" s="24" t="inlineStr">
        <is>
          <t>North Grocers</t>
        </is>
      </c>
      <c r="E951" s="25" t="n">
        <v>18.51</v>
      </c>
      <c r="F951" s="25" t="n">
        <v>16.32</v>
      </c>
      <c r="G951" s="25" t="n">
        <v>2.19</v>
      </c>
    </row>
    <row r="952">
      <c r="A952" s="23" t="n">
        <v>46237</v>
      </c>
      <c r="B952" s="23" t="n">
        <v>46237</v>
      </c>
      <c r="C952" s="24" t="inlineStr">
        <is>
          <t>C040-35</t>
        </is>
      </c>
      <c r="D952" s="24" t="inlineStr">
        <is>
          <t>North Grocers</t>
        </is>
      </c>
      <c r="E952" s="25" t="n">
        <v>20.39</v>
      </c>
      <c r="F952" s="25" t="n">
        <v>17.97</v>
      </c>
      <c r="G952" s="25" t="n">
        <v>2.42</v>
      </c>
    </row>
    <row r="953">
      <c r="A953" s="23" t="n">
        <v>46279</v>
      </c>
      <c r="B953" s="23" t="n">
        <v>46279</v>
      </c>
      <c r="C953" s="24" t="inlineStr">
        <is>
          <t>C040-36</t>
        </is>
      </c>
      <c r="D953" s="24" t="inlineStr">
        <is>
          <t>North Grocers</t>
        </is>
      </c>
      <c r="E953" s="25" t="n">
        <v>17.63</v>
      </c>
      <c r="F953" s="25" t="n">
        <v>15.54</v>
      </c>
      <c r="G953" s="25" t="n">
        <v>2.09</v>
      </c>
    </row>
    <row r="954">
      <c r="A954" s="23" t="n">
        <v>46245</v>
      </c>
      <c r="B954" s="23" t="n">
        <v>46244</v>
      </c>
      <c r="C954" s="24" t="inlineStr">
        <is>
          <t>C040-37</t>
        </is>
      </c>
      <c r="D954" s="24" t="inlineStr">
        <is>
          <t>North Grocers</t>
        </is>
      </c>
      <c r="E954" s="25" t="n">
        <v>16.55</v>
      </c>
      <c r="F954" s="25" t="n">
        <v>14.59</v>
      </c>
      <c r="G954" s="25" t="n">
        <v>1.96</v>
      </c>
    </row>
    <row r="955">
      <c r="A955" s="23" t="n">
        <v>46212</v>
      </c>
      <c r="B955" s="23" t="n">
        <v>46209</v>
      </c>
      <c r="C955" s="24" t="inlineStr">
        <is>
          <t>C040-38</t>
        </is>
      </c>
      <c r="D955" s="24" t="inlineStr">
        <is>
          <t>North Grocers</t>
        </is>
      </c>
      <c r="E955" s="25" t="n">
        <v>15.7</v>
      </c>
      <c r="F955" s="25" t="n">
        <v>13.84</v>
      </c>
      <c r="G955" s="25" t="n">
        <v>1.86</v>
      </c>
    </row>
    <row r="956">
      <c r="A956" s="23" t="n">
        <v>46230</v>
      </c>
      <c r="B956" s="23" t="n">
        <v>46230</v>
      </c>
      <c r="C956" s="24" t="inlineStr">
        <is>
          <t>C040-39</t>
        </is>
      </c>
      <c r="D956" s="24" t="inlineStr">
        <is>
          <t>North Grocers</t>
        </is>
      </c>
      <c r="E956" s="25" t="n">
        <v>23.03</v>
      </c>
      <c r="F956" s="25" t="n">
        <v>20.3</v>
      </c>
      <c r="G956" s="25" t="n">
        <v>2.73</v>
      </c>
    </row>
    <row r="957">
      <c r="A957" s="23" t="n">
        <v>46273</v>
      </c>
      <c r="B957" s="23" t="n">
        <v>46272</v>
      </c>
      <c r="C957" s="24" t="inlineStr">
        <is>
          <t>C040-40</t>
        </is>
      </c>
      <c r="D957" s="24" t="inlineStr">
        <is>
          <t>North Grocers</t>
        </is>
      </c>
      <c r="E957" s="25" t="n">
        <v>18.14</v>
      </c>
      <c r="F957" s="25" t="n">
        <v>15.99</v>
      </c>
      <c r="G957" s="25" t="n">
        <v>2.15</v>
      </c>
    </row>
    <row r="958">
      <c r="A958" s="23" t="n">
        <v>46256</v>
      </c>
      <c r="B958" s="23" t="n">
        <v>46251</v>
      </c>
      <c r="C958" s="24" t="inlineStr">
        <is>
          <t>C040-41</t>
        </is>
      </c>
      <c r="D958" s="24" t="inlineStr">
        <is>
          <t>North Grocers</t>
        </is>
      </c>
      <c r="E958" s="25" t="n">
        <v>18.8</v>
      </c>
      <c r="F958" s="25" t="n">
        <v>16.57</v>
      </c>
      <c r="G958" s="25" t="n">
        <v>2.23</v>
      </c>
    </row>
    <row r="959">
      <c r="A959" s="23" t="n">
        <v>46224</v>
      </c>
      <c r="B959" s="23" t="n">
        <v>46223</v>
      </c>
      <c r="C959" s="24" t="inlineStr">
        <is>
          <t>C040-42</t>
        </is>
      </c>
      <c r="D959" s="24" t="inlineStr">
        <is>
          <t>North Grocers</t>
        </is>
      </c>
      <c r="E959" s="25" t="n">
        <v>16.83</v>
      </c>
      <c r="F959" s="25" t="n">
        <v>14.84</v>
      </c>
      <c r="G959" s="25" t="n">
        <v>1.99</v>
      </c>
    </row>
    <row r="960">
      <c r="A960" s="23" t="n">
        <v>46203</v>
      </c>
      <c r="B960" s="23" t="n">
        <v>46202</v>
      </c>
      <c r="C960" s="24" t="inlineStr">
        <is>
          <t>C040-43</t>
        </is>
      </c>
      <c r="D960" s="24" t="inlineStr">
        <is>
          <t>North Grocers</t>
        </is>
      </c>
      <c r="E960" s="25" t="n">
        <v>12.6</v>
      </c>
      <c r="F960" s="25" t="n">
        <v>11.11</v>
      </c>
      <c r="G960" s="25" t="n">
        <v>1.49</v>
      </c>
    </row>
    <row r="961">
      <c r="A961" s="23" t="n">
        <v>46230</v>
      </c>
      <c r="B961" s="23" t="n">
        <v>46230</v>
      </c>
      <c r="C961" s="24" t="inlineStr">
        <is>
          <t>C040-44</t>
        </is>
      </c>
      <c r="D961" s="24" t="inlineStr">
        <is>
          <t>North Grocers</t>
        </is>
      </c>
      <c r="E961" s="25" t="n">
        <v>15.8</v>
      </c>
      <c r="F961" s="25" t="n">
        <v>13.93</v>
      </c>
      <c r="G961" s="25" t="n">
        <v>1.87</v>
      </c>
    </row>
    <row r="962">
      <c r="A962" s="23" t="n">
        <v>46232</v>
      </c>
      <c r="B962" s="23" t="n">
        <v>46230</v>
      </c>
      <c r="C962" s="24" t="inlineStr">
        <is>
          <t>C040-45</t>
        </is>
      </c>
      <c r="D962" s="24" t="inlineStr">
        <is>
          <t>North Grocers</t>
        </is>
      </c>
      <c r="E962" s="25" t="n">
        <v>20.77</v>
      </c>
      <c r="F962" s="25" t="n">
        <v>18.31</v>
      </c>
      <c r="G962" s="25" t="n">
        <v>2.46</v>
      </c>
    </row>
    <row r="963">
      <c r="A963" s="23" t="n">
        <v>46204</v>
      </c>
      <c r="B963" s="23" t="n">
        <v>46202</v>
      </c>
      <c r="C963" s="24" t="inlineStr">
        <is>
          <t>C040-46</t>
        </is>
      </c>
      <c r="D963" s="24" t="inlineStr">
        <is>
          <t>North Grocers</t>
        </is>
      </c>
      <c r="E963" s="25" t="n">
        <v>13.4</v>
      </c>
      <c r="F963" s="25" t="n">
        <v>11.82</v>
      </c>
      <c r="G963" s="25" t="n">
        <v>1.58</v>
      </c>
    </row>
    <row r="964">
      <c r="A964" s="23" t="n">
        <v>46254</v>
      </c>
      <c r="B964" s="23" t="n">
        <v>46251</v>
      </c>
      <c r="C964" s="24" t="inlineStr">
        <is>
          <t>C040-47</t>
        </is>
      </c>
      <c r="D964" s="24" t="inlineStr">
        <is>
          <t>North Grocers</t>
        </is>
      </c>
      <c r="E964" s="25" t="n">
        <v>20.26</v>
      </c>
      <c r="F964" s="25" t="n">
        <v>17.86</v>
      </c>
      <c r="G964" s="25" t="n">
        <v>2.4</v>
      </c>
    </row>
    <row r="965">
      <c r="A965" s="23" t="n">
        <v>46279</v>
      </c>
      <c r="B965" s="23" t="n">
        <v>46279</v>
      </c>
      <c r="C965" s="24" t="inlineStr">
        <is>
          <t>C040-48</t>
        </is>
      </c>
      <c r="D965" s="24" t="inlineStr">
        <is>
          <t>North Grocers</t>
        </is>
      </c>
      <c r="E965" s="25" t="n">
        <v>19.28</v>
      </c>
      <c r="F965" s="25" t="n">
        <v>17</v>
      </c>
      <c r="G965" s="25" t="n">
        <v>2.28</v>
      </c>
    </row>
    <row r="966">
      <c r="A966" s="23" t="n">
        <v>46210</v>
      </c>
      <c r="B966" s="23" t="n">
        <v>46209</v>
      </c>
      <c r="C966" s="24" t="inlineStr">
        <is>
          <t>C040-49</t>
        </is>
      </c>
      <c r="D966" s="24" t="inlineStr">
        <is>
          <t>North Grocers</t>
        </is>
      </c>
      <c r="E966" s="25" t="n">
        <v>24.02</v>
      </c>
      <c r="F966" s="25" t="n">
        <v>21.17</v>
      </c>
      <c r="G966" s="25" t="n">
        <v>2.85</v>
      </c>
    </row>
    <row r="967">
      <c r="A967" s="23" t="n">
        <v>46238</v>
      </c>
      <c r="B967" s="23" t="n">
        <v>46237</v>
      </c>
      <c r="C967" s="24" t="inlineStr">
        <is>
          <t>C040-50</t>
        </is>
      </c>
      <c r="D967" s="24" t="inlineStr">
        <is>
          <t>North Grocers</t>
        </is>
      </c>
      <c r="E967" s="25" t="n">
        <v>18.75</v>
      </c>
      <c r="F967" s="25" t="n">
        <v>16.53</v>
      </c>
      <c r="G967" s="25" t="n">
        <v>2.22</v>
      </c>
    </row>
    <row r="968">
      <c r="A968" s="23" t="n">
        <v>46210</v>
      </c>
      <c r="B968" s="23" t="n">
        <v>46209</v>
      </c>
      <c r="C968" s="24" t="inlineStr">
        <is>
          <t>C040-51</t>
        </is>
      </c>
      <c r="D968" s="24" t="inlineStr">
        <is>
          <t>North Grocers</t>
        </is>
      </c>
      <c r="E968" s="25" t="n">
        <v>22.74</v>
      </c>
      <c r="F968" s="25" t="n">
        <v>20.04</v>
      </c>
      <c r="G968" s="25" t="n">
        <v>2.7</v>
      </c>
    </row>
    <row r="969">
      <c r="A969" s="23" t="n">
        <v>46263</v>
      </c>
      <c r="B969" s="23" t="n">
        <v>46258</v>
      </c>
      <c r="C969" s="24" t="inlineStr">
        <is>
          <t>C040-52</t>
        </is>
      </c>
      <c r="D969" s="24" t="inlineStr">
        <is>
          <t>North Grocers</t>
        </is>
      </c>
      <c r="E969" s="25" t="n">
        <v>24.79</v>
      </c>
      <c r="F969" s="25" t="n">
        <v>21.86</v>
      </c>
      <c r="G969" s="25" t="n">
        <v>2.93</v>
      </c>
    </row>
    <row r="970">
      <c r="A970" s="23" t="n">
        <v>46287</v>
      </c>
      <c r="B970" s="23" t="n">
        <v>46286</v>
      </c>
      <c r="C970" s="24" t="inlineStr">
        <is>
          <t>C040-53</t>
        </is>
      </c>
      <c r="D970" s="24" t="inlineStr">
        <is>
          <t>North Grocers</t>
        </is>
      </c>
      <c r="E970" s="25" t="n">
        <v>19.97</v>
      </c>
      <c r="F970" s="25" t="n">
        <v>17.61</v>
      </c>
      <c r="G970" s="25" t="n">
        <v>2.36</v>
      </c>
    </row>
    <row r="971">
      <c r="A971" s="23" t="n">
        <v>46223</v>
      </c>
      <c r="B971" s="23" t="n">
        <v>46223</v>
      </c>
      <c r="C971" s="24" t="inlineStr">
        <is>
          <t>C040-54</t>
        </is>
      </c>
      <c r="D971" s="24" t="inlineStr">
        <is>
          <t>North Grocers</t>
        </is>
      </c>
      <c r="E971" s="25" t="n">
        <v>24.93</v>
      </c>
      <c r="F971" s="25" t="n">
        <v>21.98</v>
      </c>
      <c r="G971" s="25" t="n">
        <v>2.95</v>
      </c>
    </row>
    <row r="972">
      <c r="A972" s="23" t="n">
        <v>46234</v>
      </c>
      <c r="B972" s="23" t="n">
        <v>46230</v>
      </c>
      <c r="C972" s="24" t="inlineStr">
        <is>
          <t>C040-55</t>
        </is>
      </c>
      <c r="D972" s="24" t="inlineStr">
        <is>
          <t>North Grocers</t>
        </is>
      </c>
      <c r="E972" s="25" t="n">
        <v>20.06</v>
      </c>
      <c r="F972" s="25" t="n">
        <v>17.69</v>
      </c>
      <c r="G972" s="25" t="n">
        <v>2.37</v>
      </c>
    </row>
    <row r="973">
      <c r="A973" s="23" t="n">
        <v>46244</v>
      </c>
      <c r="B973" s="23" t="n">
        <v>46244</v>
      </c>
      <c r="C973" s="24" t="inlineStr">
        <is>
          <t>C040-56</t>
        </is>
      </c>
      <c r="D973" s="24" t="inlineStr">
        <is>
          <t>North Grocers</t>
        </is>
      </c>
      <c r="E973" s="25" t="n">
        <v>16.54</v>
      </c>
      <c r="F973" s="25" t="n">
        <v>14.58</v>
      </c>
      <c r="G973" s="25" t="n">
        <v>1.96</v>
      </c>
    </row>
    <row r="974">
      <c r="A974" s="23" t="n">
        <v>46221</v>
      </c>
      <c r="B974" s="23" t="n">
        <v>46216</v>
      </c>
      <c r="C974" s="24" t="inlineStr">
        <is>
          <t>C040-57</t>
        </is>
      </c>
      <c r="D974" s="24" t="inlineStr">
        <is>
          <t>North Grocers</t>
        </is>
      </c>
      <c r="E974" s="25" t="n">
        <v>20.47</v>
      </c>
      <c r="F974" s="25" t="n">
        <v>18.04</v>
      </c>
      <c r="G974" s="25" t="n">
        <v>2.43</v>
      </c>
    </row>
    <row r="975">
      <c r="A975" s="23" t="n">
        <v>46284</v>
      </c>
      <c r="B975" s="23" t="n">
        <v>46279</v>
      </c>
      <c r="C975" s="24" t="inlineStr">
        <is>
          <t>C040-58</t>
        </is>
      </c>
      <c r="D975" s="24" t="inlineStr">
        <is>
          <t>North Grocers</t>
        </is>
      </c>
      <c r="E975" s="25" t="n">
        <v>19.83</v>
      </c>
      <c r="F975" s="25" t="n">
        <v>17.48</v>
      </c>
      <c r="G975" s="25" t="n">
        <v>2.35</v>
      </c>
    </row>
    <row r="976">
      <c r="A976" s="23" t="n">
        <v>46270</v>
      </c>
      <c r="B976" s="23" t="n">
        <v>46265</v>
      </c>
      <c r="C976" s="24" t="inlineStr">
        <is>
          <t>C040-59</t>
        </is>
      </c>
      <c r="D976" s="24" t="inlineStr">
        <is>
          <t>North Grocers</t>
        </is>
      </c>
      <c r="E976" s="25" t="n">
        <v>12.51</v>
      </c>
      <c r="F976" s="25" t="n">
        <v>11.02</v>
      </c>
      <c r="G976" s="25" t="n">
        <v>1.49</v>
      </c>
    </row>
    <row r="977">
      <c r="A977" s="23" t="n">
        <v>46247</v>
      </c>
      <c r="B977" s="23" t="n">
        <v>46244</v>
      </c>
      <c r="C977" s="24" t="inlineStr">
        <is>
          <t>C040-60</t>
        </is>
      </c>
      <c r="D977" s="24" t="inlineStr">
        <is>
          <t>North Grocers</t>
        </is>
      </c>
      <c r="E977" s="25" t="n">
        <v>12.92</v>
      </c>
      <c r="F977" s="25" t="n">
        <v>11.39</v>
      </c>
      <c r="G977" s="25" t="n">
        <v>1.53</v>
      </c>
    </row>
    <row r="978">
      <c r="A978" s="23" t="n">
        <v>46210</v>
      </c>
      <c r="B978" s="23" t="n">
        <v>46209</v>
      </c>
      <c r="C978" s="24" t="inlineStr">
        <is>
          <t>C040-61</t>
        </is>
      </c>
      <c r="D978" s="24" t="inlineStr">
        <is>
          <t>North Grocers</t>
        </is>
      </c>
      <c r="E978" s="25" t="n">
        <v>18.51</v>
      </c>
      <c r="F978" s="25" t="n">
        <v>16.32</v>
      </c>
      <c r="G978" s="25" t="n">
        <v>2.19</v>
      </c>
    </row>
    <row r="979">
      <c r="A979" s="23" t="n">
        <v>46220</v>
      </c>
      <c r="B979" s="23" t="n">
        <v>46216</v>
      </c>
      <c r="C979" s="24" t="inlineStr">
        <is>
          <t>C040-62</t>
        </is>
      </c>
      <c r="D979" s="24" t="inlineStr">
        <is>
          <t>North Grocers</t>
        </is>
      </c>
      <c r="E979" s="25" t="n">
        <v>21.13</v>
      </c>
      <c r="F979" s="25" t="n">
        <v>18.63</v>
      </c>
      <c r="G979" s="25" t="n">
        <v>2.5</v>
      </c>
    </row>
    <row r="980">
      <c r="A980" s="23" t="n">
        <v>46204</v>
      </c>
      <c r="B980" s="23" t="n">
        <v>46202</v>
      </c>
      <c r="C980" s="24" t="inlineStr">
        <is>
          <t>C040-63</t>
        </is>
      </c>
      <c r="D980" s="24" t="inlineStr">
        <is>
          <t>North Grocers</t>
        </is>
      </c>
      <c r="E980" s="25" t="n">
        <v>16.15</v>
      </c>
      <c r="F980" s="25" t="n">
        <v>14.23</v>
      </c>
      <c r="G980" s="25" t="n">
        <v>1.92</v>
      </c>
    </row>
    <row r="981">
      <c r="A981" s="23" t="n">
        <v>46223</v>
      </c>
      <c r="B981" s="23" t="n">
        <v>46223</v>
      </c>
      <c r="C981" s="24" t="inlineStr">
        <is>
          <t>C040-64</t>
        </is>
      </c>
      <c r="D981" s="24" t="inlineStr">
        <is>
          <t>North Grocers</t>
        </is>
      </c>
      <c r="E981" s="25" t="n">
        <v>11.63</v>
      </c>
      <c r="F981" s="25" t="n">
        <v>10.26</v>
      </c>
      <c r="G981" s="25" t="n">
        <v>1.37</v>
      </c>
    </row>
    <row r="982">
      <c r="A982" s="23" t="n">
        <v>46203</v>
      </c>
      <c r="B982" s="23" t="n">
        <v>46202</v>
      </c>
      <c r="C982" s="24" t="inlineStr">
        <is>
          <t>C040-65</t>
        </is>
      </c>
      <c r="D982" s="24" t="inlineStr">
        <is>
          <t>North Grocers</t>
        </is>
      </c>
      <c r="E982" s="25" t="n">
        <v>18.19</v>
      </c>
      <c r="F982" s="25" t="n">
        <v>16.04</v>
      </c>
      <c r="G982" s="25" t="n">
        <v>2.15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M5" s="12" t="inlineStr">
        <is>
          <t>Customer list</t>
        </is>
      </c>
    </row>
    <row r="6">
      <c r="M6" s="24" t="inlineStr">
        <is>
          <t>All</t>
        </is>
      </c>
    </row>
    <row r="7">
      <c r="M7" s="24" t="inlineStr">
        <is>
          <t>City Cafe</t>
        </is>
      </c>
    </row>
    <row r="8">
      <c r="M8" s="24" t="inlineStr">
        <is>
          <t>City Foods</t>
        </is>
      </c>
    </row>
    <row r="9">
      <c r="M9" s="24" t="inlineStr">
        <is>
          <t>City Grocers</t>
        </is>
      </c>
    </row>
    <row r="10">
      <c r="M10" s="24" t="inlineStr">
        <is>
          <t>City Mart</t>
        </is>
      </c>
    </row>
    <row r="11">
      <c r="M11" s="24" t="inlineStr">
        <is>
          <t>City Superette</t>
        </is>
      </c>
    </row>
    <row r="12">
      <c r="M12" s="24" t="inlineStr">
        <is>
          <t>Coast Cafe</t>
        </is>
      </c>
    </row>
    <row r="13">
      <c r="M13" s="24" t="inlineStr">
        <is>
          <t>Coast Foods</t>
        </is>
      </c>
    </row>
    <row r="14">
      <c r="M14" s="24" t="inlineStr">
        <is>
          <t>Coast Grocers</t>
        </is>
      </c>
    </row>
    <row r="15">
      <c r="M15" s="24" t="inlineStr">
        <is>
          <t>Coast Mart</t>
        </is>
      </c>
    </row>
    <row r="16">
      <c r="M16" s="24" t="inlineStr">
        <is>
          <t>Coast Superette</t>
        </is>
      </c>
    </row>
    <row r="17">
      <c r="M17" s="24" t="inlineStr">
        <is>
          <t>Harbour Cafe</t>
        </is>
      </c>
    </row>
    <row r="18">
      <c r="M18" s="24" t="inlineStr">
        <is>
          <t>Harbour Foods</t>
        </is>
      </c>
    </row>
    <row r="19">
      <c r="M19" s="24" t="inlineStr">
        <is>
          <t>Harbour Grocers</t>
        </is>
      </c>
    </row>
    <row r="20">
      <c r="M20" s="24" t="inlineStr">
        <is>
          <t>Harbour Mart</t>
        </is>
      </c>
    </row>
    <row r="21">
      <c r="M21" s="24" t="inlineStr">
        <is>
          <t>Harbour Superette</t>
        </is>
      </c>
    </row>
    <row r="22">
      <c r="M22" s="24" t="inlineStr">
        <is>
          <t>Kiwi Cafe</t>
        </is>
      </c>
    </row>
    <row r="23">
      <c r="M23" s="24" t="inlineStr">
        <is>
          <t>Kiwi Foods</t>
        </is>
      </c>
    </row>
    <row r="24">
      <c r="M24" s="24" t="inlineStr">
        <is>
          <t>Kiwi Grocers</t>
        </is>
      </c>
    </row>
    <row r="25">
      <c r="M25" s="24" t="inlineStr">
        <is>
          <t>Kiwi Mart</t>
        </is>
      </c>
    </row>
    <row r="26">
      <c r="M26" s="24" t="inlineStr">
        <is>
          <t>Kiwi Superette</t>
        </is>
      </c>
    </row>
    <row r="27">
      <c r="M27" s="24" t="inlineStr">
        <is>
          <t>Metro Cafe</t>
        </is>
      </c>
    </row>
    <row r="28">
      <c r="M28" s="24" t="inlineStr">
        <is>
          <t>Metro Foods</t>
        </is>
      </c>
    </row>
    <row r="29">
      <c r="M29" s="24" t="inlineStr">
        <is>
          <t>Metro Grocers</t>
        </is>
      </c>
    </row>
    <row r="30">
      <c r="M30" s="24" t="inlineStr">
        <is>
          <t>Metro Mart</t>
        </is>
      </c>
    </row>
    <row r="31">
      <c r="M31" s="24" t="inlineStr">
        <is>
          <t>Metro Superette</t>
        </is>
      </c>
    </row>
    <row r="32">
      <c r="M32" s="24" t="inlineStr">
        <is>
          <t>North Cafe</t>
        </is>
      </c>
    </row>
    <row r="33">
      <c r="M33" s="24" t="inlineStr">
        <is>
          <t>North Foods</t>
        </is>
      </c>
    </row>
    <row r="34">
      <c r="M34" s="24" t="inlineStr">
        <is>
          <t>North Grocers</t>
        </is>
      </c>
    </row>
    <row r="35">
      <c r="M35" s="24" t="inlineStr">
        <is>
          <t>North Mart</t>
        </is>
      </c>
    </row>
    <row r="36">
      <c r="M36" s="24" t="inlineStr">
        <is>
          <t>North Superette</t>
        </is>
      </c>
    </row>
    <row r="37">
      <c r="M37" s="24" t="inlineStr">
        <is>
          <t>Summit Cafe</t>
        </is>
      </c>
    </row>
    <row r="38">
      <c r="M38" s="24" t="inlineStr">
        <is>
          <t>Summit Foods</t>
        </is>
      </c>
    </row>
    <row r="39">
      <c r="M39" s="24" t="inlineStr">
        <is>
          <t>Summit Grocers</t>
        </is>
      </c>
    </row>
    <row r="40">
      <c r="M40" s="24" t="inlineStr">
        <is>
          <t>Summit Mart</t>
        </is>
      </c>
    </row>
    <row r="41">
      <c r="M41" s="24" t="inlineStr">
        <is>
          <t>Summit Superette</t>
        </is>
      </c>
    </row>
    <row r="42">
      <c r="M42" s="24" t="inlineStr">
        <is>
          <t>Valley Cafe</t>
        </is>
      </c>
    </row>
    <row r="43">
      <c r="M43" s="24" t="inlineStr">
        <is>
          <t>Valley Foods</t>
        </is>
      </c>
    </row>
    <row r="44">
      <c r="M44" s="24" t="inlineStr">
        <is>
          <t>Valley Grocers</t>
        </is>
      </c>
    </row>
    <row r="45">
      <c r="M45" s="24" t="inlineStr">
        <is>
          <t>Valley Mart</t>
        </is>
      </c>
    </row>
    <row r="46">
      <c r="M46" s="24" t="inlineStr">
        <is>
          <t>Valley Superette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G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Actions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Priority</t>
        </is>
      </c>
      <c r="C5" s="13" t="inlineStr">
        <is>
          <t>Area</t>
        </is>
      </c>
      <c r="D5" s="13" t="inlineStr">
        <is>
          <t>Action</t>
        </is>
      </c>
      <c r="E5" s="13" t="inlineStr">
        <is>
          <t>Why</t>
        </is>
      </c>
      <c r="F5" s="13" t="inlineStr">
        <is>
          <t>Impact $/week</t>
        </is>
      </c>
      <c r="G5" s="13" t="inlineStr">
        <is>
          <t>Owner</t>
        </is>
      </c>
    </row>
    <row r="6">
      <c r="B6" s="26" t="inlineStr">
        <is>
          <t>P1</t>
        </is>
      </c>
      <c r="C6" s="26" t="inlineStr">
        <is>
          <t>Credit</t>
        </is>
      </c>
      <c r="D6" s="26" t="inlineStr">
        <is>
          <t>Put Metro Foods on credit hold until 60+ day balance is cleared ($788)</t>
        </is>
      </c>
      <c r="E6" s="26" t="inlineStr">
        <is>
          <t>total owed $14,886; $788 is 60+ days overdue (exposure, not a weekly cost)</t>
        </is>
      </c>
      <c r="F6" s="27" t="n">
        <v>0</v>
      </c>
      <c r="G6" s="26" t="inlineStr">
        <is>
          <t>Finance</t>
        </is>
      </c>
    </row>
    <row r="7">
      <c r="B7" s="26" t="inlineStr">
        <is>
          <t>P1</t>
        </is>
      </c>
      <c r="C7" s="26" t="inlineStr">
        <is>
          <t>Credit</t>
        </is>
      </c>
      <c r="D7" s="26" t="inlineStr">
        <is>
          <t>Put Harbour Superette on credit hold until 60+ day balance is cleared ($1,382)</t>
        </is>
      </c>
      <c r="E7" s="26" t="inlineStr">
        <is>
          <t>total owed $12,816; $1,382 is 60+ days overdue (exposure, not a weekly cost)</t>
        </is>
      </c>
      <c r="F7" s="27" t="n">
        <v>0</v>
      </c>
      <c r="G7" s="26" t="inlineStr">
        <is>
          <t>Finance</t>
        </is>
      </c>
    </row>
    <row r="8">
      <c r="B8" s="26" t="inlineStr">
        <is>
          <t>P1</t>
        </is>
      </c>
      <c r="C8" s="26" t="inlineStr">
        <is>
          <t>Credit</t>
        </is>
      </c>
      <c r="D8" s="26" t="inlineStr">
        <is>
          <t>Put Coast Mart on credit hold until 60+ day balance is cleared ($1,402)</t>
        </is>
      </c>
      <c r="E8" s="26" t="inlineStr">
        <is>
          <t>total owed $4,993; $1,402 is 60+ days overdue (exposure, not a weekly cost)</t>
        </is>
      </c>
      <c r="F8" s="27" t="n">
        <v>0</v>
      </c>
      <c r="G8" s="26" t="inlineStr">
        <is>
          <t>Finance</t>
        </is>
      </c>
    </row>
    <row r="9">
      <c r="B9" s="26" t="inlineStr">
        <is>
          <t>P2</t>
        </is>
      </c>
      <c r="C9" s="26" t="inlineStr">
        <is>
          <t>Customer terms</t>
        </is>
      </c>
      <c r="D9" s="26" t="inlineStr">
        <is>
          <t>Review terms for North Grocers: minimum order or delivery fee (avg order $18)</t>
        </is>
      </c>
      <c r="E9" s="26" t="inlineStr">
        <is>
          <t>66 orders in 90 days, margin $144 &lt; cost-to-serve $1,188</t>
        </is>
      </c>
      <c r="F9" s="27" t="n">
        <v>80</v>
      </c>
      <c r="G9" s="26" t="inlineStr">
        <is>
          <t>Sales Manager</t>
        </is>
      </c>
    </row>
    <row r="10">
      <c r="B10" s="26" t="inlineStr">
        <is>
          <t>P2</t>
        </is>
      </c>
      <c r="C10" s="26" t="inlineStr">
        <is>
          <t>Customer terms</t>
        </is>
      </c>
      <c r="D10" s="26" t="inlineStr">
        <is>
          <t>Review terms for Kiwi Mart: minimum order or delivery fee (avg order $63)</t>
        </is>
      </c>
      <c r="E10" s="26" t="inlineStr">
        <is>
          <t>74 orders in 90 days, margin $301 &lt; cost-to-serve $1,332</t>
        </is>
      </c>
      <c r="F10" s="27" t="n">
        <v>79</v>
      </c>
      <c r="G10" s="26" t="inlineStr">
        <is>
          <t>Sales Manager</t>
        </is>
      </c>
    </row>
    <row r="11">
      <c r="B11" s="26" t="inlineStr">
        <is>
          <t>P2</t>
        </is>
      </c>
      <c r="C11" s="26" t="inlineStr">
        <is>
          <t>Customer terms</t>
        </is>
      </c>
      <c r="D11" s="26" t="inlineStr">
        <is>
          <t>Review terms for Kiwi Foods: minimum order or delivery fee (avg order $83)</t>
        </is>
      </c>
      <c r="E11" s="26" t="inlineStr">
        <is>
          <t>50 orders in 90 days, margin $465 &lt; cost-to-serve $900</t>
        </is>
      </c>
      <c r="F11" s="27" t="n">
        <v>33</v>
      </c>
      <c r="G11" s="26" t="inlineStr">
        <is>
          <t>Sales Manager</t>
        </is>
      </c>
    </row>
    <row r="12">
      <c r="B12" s="26" t="inlineStr">
        <is>
          <t>P2</t>
        </is>
      </c>
      <c r="C12" s="26" t="inlineStr">
        <is>
          <t>Customer terms</t>
        </is>
      </c>
      <c r="D12" s="26" t="inlineStr">
        <is>
          <t>Review terms for Harbour Cafe: minimum order or delivery fee (avg order $219)</t>
        </is>
      </c>
      <c r="E12" s="26" t="inlineStr">
        <is>
          <t>28 orders in 90 days, margin $477 &lt; cost-to-serve $504</t>
        </is>
      </c>
      <c r="F12" s="27" t="n">
        <v>2</v>
      </c>
      <c r="G12" s="26" t="inlineStr">
        <is>
          <t>Sales Manager</t>
        </is>
      </c>
    </row>
    <row r="13">
      <c r="B13" s="26" t="inlineStr">
        <is>
          <t>P2</t>
        </is>
      </c>
      <c r="C13" s="26" t="inlineStr">
        <is>
          <t>Service</t>
        </is>
      </c>
      <c r="D13" s="26" t="inlineStr">
        <is>
          <t>Lift OTIF from 63% to 90%: find the SKUs causing short shipments</t>
        </is>
      </c>
      <c r="E13" s="26" t="inlineStr">
        <is>
          <t>short-shipped orders drive credit notes and lost customers</t>
        </is>
      </c>
      <c r="F13" s="27" t="n">
        <v>0</v>
      </c>
      <c r="G13" s="26" t="inlineStr">
        <is>
          <t>Warehouse Manager</t>
        </is>
      </c>
    </row>
  </sheetData>
  <autoFilter ref="B5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G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Customer profitability 90 days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name</t>
        </is>
      </c>
      <c r="C5" s="13" t="inlineStr">
        <is>
          <t>revenue</t>
        </is>
      </c>
      <c r="D5" s="13" t="inlineStr">
        <is>
          <t>gm_pct</t>
        </is>
      </c>
      <c r="E5" s="13" t="inlineStr">
        <is>
          <t>orders</t>
        </is>
      </c>
      <c r="F5" s="13" t="inlineStr">
        <is>
          <t>avg_order</t>
        </is>
      </c>
      <c r="G5" s="13" t="inlineStr">
        <is>
          <t>contribution</t>
        </is>
      </c>
    </row>
    <row r="6">
      <c r="B6" s="26" t="inlineStr">
        <is>
          <t>City Cafe</t>
        </is>
      </c>
      <c r="C6" s="26" t="n">
        <v>53754.7</v>
      </c>
      <c r="D6" s="26" t="n">
        <v>17.5</v>
      </c>
      <c r="E6" s="26" t="n">
        <v>7</v>
      </c>
      <c r="F6" s="26" t="n">
        <v>7679.2</v>
      </c>
      <c r="G6" s="26" t="n">
        <v>9306.1</v>
      </c>
    </row>
    <row r="7">
      <c r="B7" s="26" t="inlineStr">
        <is>
          <t>Summit Foods</t>
        </is>
      </c>
      <c r="C7" s="26" t="n">
        <v>46043.8</v>
      </c>
      <c r="D7" s="26" t="n">
        <v>11.4</v>
      </c>
      <c r="E7" s="26" t="n">
        <v>5</v>
      </c>
      <c r="F7" s="26" t="n">
        <v>9208.799999999999</v>
      </c>
      <c r="G7" s="26" t="n">
        <v>5181</v>
      </c>
    </row>
    <row r="8">
      <c r="B8" s="26" t="inlineStr">
        <is>
          <t>Valley Cafe</t>
        </is>
      </c>
      <c r="C8" s="26" t="n">
        <v>39395.9</v>
      </c>
      <c r="D8" s="26" t="n">
        <v>14</v>
      </c>
      <c r="E8" s="26" t="n">
        <v>16</v>
      </c>
      <c r="F8" s="26" t="n">
        <v>2462.2</v>
      </c>
      <c r="G8" s="26" t="n">
        <v>5219.9</v>
      </c>
    </row>
    <row r="9">
      <c r="B9" s="26" t="inlineStr">
        <is>
          <t>North Mart</t>
        </is>
      </c>
      <c r="C9" s="26" t="n">
        <v>34405</v>
      </c>
      <c r="D9" s="26" t="n">
        <v>12.8</v>
      </c>
      <c r="E9" s="26" t="n">
        <v>8</v>
      </c>
      <c r="F9" s="26" t="n">
        <v>4300.6</v>
      </c>
      <c r="G9" s="26" t="n">
        <v>4250.2</v>
      </c>
    </row>
    <row r="10">
      <c r="B10" s="26" t="inlineStr">
        <is>
          <t>Valley Foods</t>
        </is>
      </c>
      <c r="C10" s="26" t="n">
        <v>32663.9</v>
      </c>
      <c r="D10" s="26" t="n">
        <v>13.6</v>
      </c>
      <c r="E10" s="26" t="n">
        <v>20</v>
      </c>
      <c r="F10" s="26" t="n">
        <v>1633.2</v>
      </c>
      <c r="G10" s="26" t="n">
        <v>4090.1</v>
      </c>
    </row>
    <row r="11">
      <c r="B11" s="26" t="inlineStr">
        <is>
          <t>Coast Grocers</t>
        </is>
      </c>
      <c r="C11" s="26" t="n">
        <v>32253.3</v>
      </c>
      <c r="D11" s="26" t="n">
        <v>13.8</v>
      </c>
      <c r="E11" s="26" t="n">
        <v>34</v>
      </c>
      <c r="F11" s="26" t="n">
        <v>948.6</v>
      </c>
      <c r="G11" s="26" t="n">
        <v>3835.4</v>
      </c>
    </row>
    <row r="12">
      <c r="B12" s="26" t="inlineStr">
        <is>
          <t>Valley Superette</t>
        </is>
      </c>
      <c r="C12" s="26" t="n">
        <v>31984</v>
      </c>
      <c r="D12" s="26" t="n">
        <v>20.4</v>
      </c>
      <c r="E12" s="26" t="n">
        <v>38</v>
      </c>
      <c r="F12" s="26" t="n">
        <v>841.7</v>
      </c>
      <c r="G12" s="26" t="n">
        <v>5849.8</v>
      </c>
    </row>
    <row r="13">
      <c r="B13" s="26" t="inlineStr">
        <is>
          <t>Metro Foods</t>
        </is>
      </c>
      <c r="C13" s="26" t="n">
        <v>31212.2</v>
      </c>
      <c r="D13" s="26" t="n">
        <v>7.2</v>
      </c>
      <c r="E13" s="26" t="n">
        <v>37</v>
      </c>
      <c r="F13" s="26" t="n">
        <v>843.6</v>
      </c>
      <c r="G13" s="26" t="n">
        <v>1569.4</v>
      </c>
    </row>
    <row r="14">
      <c r="B14" s="26" t="inlineStr">
        <is>
          <t>Metro Cafe</t>
        </is>
      </c>
      <c r="C14" s="26" t="n">
        <v>30704.1</v>
      </c>
      <c r="D14" s="26" t="n">
        <v>10.7</v>
      </c>
      <c r="E14" s="26" t="n">
        <v>26</v>
      </c>
      <c r="F14" s="26" t="n">
        <v>1180.9</v>
      </c>
      <c r="G14" s="26" t="n">
        <v>2822</v>
      </c>
    </row>
    <row r="15">
      <c r="B15" s="26" t="inlineStr">
        <is>
          <t>Harbour Superette</t>
        </is>
      </c>
      <c r="C15" s="26" t="n">
        <v>30483.6</v>
      </c>
      <c r="D15" s="26" t="n">
        <v>18.8</v>
      </c>
      <c r="E15" s="26" t="n">
        <v>26</v>
      </c>
      <c r="F15" s="26" t="n">
        <v>1172.4</v>
      </c>
      <c r="G15" s="26" t="n">
        <v>5267.3</v>
      </c>
    </row>
    <row r="16">
      <c r="B16" s="26" t="inlineStr">
        <is>
          <t>City Foods</t>
        </is>
      </c>
      <c r="C16" s="26" t="n">
        <v>24942.7</v>
      </c>
      <c r="D16" s="26" t="n">
        <v>9.800000000000001</v>
      </c>
      <c r="E16" s="26" t="n">
        <v>21</v>
      </c>
      <c r="F16" s="26" t="n">
        <v>1187.7</v>
      </c>
      <c r="G16" s="26" t="n">
        <v>2069.9</v>
      </c>
    </row>
    <row r="17">
      <c r="B17" s="26" t="inlineStr">
        <is>
          <t>North Foods</t>
        </is>
      </c>
      <c r="C17" s="26" t="n">
        <v>23033.3</v>
      </c>
      <c r="D17" s="26" t="n">
        <v>18.7</v>
      </c>
      <c r="E17" s="26" t="n">
        <v>28</v>
      </c>
      <c r="F17" s="26" t="n">
        <v>822.6</v>
      </c>
      <c r="G17" s="26" t="n">
        <v>3792.7</v>
      </c>
    </row>
    <row r="18">
      <c r="B18" s="26" t="inlineStr">
        <is>
          <t>Valley Mart</t>
        </is>
      </c>
      <c r="C18" s="26" t="n">
        <v>22560.6</v>
      </c>
      <c r="D18" s="26" t="n">
        <v>18.4</v>
      </c>
      <c r="E18" s="26" t="n">
        <v>17</v>
      </c>
      <c r="F18" s="26" t="n">
        <v>1327.1</v>
      </c>
      <c r="G18" s="26" t="n">
        <v>3850.9</v>
      </c>
    </row>
    <row r="19">
      <c r="B19" s="26" t="inlineStr">
        <is>
          <t>Summit Grocers</t>
        </is>
      </c>
      <c r="C19" s="26" t="n">
        <v>20826.5</v>
      </c>
      <c r="D19" s="26" t="n">
        <v>7.8</v>
      </c>
      <c r="E19" s="26" t="n">
        <v>21</v>
      </c>
      <c r="F19" s="26" t="n">
        <v>991.7</v>
      </c>
      <c r="G19" s="26" t="n">
        <v>1239.9</v>
      </c>
    </row>
    <row r="20">
      <c r="B20" s="26" t="inlineStr">
        <is>
          <t>North Superette</t>
        </is>
      </c>
      <c r="C20" s="26" t="n">
        <v>19851.7</v>
      </c>
      <c r="D20" s="26" t="n">
        <v>8.6</v>
      </c>
      <c r="E20" s="26" t="n">
        <v>5</v>
      </c>
      <c r="F20" s="26" t="n">
        <v>3970.3</v>
      </c>
      <c r="G20" s="26" t="n">
        <v>1623.3</v>
      </c>
    </row>
    <row r="21">
      <c r="B21" s="26" t="inlineStr">
        <is>
          <t>Harbour Mart</t>
        </is>
      </c>
      <c r="C21" s="26" t="n">
        <v>17535.9</v>
      </c>
      <c r="D21" s="26" t="n">
        <v>20.5</v>
      </c>
      <c r="E21" s="26" t="n">
        <v>38</v>
      </c>
      <c r="F21" s="26" t="n">
        <v>461.5</v>
      </c>
      <c r="G21" s="26" t="n">
        <v>2913.8</v>
      </c>
    </row>
    <row r="22">
      <c r="B22" s="26" t="inlineStr">
        <is>
          <t>Valley Grocers</t>
        </is>
      </c>
      <c r="C22" s="26" t="n">
        <v>17033.1</v>
      </c>
      <c r="D22" s="26" t="n">
        <v>17</v>
      </c>
      <c r="E22" s="26" t="n">
        <v>28</v>
      </c>
      <c r="F22" s="26" t="n">
        <v>608.3</v>
      </c>
      <c r="G22" s="26" t="n">
        <v>2396.1</v>
      </c>
    </row>
    <row r="23">
      <c r="B23" s="26" t="inlineStr">
        <is>
          <t>City Grocers</t>
        </is>
      </c>
      <c r="C23" s="26" t="n">
        <v>16270.3</v>
      </c>
      <c r="D23" s="26" t="n">
        <v>9.699999999999999</v>
      </c>
      <c r="E23" s="26" t="n">
        <v>23</v>
      </c>
      <c r="F23" s="26" t="n">
        <v>707.4</v>
      </c>
      <c r="G23" s="26" t="n">
        <v>1164</v>
      </c>
    </row>
    <row r="24">
      <c r="B24" s="26" t="inlineStr">
        <is>
          <t>City Mart</t>
        </is>
      </c>
      <c r="C24" s="26" t="n">
        <v>14781</v>
      </c>
      <c r="D24" s="26" t="n">
        <v>13.8</v>
      </c>
      <c r="E24" s="26" t="n">
        <v>22</v>
      </c>
      <c r="F24" s="26" t="n">
        <v>671.9</v>
      </c>
      <c r="G24" s="26" t="n">
        <v>1637</v>
      </c>
    </row>
    <row r="25">
      <c r="B25" s="26" t="inlineStr">
        <is>
          <t>Summit Mart</t>
        </is>
      </c>
      <c r="C25" s="26" t="n">
        <v>14575.5</v>
      </c>
      <c r="D25" s="26" t="n">
        <v>9.300000000000001</v>
      </c>
      <c r="E25" s="26" t="n">
        <v>12</v>
      </c>
      <c r="F25" s="26" t="n">
        <v>1214.6</v>
      </c>
      <c r="G25" s="26" t="n">
        <v>1137.1</v>
      </c>
    </row>
    <row r="26">
      <c r="B26" s="26" t="inlineStr">
        <is>
          <t>North Cafe</t>
        </is>
      </c>
      <c r="C26" s="26" t="n">
        <v>14386.8</v>
      </c>
      <c r="D26" s="26" t="n">
        <v>7</v>
      </c>
      <c r="E26" s="26" t="n">
        <v>13</v>
      </c>
      <c r="F26" s="26" t="n">
        <v>1106.7</v>
      </c>
      <c r="G26" s="26" t="n">
        <v>776.2</v>
      </c>
    </row>
    <row r="27">
      <c r="B27" s="26" t="inlineStr">
        <is>
          <t>Harbour Foods</t>
        </is>
      </c>
      <c r="C27" s="26" t="n">
        <v>14378.6</v>
      </c>
      <c r="D27" s="26" t="n">
        <v>19.6</v>
      </c>
      <c r="E27" s="26" t="n">
        <v>20</v>
      </c>
      <c r="F27" s="26" t="n">
        <v>718.9</v>
      </c>
      <c r="G27" s="26" t="n">
        <v>2462.2</v>
      </c>
    </row>
    <row r="28">
      <c r="B28" s="26" t="inlineStr">
        <is>
          <t>Coast Foods</t>
        </is>
      </c>
      <c r="C28" s="26" t="n">
        <v>14061.2</v>
      </c>
      <c r="D28" s="26" t="n">
        <v>9.699999999999999</v>
      </c>
      <c r="E28" s="26" t="n">
        <v>22</v>
      </c>
      <c r="F28" s="26" t="n">
        <v>639.1</v>
      </c>
      <c r="G28" s="26" t="n">
        <v>961.9</v>
      </c>
    </row>
    <row r="29">
      <c r="B29" s="26" t="inlineStr">
        <is>
          <t>Metro Mart</t>
        </is>
      </c>
      <c r="C29" s="26" t="n">
        <v>13439.6</v>
      </c>
      <c r="D29" s="26" t="n">
        <v>15.1</v>
      </c>
      <c r="E29" s="26" t="n">
        <v>19</v>
      </c>
      <c r="F29" s="26" t="n">
        <v>707.3</v>
      </c>
      <c r="G29" s="26" t="n">
        <v>1683.1</v>
      </c>
    </row>
    <row r="30">
      <c r="B30" s="26" t="inlineStr">
        <is>
          <t>Kiwi Superette</t>
        </is>
      </c>
      <c r="C30" s="26" t="n">
        <v>13382.9</v>
      </c>
      <c r="D30" s="26" t="n">
        <v>17.9</v>
      </c>
      <c r="E30" s="26" t="n">
        <v>6</v>
      </c>
      <c r="F30" s="26" t="n">
        <v>2230.5</v>
      </c>
      <c r="G30" s="26" t="n">
        <v>2283.4</v>
      </c>
    </row>
    <row r="31">
      <c r="B31" s="26" t="inlineStr">
        <is>
          <t>City Superette</t>
        </is>
      </c>
      <c r="C31" s="26" t="n">
        <v>11245.5</v>
      </c>
      <c r="D31" s="26" t="n">
        <v>10.3</v>
      </c>
      <c r="E31" s="26" t="n">
        <v>20</v>
      </c>
      <c r="F31" s="26" t="n">
        <v>562.3</v>
      </c>
      <c r="G31" s="26" t="n">
        <v>802.8</v>
      </c>
    </row>
    <row r="32">
      <c r="B32" s="26" t="inlineStr">
        <is>
          <t>Coast Mart</t>
        </is>
      </c>
      <c r="C32" s="26" t="n">
        <v>11068.4</v>
      </c>
      <c r="D32" s="26" t="n">
        <v>11.7</v>
      </c>
      <c r="E32" s="26" t="n">
        <v>30</v>
      </c>
      <c r="F32" s="26" t="n">
        <v>368.9</v>
      </c>
      <c r="G32" s="26" t="n">
        <v>755.2</v>
      </c>
    </row>
    <row r="33">
      <c r="B33" s="26" t="inlineStr">
        <is>
          <t>Kiwi Cafe</t>
        </is>
      </c>
      <c r="C33" s="26" t="n">
        <v>10112.1</v>
      </c>
      <c r="D33" s="26" t="n">
        <v>10.8</v>
      </c>
      <c r="E33" s="26" t="n">
        <v>5</v>
      </c>
      <c r="F33" s="26" t="n">
        <v>2022.4</v>
      </c>
      <c r="G33" s="26" t="n">
        <v>1004.4</v>
      </c>
    </row>
    <row r="34">
      <c r="B34" s="26" t="inlineStr">
        <is>
          <t>Coast Cafe</t>
        </is>
      </c>
      <c r="C34" s="26" t="n">
        <v>9718.9</v>
      </c>
      <c r="D34" s="26" t="n">
        <v>10</v>
      </c>
      <c r="E34" s="26" t="n">
        <v>14</v>
      </c>
      <c r="F34" s="26" t="n">
        <v>694.2</v>
      </c>
      <c r="G34" s="26" t="n">
        <v>718.6</v>
      </c>
    </row>
    <row r="35">
      <c r="B35" s="26" t="inlineStr">
        <is>
          <t>Harbour Grocers</t>
        </is>
      </c>
      <c r="C35" s="26" t="n">
        <v>9470.299999999999</v>
      </c>
      <c r="D35" s="26" t="n">
        <v>13.5</v>
      </c>
      <c r="E35" s="26" t="n">
        <v>36</v>
      </c>
      <c r="F35" s="26" t="n">
        <v>263.1</v>
      </c>
      <c r="G35" s="26" t="n">
        <v>632.1</v>
      </c>
    </row>
    <row r="36">
      <c r="B36" s="26" t="inlineStr">
        <is>
          <t>Kiwi Grocers</t>
        </is>
      </c>
      <c r="C36" s="26" t="n">
        <v>8271.9</v>
      </c>
      <c r="D36" s="26" t="n">
        <v>15.6</v>
      </c>
      <c r="E36" s="26" t="n">
        <v>38</v>
      </c>
      <c r="F36" s="26" t="n">
        <v>217.7</v>
      </c>
      <c r="G36" s="26" t="n">
        <v>602.7</v>
      </c>
    </row>
    <row r="37">
      <c r="B37" s="26" t="inlineStr">
        <is>
          <t>Metro Superette</t>
        </is>
      </c>
      <c r="C37" s="26" t="n">
        <v>6730.3</v>
      </c>
      <c r="D37" s="26" t="n">
        <v>18.3</v>
      </c>
      <c r="E37" s="26" t="n">
        <v>11</v>
      </c>
      <c r="F37" s="26" t="n">
        <v>611.8</v>
      </c>
      <c r="G37" s="26" t="n">
        <v>1036.7</v>
      </c>
    </row>
    <row r="38">
      <c r="B38" s="26" t="inlineStr">
        <is>
          <t>Harbour Cafe</t>
        </is>
      </c>
      <c r="C38" s="26" t="n">
        <v>6119.1</v>
      </c>
      <c r="D38" s="26" t="n">
        <v>7.8</v>
      </c>
      <c r="E38" s="26" t="n">
        <v>28</v>
      </c>
      <c r="F38" s="26" t="n">
        <v>218.5</v>
      </c>
      <c r="G38" s="26" t="n">
        <v>-26.7</v>
      </c>
    </row>
    <row r="39">
      <c r="B39" s="26" t="inlineStr">
        <is>
          <t>Coast Superette</t>
        </is>
      </c>
      <c r="C39" s="26" t="n">
        <v>5875.4</v>
      </c>
      <c r="D39" s="26" t="n">
        <v>15.4</v>
      </c>
      <c r="E39" s="26" t="n">
        <v>15</v>
      </c>
      <c r="F39" s="26" t="n">
        <v>391.7</v>
      </c>
      <c r="G39" s="26" t="n">
        <v>634.2</v>
      </c>
    </row>
    <row r="40">
      <c r="B40" s="26" t="inlineStr">
        <is>
          <t>Metro Grocers</t>
        </is>
      </c>
      <c r="C40" s="26" t="n">
        <v>5718.1</v>
      </c>
      <c r="D40" s="26" t="n">
        <v>16.2</v>
      </c>
      <c r="E40" s="26" t="n">
        <v>26</v>
      </c>
      <c r="F40" s="26" t="n">
        <v>219.9</v>
      </c>
      <c r="G40" s="26" t="n">
        <v>459.7</v>
      </c>
    </row>
    <row r="41">
      <c r="B41" s="26" t="inlineStr">
        <is>
          <t>Summit Cafe</t>
        </is>
      </c>
      <c r="C41" s="26" t="n">
        <v>4978.5</v>
      </c>
      <c r="D41" s="26" t="n">
        <v>15.7</v>
      </c>
      <c r="E41" s="26" t="n">
        <v>34</v>
      </c>
      <c r="F41" s="26" t="n">
        <v>146.4</v>
      </c>
      <c r="G41" s="26" t="n">
        <v>169.7</v>
      </c>
    </row>
    <row r="42">
      <c r="B42" s="26" t="inlineStr">
        <is>
          <t>Kiwi Mart</t>
        </is>
      </c>
      <c r="C42" s="26" t="n">
        <v>4684.4</v>
      </c>
      <c r="D42" s="26" t="n">
        <v>6.4</v>
      </c>
      <c r="E42" s="26" t="n">
        <v>74</v>
      </c>
      <c r="F42" s="26" t="n">
        <v>63.3</v>
      </c>
      <c r="G42" s="26" t="n">
        <v>-1030.8</v>
      </c>
    </row>
    <row r="43">
      <c r="B43" s="26" t="inlineStr">
        <is>
          <t>Kiwi Foods</t>
        </is>
      </c>
      <c r="C43" s="26" t="n">
        <v>4155.8</v>
      </c>
      <c r="D43" s="26" t="n">
        <v>11.2</v>
      </c>
      <c r="E43" s="26" t="n">
        <v>50</v>
      </c>
      <c r="F43" s="26" t="n">
        <v>83.09999999999999</v>
      </c>
      <c r="G43" s="26" t="n">
        <v>-434.9</v>
      </c>
    </row>
    <row r="44">
      <c r="B44" s="26" t="inlineStr">
        <is>
          <t>Summit Superette</t>
        </is>
      </c>
      <c r="C44" s="26" t="n">
        <v>3509.6</v>
      </c>
      <c r="D44" s="26" t="n">
        <v>17.2</v>
      </c>
      <c r="E44" s="26" t="n">
        <v>22</v>
      </c>
      <c r="F44" s="26" t="n">
        <v>159.5</v>
      </c>
      <c r="G44" s="26" t="n">
        <v>208</v>
      </c>
    </row>
    <row r="45">
      <c r="B45" s="26" t="inlineStr">
        <is>
          <t>North Grocers</t>
        </is>
      </c>
      <c r="C45" s="26" t="n">
        <v>1214</v>
      </c>
      <c r="D45" s="26" t="n">
        <v>11.8</v>
      </c>
      <c r="E45" s="26" t="n">
        <v>66</v>
      </c>
      <c r="F45" s="26" t="n">
        <v>18.4</v>
      </c>
      <c r="G45" s="26" t="n">
        <v>-1044.2</v>
      </c>
    </row>
  </sheetData>
  <autoFilter ref="B5:G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G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Receivables ageing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name</t>
        </is>
      </c>
      <c r="C5" s="13" t="inlineStr">
        <is>
          <t>current</t>
        </is>
      </c>
      <c r="D5" s="13" t="inlineStr">
        <is>
          <t>1-30</t>
        </is>
      </c>
      <c r="E5" s="13" t="inlineStr">
        <is>
          <t>31-60</t>
        </is>
      </c>
      <c r="F5" s="13" t="inlineStr">
        <is>
          <t>60+</t>
        </is>
      </c>
      <c r="G5" s="13" t="inlineStr">
        <is>
          <t>total</t>
        </is>
      </c>
    </row>
    <row r="6">
      <c r="B6" s="26" t="inlineStr">
        <is>
          <t>North Mart</t>
        </is>
      </c>
      <c r="C6" s="26" t="n">
        <v>14231</v>
      </c>
      <c r="D6" s="26" t="n">
        <v>0</v>
      </c>
      <c r="E6" s="26" t="n">
        <v>4086</v>
      </c>
      <c r="F6" s="26" t="n">
        <v>0</v>
      </c>
      <c r="G6" s="26" t="n">
        <v>18317</v>
      </c>
    </row>
    <row r="7">
      <c r="B7" s="26" t="inlineStr">
        <is>
          <t>Metro Foods</t>
        </is>
      </c>
      <c r="C7" s="26" t="n">
        <v>9849</v>
      </c>
      <c r="D7" s="26" t="n">
        <v>1858</v>
      </c>
      <c r="E7" s="26" t="n">
        <v>2391</v>
      </c>
      <c r="F7" s="26" t="n">
        <v>788</v>
      </c>
      <c r="G7" s="26" t="n">
        <v>14886</v>
      </c>
    </row>
    <row r="8">
      <c r="B8" s="26" t="inlineStr">
        <is>
          <t>Valley Cafe</t>
        </is>
      </c>
      <c r="C8" s="26" t="n">
        <v>10091</v>
      </c>
      <c r="D8" s="26" t="n">
        <v>0</v>
      </c>
      <c r="E8" s="26" t="n">
        <v>3448</v>
      </c>
      <c r="F8" s="26" t="n">
        <v>0</v>
      </c>
      <c r="G8" s="26" t="n">
        <v>13539</v>
      </c>
    </row>
    <row r="9">
      <c r="B9" s="26" t="inlineStr">
        <is>
          <t>Harbour Superette</t>
        </is>
      </c>
      <c r="C9" s="26" t="n">
        <v>11434</v>
      </c>
      <c r="D9" s="26" t="n">
        <v>0</v>
      </c>
      <c r="E9" s="26" t="n">
        <v>0</v>
      </c>
      <c r="F9" s="26" t="n">
        <v>1382</v>
      </c>
      <c r="G9" s="26" t="n">
        <v>12816</v>
      </c>
    </row>
    <row r="10">
      <c r="B10" s="26" t="inlineStr">
        <is>
          <t>Metro Cafe</t>
        </is>
      </c>
      <c r="C10" s="26" t="n">
        <v>11457</v>
      </c>
      <c r="D10" s="26" t="n">
        <v>1315</v>
      </c>
      <c r="E10" s="26" t="n">
        <v>0</v>
      </c>
      <c r="F10" s="26" t="n">
        <v>0</v>
      </c>
      <c r="G10" s="26" t="n">
        <v>12772</v>
      </c>
    </row>
    <row r="11">
      <c r="B11" s="26" t="inlineStr">
        <is>
          <t>North Foods</t>
        </is>
      </c>
      <c r="C11" s="26" t="n">
        <v>9869</v>
      </c>
      <c r="D11" s="26" t="n">
        <v>1008</v>
      </c>
      <c r="E11" s="26" t="n">
        <v>0</v>
      </c>
      <c r="F11" s="26" t="n">
        <v>0</v>
      </c>
      <c r="G11" s="26" t="n">
        <v>10877</v>
      </c>
    </row>
    <row r="12">
      <c r="B12" s="26" t="inlineStr">
        <is>
          <t>Valley Superette</t>
        </is>
      </c>
      <c r="C12" s="26" t="n">
        <v>9284</v>
      </c>
      <c r="D12" s="26" t="n">
        <v>0</v>
      </c>
      <c r="E12" s="26" t="n">
        <v>1280</v>
      </c>
      <c r="F12" s="26" t="n">
        <v>0</v>
      </c>
      <c r="G12" s="26" t="n">
        <v>10564</v>
      </c>
    </row>
    <row r="13">
      <c r="B13" s="26" t="inlineStr">
        <is>
          <t>Coast Grocers</t>
        </is>
      </c>
      <c r="C13" s="26" t="n">
        <v>7106</v>
      </c>
      <c r="D13" s="26" t="n">
        <v>757</v>
      </c>
      <c r="E13" s="26" t="n">
        <v>1211</v>
      </c>
      <c r="F13" s="26" t="n">
        <v>0</v>
      </c>
      <c r="G13" s="26" t="n">
        <v>9074</v>
      </c>
    </row>
    <row r="14">
      <c r="B14" s="26" t="inlineStr">
        <is>
          <t>City Foods</t>
        </is>
      </c>
      <c r="C14" s="26" t="n">
        <v>7916</v>
      </c>
      <c r="D14" s="26" t="n">
        <v>833</v>
      </c>
      <c r="E14" s="26" t="n">
        <v>0</v>
      </c>
      <c r="F14" s="26" t="n">
        <v>0</v>
      </c>
      <c r="G14" s="26" t="n">
        <v>8749</v>
      </c>
    </row>
    <row r="15">
      <c r="B15" s="26" t="inlineStr">
        <is>
          <t>Summit Grocers</t>
        </is>
      </c>
      <c r="C15" s="26" t="n">
        <v>6424</v>
      </c>
      <c r="D15" s="26" t="n">
        <v>1767</v>
      </c>
      <c r="E15" s="26" t="n">
        <v>0</v>
      </c>
      <c r="F15" s="26" t="n">
        <v>0</v>
      </c>
      <c r="G15" s="26" t="n">
        <v>8191</v>
      </c>
    </row>
    <row r="16">
      <c r="B16" s="26" t="inlineStr">
        <is>
          <t>Valley Foods</t>
        </is>
      </c>
      <c r="C16" s="26" t="n">
        <v>8015</v>
      </c>
      <c r="D16" s="26" t="n">
        <v>0</v>
      </c>
      <c r="E16" s="26" t="n">
        <v>0</v>
      </c>
      <c r="F16" s="26" t="n">
        <v>0</v>
      </c>
      <c r="G16" s="26" t="n">
        <v>8015</v>
      </c>
    </row>
    <row r="17">
      <c r="B17" s="26" t="inlineStr">
        <is>
          <t>City Grocers</t>
        </is>
      </c>
      <c r="C17" s="26" t="n">
        <v>6566</v>
      </c>
      <c r="D17" s="26" t="n">
        <v>0</v>
      </c>
      <c r="E17" s="26" t="n">
        <v>0</v>
      </c>
      <c r="F17" s="26" t="n">
        <v>0</v>
      </c>
      <c r="G17" s="26" t="n">
        <v>6566</v>
      </c>
    </row>
    <row r="18">
      <c r="B18" s="26" t="inlineStr">
        <is>
          <t>Valley Mart</t>
        </is>
      </c>
      <c r="C18" s="26" t="n">
        <v>5868</v>
      </c>
      <c r="D18" s="26" t="n">
        <v>0</v>
      </c>
      <c r="E18" s="26" t="n">
        <v>0</v>
      </c>
      <c r="F18" s="26" t="n">
        <v>0</v>
      </c>
      <c r="G18" s="26" t="n">
        <v>5868</v>
      </c>
    </row>
    <row r="19">
      <c r="B19" s="26" t="inlineStr">
        <is>
          <t>Harbour Mart</t>
        </is>
      </c>
      <c r="C19" s="26" t="n">
        <v>4821</v>
      </c>
      <c r="D19" s="26" t="n">
        <v>504</v>
      </c>
      <c r="E19" s="26" t="n">
        <v>0</v>
      </c>
      <c r="F19" s="26" t="n">
        <v>0</v>
      </c>
      <c r="G19" s="26" t="n">
        <v>5325</v>
      </c>
    </row>
    <row r="20">
      <c r="B20" s="26" t="inlineStr">
        <is>
          <t>Summit Mart</t>
        </is>
      </c>
      <c r="C20" s="26" t="n">
        <v>3561</v>
      </c>
      <c r="D20" s="26" t="n">
        <v>1754</v>
      </c>
      <c r="E20" s="26" t="n">
        <v>0</v>
      </c>
      <c r="F20" s="26" t="n">
        <v>0</v>
      </c>
      <c r="G20" s="26" t="n">
        <v>5314</v>
      </c>
    </row>
    <row r="21">
      <c r="B21" s="26" t="inlineStr">
        <is>
          <t>Coast Foods</t>
        </is>
      </c>
      <c r="C21" s="26" t="n">
        <v>3452</v>
      </c>
      <c r="D21" s="26" t="n">
        <v>936</v>
      </c>
      <c r="E21" s="26" t="n">
        <v>817</v>
      </c>
      <c r="F21" s="26" t="n">
        <v>0</v>
      </c>
      <c r="G21" s="26" t="n">
        <v>5205</v>
      </c>
    </row>
    <row r="22">
      <c r="B22" s="26" t="inlineStr">
        <is>
          <t>Coast Mart</t>
        </is>
      </c>
      <c r="C22" s="26" t="n">
        <v>3274</v>
      </c>
      <c r="D22" s="26" t="n">
        <v>0</v>
      </c>
      <c r="E22" s="26" t="n">
        <v>317</v>
      </c>
      <c r="F22" s="26" t="n">
        <v>1402</v>
      </c>
      <c r="G22" s="26" t="n">
        <v>4993</v>
      </c>
    </row>
    <row r="23">
      <c r="B23" s="26" t="inlineStr">
        <is>
          <t>North Superette</t>
        </is>
      </c>
      <c r="C23" s="26" t="n">
        <v>4764</v>
      </c>
      <c r="D23" s="26" t="n">
        <v>0</v>
      </c>
      <c r="E23" s="26" t="n">
        <v>0</v>
      </c>
      <c r="F23" s="26" t="n">
        <v>0</v>
      </c>
      <c r="G23" s="26" t="n">
        <v>4764</v>
      </c>
    </row>
    <row r="24">
      <c r="B24" s="26" t="inlineStr">
        <is>
          <t>City Mart</t>
        </is>
      </c>
      <c r="C24" s="26" t="n">
        <v>3743</v>
      </c>
      <c r="D24" s="26" t="n">
        <v>0</v>
      </c>
      <c r="E24" s="26" t="n">
        <v>948</v>
      </c>
      <c r="F24" s="26" t="n">
        <v>0</v>
      </c>
      <c r="G24" s="26" t="n">
        <v>4691</v>
      </c>
    </row>
    <row r="25">
      <c r="B25" s="26" t="inlineStr">
        <is>
          <t>North Cafe</t>
        </is>
      </c>
      <c r="C25" s="26" t="n">
        <v>2307</v>
      </c>
      <c r="D25" s="26" t="n">
        <v>1723</v>
      </c>
      <c r="E25" s="26" t="n">
        <v>0</v>
      </c>
      <c r="F25" s="26" t="n">
        <v>0</v>
      </c>
      <c r="G25" s="26" t="n">
        <v>4029</v>
      </c>
    </row>
    <row r="26">
      <c r="B26" s="26" t="inlineStr">
        <is>
          <t>Valley Grocers</t>
        </is>
      </c>
      <c r="C26" s="26" t="n">
        <v>3844</v>
      </c>
      <c r="D26" s="26" t="n">
        <v>0</v>
      </c>
      <c r="E26" s="26" t="n">
        <v>0</v>
      </c>
      <c r="F26" s="26" t="n">
        <v>0</v>
      </c>
      <c r="G26" s="26" t="n">
        <v>3844</v>
      </c>
    </row>
    <row r="27">
      <c r="B27" s="26" t="inlineStr">
        <is>
          <t>Coast Cafe</t>
        </is>
      </c>
      <c r="C27" s="26" t="n">
        <v>2779</v>
      </c>
      <c r="D27" s="26" t="n">
        <v>685</v>
      </c>
      <c r="E27" s="26" t="n">
        <v>0</v>
      </c>
      <c r="F27" s="26" t="n">
        <v>0</v>
      </c>
      <c r="G27" s="26" t="n">
        <v>3463</v>
      </c>
    </row>
    <row r="28">
      <c r="B28" s="26" t="inlineStr">
        <is>
          <t>Kiwi Superette</t>
        </is>
      </c>
      <c r="C28" s="26" t="n">
        <v>0</v>
      </c>
      <c r="D28" s="26" t="n">
        <v>3261</v>
      </c>
      <c r="E28" s="26" t="n">
        <v>0</v>
      </c>
      <c r="F28" s="26" t="n">
        <v>0</v>
      </c>
      <c r="G28" s="26" t="n">
        <v>3261</v>
      </c>
    </row>
    <row r="29">
      <c r="B29" s="26" t="inlineStr">
        <is>
          <t>City Superette</t>
        </is>
      </c>
      <c r="C29" s="26" t="n">
        <v>2975</v>
      </c>
      <c r="D29" s="26" t="n">
        <v>0</v>
      </c>
      <c r="E29" s="26" t="n">
        <v>0</v>
      </c>
      <c r="F29" s="26" t="n">
        <v>0</v>
      </c>
      <c r="G29" s="26" t="n">
        <v>2975</v>
      </c>
    </row>
    <row r="30">
      <c r="B30" s="26" t="inlineStr">
        <is>
          <t>Harbour Foods</t>
        </is>
      </c>
      <c r="C30" s="26" t="n">
        <v>2838</v>
      </c>
      <c r="D30" s="26" t="n">
        <v>0</v>
      </c>
      <c r="E30" s="26" t="n">
        <v>0</v>
      </c>
      <c r="F30" s="26" t="n">
        <v>0</v>
      </c>
      <c r="G30" s="26" t="n">
        <v>2838</v>
      </c>
    </row>
    <row r="31">
      <c r="B31" s="26" t="inlineStr">
        <is>
          <t>Kiwi Grocers</t>
        </is>
      </c>
      <c r="C31" s="26" t="n">
        <v>853</v>
      </c>
      <c r="D31" s="26" t="n">
        <v>731</v>
      </c>
      <c r="E31" s="26" t="n">
        <v>930</v>
      </c>
      <c r="F31" s="26" t="n">
        <v>295</v>
      </c>
      <c r="G31" s="26" t="n">
        <v>2810</v>
      </c>
    </row>
    <row r="32">
      <c r="B32" s="26" t="inlineStr">
        <is>
          <t>Kiwi Cafe</t>
        </is>
      </c>
      <c r="C32" s="26" t="n">
        <v>2515</v>
      </c>
      <c r="D32" s="26" t="n">
        <v>0</v>
      </c>
      <c r="E32" s="26" t="n">
        <v>0</v>
      </c>
      <c r="F32" s="26" t="n">
        <v>0</v>
      </c>
      <c r="G32" s="26" t="n">
        <v>2515</v>
      </c>
    </row>
    <row r="33">
      <c r="B33" s="26" t="inlineStr">
        <is>
          <t>Kiwi Mart</t>
        </is>
      </c>
      <c r="C33" s="26" t="n">
        <v>1399</v>
      </c>
      <c r="D33" s="26" t="n">
        <v>553</v>
      </c>
      <c r="E33" s="26" t="n">
        <v>342</v>
      </c>
      <c r="F33" s="26" t="n">
        <v>78</v>
      </c>
      <c r="G33" s="26" t="n">
        <v>2371</v>
      </c>
    </row>
    <row r="34">
      <c r="B34" s="26" t="inlineStr">
        <is>
          <t>Metro Mart</t>
        </is>
      </c>
      <c r="C34" s="26" t="n">
        <v>2291</v>
      </c>
      <c r="D34" s="26" t="n">
        <v>0</v>
      </c>
      <c r="E34" s="26" t="n">
        <v>0</v>
      </c>
      <c r="F34" s="26" t="n">
        <v>0</v>
      </c>
      <c r="G34" s="26" t="n">
        <v>2291</v>
      </c>
    </row>
    <row r="35">
      <c r="B35" s="26" t="inlineStr">
        <is>
          <t>Harbour Grocers</t>
        </is>
      </c>
      <c r="C35" s="26" t="n">
        <v>1598</v>
      </c>
      <c r="D35" s="26" t="n">
        <v>358</v>
      </c>
      <c r="E35" s="26" t="n">
        <v>0</v>
      </c>
      <c r="F35" s="26" t="n">
        <v>309</v>
      </c>
      <c r="G35" s="26" t="n">
        <v>2265</v>
      </c>
    </row>
    <row r="36">
      <c r="B36" s="26" t="inlineStr">
        <is>
          <t>Summit Cafe</t>
        </is>
      </c>
      <c r="C36" s="26" t="n">
        <v>1797</v>
      </c>
      <c r="D36" s="26" t="n">
        <v>441</v>
      </c>
      <c r="E36" s="26" t="n">
        <v>0</v>
      </c>
      <c r="F36" s="26" t="n">
        <v>0</v>
      </c>
      <c r="G36" s="26" t="n">
        <v>2237</v>
      </c>
    </row>
    <row r="37">
      <c r="B37" s="26" t="inlineStr">
        <is>
          <t>Metro Grocers</t>
        </is>
      </c>
      <c r="C37" s="26" t="n">
        <v>1683</v>
      </c>
      <c r="D37" s="26" t="n">
        <v>0</v>
      </c>
      <c r="E37" s="26" t="n">
        <v>0</v>
      </c>
      <c r="F37" s="26" t="n">
        <v>0</v>
      </c>
      <c r="G37" s="26" t="n">
        <v>1683</v>
      </c>
    </row>
    <row r="38">
      <c r="B38" s="26" t="inlineStr">
        <is>
          <t>Metro Superette</t>
        </is>
      </c>
      <c r="C38" s="26" t="n">
        <v>1642</v>
      </c>
      <c r="D38" s="26" t="n">
        <v>0</v>
      </c>
      <c r="E38" s="26" t="n">
        <v>0</v>
      </c>
      <c r="F38" s="26" t="n">
        <v>0</v>
      </c>
      <c r="G38" s="26" t="n">
        <v>1642</v>
      </c>
    </row>
    <row r="39">
      <c r="B39" s="26" t="inlineStr">
        <is>
          <t>Harbour Cafe</t>
        </is>
      </c>
      <c r="C39" s="26" t="n">
        <v>1361</v>
      </c>
      <c r="D39" s="26" t="n">
        <v>199</v>
      </c>
      <c r="E39" s="26" t="n">
        <v>0</v>
      </c>
      <c r="F39" s="26" t="n">
        <v>0</v>
      </c>
      <c r="G39" s="26" t="n">
        <v>1560</v>
      </c>
    </row>
    <row r="40">
      <c r="B40" s="26" t="inlineStr">
        <is>
          <t>Kiwi Foods</t>
        </is>
      </c>
      <c r="C40" s="26" t="n">
        <v>872</v>
      </c>
      <c r="D40" s="26" t="n">
        <v>93</v>
      </c>
      <c r="E40" s="26" t="n">
        <v>154</v>
      </c>
      <c r="F40" s="26" t="n">
        <v>293</v>
      </c>
      <c r="G40" s="26" t="n">
        <v>1412</v>
      </c>
    </row>
    <row r="41">
      <c r="B41" s="26" t="inlineStr">
        <is>
          <t>Coast Superette</t>
        </is>
      </c>
      <c r="C41" s="26" t="n">
        <v>514</v>
      </c>
      <c r="D41" s="26" t="n">
        <v>491</v>
      </c>
      <c r="E41" s="26" t="n">
        <v>0</v>
      </c>
      <c r="F41" s="26" t="n">
        <v>0</v>
      </c>
      <c r="G41" s="26" t="n">
        <v>1005</v>
      </c>
    </row>
    <row r="42">
      <c r="B42" s="26" t="inlineStr">
        <is>
          <t>Summit Superette</t>
        </is>
      </c>
      <c r="C42" s="26" t="n">
        <v>541</v>
      </c>
      <c r="D42" s="26" t="n">
        <v>168</v>
      </c>
      <c r="E42" s="26" t="n">
        <v>0</v>
      </c>
      <c r="F42" s="26" t="n">
        <v>0</v>
      </c>
      <c r="G42" s="26" t="n">
        <v>710</v>
      </c>
    </row>
    <row r="43">
      <c r="B43" s="26" t="inlineStr">
        <is>
          <t>North Grocers</t>
        </is>
      </c>
      <c r="C43" s="26" t="n">
        <v>198</v>
      </c>
      <c r="D43" s="26" t="n">
        <v>0</v>
      </c>
      <c r="E43" s="26" t="n">
        <v>53</v>
      </c>
      <c r="F43" s="26" t="n">
        <v>0</v>
      </c>
      <c r="G43" s="26" t="n">
        <v>251</v>
      </c>
    </row>
  </sheetData>
  <autoFilter ref="B5:G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7" customWidth="1" min="2" max="2"/>
    <col width="13" customWidth="1" min="3" max="3"/>
    <col width="13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Fill rate &amp; OTIF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fill_rate_pct</t>
        </is>
      </c>
      <c r="C5" s="13" t="inlineStr">
        <is>
          <t>otif_pct</t>
        </is>
      </c>
      <c r="D5" s="13" t="inlineStr">
        <is>
          <t>orders</t>
        </is>
      </c>
    </row>
    <row r="6">
      <c r="B6" s="26" t="n">
        <v>97.8</v>
      </c>
      <c r="C6" s="26" t="n">
        <v>63.2</v>
      </c>
      <c r="D6" s="26" t="n">
        <v>981</v>
      </c>
    </row>
  </sheetData>
  <autoFilter ref="B5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28" t="inlineStr">
        <is>
          <t>Industry pack demo. Replace Raw with your own export (same column names) and the Model, KPIs and pivots follow.</t>
        </is>
      </c>
    </row>
    <row r="7">
      <c r="C7" s="28" t="inlineStr">
        <is>
          <t>Analysis sheets hold Shelly's skill results; Actions lists findings for your confirmation.</t>
        </is>
      </c>
    </row>
    <row r="9">
      <c r="B9" s="12" t="inlineStr">
        <is>
          <t>Data dictionary (Raw sheet)</t>
        </is>
      </c>
    </row>
    <row r="10">
      <c r="B10" s="29" t="inlineStr">
        <is>
          <t>Date</t>
        </is>
      </c>
      <c r="C10" s="29" t="inlineStr"/>
    </row>
    <row r="11">
      <c r="B11" s="29" t="inlineStr">
        <is>
          <t>Week</t>
        </is>
      </c>
      <c r="C11" s="29" t="inlineStr"/>
    </row>
    <row r="12">
      <c r="B12" s="29" t="inlineStr">
        <is>
          <t>Order</t>
        </is>
      </c>
      <c r="C12" s="29" t="inlineStr"/>
    </row>
    <row r="13">
      <c r="B13" s="29" t="inlineStr">
        <is>
          <t>Customer</t>
        </is>
      </c>
      <c r="C13" s="29" t="inlineStr"/>
    </row>
    <row r="14">
      <c r="B14" s="29" t="inlineStr">
        <is>
          <t>Revenue</t>
        </is>
      </c>
      <c r="C14" s="29" t="inlineStr"/>
    </row>
    <row r="15">
      <c r="B15" s="29" t="inlineStr">
        <is>
          <t>Cost</t>
        </is>
      </c>
      <c r="C15" s="29" t="inlineStr"/>
    </row>
    <row r="16">
      <c r="B16" s="29" t="inlineStr">
        <is>
          <t>Gross margin</t>
        </is>
      </c>
      <c r="C16" s="29" t="inlineStr"/>
    </row>
    <row r="18">
      <c r="B18" s="12" t="inlineStr">
        <is>
          <t>Sign-off</t>
        </is>
      </c>
    </row>
    <row r="19">
      <c r="B19" s="24" t="inlineStr">
        <is>
          <t>Findings reviewed</t>
        </is>
      </c>
      <c r="C19" s="7" t="inlineStr">
        <is>
          <t>Name: ____________   Date: ________   ☐ Approved  ☐ Changes needed</t>
        </is>
      </c>
    </row>
    <row r="21">
      <c r="B21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2026-10-11T21:21:12Z</dcterms:created>
  <dcterms:modified xsi:type="dcterms:W3CDTF">2026-10-11T21:21:12Z</dcterms:modified>
</cp:coreProperties>
</file>