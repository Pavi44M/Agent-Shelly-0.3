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l" sheetId="2" state="visible" r:id="rId2"/>
    <sheet name="Pivot" sheetId="3" state="visible" r:id="rId3"/>
    <sheet name="Raw" sheetId="4" state="visible" r:id="rId4"/>
    <sheet name="Lookup" sheetId="5" state="visible" r:id="rId5"/>
    <sheet name="Assumptions" sheetId="6" state="visible" r:id="rId6"/>
    <sheet name="Notes" sheetId="7" state="visible" r:id="rId7"/>
  </sheets>
  <definedNames>
    <definedName name="in_end">Assumptions!$C$6</definedName>
    <definedName name="SelCat">Dashboard!$B$6</definedName>
    <definedName name="CatCrit">IF(Dashboard!$B$6="All","*",Dashboard!$B$6)</definedName>
    <definedName name="_xlnm._FilterDatabase" localSheetId="1" hidden="1">'Model'!$B$24:$K$74</definedName>
  </definedNames>
  <calcPr calcId="124519" fullCalcOnLoad="1"/>
  <pivotCaches>
    <pivotCache cacheId="1" r:id="rId8"/>
  </pivotCaches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 mmm yyyy"/>
    <numFmt numFmtId="166" formatCode="$#,##0.00;($#,##0.00);&quot;-&quot;"/>
    <numFmt numFmtId="167" formatCode="#,##0;(#,##0);&quot;-&quot;"/>
    <numFmt numFmtId="168" formatCode="0.0%;(0.0%);&quot;-&quot;"/>
    <numFmt numFmtId="169" formatCode="$#,##0;($#,##0);&quot;-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433"/>
      <sz val="10"/>
    </font>
    <font>
      <name val="Arial"/>
      <b val="1"/>
      <color rgb="0063B6D8"/>
      <sz val="8"/>
    </font>
    <font>
      <name val="Arial"/>
      <b val="1"/>
      <color rgb="00FFFFFF"/>
      <sz val="18"/>
    </font>
    <font>
      <name val="Arial"/>
      <color rgb="00C9D4E0"/>
      <sz val="10"/>
    </font>
    <font>
      <name val="Arial"/>
      <b val="1"/>
      <color rgb="00FFFFFF"/>
      <sz val="9"/>
    </font>
    <font>
      <name val="Arial"/>
      <b val="1"/>
      <color rgb="000000FF"/>
      <sz val="10"/>
    </font>
    <font>
      <name val="Arial"/>
      <i val="1"/>
      <color rgb="006B7686"/>
      <sz val="9"/>
    </font>
    <font>
      <name val="Arial"/>
      <b val="1"/>
      <color rgb="001B2433"/>
      <sz val="11"/>
    </font>
    <font>
      <name val="Arial"/>
      <b val="1"/>
      <color rgb="006B7686"/>
      <sz val="8"/>
    </font>
    <font>
      <name val="Arial"/>
      <b val="1"/>
      <color rgb="000000FF"/>
      <sz val="12"/>
    </font>
    <font>
      <name val="Arial"/>
      <b val="1"/>
      <color rgb="001B2433"/>
      <sz val="10"/>
    </font>
    <font>
      <name val="Arial"/>
      <b val="1"/>
      <color rgb="001B2433"/>
      <sz val="18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22324A"/>
      </patternFill>
    </fill>
    <fill>
      <patternFill patternType="solid">
        <fgColor rgb="00FFF7CC"/>
      </patternFill>
    </fill>
    <fill>
      <patternFill patternType="solid">
        <fgColor rgb="00E8EEF4"/>
      </patternFill>
    </fill>
    <fill>
      <patternFill patternType="solid">
        <fgColor rgb="00F4F7FA"/>
      </patternFill>
    </fill>
  </fills>
  <borders count="3">
    <border>
      <left/>
      <right/>
      <top/>
      <bottom/>
      <diagonal/>
    </border>
    <border>
      <bottom style="thin">
        <color rgb="00D9DEE5"/>
      </bottom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10" fillId="0" borderId="0" pivotButton="0" quotePrefix="0" xfId="0"/>
    <xf numFmtId="0" fontId="11" fillId="4" borderId="2" pivotButton="0" quotePrefix="0" xfId="0"/>
    <xf numFmtId="0" fontId="8" fillId="0" borderId="0" pivotButton="0" quotePrefix="0" xfId="0"/>
    <xf numFmtId="0" fontId="10" fillId="6" borderId="0" pivotButton="0" quotePrefix="0" xfId="0"/>
    <xf numFmtId="0" fontId="0" fillId="6" borderId="0" pivotButton="0" quotePrefix="0" xfId="0"/>
    <xf numFmtId="169" fontId="13" fillId="6" borderId="0" applyAlignment="1" pivotButton="0" quotePrefix="0" xfId="0">
      <alignment horizontal="left"/>
    </xf>
    <xf numFmtId="168" fontId="13" fillId="6" borderId="0" applyAlignment="1" pivotButton="0" quotePrefix="0" xfId="0">
      <alignment horizontal="left"/>
    </xf>
    <xf numFmtId="167" fontId="13" fillId="6" borderId="0" applyAlignment="1" pivotButton="0" quotePrefix="0" xfId="0">
      <alignment horizontal="left"/>
    </xf>
    <xf numFmtId="0" fontId="9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49" fontId="2" fillId="0" borderId="1" pivotButton="0" quotePrefix="0" xfId="0"/>
    <xf numFmtId="169" fontId="2" fillId="0" borderId="1" pivotButton="0" quotePrefix="0" xfId="0"/>
    <xf numFmtId="168" fontId="2" fillId="0" borderId="1" pivotButton="0" quotePrefix="0" xfId="0"/>
    <xf numFmtId="0" fontId="12" fillId="5" borderId="0" pivotButton="0" quotePrefix="0" xfId="0"/>
    <xf numFmtId="169" fontId="12" fillId="5" borderId="0" pivotButton="0" quotePrefix="0" xfId="0"/>
    <xf numFmtId="168" fontId="12" fillId="5" borderId="0" pivotButton="0" quotePrefix="0" xfId="0"/>
    <xf numFmtId="167" fontId="2" fillId="0" borderId="1" pivotButton="0" quotePrefix="0" xfId="0"/>
    <xf numFmtId="3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2" fillId="0" borderId="1" pivotButton="0" quotePrefix="0" xfId="0"/>
    <xf numFmtId="165" fontId="7" fillId="4" borderId="2" pivotButton="0" quotePrefix="0" xfId="0"/>
    <xf numFmtId="0" fontId="8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pivotCacheDefinition" Target="/xl/pivotCache/pivotCacheDefinition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13-week 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v>Sales 13w</v>
          </tx>
          <spPr>
            <a:solidFill>
              <a:srgbClr val="2A8FB8"/>
            </a:solidFill>
            <a:ln>
              <a:solidFill>
                <a:srgbClr val="2A8FB8"/>
              </a:solidFill>
              <a:prstDash val="solid"/>
            </a:ln>
          </spPr>
          <cat>
            <numRef>
              <f>'Model'!$B$8:$B$18</f>
            </numRef>
          </cat>
          <val>
            <numRef>
              <f>'Model'!$C$8:$C$18</f>
            </numRef>
          </val>
        </ser>
        <ser>
          <idx val="1"/>
          <order val="1"/>
          <tx>
            <v>Prior 13w</v>
          </tx>
          <spPr>
            <a:solidFill>
              <a:srgbClr val="0B1220"/>
            </a:solidFill>
            <a:ln>
              <a:solidFill>
                <a:srgbClr val="0B1220"/>
              </a:solidFill>
              <a:prstDash val="solid"/>
            </a:ln>
          </spPr>
          <cat>
            <numRef>
              <f>'Model'!$B$8:$B$18</f>
            </numRef>
          </cat>
          <val>
            <numRef>
              <f>'Model'!$D$8:$D$18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Shelly</author>
  </authors>
  <commentList>
    <comment ref="B6" authorId="0" shapeId="0">
      <text>
        <t>Choose a value from the list. Every KPI, table and chart follows this choice.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1300" r:id="rId1">
  <cacheSource type="worksheet">
    <worksheetSource ref="A1:G1301" sheet="Raw"/>
  </cacheSource>
  <cacheFields count="7">
    <cacheField name="Week ending" uniqueList="1" numFmtId="0" sqlType="0" hierarchy="0" level="0" databaseField="1">
      <sharedItems count="26">
        <s v="2026-04-19"/>
        <s v="2026-04-26"/>
        <s v="2026-05-03"/>
        <s v="2026-05-10"/>
        <s v="2026-05-17"/>
        <s v="2026-05-24"/>
        <s v="2026-05-31"/>
        <s v="2026-06-07"/>
        <s v="2026-06-14"/>
        <s v="2026-06-21"/>
        <s v="2026-06-28"/>
        <s v="2026-07-05"/>
        <s v="2026-07-12"/>
        <s v="2026-07-19"/>
        <s v="2026-07-26"/>
        <s v="2026-08-02"/>
        <s v="2026-08-09"/>
        <s v="2026-08-16"/>
        <s v="2026-08-23"/>
        <s v="2026-08-30"/>
        <s v="2026-09-06"/>
        <s v="2026-09-13"/>
        <s v="2026-09-20"/>
        <s v="2026-09-27"/>
        <s v="2026-10-04"/>
        <s v="2026-10-11"/>
      </sharedItems>
    </cacheField>
    <cacheField name="SKU" uniqueList="1" numFmtId="0" sqlType="0" hierarchy="0" level="0" databaseField="1">
      <sharedItems count="50">
        <s v="BAK001"/>
        <s v="BAK002"/>
        <s v="BAK003"/>
        <s v="BBT001"/>
        <s v="BEV001"/>
        <s v="BEV002"/>
        <s v="BEV003"/>
        <s v="BEV004"/>
        <s v="BEV005"/>
        <s v="BEV006"/>
        <s v="DRY010"/>
        <s v="DRY011"/>
        <s v="DRY012"/>
        <s v="FRZ001"/>
        <s v="FRZ002"/>
        <s v="FRZ003"/>
        <s v="FRZ004"/>
        <s v="FTG001"/>
        <s v="FTG002"/>
        <s v="FTG003"/>
        <s v="FTG004"/>
        <s v="FTG005"/>
        <s v="GRO001"/>
        <s v="GRO002"/>
        <s v="GRO003"/>
        <s v="GRO004"/>
        <s v="GRO005"/>
        <s v="GRO006"/>
        <s v="GRO007"/>
        <s v="GRO008"/>
        <s v="HHD001"/>
        <s v="HHD002"/>
        <s v="HHD003"/>
        <s v="LIQ001"/>
        <s v="LIQ002"/>
        <s v="LIQ003"/>
        <s v="LIQ004"/>
        <s v="MLK001"/>
        <s v="MLK002"/>
        <s v="MLK003"/>
        <s v="PHM001"/>
        <s v="PHM002"/>
        <s v="PRD001"/>
        <s v="PRD002"/>
        <s v="PRD003"/>
        <s v="SNK001"/>
        <s v="SNK002"/>
        <s v="SNK003"/>
        <s v="SNK004"/>
        <s v="SNK005"/>
      </sharedItems>
    </cacheField>
    <cacheField name="Product" uniqueList="1" numFmtId="0" sqlType="0" hierarchy="0" level="0" databaseField="1">
      <sharedItems count="50">
        <s v="Avocado"/>
        <s v="Bananas (each)"/>
        <s v="Bottled Water 750ml"/>
        <s v="Bubble Tea Kit"/>
        <s v="Butter 500g"/>
        <s v="Canned Soup 500g"/>
        <s v="Cheese Block 1kg"/>
        <s v="Chicken Sandwich"/>
        <s v="Chocolate Block 200g"/>
        <s v="Coffee Beans 200g"/>
        <s v="Cola 1.5L"/>
        <s v="Corn Chips 230g"/>
        <s v="Craft Beer 6pk"/>
        <s v="Croissant 4pk"/>
        <s v="Dishwash Liquid"/>
        <s v="Eggs Free Range 12pk"/>
        <s v="Energy Drink 500ml"/>
        <s v="Filled Roll"/>
        <s v="Frozen Dumplings 1kg"/>
        <s v="Frozen Pizza"/>
        <s v="Greek Yoghurt 1kg"/>
        <s v="Hot Pie Mince &amp; Cheese"/>
        <s v="Ice Block Single"/>
        <s v="Ice Cream Tub 2L"/>
        <s v="Iced Coffee 500ml"/>
        <s v="Instant Noodles 5pk"/>
        <s v="Kombucha 330ml"/>
        <s v="Lollies Bag 200g"/>
        <s v="Milk Lite 2L"/>
        <s v="Milk Standard 2L"/>
        <s v="Muesli Bar 6pk"/>
        <s v="Oat Milk 1L"/>
        <s v="Paracetamol 20pk"/>
        <s v="Pasta 500g"/>
        <s v="Phone Charger Cable"/>
        <s v="Pinot Noir 750ml"/>
        <s v="Potato Chips 150g"/>
        <s v="RTD 4pk"/>
        <s v="Salad Bowl"/>
        <s v="Salsa 300g"/>
        <s v="Sauvignon Blanc 750ml"/>
        <s v="Simmer Sauce 485g"/>
        <s v="Sparkling Water 1L"/>
        <s v="Sunscreen SPF50"/>
        <s v="Sushi Pack 8pc"/>
        <s v="Taco Kit"/>
        <s v="Toast Bread White"/>
        <s v="Toilet Paper 6pk"/>
        <s v="Tomatoes 500g"/>
        <s v="Wholemeal Loaf"/>
      </sharedItems>
    </cacheField>
    <cacheField name="Category" uniqueList="1" numFmtId="0" sqlType="0" hierarchy="0" level="0" databaseField="1">
      <sharedItems count="11">
        <s v="Bakery"/>
        <s v="Beer &amp; Wine"/>
        <s v="Beverages"/>
        <s v="Dairy"/>
        <s v="Food To Go"/>
        <s v="Frozen"/>
        <s v="Grocery"/>
        <s v="Health &amp; Beauty"/>
        <s v="Household"/>
        <s v="Produce"/>
        <s v="Snacks &amp; Confectionery"/>
      </sharedItems>
    </cacheField>
    <cacheField name="Sales" uniqueList="1" numFmtId="0" sqlType="0" hierarchy="0" level="0" databaseField="1">
      <sharedItems count="0" containsNumber="1" containsSemiMixedTypes="0" containsString="0" minValue="29.98" maxValue="1501.23"/>
    </cacheField>
    <cacheField name="Units" uniqueList="1" numFmtId="0" sqlType="0" hierarchy="0" level="0" databaseField="1">
      <sharedItems count="0" containsInteger="1" containsNumber="1" containsSemiMixedTypes="0" containsString="0" minValue="2" maxValue="324"/>
    </cacheField>
    <cacheField name="Gross margin" uniqueList="1" numFmtId="0" sqlType="0" hierarchy="0" level="0" databaseField="1">
      <sharedItems count="0" containsNumber="1" containsSemiMixedTypes="0" containsString="0" minValue="18.98" maxValue="693.36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1300" r:id="rId1">
  <cacheSource type="worksheet">
    <worksheetSource ref="A1:G1301" sheet="Raw"/>
  </cacheSource>
  <cacheFields count="7">
    <cacheField name="Week ending" uniqueList="1" numFmtId="0" sqlType="0" hierarchy="0" level="0" databaseField="1">
      <sharedItems count="26">
        <s v="2026-04-19"/>
        <s v="2026-04-26"/>
        <s v="2026-05-03"/>
        <s v="2026-05-10"/>
        <s v="2026-05-17"/>
        <s v="2026-05-24"/>
        <s v="2026-05-31"/>
        <s v="2026-06-07"/>
        <s v="2026-06-14"/>
        <s v="2026-06-21"/>
        <s v="2026-06-28"/>
        <s v="2026-07-05"/>
        <s v="2026-07-12"/>
        <s v="2026-07-19"/>
        <s v="2026-07-26"/>
        <s v="2026-08-02"/>
        <s v="2026-08-09"/>
        <s v="2026-08-16"/>
        <s v="2026-08-23"/>
        <s v="2026-08-30"/>
        <s v="2026-09-06"/>
        <s v="2026-09-13"/>
        <s v="2026-09-20"/>
        <s v="2026-09-27"/>
        <s v="2026-10-04"/>
        <s v="2026-10-11"/>
      </sharedItems>
    </cacheField>
    <cacheField name="SKU" uniqueList="1" numFmtId="0" sqlType="0" hierarchy="0" level="0" databaseField="1">
      <sharedItems count="50">
        <s v="BAK001"/>
        <s v="BAK002"/>
        <s v="BAK003"/>
        <s v="BBT001"/>
        <s v="BEV001"/>
        <s v="BEV002"/>
        <s v="BEV003"/>
        <s v="BEV004"/>
        <s v="BEV005"/>
        <s v="BEV006"/>
        <s v="DRY010"/>
        <s v="DRY011"/>
        <s v="DRY012"/>
        <s v="FRZ001"/>
        <s v="FRZ002"/>
        <s v="FRZ003"/>
        <s v="FRZ004"/>
        <s v="FTG001"/>
        <s v="FTG002"/>
        <s v="FTG003"/>
        <s v="FTG004"/>
        <s v="FTG005"/>
        <s v="GRO001"/>
        <s v="GRO002"/>
        <s v="GRO003"/>
        <s v="GRO004"/>
        <s v="GRO005"/>
        <s v="GRO006"/>
        <s v="GRO007"/>
        <s v="GRO008"/>
        <s v="HHD001"/>
        <s v="HHD002"/>
        <s v="HHD003"/>
        <s v="LIQ001"/>
        <s v="LIQ002"/>
        <s v="LIQ003"/>
        <s v="LIQ004"/>
        <s v="MLK001"/>
        <s v="MLK002"/>
        <s v="MLK003"/>
        <s v="PHM001"/>
        <s v="PHM002"/>
        <s v="PRD001"/>
        <s v="PRD002"/>
        <s v="PRD003"/>
        <s v="SNK001"/>
        <s v="SNK002"/>
        <s v="SNK003"/>
        <s v="SNK004"/>
        <s v="SNK005"/>
      </sharedItems>
    </cacheField>
    <cacheField name="Product" uniqueList="1" numFmtId="0" sqlType="0" hierarchy="0" level="0" databaseField="1">
      <sharedItems count="50">
        <s v="Avocado"/>
        <s v="Bananas (each)"/>
        <s v="Bottled Water 750ml"/>
        <s v="Bubble Tea Kit"/>
        <s v="Butter 500g"/>
        <s v="Canned Soup 500g"/>
        <s v="Cheese Block 1kg"/>
        <s v="Chicken Sandwich"/>
        <s v="Chocolate Block 200g"/>
        <s v="Coffee Beans 200g"/>
        <s v="Cola 1.5L"/>
        <s v="Corn Chips 230g"/>
        <s v="Craft Beer 6pk"/>
        <s v="Croissant 4pk"/>
        <s v="Dishwash Liquid"/>
        <s v="Eggs Free Range 12pk"/>
        <s v="Energy Drink 500ml"/>
        <s v="Filled Roll"/>
        <s v="Frozen Dumplings 1kg"/>
        <s v="Frozen Pizza"/>
        <s v="Greek Yoghurt 1kg"/>
        <s v="Hot Pie Mince &amp; Cheese"/>
        <s v="Ice Block Single"/>
        <s v="Ice Cream Tub 2L"/>
        <s v="Iced Coffee 500ml"/>
        <s v="Instant Noodles 5pk"/>
        <s v="Kombucha 330ml"/>
        <s v="Lollies Bag 200g"/>
        <s v="Milk Lite 2L"/>
        <s v="Milk Standard 2L"/>
        <s v="Muesli Bar 6pk"/>
        <s v="Oat Milk 1L"/>
        <s v="Paracetamol 20pk"/>
        <s v="Pasta 500g"/>
        <s v="Phone Charger Cable"/>
        <s v="Pinot Noir 750ml"/>
        <s v="Potato Chips 150g"/>
        <s v="RTD 4pk"/>
        <s v="Salad Bowl"/>
        <s v="Salsa 300g"/>
        <s v="Sauvignon Blanc 750ml"/>
        <s v="Simmer Sauce 485g"/>
        <s v="Sparkling Water 1L"/>
        <s v="Sunscreen SPF50"/>
        <s v="Sushi Pack 8pc"/>
        <s v="Taco Kit"/>
        <s v="Toast Bread White"/>
        <s v="Toilet Paper 6pk"/>
        <s v="Tomatoes 500g"/>
        <s v="Wholemeal Loaf"/>
      </sharedItems>
    </cacheField>
    <cacheField name="Category" uniqueList="1" numFmtId="0" sqlType="0" hierarchy="0" level="0" databaseField="1">
      <sharedItems count="11">
        <s v="Bakery"/>
        <s v="Beer &amp; Wine"/>
        <s v="Beverages"/>
        <s v="Dairy"/>
        <s v="Food To Go"/>
        <s v="Frozen"/>
        <s v="Grocery"/>
        <s v="Health &amp; Beauty"/>
        <s v="Household"/>
        <s v="Produce"/>
        <s v="Snacks &amp; Confectionery"/>
      </sharedItems>
    </cacheField>
    <cacheField name="Sales" uniqueList="1" numFmtId="0" sqlType="0" hierarchy="0" level="0" databaseField="1">
      <sharedItems count="0" containsNumber="1" containsSemiMixedTypes="0" containsString="0" minValue="29.98" maxValue="1501.23"/>
    </cacheField>
    <cacheField name="Units" uniqueList="1" numFmtId="0" sqlType="0" hierarchy="0" level="0" databaseField="1">
      <sharedItems count="0" containsInteger="1" containsNumber="1" containsSemiMixedTypes="0" containsString="0" minValue="2" maxValue="324"/>
    </cacheField>
    <cacheField name="Gross margin" uniqueList="1" numFmtId="0" sqlType="0" hierarchy="0" level="0" databaseField="1">
      <sharedItems count="0" containsNumber="1" containsSemiMixedTypes="0" containsString="0" minValue="18.98" maxValue="693.36"/>
    </cacheField>
  </cacheFields>
</pivotCacheDefinition>
</file>

<file path=xl/pivotCache/pivotCacheRecords1.xml><?xml version="1.0" encoding="utf-8"?>
<pivotCacheRecords xmlns="http://schemas.openxmlformats.org/spreadsheetml/2006/main" count="1300">
  <r>
    <x v="0"/>
    <x v="0"/>
    <x v="46"/>
    <x v="0"/>
    <n v="582.83"/>
    <n v="167"/>
    <n v="215.43"/>
  </r>
  <r>
    <x v="0"/>
    <x v="1"/>
    <x v="49"/>
    <x v="0"/>
    <n v="291.72"/>
    <n v="68"/>
    <n v="108.12"/>
  </r>
  <r>
    <x v="0"/>
    <x v="2"/>
    <x v="13"/>
    <x v="0"/>
    <n v="281.53"/>
    <n v="47"/>
    <n v="126.43"/>
  </r>
  <r>
    <x v="0"/>
    <x v="3"/>
    <x v="3"/>
    <x v="2"/>
    <n v="265.62"/>
    <n v="38"/>
    <n v="117.42"/>
  </r>
  <r>
    <x v="0"/>
    <x v="4"/>
    <x v="16"/>
    <x v="2"/>
    <n v="926.6399999999999"/>
    <n v="216"/>
    <n v="462.24"/>
  </r>
  <r>
    <x v="0"/>
    <x v="5"/>
    <x v="10"/>
    <x v="2"/>
    <n v="556.76"/>
    <n v="124"/>
    <n v="271.56"/>
  </r>
  <r>
    <x v="0"/>
    <x v="6"/>
    <x v="42"/>
    <x v="2"/>
    <n v="241.53"/>
    <n v="97"/>
    <n v="134.83"/>
  </r>
  <r>
    <x v="0"/>
    <x v="7"/>
    <x v="24"/>
    <x v="2"/>
    <n v="484.03"/>
    <n v="97"/>
    <n v="222.13"/>
  </r>
  <r>
    <x v="0"/>
    <x v="8"/>
    <x v="26"/>
    <x v="2"/>
    <n v="220.34"/>
    <n v="46"/>
    <n v="100.74"/>
  </r>
  <r>
    <x v="0"/>
    <x v="9"/>
    <x v="2"/>
    <x v="2"/>
    <n v="439.53"/>
    <n v="147"/>
    <n v="299.88"/>
  </r>
  <r>
    <x v="0"/>
    <x v="10"/>
    <x v="4"/>
    <x v="3"/>
    <n v="277.13"/>
    <n v="37"/>
    <n v="69.93000000000001"/>
  </r>
  <r>
    <x v="0"/>
    <x v="11"/>
    <x v="20"/>
    <x v="3"/>
    <n v="258.83"/>
    <n v="37"/>
    <n v="70.13"/>
  </r>
  <r>
    <x v="0"/>
    <x v="12"/>
    <x v="6"/>
    <x v="3"/>
    <n v="559.6"/>
    <n v="40"/>
    <n v="143.6"/>
  </r>
  <r>
    <x v="0"/>
    <x v="13"/>
    <x v="23"/>
    <x v="5"/>
    <n v="512.4300000000001"/>
    <n v="57"/>
    <n v="204.63"/>
  </r>
  <r>
    <x v="0"/>
    <x v="14"/>
    <x v="22"/>
    <x v="5"/>
    <n v="266.11"/>
    <n v="89"/>
    <n v="159.31"/>
  </r>
  <r>
    <x v="0"/>
    <x v="15"/>
    <x v="19"/>
    <x v="5"/>
    <n v="263.67"/>
    <n v="33"/>
    <n v="108.57"/>
  </r>
  <r>
    <x v="0"/>
    <x v="16"/>
    <x v="18"/>
    <x v="5"/>
    <n v="299.75"/>
    <n v="25"/>
    <n v="122.25"/>
  </r>
  <r>
    <x v="0"/>
    <x v="17"/>
    <x v="7"/>
    <x v="4"/>
    <n v="1026.13"/>
    <n v="137"/>
    <n v="491.83"/>
  </r>
  <r>
    <x v="0"/>
    <x v="18"/>
    <x v="44"/>
    <x v="4"/>
    <n v="979.0200000000001"/>
    <n v="98"/>
    <n v="430.22"/>
  </r>
  <r>
    <x v="0"/>
    <x v="19"/>
    <x v="21"/>
    <x v="4"/>
    <n v="610.35"/>
    <n v="125"/>
    <n v="310.35"/>
  </r>
  <r>
    <x v="0"/>
    <x v="20"/>
    <x v="38"/>
    <x v="4"/>
    <n v="494.55"/>
    <n v="45"/>
    <n v="215.55"/>
  </r>
  <r>
    <x v="0"/>
    <x v="21"/>
    <x v="17"/>
    <x v="4"/>
    <n v="389.4"/>
    <n v="60"/>
    <n v="197.4"/>
  </r>
  <r>
    <x v="0"/>
    <x v="22"/>
    <x v="25"/>
    <x v="6"/>
    <n v="296.34"/>
    <n v="66"/>
    <n v="124.74"/>
  </r>
  <r>
    <x v="0"/>
    <x v="23"/>
    <x v="5"/>
    <x v="6"/>
    <n v="98.7"/>
    <n v="30"/>
    <n v="41.7"/>
  </r>
  <r>
    <x v="0"/>
    <x v="24"/>
    <x v="33"/>
    <x v="6"/>
    <n v="59.76000000000001"/>
    <n v="24"/>
    <n v="28.56"/>
  </r>
  <r>
    <x v="0"/>
    <x v="25"/>
    <x v="41"/>
    <x v="6"/>
    <n v="71.82000000000001"/>
    <n v="18"/>
    <n v="30.42"/>
  </r>
  <r>
    <x v="0"/>
    <x v="26"/>
    <x v="39"/>
    <x v="6"/>
    <n v="86.22"/>
    <n v="18"/>
    <n v="34.02"/>
  </r>
  <r>
    <x v="0"/>
    <x v="27"/>
    <x v="45"/>
    <x v="6"/>
    <n v="84.37"/>
    <n v="13"/>
    <n v="32.37"/>
  </r>
  <r>
    <x v="0"/>
    <x v="28"/>
    <x v="15"/>
    <x v="6"/>
    <n v="824.25"/>
    <n v="75"/>
    <n v="209.25"/>
  </r>
  <r>
    <x v="0"/>
    <x v="29"/>
    <x v="9"/>
    <x v="6"/>
    <n v="371.69"/>
    <n v="31"/>
    <n v="136.09"/>
  </r>
  <r>
    <x v="0"/>
    <x v="30"/>
    <x v="47"/>
    <x v="8"/>
    <n v="242.73"/>
    <n v="27"/>
    <n v="83.43000000000001"/>
  </r>
  <r>
    <x v="0"/>
    <x v="31"/>
    <x v="14"/>
    <x v="8"/>
    <n v="54.89"/>
    <n v="11"/>
    <n v="22.99"/>
  </r>
  <r>
    <x v="0"/>
    <x v="32"/>
    <x v="34"/>
    <x v="8"/>
    <n v="59.96"/>
    <n v="4"/>
    <n v="37.96"/>
  </r>
  <r>
    <x v="0"/>
    <x v="33"/>
    <x v="12"/>
    <x v="1"/>
    <n v="758.67"/>
    <n v="33"/>
    <n v="253.77"/>
  </r>
  <r>
    <x v="0"/>
    <x v="34"/>
    <x v="40"/>
    <x v="1"/>
    <n v="607.62"/>
    <n v="38"/>
    <n v="220.02"/>
  </r>
  <r>
    <x v="0"/>
    <x v="35"/>
    <x v="37"/>
    <x v="1"/>
    <n v="586.4300000000001"/>
    <n v="37"/>
    <n v="146.13"/>
  </r>
  <r>
    <x v="0"/>
    <x v="36"/>
    <x v="35"/>
    <x v="1"/>
    <n v="199.9"/>
    <n v="10"/>
    <n v="71.90000000000001"/>
  </r>
  <r>
    <x v="0"/>
    <x v="37"/>
    <x v="29"/>
    <x v="3"/>
    <n v="1388.76"/>
    <n v="284"/>
    <n v="380.56"/>
  </r>
  <r>
    <x v="0"/>
    <x v="38"/>
    <x v="28"/>
    <x v="3"/>
    <n v="552.5699999999999"/>
    <n v="113"/>
    <n v="151.42"/>
  </r>
  <r>
    <x v="0"/>
    <x v="39"/>
    <x v="31"/>
    <x v="3"/>
    <n v="193.05"/>
    <n v="45"/>
    <n v="71.55"/>
  </r>
  <r>
    <x v="0"/>
    <x v="40"/>
    <x v="32"/>
    <x v="7"/>
    <n v="87.78"/>
    <n v="22"/>
    <n v="52.58"/>
  </r>
  <r>
    <x v="0"/>
    <x v="41"/>
    <x v="43"/>
    <x v="7"/>
    <n v="194.87"/>
    <n v="13"/>
    <n v="88.27"/>
  </r>
  <r>
    <x v="0"/>
    <x v="42"/>
    <x v="1"/>
    <x v="9"/>
    <n v="147.66"/>
    <n v="214"/>
    <n v="66.34"/>
  </r>
  <r>
    <x v="0"/>
    <x v="43"/>
    <x v="0"/>
    <x v="9"/>
    <n v="176.79"/>
    <n v="71"/>
    <n v="77.39"/>
  </r>
  <r>
    <x v="0"/>
    <x v="44"/>
    <x v="48"/>
    <x v="9"/>
    <n v="193.07"/>
    <n v="43"/>
    <n v="81.27"/>
  </r>
  <r>
    <x v="0"/>
    <x v="45"/>
    <x v="36"/>
    <x v="10"/>
    <n v="562.59"/>
    <n v="141"/>
    <n v="266.49"/>
  </r>
  <r>
    <x v="0"/>
    <x v="46"/>
    <x v="8"/>
    <x v="10"/>
    <n v="581.9400000000001"/>
    <n v="106"/>
    <n v="242.74"/>
  </r>
  <r>
    <x v="0"/>
    <x v="47"/>
    <x v="30"/>
    <x v="10"/>
    <n v="296.01"/>
    <n v="69"/>
    <n v="116.61"/>
  </r>
  <r>
    <x v="0"/>
    <x v="48"/>
    <x v="11"/>
    <x v="10"/>
    <n v="291.85"/>
    <n v="65"/>
    <n v="135.85"/>
  </r>
  <r>
    <x v="0"/>
    <x v="49"/>
    <x v="27"/>
    <x v="10"/>
    <n v="230.34"/>
    <n v="66"/>
    <n v="118.14"/>
  </r>
  <r>
    <x v="1"/>
    <x v="0"/>
    <x v="46"/>
    <x v="0"/>
    <n v="480.05"/>
    <n v="155"/>
    <n v="139.05"/>
  </r>
  <r>
    <x v="1"/>
    <x v="1"/>
    <x v="49"/>
    <x v="0"/>
    <n v="364.65"/>
    <n v="85"/>
    <n v="135.15"/>
  </r>
  <r>
    <x v="1"/>
    <x v="2"/>
    <x v="13"/>
    <x v="0"/>
    <n v="251.58"/>
    <n v="42"/>
    <n v="112.98"/>
  </r>
  <r>
    <x v="1"/>
    <x v="3"/>
    <x v="3"/>
    <x v="2"/>
    <n v="209.7"/>
    <n v="30"/>
    <n v="92.7"/>
  </r>
  <r>
    <x v="1"/>
    <x v="4"/>
    <x v="16"/>
    <x v="2"/>
    <n v="737.88"/>
    <n v="172"/>
    <n v="368.08"/>
  </r>
  <r>
    <x v="1"/>
    <x v="5"/>
    <x v="10"/>
    <x v="2"/>
    <n v="547.78"/>
    <n v="122"/>
    <n v="267.18"/>
  </r>
  <r>
    <x v="1"/>
    <x v="6"/>
    <x v="42"/>
    <x v="2"/>
    <n v="226.59"/>
    <n v="91"/>
    <n v="126.49"/>
  </r>
  <r>
    <x v="1"/>
    <x v="7"/>
    <x v="24"/>
    <x v="2"/>
    <n v="424.15"/>
    <n v="85"/>
    <n v="194.65"/>
  </r>
  <r>
    <x v="1"/>
    <x v="8"/>
    <x v="26"/>
    <x v="2"/>
    <n v="287.31"/>
    <n v="69"/>
    <n v="107.91"/>
  </r>
  <r>
    <x v="1"/>
    <x v="9"/>
    <x v="2"/>
    <x v="2"/>
    <n v="403.65"/>
    <n v="135"/>
    <n v="275.4"/>
  </r>
  <r>
    <x v="1"/>
    <x v="10"/>
    <x v="4"/>
    <x v="3"/>
    <n v="367.01"/>
    <n v="49"/>
    <n v="92.61"/>
  </r>
  <r>
    <x v="1"/>
    <x v="11"/>
    <x v="20"/>
    <x v="3"/>
    <n v="255.68"/>
    <n v="32"/>
    <n v="92.48"/>
  </r>
  <r>
    <x v="1"/>
    <x v="12"/>
    <x v="6"/>
    <x v="3"/>
    <n v="573.59"/>
    <n v="41"/>
    <n v="147.19"/>
  </r>
  <r>
    <x v="1"/>
    <x v="13"/>
    <x v="23"/>
    <x v="5"/>
    <n v="440.51"/>
    <n v="49"/>
    <n v="175.91"/>
  </r>
  <r>
    <x v="1"/>
    <x v="14"/>
    <x v="22"/>
    <x v="5"/>
    <n v="227.24"/>
    <n v="76"/>
    <n v="136.04"/>
  </r>
  <r>
    <x v="1"/>
    <x v="15"/>
    <x v="19"/>
    <x v="5"/>
    <n v="287.64"/>
    <n v="36"/>
    <n v="118.44"/>
  </r>
  <r>
    <x v="1"/>
    <x v="16"/>
    <x v="18"/>
    <x v="5"/>
    <n v="347.71"/>
    <n v="29"/>
    <n v="141.81"/>
  </r>
  <r>
    <x v="1"/>
    <x v="17"/>
    <x v="7"/>
    <x v="4"/>
    <n v="801.4299999999999"/>
    <n v="107"/>
    <n v="384.13"/>
  </r>
  <r>
    <x v="1"/>
    <x v="18"/>
    <x v="44"/>
    <x v="4"/>
    <n v="969.03"/>
    <n v="97"/>
    <n v="425.83"/>
  </r>
  <r>
    <x v="1"/>
    <x v="19"/>
    <x v="21"/>
    <x v="4"/>
    <n v="559.98"/>
    <n v="102"/>
    <n v="315.18"/>
  </r>
  <r>
    <x v="1"/>
    <x v="20"/>
    <x v="38"/>
    <x v="4"/>
    <n v="525.27"/>
    <n v="53"/>
    <n v="196.67"/>
  </r>
  <r>
    <x v="1"/>
    <x v="21"/>
    <x v="17"/>
    <x v="4"/>
    <n v="545.16"/>
    <n v="84"/>
    <n v="276.36"/>
  </r>
  <r>
    <x v="1"/>
    <x v="22"/>
    <x v="25"/>
    <x v="6"/>
    <n v="404.1"/>
    <n v="90"/>
    <n v="170.1"/>
  </r>
  <r>
    <x v="1"/>
    <x v="23"/>
    <x v="5"/>
    <x v="6"/>
    <n v="131.6"/>
    <n v="40"/>
    <n v="55.6"/>
  </r>
  <r>
    <x v="1"/>
    <x v="24"/>
    <x v="33"/>
    <x v="6"/>
    <n v="72.20999999999999"/>
    <n v="29"/>
    <n v="34.51"/>
  </r>
  <r>
    <x v="1"/>
    <x v="25"/>
    <x v="41"/>
    <x v="6"/>
    <n v="75.81"/>
    <n v="19"/>
    <n v="32.11"/>
  </r>
  <r>
    <x v="1"/>
    <x v="26"/>
    <x v="39"/>
    <x v="6"/>
    <n v="122.59"/>
    <n v="29"/>
    <n v="38.49"/>
  </r>
  <r>
    <x v="1"/>
    <x v="27"/>
    <x v="45"/>
    <x v="6"/>
    <n v="110.33"/>
    <n v="17"/>
    <n v="42.33"/>
  </r>
  <r>
    <x v="1"/>
    <x v="28"/>
    <x v="15"/>
    <x v="6"/>
    <n v="758.22"/>
    <n v="78"/>
    <n v="118.62"/>
  </r>
  <r>
    <x v="1"/>
    <x v="29"/>
    <x v="9"/>
    <x v="6"/>
    <n v="227.81"/>
    <n v="19"/>
    <n v="83.41"/>
  </r>
  <r>
    <x v="1"/>
    <x v="30"/>
    <x v="47"/>
    <x v="8"/>
    <n v="359.6"/>
    <n v="40"/>
    <n v="123.6"/>
  </r>
  <r>
    <x v="1"/>
    <x v="31"/>
    <x v="14"/>
    <x v="8"/>
    <n v="94.81"/>
    <n v="19"/>
    <n v="39.71"/>
  </r>
  <r>
    <x v="1"/>
    <x v="32"/>
    <x v="34"/>
    <x v="8"/>
    <n v="164.89"/>
    <n v="11"/>
    <n v="104.39"/>
  </r>
  <r>
    <x v="1"/>
    <x v="33"/>
    <x v="12"/>
    <x v="1"/>
    <n v="1126.51"/>
    <n v="49"/>
    <n v="376.81"/>
  </r>
  <r>
    <x v="1"/>
    <x v="34"/>
    <x v="40"/>
    <x v="1"/>
    <n v="559.65"/>
    <n v="35"/>
    <n v="202.65"/>
  </r>
  <r>
    <x v="1"/>
    <x v="35"/>
    <x v="37"/>
    <x v="1"/>
    <n v="467.74"/>
    <n v="26"/>
    <n v="158.34"/>
  </r>
  <r>
    <x v="1"/>
    <x v="36"/>
    <x v="35"/>
    <x v="1"/>
    <n v="239.88"/>
    <n v="12"/>
    <n v="86.28"/>
  </r>
  <r>
    <x v="1"/>
    <x v="37"/>
    <x v="29"/>
    <x v="3"/>
    <n v="1408.32"/>
    <n v="288"/>
    <n v="385.92"/>
  </r>
  <r>
    <x v="1"/>
    <x v="38"/>
    <x v="28"/>
    <x v="3"/>
    <n v="638.48"/>
    <n v="146"/>
    <n v="120.18"/>
  </r>
  <r>
    <x v="1"/>
    <x v="39"/>
    <x v="31"/>
    <x v="3"/>
    <n v="197.34"/>
    <n v="46"/>
    <n v="73.14"/>
  </r>
  <r>
    <x v="1"/>
    <x v="40"/>
    <x v="32"/>
    <x v="7"/>
    <n v="95.76000000000001"/>
    <n v="24"/>
    <n v="57.36"/>
  </r>
  <r>
    <x v="1"/>
    <x v="41"/>
    <x v="43"/>
    <x v="7"/>
    <n v="209.86"/>
    <n v="14"/>
    <n v="95.06"/>
  </r>
  <r>
    <x v="1"/>
    <x v="42"/>
    <x v="1"/>
    <x v="9"/>
    <n v="141.45"/>
    <n v="205"/>
    <n v="63.55"/>
  </r>
  <r>
    <x v="1"/>
    <x v="43"/>
    <x v="0"/>
    <x v="9"/>
    <n v="139.44"/>
    <n v="56"/>
    <n v="61.04"/>
  </r>
  <r>
    <x v="1"/>
    <x v="44"/>
    <x v="48"/>
    <x v="9"/>
    <n v="139.19"/>
    <n v="31"/>
    <n v="58.59"/>
  </r>
  <r>
    <x v="1"/>
    <x v="45"/>
    <x v="36"/>
    <x v="10"/>
    <n v="626.4299999999999"/>
    <n v="157"/>
    <n v="296.73"/>
  </r>
  <r>
    <x v="1"/>
    <x v="46"/>
    <x v="8"/>
    <x v="10"/>
    <n v="691.74"/>
    <n v="126"/>
    <n v="288.54"/>
  </r>
  <r>
    <x v="1"/>
    <x v="47"/>
    <x v="30"/>
    <x v="10"/>
    <n v="300.3"/>
    <n v="70"/>
    <n v="118.3"/>
  </r>
  <r>
    <x v="1"/>
    <x v="48"/>
    <x v="11"/>
    <x v="10"/>
    <n v="336.75"/>
    <n v="75"/>
    <n v="156.75"/>
  </r>
  <r>
    <x v="1"/>
    <x v="49"/>
    <x v="27"/>
    <x v="10"/>
    <n v="216.38"/>
    <n v="62"/>
    <n v="110.98"/>
  </r>
  <r>
    <x v="2"/>
    <x v="0"/>
    <x v="46"/>
    <x v="0"/>
    <n v="485.11"/>
    <n v="139"/>
    <n v="179.31"/>
  </r>
  <r>
    <x v="2"/>
    <x v="1"/>
    <x v="49"/>
    <x v="0"/>
    <n v="240.24"/>
    <n v="56"/>
    <n v="89.04000000000001"/>
  </r>
  <r>
    <x v="2"/>
    <x v="2"/>
    <x v="13"/>
    <x v="0"/>
    <n v="257.57"/>
    <n v="43"/>
    <n v="115.67"/>
  </r>
  <r>
    <x v="2"/>
    <x v="3"/>
    <x v="3"/>
    <x v="2"/>
    <n v="227.83"/>
    <n v="37"/>
    <n v="83.53"/>
  </r>
  <r>
    <x v="2"/>
    <x v="4"/>
    <x v="16"/>
    <x v="2"/>
    <n v="707.85"/>
    <n v="165"/>
    <n v="353.1"/>
  </r>
  <r>
    <x v="2"/>
    <x v="5"/>
    <x v="10"/>
    <x v="2"/>
    <n v="350.22"/>
    <n v="78"/>
    <n v="170.82"/>
  </r>
  <r>
    <x v="2"/>
    <x v="6"/>
    <x v="42"/>
    <x v="2"/>
    <n v="194.22"/>
    <n v="78"/>
    <n v="108.42"/>
  </r>
  <r>
    <x v="2"/>
    <x v="7"/>
    <x v="24"/>
    <x v="2"/>
    <n v="384.23"/>
    <n v="77"/>
    <n v="176.33"/>
  </r>
  <r>
    <x v="2"/>
    <x v="8"/>
    <x v="26"/>
    <x v="2"/>
    <n v="196.39"/>
    <n v="41"/>
    <n v="89.79000000000001"/>
  </r>
  <r>
    <x v="2"/>
    <x v="9"/>
    <x v="2"/>
    <x v="2"/>
    <n v="367.77"/>
    <n v="123"/>
    <n v="250.92"/>
  </r>
  <r>
    <x v="2"/>
    <x v="10"/>
    <x v="4"/>
    <x v="3"/>
    <n v="239.68"/>
    <n v="32"/>
    <n v="60.48"/>
  </r>
  <r>
    <x v="2"/>
    <x v="11"/>
    <x v="20"/>
    <x v="3"/>
    <n v="359.55"/>
    <n v="45"/>
    <n v="130.05"/>
  </r>
  <r>
    <x v="2"/>
    <x v="12"/>
    <x v="6"/>
    <x v="3"/>
    <n v="489.65"/>
    <n v="35"/>
    <n v="125.65"/>
  </r>
  <r>
    <x v="2"/>
    <x v="13"/>
    <x v="23"/>
    <x v="5"/>
    <n v="458.49"/>
    <n v="51"/>
    <n v="183.09"/>
  </r>
  <r>
    <x v="2"/>
    <x v="14"/>
    <x v="22"/>
    <x v="5"/>
    <n v="230.23"/>
    <n v="77"/>
    <n v="137.83"/>
  </r>
  <r>
    <x v="2"/>
    <x v="15"/>
    <x v="19"/>
    <x v="5"/>
    <n v="279.65"/>
    <n v="35"/>
    <n v="115.15"/>
  </r>
  <r>
    <x v="2"/>
    <x v="16"/>
    <x v="18"/>
    <x v="5"/>
    <n v="467.61"/>
    <n v="39"/>
    <n v="190.71"/>
  </r>
  <r>
    <x v="2"/>
    <x v="17"/>
    <x v="7"/>
    <x v="4"/>
    <n v="816.41"/>
    <n v="109"/>
    <n v="391.31"/>
  </r>
  <r>
    <x v="2"/>
    <x v="18"/>
    <x v="44"/>
    <x v="4"/>
    <n v="829.1700000000001"/>
    <n v="83"/>
    <n v="364.37"/>
  </r>
  <r>
    <x v="2"/>
    <x v="19"/>
    <x v="21"/>
    <x v="4"/>
    <n v="636.84"/>
    <n v="116"/>
    <n v="358.44"/>
  </r>
  <r>
    <x v="2"/>
    <x v="20"/>
    <x v="38"/>
    <x v="4"/>
    <n v="461.58"/>
    <n v="42"/>
    <n v="201.18"/>
  </r>
  <r>
    <x v="2"/>
    <x v="21"/>
    <x v="17"/>
    <x v="4"/>
    <n v="577.61"/>
    <n v="89"/>
    <n v="292.81"/>
  </r>
  <r>
    <x v="2"/>
    <x v="22"/>
    <x v="25"/>
    <x v="6"/>
    <n v="386.14"/>
    <n v="86"/>
    <n v="162.54"/>
  </r>
  <r>
    <x v="2"/>
    <x v="23"/>
    <x v="5"/>
    <x v="6"/>
    <n v="78.95999999999999"/>
    <n v="24"/>
    <n v="33.36"/>
  </r>
  <r>
    <x v="2"/>
    <x v="24"/>
    <x v="33"/>
    <x v="6"/>
    <n v="104.58"/>
    <n v="42"/>
    <n v="49.98"/>
  </r>
  <r>
    <x v="2"/>
    <x v="25"/>
    <x v="41"/>
    <x v="6"/>
    <n v="143.64"/>
    <n v="36"/>
    <n v="60.84"/>
  </r>
  <r>
    <x v="2"/>
    <x v="26"/>
    <x v="39"/>
    <x v="6"/>
    <n v="114.96"/>
    <n v="24"/>
    <n v="45.36"/>
  </r>
  <r>
    <x v="2"/>
    <x v="27"/>
    <x v="45"/>
    <x v="6"/>
    <n v="71.39"/>
    <n v="11"/>
    <n v="27.39"/>
  </r>
  <r>
    <x v="2"/>
    <x v="28"/>
    <x v="15"/>
    <x v="6"/>
    <n v="637.42"/>
    <n v="58"/>
    <n v="161.82"/>
  </r>
  <r>
    <x v="2"/>
    <x v="29"/>
    <x v="9"/>
    <x v="6"/>
    <n v="203.83"/>
    <n v="17"/>
    <n v="74.63"/>
  </r>
  <r>
    <x v="2"/>
    <x v="30"/>
    <x v="47"/>
    <x v="8"/>
    <n v="377.58"/>
    <n v="42"/>
    <n v="129.78"/>
  </r>
  <r>
    <x v="2"/>
    <x v="31"/>
    <x v="14"/>
    <x v="8"/>
    <n v="109.78"/>
    <n v="22"/>
    <n v="45.98"/>
  </r>
  <r>
    <x v="2"/>
    <x v="32"/>
    <x v="34"/>
    <x v="8"/>
    <n v="134.91"/>
    <n v="9"/>
    <n v="85.41"/>
  </r>
  <r>
    <x v="2"/>
    <x v="33"/>
    <x v="12"/>
    <x v="1"/>
    <n v="634.48"/>
    <n v="32"/>
    <n v="144.88"/>
  </r>
  <r>
    <x v="2"/>
    <x v="34"/>
    <x v="40"/>
    <x v="1"/>
    <n v="399.75"/>
    <n v="25"/>
    <n v="144.75"/>
  </r>
  <r>
    <x v="2"/>
    <x v="35"/>
    <x v="37"/>
    <x v="1"/>
    <n v="647.64"/>
    <n v="36"/>
    <n v="219.24"/>
  </r>
  <r>
    <x v="2"/>
    <x v="36"/>
    <x v="35"/>
    <x v="1"/>
    <n v="279.86"/>
    <n v="14"/>
    <n v="100.66"/>
  </r>
  <r>
    <x v="2"/>
    <x v="37"/>
    <x v="29"/>
    <x v="3"/>
    <n v="1261.62"/>
    <n v="258"/>
    <n v="345.72"/>
  </r>
  <r>
    <x v="2"/>
    <x v="38"/>
    <x v="28"/>
    <x v="3"/>
    <n v="503.67"/>
    <n v="103"/>
    <n v="138.02"/>
  </r>
  <r>
    <x v="2"/>
    <x v="39"/>
    <x v="31"/>
    <x v="3"/>
    <n v="231.66"/>
    <n v="54"/>
    <n v="85.86"/>
  </r>
  <r>
    <x v="2"/>
    <x v="40"/>
    <x v="32"/>
    <x v="7"/>
    <n v="107.73"/>
    <n v="27"/>
    <n v="64.53"/>
  </r>
  <r>
    <x v="2"/>
    <x v="41"/>
    <x v="43"/>
    <x v="7"/>
    <n v="209.86"/>
    <n v="14"/>
    <n v="95.06"/>
  </r>
  <r>
    <x v="2"/>
    <x v="42"/>
    <x v="1"/>
    <x v="9"/>
    <n v="143.52"/>
    <n v="208"/>
    <n v="64.48"/>
  </r>
  <r>
    <x v="2"/>
    <x v="43"/>
    <x v="0"/>
    <x v="9"/>
    <n v="153.81"/>
    <n v="69"/>
    <n v="57.21"/>
  </r>
  <r>
    <x v="2"/>
    <x v="44"/>
    <x v="48"/>
    <x v="9"/>
    <n v="148.17"/>
    <n v="33"/>
    <n v="62.37"/>
  </r>
  <r>
    <x v="2"/>
    <x v="45"/>
    <x v="36"/>
    <x v="10"/>
    <n v="502.74"/>
    <n v="126"/>
    <n v="238.14"/>
  </r>
  <r>
    <x v="2"/>
    <x v="46"/>
    <x v="8"/>
    <x v="10"/>
    <n v="653.3099999999999"/>
    <n v="119"/>
    <n v="272.51"/>
  </r>
  <r>
    <x v="2"/>
    <x v="47"/>
    <x v="30"/>
    <x v="10"/>
    <n v="296.01"/>
    <n v="69"/>
    <n v="116.61"/>
  </r>
  <r>
    <x v="2"/>
    <x v="48"/>
    <x v="11"/>
    <x v="10"/>
    <n v="215.52"/>
    <n v="48"/>
    <n v="100.32"/>
  </r>
  <r>
    <x v="2"/>
    <x v="49"/>
    <x v="27"/>
    <x v="10"/>
    <n v="167.52"/>
    <n v="48"/>
    <n v="85.92"/>
  </r>
  <r>
    <x v="3"/>
    <x v="0"/>
    <x v="46"/>
    <x v="0"/>
    <n v="506.05"/>
    <n v="145"/>
    <n v="187.05"/>
  </r>
  <r>
    <x v="3"/>
    <x v="1"/>
    <x v="49"/>
    <x v="0"/>
    <n v="326.04"/>
    <n v="76"/>
    <n v="120.84"/>
  </r>
  <r>
    <x v="3"/>
    <x v="2"/>
    <x v="13"/>
    <x v="0"/>
    <n v="335.44"/>
    <n v="56"/>
    <n v="150.64"/>
  </r>
  <r>
    <x v="3"/>
    <x v="3"/>
    <x v="3"/>
    <x v="2"/>
    <n v="286.59"/>
    <n v="41"/>
    <n v="126.69"/>
  </r>
  <r>
    <x v="3"/>
    <x v="4"/>
    <x v="16"/>
    <x v="2"/>
    <n v="806.52"/>
    <n v="188"/>
    <n v="402.32"/>
  </r>
  <r>
    <x v="3"/>
    <x v="5"/>
    <x v="10"/>
    <x v="2"/>
    <n v="386.14"/>
    <n v="86"/>
    <n v="188.34"/>
  </r>
  <r>
    <x v="3"/>
    <x v="6"/>
    <x v="42"/>
    <x v="2"/>
    <n v="189.24"/>
    <n v="76"/>
    <n v="105.64"/>
  </r>
  <r>
    <x v="3"/>
    <x v="7"/>
    <x v="24"/>
    <x v="2"/>
    <n v="414.17"/>
    <n v="83"/>
    <n v="190.07"/>
  </r>
  <r>
    <x v="3"/>
    <x v="8"/>
    <x v="26"/>
    <x v="2"/>
    <n v="244.2"/>
    <n v="60"/>
    <n v="88.2"/>
  </r>
  <r>
    <x v="3"/>
    <x v="9"/>
    <x v="2"/>
    <x v="2"/>
    <n v="445.51"/>
    <n v="149"/>
    <n v="303.96"/>
  </r>
  <r>
    <x v="3"/>
    <x v="10"/>
    <x v="4"/>
    <x v="3"/>
    <n v="374.5"/>
    <n v="50"/>
    <n v="94.5"/>
  </r>
  <r>
    <x v="3"/>
    <x v="11"/>
    <x v="20"/>
    <x v="3"/>
    <n v="135.83"/>
    <n v="17"/>
    <n v="49.13"/>
  </r>
  <r>
    <x v="3"/>
    <x v="12"/>
    <x v="6"/>
    <x v="3"/>
    <n v="405.71"/>
    <n v="29"/>
    <n v="104.11"/>
  </r>
  <r>
    <x v="3"/>
    <x v="13"/>
    <x v="23"/>
    <x v="5"/>
    <n v="341.62"/>
    <n v="38"/>
    <n v="136.42"/>
  </r>
  <r>
    <x v="3"/>
    <x v="14"/>
    <x v="22"/>
    <x v="5"/>
    <n v="258.83"/>
    <n v="97"/>
    <n v="142.43"/>
  </r>
  <r>
    <x v="3"/>
    <x v="15"/>
    <x v="19"/>
    <x v="5"/>
    <n v="343.57"/>
    <n v="43"/>
    <n v="141.47"/>
  </r>
  <r>
    <x v="3"/>
    <x v="16"/>
    <x v="18"/>
    <x v="5"/>
    <n v="251.79"/>
    <n v="21"/>
    <n v="102.69"/>
  </r>
  <r>
    <x v="3"/>
    <x v="17"/>
    <x v="7"/>
    <x v="4"/>
    <n v="1108.52"/>
    <n v="148"/>
    <n v="531.3200000000001"/>
  </r>
  <r>
    <x v="3"/>
    <x v="18"/>
    <x v="44"/>
    <x v="4"/>
    <n v="1008.99"/>
    <n v="101"/>
    <n v="443.39"/>
  </r>
  <r>
    <x v="3"/>
    <x v="19"/>
    <x v="21"/>
    <x v="4"/>
    <n v="647.8199999999999"/>
    <n v="118"/>
    <n v="364.62"/>
  </r>
  <r>
    <x v="3"/>
    <x v="20"/>
    <x v="38"/>
    <x v="4"/>
    <n v="318.71"/>
    <n v="29"/>
    <n v="138.91"/>
  </r>
  <r>
    <x v="3"/>
    <x v="21"/>
    <x v="17"/>
    <x v="4"/>
    <n v="434.83"/>
    <n v="67"/>
    <n v="220.43"/>
  </r>
  <r>
    <x v="3"/>
    <x v="22"/>
    <x v="25"/>
    <x v="6"/>
    <n v="422.06"/>
    <n v="94"/>
    <n v="177.66"/>
  </r>
  <r>
    <x v="3"/>
    <x v="23"/>
    <x v="5"/>
    <x v="6"/>
    <n v="190.82"/>
    <n v="58"/>
    <n v="80.62"/>
  </r>
  <r>
    <x v="3"/>
    <x v="24"/>
    <x v="33"/>
    <x v="6"/>
    <n v="112.05"/>
    <n v="45"/>
    <n v="53.55"/>
  </r>
  <r>
    <x v="3"/>
    <x v="25"/>
    <x v="41"/>
    <x v="6"/>
    <n v="111.72"/>
    <n v="28"/>
    <n v="47.32"/>
  </r>
  <r>
    <x v="3"/>
    <x v="26"/>
    <x v="39"/>
    <x v="6"/>
    <n v="81.43000000000001"/>
    <n v="17"/>
    <n v="32.13"/>
  </r>
  <r>
    <x v="3"/>
    <x v="27"/>
    <x v="45"/>
    <x v="6"/>
    <n v="90.86000000000001"/>
    <n v="14"/>
    <n v="34.86"/>
  </r>
  <r>
    <x v="3"/>
    <x v="28"/>
    <x v="15"/>
    <x v="6"/>
    <n v="538.51"/>
    <n v="49"/>
    <n v="136.71"/>
  </r>
  <r>
    <x v="3"/>
    <x v="29"/>
    <x v="9"/>
    <x v="6"/>
    <n v="287.76"/>
    <n v="24"/>
    <n v="105.36"/>
  </r>
  <r>
    <x v="3"/>
    <x v="30"/>
    <x v="47"/>
    <x v="8"/>
    <n v="269.7"/>
    <n v="30"/>
    <n v="92.7"/>
  </r>
  <r>
    <x v="3"/>
    <x v="31"/>
    <x v="14"/>
    <x v="8"/>
    <n v="144.71"/>
    <n v="29"/>
    <n v="60.61"/>
  </r>
  <r>
    <x v="3"/>
    <x v="32"/>
    <x v="34"/>
    <x v="8"/>
    <n v="74.95"/>
    <n v="5"/>
    <n v="47.45"/>
  </r>
  <r>
    <x v="3"/>
    <x v="33"/>
    <x v="12"/>
    <x v="1"/>
    <n v="850.63"/>
    <n v="37"/>
    <n v="284.53"/>
  </r>
  <r>
    <x v="3"/>
    <x v="34"/>
    <x v="40"/>
    <x v="1"/>
    <n v="671.58"/>
    <n v="42"/>
    <n v="243.18"/>
  </r>
  <r>
    <x v="3"/>
    <x v="35"/>
    <x v="37"/>
    <x v="1"/>
    <n v="557.6899999999999"/>
    <n v="31"/>
    <n v="188.79"/>
  </r>
  <r>
    <x v="3"/>
    <x v="36"/>
    <x v="35"/>
    <x v="1"/>
    <n v="319.84"/>
    <n v="16"/>
    <n v="115.04"/>
  </r>
  <r>
    <x v="3"/>
    <x v="37"/>
    <x v="29"/>
    <x v="3"/>
    <n v="1256.73"/>
    <n v="257"/>
    <n v="344.38"/>
  </r>
  <r>
    <x v="3"/>
    <x v="38"/>
    <x v="28"/>
    <x v="3"/>
    <n v="621.03"/>
    <n v="127"/>
    <n v="170.18"/>
  </r>
  <r>
    <x v="3"/>
    <x v="39"/>
    <x v="31"/>
    <x v="3"/>
    <n v="223.08"/>
    <n v="52"/>
    <n v="82.68000000000001"/>
  </r>
  <r>
    <x v="3"/>
    <x v="40"/>
    <x v="32"/>
    <x v="7"/>
    <n v="131.67"/>
    <n v="33"/>
    <n v="78.87"/>
  </r>
  <r>
    <x v="3"/>
    <x v="41"/>
    <x v="43"/>
    <x v="7"/>
    <n v="149.9"/>
    <n v="10"/>
    <n v="67.90000000000001"/>
  </r>
  <r>
    <x v="3"/>
    <x v="42"/>
    <x v="1"/>
    <x v="9"/>
    <n v="173.19"/>
    <n v="251"/>
    <n v="77.81"/>
  </r>
  <r>
    <x v="3"/>
    <x v="43"/>
    <x v="0"/>
    <x v="9"/>
    <n v="131.97"/>
    <n v="53"/>
    <n v="57.77"/>
  </r>
  <r>
    <x v="3"/>
    <x v="44"/>
    <x v="48"/>
    <x v="9"/>
    <n v="130.21"/>
    <n v="29"/>
    <n v="54.81"/>
  </r>
  <r>
    <x v="3"/>
    <x v="45"/>
    <x v="36"/>
    <x v="10"/>
    <n v="614.46"/>
    <n v="154"/>
    <n v="291.06"/>
  </r>
  <r>
    <x v="3"/>
    <x v="46"/>
    <x v="8"/>
    <x v="10"/>
    <n v="746.64"/>
    <n v="136"/>
    <n v="311.44"/>
  </r>
  <r>
    <x v="3"/>
    <x v="47"/>
    <x v="30"/>
    <x v="10"/>
    <n v="274.56"/>
    <n v="64"/>
    <n v="108.16"/>
  </r>
  <r>
    <x v="3"/>
    <x v="48"/>
    <x v="11"/>
    <x v="10"/>
    <n v="278.38"/>
    <n v="62"/>
    <n v="129.58"/>
  </r>
  <r>
    <x v="3"/>
    <x v="49"/>
    <x v="27"/>
    <x v="10"/>
    <n v="265.84"/>
    <n v="86"/>
    <n v="119.64"/>
  </r>
  <r>
    <x v="4"/>
    <x v="0"/>
    <x v="46"/>
    <x v="0"/>
    <n v="553.34"/>
    <n v="176"/>
    <n v="166.14"/>
  </r>
  <r>
    <x v="4"/>
    <x v="1"/>
    <x v="49"/>
    <x v="0"/>
    <n v="429"/>
    <n v="100"/>
    <n v="159"/>
  </r>
  <r>
    <x v="4"/>
    <x v="2"/>
    <x v="13"/>
    <x v="0"/>
    <n v="167.72"/>
    <n v="28"/>
    <n v="75.31999999999999"/>
  </r>
  <r>
    <x v="4"/>
    <x v="3"/>
    <x v="3"/>
    <x v="2"/>
    <n v="265.58"/>
    <n v="42"/>
    <n v="101.78"/>
  </r>
  <r>
    <x v="4"/>
    <x v="4"/>
    <x v="16"/>
    <x v="2"/>
    <n v="789.36"/>
    <n v="184"/>
    <n v="393.76"/>
  </r>
  <r>
    <x v="4"/>
    <x v="5"/>
    <x v="10"/>
    <x v="2"/>
    <n v="368.18"/>
    <n v="82"/>
    <n v="179.58"/>
  </r>
  <r>
    <x v="4"/>
    <x v="6"/>
    <x v="42"/>
    <x v="2"/>
    <n v="184.26"/>
    <n v="74"/>
    <n v="102.86"/>
  </r>
  <r>
    <x v="4"/>
    <x v="7"/>
    <x v="24"/>
    <x v="2"/>
    <n v="464.0700000000001"/>
    <n v="93"/>
    <n v="212.97"/>
  </r>
  <r>
    <x v="4"/>
    <x v="8"/>
    <x v="26"/>
    <x v="2"/>
    <n v="234.71"/>
    <n v="49"/>
    <n v="107.31"/>
  </r>
  <r>
    <x v="4"/>
    <x v="9"/>
    <x v="2"/>
    <x v="2"/>
    <n v="376.74"/>
    <n v="126"/>
    <n v="257.04"/>
  </r>
  <r>
    <x v="4"/>
    <x v="10"/>
    <x v="4"/>
    <x v="3"/>
    <n v="322.07"/>
    <n v="43"/>
    <n v="81.27"/>
  </r>
  <r>
    <x v="4"/>
    <x v="11"/>
    <x v="20"/>
    <x v="3"/>
    <n v="287.64"/>
    <n v="36"/>
    <n v="104.04"/>
  </r>
  <r>
    <x v="4"/>
    <x v="12"/>
    <x v="6"/>
    <x v="3"/>
    <n v="601.5700000000001"/>
    <n v="43"/>
    <n v="154.37"/>
  </r>
  <r>
    <x v="4"/>
    <x v="13"/>
    <x v="23"/>
    <x v="5"/>
    <n v="323.64"/>
    <n v="36"/>
    <n v="129.24"/>
  </r>
  <r>
    <x v="4"/>
    <x v="14"/>
    <x v="22"/>
    <x v="5"/>
    <n v="200.33"/>
    <n v="67"/>
    <n v="119.93"/>
  </r>
  <r>
    <x v="4"/>
    <x v="15"/>
    <x v="19"/>
    <x v="5"/>
    <n v="327.59"/>
    <n v="41"/>
    <n v="134.89"/>
  </r>
  <r>
    <x v="4"/>
    <x v="16"/>
    <x v="18"/>
    <x v="5"/>
    <n v="419.65"/>
    <n v="35"/>
    <n v="171.15"/>
  </r>
  <r>
    <x v="4"/>
    <x v="17"/>
    <x v="7"/>
    <x v="4"/>
    <n v="1116.01"/>
    <n v="149"/>
    <n v="534.91"/>
  </r>
  <r>
    <x v="4"/>
    <x v="18"/>
    <x v="44"/>
    <x v="4"/>
    <n v="899.1"/>
    <n v="90"/>
    <n v="395.1"/>
  </r>
  <r>
    <x v="4"/>
    <x v="19"/>
    <x v="21"/>
    <x v="4"/>
    <n v="636.84"/>
    <n v="116"/>
    <n v="358.44"/>
  </r>
  <r>
    <x v="4"/>
    <x v="20"/>
    <x v="38"/>
    <x v="4"/>
    <n v="593.46"/>
    <n v="54"/>
    <n v="258.66"/>
  </r>
  <r>
    <x v="4"/>
    <x v="21"/>
    <x v="17"/>
    <x v="4"/>
    <n v="350.46"/>
    <n v="54"/>
    <n v="177.66"/>
  </r>
  <r>
    <x v="4"/>
    <x v="22"/>
    <x v="25"/>
    <x v="6"/>
    <n v="368.18"/>
    <n v="82"/>
    <n v="154.98"/>
  </r>
  <r>
    <x v="4"/>
    <x v="23"/>
    <x v="5"/>
    <x v="6"/>
    <n v="157.92"/>
    <n v="48"/>
    <n v="66.72"/>
  </r>
  <r>
    <x v="4"/>
    <x v="24"/>
    <x v="33"/>
    <x v="6"/>
    <n v="119.52"/>
    <n v="48"/>
    <n v="57.12"/>
  </r>
  <r>
    <x v="4"/>
    <x v="25"/>
    <x v="41"/>
    <x v="6"/>
    <n v="171.57"/>
    <n v="43"/>
    <n v="72.67"/>
  </r>
  <r>
    <x v="4"/>
    <x v="26"/>
    <x v="39"/>
    <x v="6"/>
    <n v="95.8"/>
    <n v="20"/>
    <n v="37.8"/>
  </r>
  <r>
    <x v="4"/>
    <x v="27"/>
    <x v="45"/>
    <x v="6"/>
    <n v="136.29"/>
    <n v="21"/>
    <n v="52.29"/>
  </r>
  <r>
    <x v="4"/>
    <x v="28"/>
    <x v="15"/>
    <x v="6"/>
    <n v="923.1600000000001"/>
    <n v="84"/>
    <n v="234.36"/>
  </r>
  <r>
    <x v="4"/>
    <x v="29"/>
    <x v="9"/>
    <x v="6"/>
    <n v="191.84"/>
    <n v="16"/>
    <n v="70.23999999999999"/>
  </r>
  <r>
    <x v="4"/>
    <x v="30"/>
    <x v="47"/>
    <x v="8"/>
    <n v="332.63"/>
    <n v="37"/>
    <n v="114.33"/>
  </r>
  <r>
    <x v="4"/>
    <x v="31"/>
    <x v="14"/>
    <x v="8"/>
    <n v="89.82000000000001"/>
    <n v="18"/>
    <n v="37.62"/>
  </r>
  <r>
    <x v="4"/>
    <x v="32"/>
    <x v="34"/>
    <x v="8"/>
    <n v="179.88"/>
    <n v="12"/>
    <n v="113.88"/>
  </r>
  <r>
    <x v="4"/>
    <x v="33"/>
    <x v="12"/>
    <x v="1"/>
    <n v="551.76"/>
    <n v="24"/>
    <n v="184.56"/>
  </r>
  <r>
    <x v="4"/>
    <x v="34"/>
    <x v="40"/>
    <x v="1"/>
    <n v="511.68"/>
    <n v="32"/>
    <n v="185.28"/>
  </r>
  <r>
    <x v="4"/>
    <x v="35"/>
    <x v="37"/>
    <x v="1"/>
    <n v="611.66"/>
    <n v="34"/>
    <n v="207.06"/>
  </r>
  <r>
    <x v="4"/>
    <x v="36"/>
    <x v="35"/>
    <x v="1"/>
    <n v="359.82"/>
    <n v="18"/>
    <n v="129.42"/>
  </r>
  <r>
    <x v="4"/>
    <x v="37"/>
    <x v="29"/>
    <x v="3"/>
    <n v="1295.5"/>
    <n v="300"/>
    <n v="230.5"/>
  </r>
  <r>
    <x v="4"/>
    <x v="38"/>
    <x v="28"/>
    <x v="3"/>
    <n v="667.78"/>
    <n v="156"/>
    <n v="113.98"/>
  </r>
  <r>
    <x v="4"/>
    <x v="39"/>
    <x v="31"/>
    <x v="3"/>
    <n v="218.72"/>
    <n v="58"/>
    <n v="62.12"/>
  </r>
  <r>
    <x v="4"/>
    <x v="40"/>
    <x v="32"/>
    <x v="7"/>
    <n v="151.62"/>
    <n v="38"/>
    <n v="90.81999999999999"/>
  </r>
  <r>
    <x v="4"/>
    <x v="41"/>
    <x v="43"/>
    <x v="7"/>
    <n v="134.91"/>
    <n v="9"/>
    <n v="61.11"/>
  </r>
  <r>
    <x v="4"/>
    <x v="42"/>
    <x v="1"/>
    <x v="9"/>
    <n v="147.66"/>
    <n v="214"/>
    <n v="66.34"/>
  </r>
  <r>
    <x v="4"/>
    <x v="43"/>
    <x v="0"/>
    <x v="9"/>
    <n v="117.03"/>
    <n v="47"/>
    <n v="51.23"/>
  </r>
  <r>
    <x v="4"/>
    <x v="44"/>
    <x v="48"/>
    <x v="9"/>
    <n v="166.13"/>
    <n v="37"/>
    <n v="69.93000000000001"/>
  </r>
  <r>
    <x v="4"/>
    <x v="45"/>
    <x v="36"/>
    <x v="10"/>
    <n v="630.42"/>
    <n v="158"/>
    <n v="298.62"/>
  </r>
  <r>
    <x v="4"/>
    <x v="46"/>
    <x v="8"/>
    <x v="10"/>
    <n v="669.78"/>
    <n v="122"/>
    <n v="279.38"/>
  </r>
  <r>
    <x v="4"/>
    <x v="47"/>
    <x v="30"/>
    <x v="10"/>
    <n v="231.59"/>
    <n v="61"/>
    <n v="72.98999999999999"/>
  </r>
  <r>
    <x v="4"/>
    <x v="48"/>
    <x v="11"/>
    <x v="10"/>
    <n v="291.85"/>
    <n v="65"/>
    <n v="135.85"/>
  </r>
  <r>
    <x v="4"/>
    <x v="49"/>
    <x v="27"/>
    <x v="10"/>
    <n v="226.85"/>
    <n v="65"/>
    <n v="116.35"/>
  </r>
  <r>
    <x v="5"/>
    <x v="0"/>
    <x v="46"/>
    <x v="0"/>
    <n v="464.17"/>
    <n v="133"/>
    <n v="171.57"/>
  </r>
  <r>
    <x v="5"/>
    <x v="1"/>
    <x v="49"/>
    <x v="0"/>
    <n v="300.3"/>
    <n v="70"/>
    <n v="111.3"/>
  </r>
  <r>
    <x v="5"/>
    <x v="2"/>
    <x v="13"/>
    <x v="0"/>
    <n v="293.51"/>
    <n v="49"/>
    <n v="131.81"/>
  </r>
  <r>
    <x v="5"/>
    <x v="3"/>
    <x v="3"/>
    <x v="2"/>
    <n v="229.23"/>
    <n v="37"/>
    <n v="84.93000000000001"/>
  </r>
  <r>
    <x v="5"/>
    <x v="4"/>
    <x v="16"/>
    <x v="2"/>
    <n v="884.34"/>
    <n v="232"/>
    <n v="385.54"/>
  </r>
  <r>
    <x v="5"/>
    <x v="5"/>
    <x v="10"/>
    <x v="2"/>
    <n v="341.24"/>
    <n v="76"/>
    <n v="166.44"/>
  </r>
  <r>
    <x v="5"/>
    <x v="6"/>
    <x v="42"/>
    <x v="2"/>
    <n v="176.79"/>
    <n v="71"/>
    <n v="98.69"/>
  </r>
  <r>
    <x v="5"/>
    <x v="7"/>
    <x v="24"/>
    <x v="2"/>
    <n v="364.27"/>
    <n v="73"/>
    <n v="167.17"/>
  </r>
  <r>
    <x v="5"/>
    <x v="8"/>
    <x v="26"/>
    <x v="2"/>
    <n v="172.44"/>
    <n v="36"/>
    <n v="78.84"/>
  </r>
  <r>
    <x v="5"/>
    <x v="9"/>
    <x v="2"/>
    <x v="2"/>
    <n v="340.86"/>
    <n v="114"/>
    <n v="232.56"/>
  </r>
  <r>
    <x v="5"/>
    <x v="10"/>
    <x v="4"/>
    <x v="3"/>
    <n v="389.48"/>
    <n v="52"/>
    <n v="98.28"/>
  </r>
  <r>
    <x v="5"/>
    <x v="11"/>
    <x v="20"/>
    <x v="3"/>
    <n v="255.68"/>
    <n v="32"/>
    <n v="92.48"/>
  </r>
  <r>
    <x v="5"/>
    <x v="12"/>
    <x v="6"/>
    <x v="3"/>
    <n v="391.72"/>
    <n v="28"/>
    <n v="100.52"/>
  </r>
  <r>
    <x v="5"/>
    <x v="13"/>
    <x v="23"/>
    <x v="5"/>
    <n v="431.52"/>
    <n v="48"/>
    <n v="172.32"/>
  </r>
  <r>
    <x v="5"/>
    <x v="14"/>
    <x v="22"/>
    <x v="5"/>
    <n v="182.39"/>
    <n v="61"/>
    <n v="109.19"/>
  </r>
  <r>
    <x v="5"/>
    <x v="15"/>
    <x v="19"/>
    <x v="5"/>
    <n v="367.54"/>
    <n v="46"/>
    <n v="151.34"/>
  </r>
  <r>
    <x v="5"/>
    <x v="16"/>
    <x v="18"/>
    <x v="5"/>
    <n v="407.66"/>
    <n v="34"/>
    <n v="166.26"/>
  </r>
  <r>
    <x v="5"/>
    <x v="17"/>
    <x v="7"/>
    <x v="4"/>
    <n v="1109.82"/>
    <n v="168"/>
    <n v="454.62"/>
  </r>
  <r>
    <x v="5"/>
    <x v="18"/>
    <x v="44"/>
    <x v="4"/>
    <n v="1018.98"/>
    <n v="102"/>
    <n v="447.78"/>
  </r>
  <r>
    <x v="5"/>
    <x v="19"/>
    <x v="21"/>
    <x v="4"/>
    <n v="658.8"/>
    <n v="120"/>
    <n v="370.8"/>
  </r>
  <r>
    <x v="5"/>
    <x v="20"/>
    <x v="38"/>
    <x v="4"/>
    <n v="413.17"/>
    <n v="43"/>
    <n v="146.57"/>
  </r>
  <r>
    <x v="5"/>
    <x v="21"/>
    <x v="17"/>
    <x v="4"/>
    <n v="454.3"/>
    <n v="70"/>
    <n v="230.3"/>
  </r>
  <r>
    <x v="5"/>
    <x v="22"/>
    <x v="25"/>
    <x v="6"/>
    <n v="444.51"/>
    <n v="99"/>
    <n v="187.11"/>
  </r>
  <r>
    <x v="5"/>
    <x v="23"/>
    <x v="5"/>
    <x v="6"/>
    <n v="128.31"/>
    <n v="39"/>
    <n v="54.21"/>
  </r>
  <r>
    <x v="5"/>
    <x v="24"/>
    <x v="33"/>
    <x v="6"/>
    <n v="104.58"/>
    <n v="42"/>
    <n v="49.98"/>
  </r>
  <r>
    <x v="5"/>
    <x v="25"/>
    <x v="41"/>
    <x v="6"/>
    <n v="163.59"/>
    <n v="41"/>
    <n v="69.29000000000001"/>
  </r>
  <r>
    <x v="5"/>
    <x v="26"/>
    <x v="39"/>
    <x v="6"/>
    <n v="126.43"/>
    <n v="29"/>
    <n v="42.33"/>
  </r>
  <r>
    <x v="5"/>
    <x v="27"/>
    <x v="45"/>
    <x v="6"/>
    <n v="136.29"/>
    <n v="21"/>
    <n v="52.29"/>
  </r>
  <r>
    <x v="5"/>
    <x v="28"/>
    <x v="15"/>
    <x v="6"/>
    <n v="791.28"/>
    <n v="72"/>
    <n v="200.88"/>
  </r>
  <r>
    <x v="5"/>
    <x v="29"/>
    <x v="9"/>
    <x v="6"/>
    <n v="275.77"/>
    <n v="23"/>
    <n v="100.97"/>
  </r>
  <r>
    <x v="5"/>
    <x v="30"/>
    <x v="47"/>
    <x v="8"/>
    <n v="323.64"/>
    <n v="36"/>
    <n v="111.24"/>
  </r>
  <r>
    <x v="5"/>
    <x v="31"/>
    <x v="14"/>
    <x v="8"/>
    <n v="114.77"/>
    <n v="23"/>
    <n v="48.07"/>
  </r>
  <r>
    <x v="5"/>
    <x v="32"/>
    <x v="34"/>
    <x v="8"/>
    <n v="59.96"/>
    <n v="4"/>
    <n v="37.96"/>
  </r>
  <r>
    <x v="5"/>
    <x v="33"/>
    <x v="12"/>
    <x v="1"/>
    <n v="735.6800000000001"/>
    <n v="32"/>
    <n v="246.08"/>
  </r>
  <r>
    <x v="5"/>
    <x v="34"/>
    <x v="40"/>
    <x v="1"/>
    <n v="463.71"/>
    <n v="29"/>
    <n v="167.91"/>
  </r>
  <r>
    <x v="5"/>
    <x v="35"/>
    <x v="37"/>
    <x v="1"/>
    <n v="773.5699999999999"/>
    <n v="43"/>
    <n v="261.87"/>
  </r>
  <r>
    <x v="5"/>
    <x v="36"/>
    <x v="35"/>
    <x v="1"/>
    <n v="319.84"/>
    <n v="16"/>
    <n v="115.04"/>
  </r>
  <r>
    <x v="5"/>
    <x v="37"/>
    <x v="29"/>
    <x v="3"/>
    <n v="1364.31"/>
    <n v="279"/>
    <n v="373.86"/>
  </r>
  <r>
    <x v="5"/>
    <x v="38"/>
    <x v="28"/>
    <x v="3"/>
    <n v="562.35"/>
    <n v="115"/>
    <n v="154.1"/>
  </r>
  <r>
    <x v="5"/>
    <x v="39"/>
    <x v="31"/>
    <x v="3"/>
    <n v="214.5"/>
    <n v="50"/>
    <n v="79.5"/>
  </r>
  <r>
    <x v="5"/>
    <x v="40"/>
    <x v="32"/>
    <x v="7"/>
    <n v="121.26"/>
    <n v="34"/>
    <n v="66.86"/>
  </r>
  <r>
    <x v="5"/>
    <x v="41"/>
    <x v="43"/>
    <x v="7"/>
    <n v="269.82"/>
    <n v="18"/>
    <n v="122.22"/>
  </r>
  <r>
    <x v="5"/>
    <x v="42"/>
    <x v="1"/>
    <x v="9"/>
    <n v="160.77"/>
    <n v="233"/>
    <n v="72.23"/>
  </r>
  <r>
    <x v="5"/>
    <x v="43"/>
    <x v="0"/>
    <x v="9"/>
    <n v="117.03"/>
    <n v="47"/>
    <n v="51.23"/>
  </r>
  <r>
    <x v="5"/>
    <x v="44"/>
    <x v="48"/>
    <x v="9"/>
    <n v="188.58"/>
    <n v="42"/>
    <n v="79.38"/>
  </r>
  <r>
    <x v="5"/>
    <x v="45"/>
    <x v="36"/>
    <x v="10"/>
    <n v="518.7"/>
    <n v="130"/>
    <n v="245.7"/>
  </r>
  <r>
    <x v="5"/>
    <x v="46"/>
    <x v="8"/>
    <x v="10"/>
    <n v="647.64"/>
    <n v="136"/>
    <n v="212.44"/>
  </r>
  <r>
    <x v="5"/>
    <x v="47"/>
    <x v="30"/>
    <x v="10"/>
    <n v="214.5"/>
    <n v="50"/>
    <n v="84.5"/>
  </r>
  <r>
    <x v="5"/>
    <x v="48"/>
    <x v="11"/>
    <x v="10"/>
    <n v="269.4"/>
    <n v="60"/>
    <n v="125.4"/>
  </r>
  <r>
    <x v="5"/>
    <x v="49"/>
    <x v="27"/>
    <x v="10"/>
    <n v="223.36"/>
    <n v="64"/>
    <n v="114.56"/>
  </r>
  <r>
    <x v="6"/>
    <x v="0"/>
    <x v="46"/>
    <x v="0"/>
    <n v="533.97"/>
    <n v="153"/>
    <n v="197.37"/>
  </r>
  <r>
    <x v="6"/>
    <x v="1"/>
    <x v="49"/>
    <x v="0"/>
    <n v="253.11"/>
    <n v="59"/>
    <n v="93.81"/>
  </r>
  <r>
    <x v="6"/>
    <x v="2"/>
    <x v="13"/>
    <x v="0"/>
    <n v="161.73"/>
    <n v="27"/>
    <n v="72.63"/>
  </r>
  <r>
    <x v="6"/>
    <x v="3"/>
    <x v="3"/>
    <x v="2"/>
    <n v="223.68"/>
    <n v="32"/>
    <n v="98.88"/>
  </r>
  <r>
    <x v="6"/>
    <x v="4"/>
    <x v="16"/>
    <x v="2"/>
    <n v="583.4400000000001"/>
    <n v="136"/>
    <n v="291.04"/>
  </r>
  <r>
    <x v="6"/>
    <x v="5"/>
    <x v="10"/>
    <x v="2"/>
    <n v="413.08"/>
    <n v="92"/>
    <n v="201.48"/>
  </r>
  <r>
    <x v="6"/>
    <x v="6"/>
    <x v="42"/>
    <x v="2"/>
    <n v="179.28"/>
    <n v="72"/>
    <n v="100.08"/>
  </r>
  <r>
    <x v="6"/>
    <x v="7"/>
    <x v="24"/>
    <x v="2"/>
    <n v="469.06"/>
    <n v="94"/>
    <n v="215.26"/>
  </r>
  <r>
    <x v="6"/>
    <x v="8"/>
    <x v="26"/>
    <x v="2"/>
    <n v="177.23"/>
    <n v="37"/>
    <n v="81.03"/>
  </r>
  <r>
    <x v="6"/>
    <x v="9"/>
    <x v="2"/>
    <x v="2"/>
    <n v="334.88"/>
    <n v="112"/>
    <n v="228.48"/>
  </r>
  <r>
    <x v="6"/>
    <x v="10"/>
    <x v="4"/>
    <x v="3"/>
    <n v="419.44"/>
    <n v="56"/>
    <n v="105.84"/>
  </r>
  <r>
    <x v="6"/>
    <x v="11"/>
    <x v="20"/>
    <x v="3"/>
    <n v="255.68"/>
    <n v="32"/>
    <n v="92.48"/>
  </r>
  <r>
    <x v="6"/>
    <x v="12"/>
    <x v="6"/>
    <x v="3"/>
    <n v="601.5699999999999"/>
    <n v="43"/>
    <n v="154.37"/>
  </r>
  <r>
    <x v="6"/>
    <x v="13"/>
    <x v="23"/>
    <x v="5"/>
    <n v="404.55"/>
    <n v="45"/>
    <n v="161.55"/>
  </r>
  <r>
    <x v="6"/>
    <x v="14"/>
    <x v="22"/>
    <x v="5"/>
    <n v="170.43"/>
    <n v="57"/>
    <n v="102.03"/>
  </r>
  <r>
    <x v="6"/>
    <x v="15"/>
    <x v="19"/>
    <x v="5"/>
    <n v="479.4"/>
    <n v="60"/>
    <n v="197.4"/>
  </r>
  <r>
    <x v="6"/>
    <x v="16"/>
    <x v="18"/>
    <x v="5"/>
    <n v="539.55"/>
    <n v="45"/>
    <n v="220.05"/>
  </r>
  <r>
    <x v="6"/>
    <x v="17"/>
    <x v="7"/>
    <x v="4"/>
    <n v="1071.07"/>
    <n v="143"/>
    <n v="513.37"/>
  </r>
  <r>
    <x v="6"/>
    <x v="18"/>
    <x v="44"/>
    <x v="4"/>
    <n v="989.01"/>
    <n v="99"/>
    <n v="434.61"/>
  </r>
  <r>
    <x v="6"/>
    <x v="19"/>
    <x v="21"/>
    <x v="4"/>
    <n v="938.7900000000001"/>
    <n v="171"/>
    <n v="528.39"/>
  </r>
  <r>
    <x v="6"/>
    <x v="20"/>
    <x v="38"/>
    <x v="4"/>
    <n v="571.48"/>
    <n v="52"/>
    <n v="249.08"/>
  </r>
  <r>
    <x v="6"/>
    <x v="21"/>
    <x v="17"/>
    <x v="4"/>
    <n v="454.3"/>
    <n v="70"/>
    <n v="230.3"/>
  </r>
  <r>
    <x v="6"/>
    <x v="22"/>
    <x v="25"/>
    <x v="6"/>
    <n v="336.75"/>
    <n v="75"/>
    <n v="141.75"/>
  </r>
  <r>
    <x v="6"/>
    <x v="23"/>
    <x v="5"/>
    <x v="6"/>
    <n v="154.63"/>
    <n v="47"/>
    <n v="65.33"/>
  </r>
  <r>
    <x v="6"/>
    <x v="24"/>
    <x v="33"/>
    <x v="6"/>
    <n v="89.64"/>
    <n v="36"/>
    <n v="42.84"/>
  </r>
  <r>
    <x v="6"/>
    <x v="25"/>
    <x v="41"/>
    <x v="6"/>
    <n v="155.61"/>
    <n v="39"/>
    <n v="65.91"/>
  </r>
  <r>
    <x v="6"/>
    <x v="26"/>
    <x v="39"/>
    <x v="6"/>
    <n v="52.69"/>
    <n v="11"/>
    <n v="20.79"/>
  </r>
  <r>
    <x v="6"/>
    <x v="27"/>
    <x v="45"/>
    <x v="6"/>
    <n v="129.8"/>
    <n v="20"/>
    <n v="49.8"/>
  </r>
  <r>
    <x v="6"/>
    <x v="28"/>
    <x v="15"/>
    <x v="6"/>
    <n v="494.55"/>
    <n v="45"/>
    <n v="125.55"/>
  </r>
  <r>
    <x v="6"/>
    <x v="29"/>
    <x v="9"/>
    <x v="6"/>
    <n v="203.83"/>
    <n v="17"/>
    <n v="74.63"/>
  </r>
  <r>
    <x v="6"/>
    <x v="30"/>
    <x v="47"/>
    <x v="8"/>
    <n v="287.68"/>
    <n v="32"/>
    <n v="98.88"/>
  </r>
  <r>
    <x v="6"/>
    <x v="31"/>
    <x v="14"/>
    <x v="8"/>
    <n v="84.83000000000001"/>
    <n v="17"/>
    <n v="35.53"/>
  </r>
  <r>
    <x v="6"/>
    <x v="32"/>
    <x v="34"/>
    <x v="8"/>
    <n v="104.93"/>
    <n v="7"/>
    <n v="66.43000000000001"/>
  </r>
  <r>
    <x v="6"/>
    <x v="33"/>
    <x v="12"/>
    <x v="1"/>
    <n v="988.5699999999999"/>
    <n v="43"/>
    <n v="330.67"/>
  </r>
  <r>
    <x v="6"/>
    <x v="34"/>
    <x v="40"/>
    <x v="1"/>
    <n v="463.71"/>
    <n v="29"/>
    <n v="167.91"/>
  </r>
  <r>
    <x v="6"/>
    <x v="35"/>
    <x v="37"/>
    <x v="1"/>
    <n v="287.84"/>
    <n v="16"/>
    <n v="97.44"/>
  </r>
  <r>
    <x v="6"/>
    <x v="36"/>
    <x v="35"/>
    <x v="1"/>
    <n v="439.78"/>
    <n v="22"/>
    <n v="158.18"/>
  </r>
  <r>
    <x v="6"/>
    <x v="37"/>
    <x v="29"/>
    <x v="3"/>
    <n v="1286.07"/>
    <n v="263"/>
    <n v="352.42"/>
  </r>
  <r>
    <x v="6"/>
    <x v="38"/>
    <x v="28"/>
    <x v="3"/>
    <n v="493.89"/>
    <n v="101"/>
    <n v="135.34"/>
  </r>
  <r>
    <x v="6"/>
    <x v="39"/>
    <x v="31"/>
    <x v="3"/>
    <n v="227.37"/>
    <n v="53"/>
    <n v="84.27"/>
  </r>
  <r>
    <x v="6"/>
    <x v="40"/>
    <x v="32"/>
    <x v="7"/>
    <n v="191.52"/>
    <n v="48"/>
    <n v="114.72"/>
  </r>
  <r>
    <x v="6"/>
    <x v="41"/>
    <x v="43"/>
    <x v="7"/>
    <n v="179.88"/>
    <n v="12"/>
    <n v="81.48"/>
  </r>
  <r>
    <x v="6"/>
    <x v="42"/>
    <x v="1"/>
    <x v="9"/>
    <n v="151.92"/>
    <n v="250"/>
    <n v="56.92"/>
  </r>
  <r>
    <x v="6"/>
    <x v="43"/>
    <x v="0"/>
    <x v="9"/>
    <n v="131.97"/>
    <n v="53"/>
    <n v="57.77"/>
  </r>
  <r>
    <x v="6"/>
    <x v="44"/>
    <x v="48"/>
    <x v="9"/>
    <n v="228.99"/>
    <n v="51"/>
    <n v="96.39"/>
  </r>
  <r>
    <x v="6"/>
    <x v="45"/>
    <x v="36"/>
    <x v="10"/>
    <n v="562.59"/>
    <n v="141"/>
    <n v="266.49"/>
  </r>
  <r>
    <x v="6"/>
    <x v="46"/>
    <x v="8"/>
    <x v="10"/>
    <n v="543.51"/>
    <n v="99"/>
    <n v="226.71"/>
  </r>
  <r>
    <x v="6"/>
    <x v="47"/>
    <x v="30"/>
    <x v="10"/>
    <n v="244.53"/>
    <n v="57"/>
    <n v="96.33"/>
  </r>
  <r>
    <x v="6"/>
    <x v="48"/>
    <x v="11"/>
    <x v="10"/>
    <n v="273.89"/>
    <n v="61"/>
    <n v="127.49"/>
  </r>
  <r>
    <x v="6"/>
    <x v="49"/>
    <x v="27"/>
    <x v="10"/>
    <n v="233.83"/>
    <n v="67"/>
    <n v="119.93"/>
  </r>
  <r>
    <x v="7"/>
    <x v="0"/>
    <x v="46"/>
    <x v="0"/>
    <n v="443.23"/>
    <n v="127"/>
    <n v="163.83"/>
  </r>
  <r>
    <x v="7"/>
    <x v="1"/>
    <x v="49"/>
    <x v="0"/>
    <n v="390.39"/>
    <n v="91"/>
    <n v="144.69"/>
  </r>
  <r>
    <x v="7"/>
    <x v="2"/>
    <x v="13"/>
    <x v="0"/>
    <n v="257.57"/>
    <n v="43"/>
    <n v="115.67"/>
  </r>
  <r>
    <x v="7"/>
    <x v="3"/>
    <x v="3"/>
    <x v="2"/>
    <n v="237.66"/>
    <n v="34"/>
    <n v="105.06"/>
  </r>
  <r>
    <x v="7"/>
    <x v="4"/>
    <x v="16"/>
    <x v="2"/>
    <n v="737.88"/>
    <n v="172"/>
    <n v="368.08"/>
  </r>
  <r>
    <x v="7"/>
    <x v="5"/>
    <x v="10"/>
    <x v="2"/>
    <n v="359.2"/>
    <n v="80"/>
    <n v="175.2"/>
  </r>
  <r>
    <x v="7"/>
    <x v="6"/>
    <x v="42"/>
    <x v="2"/>
    <n v="169.32"/>
    <n v="68"/>
    <n v="94.52"/>
  </r>
  <r>
    <x v="7"/>
    <x v="7"/>
    <x v="24"/>
    <x v="2"/>
    <n v="424.15"/>
    <n v="85"/>
    <n v="194.65"/>
  </r>
  <r>
    <x v="7"/>
    <x v="8"/>
    <x v="26"/>
    <x v="2"/>
    <n v="138.91"/>
    <n v="29"/>
    <n v="63.51"/>
  </r>
  <r>
    <x v="7"/>
    <x v="9"/>
    <x v="2"/>
    <x v="2"/>
    <n v="418.6"/>
    <n v="140"/>
    <n v="285.6"/>
  </r>
  <r>
    <x v="7"/>
    <x v="10"/>
    <x v="4"/>
    <x v="3"/>
    <n v="254.66"/>
    <n v="34"/>
    <n v="64.26000000000001"/>
  </r>
  <r>
    <x v="7"/>
    <x v="11"/>
    <x v="20"/>
    <x v="3"/>
    <n v="175.78"/>
    <n v="22"/>
    <n v="63.58"/>
  </r>
  <r>
    <x v="7"/>
    <x v="12"/>
    <x v="6"/>
    <x v="3"/>
    <n v="503.64"/>
    <n v="36"/>
    <n v="129.24"/>
  </r>
  <r>
    <x v="7"/>
    <x v="13"/>
    <x v="23"/>
    <x v="5"/>
    <n v="287.68"/>
    <n v="32"/>
    <n v="114.88"/>
  </r>
  <r>
    <x v="7"/>
    <x v="14"/>
    <x v="22"/>
    <x v="5"/>
    <n v="227.24"/>
    <n v="76"/>
    <n v="136.04"/>
  </r>
  <r>
    <x v="7"/>
    <x v="15"/>
    <x v="19"/>
    <x v="5"/>
    <n v="303.62"/>
    <n v="38"/>
    <n v="125.02"/>
  </r>
  <r>
    <x v="7"/>
    <x v="16"/>
    <x v="18"/>
    <x v="5"/>
    <n v="407.66"/>
    <n v="34"/>
    <n v="166.26"/>
  </r>
  <r>
    <x v="7"/>
    <x v="17"/>
    <x v="7"/>
    <x v="4"/>
    <n v="936.25"/>
    <n v="125"/>
    <n v="448.75"/>
  </r>
  <r>
    <x v="7"/>
    <x v="18"/>
    <x v="44"/>
    <x v="4"/>
    <n v="819.1800000000001"/>
    <n v="82"/>
    <n v="359.98"/>
  </r>
  <r>
    <x v="7"/>
    <x v="19"/>
    <x v="21"/>
    <x v="4"/>
    <n v="724.6800000000001"/>
    <n v="132"/>
    <n v="407.88"/>
  </r>
  <r>
    <x v="7"/>
    <x v="20"/>
    <x v="38"/>
    <x v="4"/>
    <n v="384.65"/>
    <n v="35"/>
    <n v="167.65"/>
  </r>
  <r>
    <x v="7"/>
    <x v="21"/>
    <x v="17"/>
    <x v="4"/>
    <n v="337.48"/>
    <n v="52"/>
    <n v="171.08"/>
  </r>
  <r>
    <x v="7"/>
    <x v="22"/>
    <x v="25"/>
    <x v="6"/>
    <n v="426.55"/>
    <n v="95"/>
    <n v="179.55"/>
  </r>
  <r>
    <x v="7"/>
    <x v="23"/>
    <x v="5"/>
    <x v="6"/>
    <n v="98.69999999999999"/>
    <n v="30"/>
    <n v="41.7"/>
  </r>
  <r>
    <x v="7"/>
    <x v="24"/>
    <x v="33"/>
    <x v="6"/>
    <n v="77.19"/>
    <n v="31"/>
    <n v="36.89"/>
  </r>
  <r>
    <x v="7"/>
    <x v="25"/>
    <x v="41"/>
    <x v="6"/>
    <n v="171.57"/>
    <n v="43"/>
    <n v="72.67"/>
  </r>
  <r>
    <x v="7"/>
    <x v="26"/>
    <x v="39"/>
    <x v="6"/>
    <n v="86.22"/>
    <n v="18"/>
    <n v="34.02"/>
  </r>
  <r>
    <x v="7"/>
    <x v="27"/>
    <x v="45"/>
    <x v="6"/>
    <n v="90.86000000000001"/>
    <n v="14"/>
    <n v="34.86"/>
  </r>
  <r>
    <x v="7"/>
    <x v="28"/>
    <x v="15"/>
    <x v="6"/>
    <n v="857.22"/>
    <n v="78"/>
    <n v="217.62"/>
  </r>
  <r>
    <x v="7"/>
    <x v="29"/>
    <x v="9"/>
    <x v="6"/>
    <n v="299.75"/>
    <n v="25"/>
    <n v="109.75"/>
  </r>
  <r>
    <x v="7"/>
    <x v="30"/>
    <x v="47"/>
    <x v="8"/>
    <n v="269.7"/>
    <n v="30"/>
    <n v="92.7"/>
  </r>
  <r>
    <x v="7"/>
    <x v="31"/>
    <x v="14"/>
    <x v="8"/>
    <n v="114.77"/>
    <n v="23"/>
    <n v="48.07"/>
  </r>
  <r>
    <x v="7"/>
    <x v="32"/>
    <x v="34"/>
    <x v="8"/>
    <n v="179.88"/>
    <n v="12"/>
    <n v="113.88"/>
  </r>
  <r>
    <x v="7"/>
    <x v="33"/>
    <x v="12"/>
    <x v="1"/>
    <n v="620.73"/>
    <n v="27"/>
    <n v="207.63"/>
  </r>
  <r>
    <x v="7"/>
    <x v="34"/>
    <x v="40"/>
    <x v="1"/>
    <n v="511.68"/>
    <n v="32"/>
    <n v="185.28"/>
  </r>
  <r>
    <x v="7"/>
    <x v="35"/>
    <x v="37"/>
    <x v="1"/>
    <n v="359.8"/>
    <n v="20"/>
    <n v="121.8"/>
  </r>
  <r>
    <x v="7"/>
    <x v="36"/>
    <x v="35"/>
    <x v="1"/>
    <n v="319.84"/>
    <n v="16"/>
    <n v="115.04"/>
  </r>
  <r>
    <x v="7"/>
    <x v="37"/>
    <x v="29"/>
    <x v="3"/>
    <n v="1452.33"/>
    <n v="297"/>
    <n v="397.98"/>
  </r>
  <r>
    <x v="7"/>
    <x v="38"/>
    <x v="28"/>
    <x v="3"/>
    <n v="518.3399999999999"/>
    <n v="106"/>
    <n v="142.04"/>
  </r>
  <r>
    <x v="7"/>
    <x v="39"/>
    <x v="31"/>
    <x v="3"/>
    <n v="210.21"/>
    <n v="49"/>
    <n v="77.91"/>
  </r>
  <r>
    <x v="7"/>
    <x v="40"/>
    <x v="32"/>
    <x v="7"/>
    <n v="155.61"/>
    <n v="39"/>
    <n v="93.20999999999999"/>
  </r>
  <r>
    <x v="7"/>
    <x v="41"/>
    <x v="43"/>
    <x v="7"/>
    <n v="104.93"/>
    <n v="7"/>
    <n v="47.53"/>
  </r>
  <r>
    <x v="7"/>
    <x v="42"/>
    <x v="1"/>
    <x v="9"/>
    <n v="152.91"/>
    <n v="249"/>
    <n v="58.29"/>
  </r>
  <r>
    <x v="7"/>
    <x v="43"/>
    <x v="0"/>
    <x v="9"/>
    <n v="109.56"/>
    <n v="44"/>
    <n v="47.96"/>
  </r>
  <r>
    <x v="7"/>
    <x v="44"/>
    <x v="48"/>
    <x v="9"/>
    <n v="134.7"/>
    <n v="30"/>
    <n v="56.7"/>
  </r>
  <r>
    <x v="7"/>
    <x v="45"/>
    <x v="36"/>
    <x v="10"/>
    <n v="526.6800000000001"/>
    <n v="132"/>
    <n v="249.48"/>
  </r>
  <r>
    <x v="7"/>
    <x v="46"/>
    <x v="8"/>
    <x v="10"/>
    <n v="625.86"/>
    <n v="114"/>
    <n v="261.06"/>
  </r>
  <r>
    <x v="7"/>
    <x v="47"/>
    <x v="30"/>
    <x v="10"/>
    <n v="304.59"/>
    <n v="71"/>
    <n v="119.99"/>
  </r>
  <r>
    <x v="7"/>
    <x v="48"/>
    <x v="11"/>
    <x v="10"/>
    <n v="228.99"/>
    <n v="51"/>
    <n v="106.59"/>
  </r>
  <r>
    <x v="7"/>
    <x v="49"/>
    <x v="27"/>
    <x v="10"/>
    <n v="303.63"/>
    <n v="87"/>
    <n v="155.73"/>
  </r>
  <r>
    <x v="8"/>
    <x v="0"/>
    <x v="46"/>
    <x v="0"/>
    <n v="478.13"/>
    <n v="137"/>
    <n v="176.73"/>
  </r>
  <r>
    <x v="8"/>
    <x v="1"/>
    <x v="49"/>
    <x v="0"/>
    <n v="356.07"/>
    <n v="83"/>
    <n v="131.97"/>
  </r>
  <r>
    <x v="8"/>
    <x v="2"/>
    <x v="13"/>
    <x v="0"/>
    <n v="251.58"/>
    <n v="42"/>
    <n v="112.98"/>
  </r>
  <r>
    <x v="8"/>
    <x v="3"/>
    <x v="3"/>
    <x v="2"/>
    <n v="209.7"/>
    <n v="30"/>
    <n v="92.7"/>
  </r>
  <r>
    <x v="8"/>
    <x v="4"/>
    <x v="16"/>
    <x v="2"/>
    <n v="686.4"/>
    <n v="160"/>
    <n v="342.4"/>
  </r>
  <r>
    <x v="8"/>
    <x v="5"/>
    <x v="10"/>
    <x v="2"/>
    <n v="471.45"/>
    <n v="105"/>
    <n v="229.95"/>
  </r>
  <r>
    <x v="8"/>
    <x v="6"/>
    <x v="42"/>
    <x v="2"/>
    <n v="171.81"/>
    <n v="69"/>
    <n v="95.91"/>
  </r>
  <r>
    <x v="8"/>
    <x v="7"/>
    <x v="24"/>
    <x v="2"/>
    <n v="364.27"/>
    <n v="73"/>
    <n v="167.17"/>
  </r>
  <r>
    <x v="8"/>
    <x v="8"/>
    <x v="26"/>
    <x v="2"/>
    <n v="186.81"/>
    <n v="39"/>
    <n v="85.41"/>
  </r>
  <r>
    <x v="8"/>
    <x v="9"/>
    <x v="2"/>
    <x v="2"/>
    <n v="281.06"/>
    <n v="94"/>
    <n v="191.76"/>
  </r>
  <r>
    <x v="8"/>
    <x v="10"/>
    <x v="4"/>
    <x v="3"/>
    <n v="179.76"/>
    <n v="24"/>
    <n v="45.36"/>
  </r>
  <r>
    <x v="8"/>
    <x v="11"/>
    <x v="20"/>
    <x v="3"/>
    <n v="247.65"/>
    <n v="35"/>
    <n v="69.15000000000001"/>
  </r>
  <r>
    <x v="8"/>
    <x v="12"/>
    <x v="6"/>
    <x v="3"/>
    <n v="467.23"/>
    <n v="37"/>
    <n v="82.43000000000001"/>
  </r>
  <r>
    <x v="8"/>
    <x v="13"/>
    <x v="23"/>
    <x v="5"/>
    <n v="377.58"/>
    <n v="42"/>
    <n v="150.78"/>
  </r>
  <r>
    <x v="8"/>
    <x v="14"/>
    <x v="22"/>
    <x v="5"/>
    <n v="125.58"/>
    <n v="42"/>
    <n v="75.18000000000001"/>
  </r>
  <r>
    <x v="8"/>
    <x v="15"/>
    <x v="19"/>
    <x v="5"/>
    <n v="423.47"/>
    <n v="53"/>
    <n v="174.37"/>
  </r>
  <r>
    <x v="8"/>
    <x v="16"/>
    <x v="18"/>
    <x v="5"/>
    <n v="431.64"/>
    <n v="36"/>
    <n v="176.04"/>
  </r>
  <r>
    <x v="8"/>
    <x v="17"/>
    <x v="7"/>
    <x v="4"/>
    <n v="1078.56"/>
    <n v="144"/>
    <n v="516.96"/>
  </r>
  <r>
    <x v="8"/>
    <x v="18"/>
    <x v="44"/>
    <x v="4"/>
    <n v="829.17"/>
    <n v="83"/>
    <n v="364.37"/>
  </r>
  <r>
    <x v="8"/>
    <x v="19"/>
    <x v="21"/>
    <x v="4"/>
    <n v="816.6999999999999"/>
    <n v="170"/>
    <n v="408.7"/>
  </r>
  <r>
    <x v="8"/>
    <x v="20"/>
    <x v="38"/>
    <x v="4"/>
    <n v="450.59"/>
    <n v="41"/>
    <n v="196.39"/>
  </r>
  <r>
    <x v="8"/>
    <x v="21"/>
    <x v="17"/>
    <x v="4"/>
    <n v="597.08"/>
    <n v="92"/>
    <n v="302.68"/>
  </r>
  <r>
    <x v="8"/>
    <x v="22"/>
    <x v="25"/>
    <x v="6"/>
    <n v="426.55"/>
    <n v="95"/>
    <n v="179.55"/>
  </r>
  <r>
    <x v="8"/>
    <x v="23"/>
    <x v="5"/>
    <x v="6"/>
    <n v="164.44"/>
    <n v="56"/>
    <n v="58.04"/>
  </r>
  <r>
    <x v="8"/>
    <x v="24"/>
    <x v="33"/>
    <x v="6"/>
    <n v="109.56"/>
    <n v="44"/>
    <n v="52.36"/>
  </r>
  <r>
    <x v="8"/>
    <x v="25"/>
    <x v="41"/>
    <x v="6"/>
    <n v="179.55"/>
    <n v="45"/>
    <n v="76.05"/>
  </r>
  <r>
    <x v="8"/>
    <x v="26"/>
    <x v="39"/>
    <x v="6"/>
    <n v="95.8"/>
    <n v="20"/>
    <n v="37.8"/>
  </r>
  <r>
    <x v="8"/>
    <x v="27"/>
    <x v="45"/>
    <x v="6"/>
    <n v="136.29"/>
    <n v="21"/>
    <n v="52.29"/>
  </r>
  <r>
    <x v="8"/>
    <x v="28"/>
    <x v="15"/>
    <x v="6"/>
    <n v="637.4200000000001"/>
    <n v="58"/>
    <n v="161.82"/>
  </r>
  <r>
    <x v="8"/>
    <x v="29"/>
    <x v="9"/>
    <x v="6"/>
    <n v="419.65"/>
    <n v="35"/>
    <n v="153.65"/>
  </r>
  <r>
    <x v="8"/>
    <x v="30"/>
    <x v="47"/>
    <x v="8"/>
    <n v="359.6"/>
    <n v="40"/>
    <n v="123.6"/>
  </r>
  <r>
    <x v="8"/>
    <x v="31"/>
    <x v="14"/>
    <x v="8"/>
    <n v="109.78"/>
    <n v="22"/>
    <n v="45.98"/>
  </r>
  <r>
    <x v="8"/>
    <x v="32"/>
    <x v="34"/>
    <x v="8"/>
    <n v="119.92"/>
    <n v="8"/>
    <n v="75.92"/>
  </r>
  <r>
    <x v="8"/>
    <x v="33"/>
    <x v="12"/>
    <x v="1"/>
    <n v="620.73"/>
    <n v="27"/>
    <n v="207.63"/>
  </r>
  <r>
    <x v="8"/>
    <x v="34"/>
    <x v="40"/>
    <x v="1"/>
    <n v="447.72"/>
    <n v="28"/>
    <n v="162.12"/>
  </r>
  <r>
    <x v="8"/>
    <x v="35"/>
    <x v="37"/>
    <x v="1"/>
    <n v="449.75"/>
    <n v="25"/>
    <n v="152.25"/>
  </r>
  <r>
    <x v="8"/>
    <x v="36"/>
    <x v="35"/>
    <x v="1"/>
    <n v="219.89"/>
    <n v="11"/>
    <n v="79.09"/>
  </r>
  <r>
    <x v="8"/>
    <x v="37"/>
    <x v="29"/>
    <x v="3"/>
    <n v="1418.1"/>
    <n v="290"/>
    <n v="388.6"/>
  </r>
  <r>
    <x v="8"/>
    <x v="38"/>
    <x v="28"/>
    <x v="3"/>
    <n v="699.27"/>
    <n v="143"/>
    <n v="191.62"/>
  </r>
  <r>
    <x v="8"/>
    <x v="39"/>
    <x v="31"/>
    <x v="3"/>
    <n v="300.21"/>
    <n v="79"/>
    <n v="86.91"/>
  </r>
  <r>
    <x v="8"/>
    <x v="40"/>
    <x v="32"/>
    <x v="7"/>
    <n v="115.71"/>
    <n v="29"/>
    <n v="69.31"/>
  </r>
  <r>
    <x v="8"/>
    <x v="41"/>
    <x v="43"/>
    <x v="7"/>
    <n v="209.86"/>
    <n v="14"/>
    <n v="95.06"/>
  </r>
  <r>
    <x v="8"/>
    <x v="42"/>
    <x v="1"/>
    <x v="9"/>
    <n v="178.02"/>
    <n v="258"/>
    <n v="79.98"/>
  </r>
  <r>
    <x v="8"/>
    <x v="43"/>
    <x v="0"/>
    <x v="9"/>
    <n v="124.5"/>
    <n v="50"/>
    <n v="54.5"/>
  </r>
  <r>
    <x v="8"/>
    <x v="44"/>
    <x v="48"/>
    <x v="9"/>
    <n v="94.29000000000001"/>
    <n v="21"/>
    <n v="39.69"/>
  </r>
  <r>
    <x v="8"/>
    <x v="45"/>
    <x v="36"/>
    <x v="10"/>
    <n v="586.53"/>
    <n v="147"/>
    <n v="277.83"/>
  </r>
  <r>
    <x v="8"/>
    <x v="46"/>
    <x v="8"/>
    <x v="10"/>
    <n v="675.27"/>
    <n v="123"/>
    <n v="281.67"/>
  </r>
  <r>
    <x v="8"/>
    <x v="47"/>
    <x v="30"/>
    <x v="10"/>
    <n v="205.92"/>
    <n v="48"/>
    <n v="81.12"/>
  </r>
  <r>
    <x v="8"/>
    <x v="48"/>
    <x v="11"/>
    <x v="10"/>
    <n v="345.73"/>
    <n v="77"/>
    <n v="160.93"/>
  </r>
  <r>
    <x v="8"/>
    <x v="49"/>
    <x v="27"/>
    <x v="10"/>
    <n v="230.34"/>
    <n v="66"/>
    <n v="118.14"/>
  </r>
  <r>
    <x v="9"/>
    <x v="0"/>
    <x v="46"/>
    <x v="0"/>
    <n v="492.09"/>
    <n v="141"/>
    <n v="181.89"/>
  </r>
  <r>
    <x v="9"/>
    <x v="1"/>
    <x v="49"/>
    <x v="0"/>
    <n v="383.43"/>
    <n v="99"/>
    <n v="116.13"/>
  </r>
  <r>
    <x v="9"/>
    <x v="2"/>
    <x v="13"/>
    <x v="0"/>
    <n v="293.51"/>
    <n v="49"/>
    <n v="131.81"/>
  </r>
  <r>
    <x v="9"/>
    <x v="3"/>
    <x v="3"/>
    <x v="2"/>
    <n v="244.65"/>
    <n v="35"/>
    <n v="108.15"/>
  </r>
  <r>
    <x v="9"/>
    <x v="4"/>
    <x v="16"/>
    <x v="2"/>
    <n v="592.02"/>
    <n v="138"/>
    <n v="295.32"/>
  </r>
  <r>
    <x v="9"/>
    <x v="5"/>
    <x v="10"/>
    <x v="2"/>
    <n v="354.71"/>
    <n v="79"/>
    <n v="173.01"/>
  </r>
  <r>
    <x v="9"/>
    <x v="6"/>
    <x v="42"/>
    <x v="2"/>
    <n v="107.07"/>
    <n v="43"/>
    <n v="59.77"/>
  </r>
  <r>
    <x v="9"/>
    <x v="7"/>
    <x v="24"/>
    <x v="2"/>
    <n v="419.16"/>
    <n v="84"/>
    <n v="192.36"/>
  </r>
  <r>
    <x v="9"/>
    <x v="8"/>
    <x v="26"/>
    <x v="2"/>
    <n v="148.49"/>
    <n v="31"/>
    <n v="67.89"/>
  </r>
  <r>
    <x v="9"/>
    <x v="9"/>
    <x v="2"/>
    <x v="2"/>
    <n v="433.55"/>
    <n v="145"/>
    <n v="295.8"/>
  </r>
  <r>
    <x v="9"/>
    <x v="10"/>
    <x v="4"/>
    <x v="3"/>
    <n v="367.01"/>
    <n v="49"/>
    <n v="92.61"/>
  </r>
  <r>
    <x v="9"/>
    <x v="11"/>
    <x v="20"/>
    <x v="3"/>
    <n v="247.69"/>
    <n v="31"/>
    <n v="89.59"/>
  </r>
  <r>
    <x v="9"/>
    <x v="12"/>
    <x v="6"/>
    <x v="3"/>
    <n v="447.68"/>
    <n v="32"/>
    <n v="114.88"/>
  </r>
  <r>
    <x v="9"/>
    <x v="13"/>
    <x v="23"/>
    <x v="5"/>
    <n v="215.76"/>
    <n v="24"/>
    <n v="86.16"/>
  </r>
  <r>
    <x v="9"/>
    <x v="14"/>
    <x v="22"/>
    <x v="5"/>
    <n v="224.25"/>
    <n v="75"/>
    <n v="134.25"/>
  </r>
  <r>
    <x v="9"/>
    <x v="15"/>
    <x v="19"/>
    <x v="5"/>
    <n v="415.48"/>
    <n v="52"/>
    <n v="171.08"/>
  </r>
  <r>
    <x v="9"/>
    <x v="16"/>
    <x v="18"/>
    <x v="5"/>
    <n v="431.64"/>
    <n v="36"/>
    <n v="176.04"/>
  </r>
  <r>
    <x v="9"/>
    <x v="17"/>
    <x v="7"/>
    <x v="4"/>
    <n v="1033.45"/>
    <n v="155"/>
    <n v="428.95"/>
  </r>
  <r>
    <x v="9"/>
    <x v="18"/>
    <x v="44"/>
    <x v="4"/>
    <n v="599.4"/>
    <n v="60"/>
    <n v="263.4"/>
  </r>
  <r>
    <x v="9"/>
    <x v="19"/>
    <x v="21"/>
    <x v="4"/>
    <n v="669.78"/>
    <n v="122"/>
    <n v="376.98"/>
  </r>
  <r>
    <x v="9"/>
    <x v="20"/>
    <x v="38"/>
    <x v="4"/>
    <n v="417.62"/>
    <n v="38"/>
    <n v="182.02"/>
  </r>
  <r>
    <x v="9"/>
    <x v="21"/>
    <x v="17"/>
    <x v="4"/>
    <n v="512.71"/>
    <n v="79"/>
    <n v="259.91"/>
  </r>
  <r>
    <x v="9"/>
    <x v="22"/>
    <x v="25"/>
    <x v="6"/>
    <n v="440.02"/>
    <n v="98"/>
    <n v="185.22"/>
  </r>
  <r>
    <x v="9"/>
    <x v="23"/>
    <x v="5"/>
    <x v="6"/>
    <n v="148.05"/>
    <n v="45"/>
    <n v="62.55"/>
  </r>
  <r>
    <x v="9"/>
    <x v="24"/>
    <x v="33"/>
    <x v="6"/>
    <n v="114.54"/>
    <n v="46"/>
    <n v="54.74"/>
  </r>
  <r>
    <x v="9"/>
    <x v="25"/>
    <x v="41"/>
    <x v="6"/>
    <n v="115.71"/>
    <n v="29"/>
    <n v="49.01"/>
  </r>
  <r>
    <x v="9"/>
    <x v="26"/>
    <x v="39"/>
    <x v="6"/>
    <n v="86.22"/>
    <n v="18"/>
    <n v="34.02"/>
  </r>
  <r>
    <x v="9"/>
    <x v="27"/>
    <x v="45"/>
    <x v="6"/>
    <n v="116.82"/>
    <n v="18"/>
    <n v="44.82"/>
  </r>
  <r>
    <x v="9"/>
    <x v="28"/>
    <x v="15"/>
    <x v="6"/>
    <n v="736.33"/>
    <n v="67"/>
    <n v="186.93"/>
  </r>
  <r>
    <x v="9"/>
    <x v="29"/>
    <x v="9"/>
    <x v="6"/>
    <n v="143.88"/>
    <n v="12"/>
    <n v="52.68"/>
  </r>
  <r>
    <x v="9"/>
    <x v="30"/>
    <x v="47"/>
    <x v="8"/>
    <n v="260.71"/>
    <n v="29"/>
    <n v="89.61"/>
  </r>
  <r>
    <x v="9"/>
    <x v="31"/>
    <x v="14"/>
    <x v="8"/>
    <n v="74.85000000000001"/>
    <n v="15"/>
    <n v="31.35"/>
  </r>
  <r>
    <x v="9"/>
    <x v="32"/>
    <x v="34"/>
    <x v="8"/>
    <n v="44.97"/>
    <n v="3"/>
    <n v="28.47"/>
  </r>
  <r>
    <x v="9"/>
    <x v="33"/>
    <x v="12"/>
    <x v="1"/>
    <n v="574.75"/>
    <n v="25"/>
    <n v="192.25"/>
  </r>
  <r>
    <x v="9"/>
    <x v="34"/>
    <x v="40"/>
    <x v="1"/>
    <n v="479.7"/>
    <n v="30"/>
    <n v="173.7"/>
  </r>
  <r>
    <x v="9"/>
    <x v="35"/>
    <x v="37"/>
    <x v="1"/>
    <n v="611.66"/>
    <n v="34"/>
    <n v="207.06"/>
  </r>
  <r>
    <x v="9"/>
    <x v="36"/>
    <x v="35"/>
    <x v="1"/>
    <n v="399.77"/>
    <n v="23"/>
    <n v="105.37"/>
  </r>
  <r>
    <x v="9"/>
    <x v="37"/>
    <x v="29"/>
    <x v="3"/>
    <n v="1242.06"/>
    <n v="254"/>
    <n v="340.36"/>
  </r>
  <r>
    <x v="9"/>
    <x v="38"/>
    <x v="28"/>
    <x v="3"/>
    <n v="665.04"/>
    <n v="136"/>
    <n v="182.24"/>
  </r>
  <r>
    <x v="9"/>
    <x v="39"/>
    <x v="31"/>
    <x v="3"/>
    <n v="180.18"/>
    <n v="42"/>
    <n v="66.78"/>
  </r>
  <r>
    <x v="9"/>
    <x v="40"/>
    <x v="32"/>
    <x v="7"/>
    <n v="175.56"/>
    <n v="44"/>
    <n v="105.16"/>
  </r>
  <r>
    <x v="9"/>
    <x v="41"/>
    <x v="43"/>
    <x v="7"/>
    <n v="164.89"/>
    <n v="11"/>
    <n v="74.69"/>
  </r>
  <r>
    <x v="9"/>
    <x v="42"/>
    <x v="1"/>
    <x v="9"/>
    <n v="155.25"/>
    <n v="225"/>
    <n v="69.75"/>
  </r>
  <r>
    <x v="9"/>
    <x v="43"/>
    <x v="0"/>
    <x v="9"/>
    <n v="126.99"/>
    <n v="51"/>
    <n v="55.59"/>
  </r>
  <r>
    <x v="9"/>
    <x v="44"/>
    <x v="48"/>
    <x v="9"/>
    <n v="85.31"/>
    <n v="19"/>
    <n v="35.91"/>
  </r>
  <r>
    <x v="9"/>
    <x v="45"/>
    <x v="36"/>
    <x v="10"/>
    <n v="502.74"/>
    <n v="126"/>
    <n v="238.14"/>
  </r>
  <r>
    <x v="9"/>
    <x v="46"/>
    <x v="8"/>
    <x v="10"/>
    <n v="603.9"/>
    <n v="110"/>
    <n v="251.9"/>
  </r>
  <r>
    <x v="9"/>
    <x v="47"/>
    <x v="30"/>
    <x v="10"/>
    <n v="386.1"/>
    <n v="90"/>
    <n v="152.1"/>
  </r>
  <r>
    <x v="9"/>
    <x v="48"/>
    <x v="11"/>
    <x v="10"/>
    <n v="287.36"/>
    <n v="64"/>
    <n v="133.76"/>
  </r>
  <r>
    <x v="9"/>
    <x v="49"/>
    <x v="27"/>
    <x v="10"/>
    <n v="258.26"/>
    <n v="74"/>
    <n v="132.46"/>
  </r>
  <r>
    <x v="10"/>
    <x v="0"/>
    <x v="46"/>
    <x v="0"/>
    <n v="401.35"/>
    <n v="115"/>
    <n v="148.35"/>
  </r>
  <r>
    <x v="10"/>
    <x v="1"/>
    <x v="49"/>
    <x v="0"/>
    <n v="461.49"/>
    <n v="119"/>
    <n v="140.19"/>
  </r>
  <r>
    <x v="10"/>
    <x v="2"/>
    <x v="13"/>
    <x v="0"/>
    <n v="239.6"/>
    <n v="40"/>
    <n v="107.6"/>
  </r>
  <r>
    <x v="10"/>
    <x v="3"/>
    <x v="3"/>
    <x v="2"/>
    <n v="244.65"/>
    <n v="35"/>
    <n v="108.15"/>
  </r>
  <r>
    <x v="10"/>
    <x v="4"/>
    <x v="16"/>
    <x v="2"/>
    <n v="634.9200000000001"/>
    <n v="148"/>
    <n v="316.72"/>
  </r>
  <r>
    <x v="10"/>
    <x v="5"/>
    <x v="10"/>
    <x v="2"/>
    <n v="296.34"/>
    <n v="66"/>
    <n v="144.54"/>
  </r>
  <r>
    <x v="10"/>
    <x v="6"/>
    <x v="42"/>
    <x v="2"/>
    <n v="191.73"/>
    <n v="77"/>
    <n v="107.03"/>
  </r>
  <r>
    <x v="10"/>
    <x v="7"/>
    <x v="24"/>
    <x v="2"/>
    <n v="404.19"/>
    <n v="81"/>
    <n v="185.49"/>
  </r>
  <r>
    <x v="10"/>
    <x v="8"/>
    <x v="26"/>
    <x v="2"/>
    <n v="191.6"/>
    <n v="40"/>
    <n v="87.59999999999999"/>
  </r>
  <r>
    <x v="10"/>
    <x v="9"/>
    <x v="2"/>
    <x v="2"/>
    <n v="352.82"/>
    <n v="118"/>
    <n v="240.72"/>
  </r>
  <r>
    <x v="10"/>
    <x v="10"/>
    <x v="4"/>
    <x v="3"/>
    <n v="284.62"/>
    <n v="38"/>
    <n v="71.81999999999999"/>
  </r>
  <r>
    <x v="10"/>
    <x v="11"/>
    <x v="20"/>
    <x v="3"/>
    <n v="241.27"/>
    <n v="33"/>
    <n v="72.97"/>
  </r>
  <r>
    <x v="10"/>
    <x v="12"/>
    <x v="6"/>
    <x v="3"/>
    <n v="377.73"/>
    <n v="27"/>
    <n v="96.93000000000001"/>
  </r>
  <r>
    <x v="10"/>
    <x v="13"/>
    <x v="23"/>
    <x v="5"/>
    <n v="314.65"/>
    <n v="35"/>
    <n v="125.65"/>
  </r>
  <r>
    <x v="10"/>
    <x v="14"/>
    <x v="22"/>
    <x v="5"/>
    <n v="182.39"/>
    <n v="61"/>
    <n v="109.19"/>
  </r>
  <r>
    <x v="10"/>
    <x v="15"/>
    <x v="19"/>
    <x v="5"/>
    <n v="367.54"/>
    <n v="46"/>
    <n v="151.34"/>
  </r>
  <r>
    <x v="10"/>
    <x v="16"/>
    <x v="18"/>
    <x v="5"/>
    <n v="407.66"/>
    <n v="34"/>
    <n v="166.26"/>
  </r>
  <r>
    <x v="10"/>
    <x v="17"/>
    <x v="7"/>
    <x v="4"/>
    <n v="1033.62"/>
    <n v="138"/>
    <n v="495.42"/>
  </r>
  <r>
    <x v="10"/>
    <x v="18"/>
    <x v="44"/>
    <x v="4"/>
    <n v="1188.81"/>
    <n v="119"/>
    <n v="522.41"/>
  </r>
  <r>
    <x v="10"/>
    <x v="19"/>
    <x v="21"/>
    <x v="4"/>
    <n v="675.27"/>
    <n v="123"/>
    <n v="380.07"/>
  </r>
  <r>
    <x v="10"/>
    <x v="20"/>
    <x v="38"/>
    <x v="4"/>
    <n v="362.67"/>
    <n v="33"/>
    <n v="158.07"/>
  </r>
  <r>
    <x v="10"/>
    <x v="21"/>
    <x v="17"/>
    <x v="4"/>
    <n v="460.79"/>
    <n v="71"/>
    <n v="233.59"/>
  </r>
  <r>
    <x v="10"/>
    <x v="22"/>
    <x v="25"/>
    <x v="6"/>
    <n v="484.92"/>
    <n v="108"/>
    <n v="204.12"/>
  </r>
  <r>
    <x v="10"/>
    <x v="23"/>
    <x v="5"/>
    <x v="6"/>
    <n v="131.6"/>
    <n v="40"/>
    <n v="55.6"/>
  </r>
  <r>
    <x v="10"/>
    <x v="24"/>
    <x v="33"/>
    <x v="6"/>
    <n v="117.03"/>
    <n v="47"/>
    <n v="55.93"/>
  </r>
  <r>
    <x v="10"/>
    <x v="25"/>
    <x v="41"/>
    <x v="6"/>
    <n v="147.63"/>
    <n v="37"/>
    <n v="62.53"/>
  </r>
  <r>
    <x v="10"/>
    <x v="26"/>
    <x v="39"/>
    <x v="6"/>
    <n v="119.75"/>
    <n v="25"/>
    <n v="47.25"/>
  </r>
  <r>
    <x v="10"/>
    <x v="27"/>
    <x v="45"/>
    <x v="6"/>
    <n v="110.33"/>
    <n v="17"/>
    <n v="42.33"/>
  </r>
  <r>
    <x v="10"/>
    <x v="28"/>
    <x v="15"/>
    <x v="6"/>
    <n v="538.51"/>
    <n v="49"/>
    <n v="136.71"/>
  </r>
  <r>
    <x v="10"/>
    <x v="29"/>
    <x v="9"/>
    <x v="6"/>
    <n v="251.79"/>
    <n v="21"/>
    <n v="92.19"/>
  </r>
  <r>
    <x v="10"/>
    <x v="30"/>
    <x v="47"/>
    <x v="8"/>
    <n v="323.64"/>
    <n v="36"/>
    <n v="111.24"/>
  </r>
  <r>
    <x v="10"/>
    <x v="31"/>
    <x v="14"/>
    <x v="8"/>
    <n v="124.75"/>
    <n v="25"/>
    <n v="52.25"/>
  </r>
  <r>
    <x v="10"/>
    <x v="32"/>
    <x v="34"/>
    <x v="8"/>
    <n v="179.88"/>
    <n v="12"/>
    <n v="113.88"/>
  </r>
  <r>
    <x v="10"/>
    <x v="33"/>
    <x v="12"/>
    <x v="1"/>
    <n v="643.72"/>
    <n v="28"/>
    <n v="215.32"/>
  </r>
  <r>
    <x v="10"/>
    <x v="34"/>
    <x v="40"/>
    <x v="1"/>
    <n v="447.72"/>
    <n v="28"/>
    <n v="162.12"/>
  </r>
  <r>
    <x v="10"/>
    <x v="35"/>
    <x v="37"/>
    <x v="1"/>
    <n v="377.79"/>
    <n v="21"/>
    <n v="127.89"/>
  </r>
  <r>
    <x v="10"/>
    <x v="36"/>
    <x v="35"/>
    <x v="1"/>
    <n v="239.88"/>
    <n v="12"/>
    <n v="86.28"/>
  </r>
  <r>
    <x v="10"/>
    <x v="37"/>
    <x v="29"/>
    <x v="3"/>
    <n v="1271.4"/>
    <n v="260"/>
    <n v="348.4"/>
  </r>
  <r>
    <x v="10"/>
    <x v="38"/>
    <x v="28"/>
    <x v="3"/>
    <n v="547.6799999999999"/>
    <n v="112"/>
    <n v="150.08"/>
  </r>
  <r>
    <x v="10"/>
    <x v="39"/>
    <x v="31"/>
    <x v="3"/>
    <n v="197.34"/>
    <n v="46"/>
    <n v="73.14"/>
  </r>
  <r>
    <x v="10"/>
    <x v="40"/>
    <x v="32"/>
    <x v="7"/>
    <n v="155.61"/>
    <n v="39"/>
    <n v="93.20999999999999"/>
  </r>
  <r>
    <x v="10"/>
    <x v="41"/>
    <x v="43"/>
    <x v="7"/>
    <n v="104.93"/>
    <n v="7"/>
    <n v="47.53"/>
  </r>
  <r>
    <x v="10"/>
    <x v="42"/>
    <x v="1"/>
    <x v="9"/>
    <n v="157.32"/>
    <n v="228"/>
    <n v="70.68000000000001"/>
  </r>
  <r>
    <x v="10"/>
    <x v="43"/>
    <x v="0"/>
    <x v="9"/>
    <n v="109.56"/>
    <n v="44"/>
    <n v="47.96"/>
  </r>
  <r>
    <x v="10"/>
    <x v="44"/>
    <x v="48"/>
    <x v="9"/>
    <n v="80.82000000000001"/>
    <n v="18"/>
    <n v="34.02"/>
  </r>
  <r>
    <x v="10"/>
    <x v="45"/>
    <x v="36"/>
    <x v="10"/>
    <n v="706.23"/>
    <n v="177"/>
    <n v="334.53"/>
  </r>
  <r>
    <x v="10"/>
    <x v="46"/>
    <x v="8"/>
    <x v="10"/>
    <n v="664.29"/>
    <n v="121"/>
    <n v="277.09"/>
  </r>
  <r>
    <x v="10"/>
    <x v="47"/>
    <x v="30"/>
    <x v="10"/>
    <n v="265.98"/>
    <n v="62"/>
    <n v="104.78"/>
  </r>
  <r>
    <x v="10"/>
    <x v="48"/>
    <x v="11"/>
    <x v="10"/>
    <n v="242.46"/>
    <n v="54"/>
    <n v="112.86"/>
  </r>
  <r>
    <x v="10"/>
    <x v="49"/>
    <x v="27"/>
    <x v="10"/>
    <n v="268.66"/>
    <n v="84"/>
    <n v="125.86"/>
  </r>
  <r>
    <x v="11"/>
    <x v="0"/>
    <x v="46"/>
    <x v="0"/>
    <n v="495.58"/>
    <n v="142"/>
    <n v="183.18"/>
  </r>
  <r>
    <x v="11"/>
    <x v="1"/>
    <x v="49"/>
    <x v="0"/>
    <n v="386.1"/>
    <n v="90"/>
    <n v="143.1"/>
  </r>
  <r>
    <x v="11"/>
    <x v="2"/>
    <x v="13"/>
    <x v="0"/>
    <n v="245.59"/>
    <n v="41"/>
    <n v="110.29"/>
  </r>
  <r>
    <x v="11"/>
    <x v="3"/>
    <x v="3"/>
    <x v="2"/>
    <n v="223.68"/>
    <n v="32"/>
    <n v="98.88"/>
  </r>
  <r>
    <x v="11"/>
    <x v="4"/>
    <x v="16"/>
    <x v="2"/>
    <n v="660.66"/>
    <n v="154"/>
    <n v="329.56"/>
  </r>
  <r>
    <x v="11"/>
    <x v="5"/>
    <x v="10"/>
    <x v="2"/>
    <n v="359.2"/>
    <n v="80"/>
    <n v="175.2"/>
  </r>
  <r>
    <x v="11"/>
    <x v="6"/>
    <x v="42"/>
    <x v="2"/>
    <n v="191.73"/>
    <n v="77"/>
    <n v="107.03"/>
  </r>
  <r>
    <x v="11"/>
    <x v="7"/>
    <x v="24"/>
    <x v="2"/>
    <n v="429.14"/>
    <n v="86"/>
    <n v="196.94"/>
  </r>
  <r>
    <x v="11"/>
    <x v="8"/>
    <x v="26"/>
    <x v="2"/>
    <n v="148.49"/>
    <n v="31"/>
    <n v="67.89"/>
  </r>
  <r>
    <x v="11"/>
    <x v="9"/>
    <x v="2"/>
    <x v="2"/>
    <n v="340.86"/>
    <n v="114"/>
    <n v="232.56"/>
  </r>
  <r>
    <x v="11"/>
    <x v="10"/>
    <x v="4"/>
    <x v="3"/>
    <n v="307.09"/>
    <n v="41"/>
    <n v="77.48999999999999"/>
  </r>
  <r>
    <x v="11"/>
    <x v="11"/>
    <x v="20"/>
    <x v="3"/>
    <n v="287.64"/>
    <n v="36"/>
    <n v="104.04"/>
  </r>
  <r>
    <x v="11"/>
    <x v="12"/>
    <x v="6"/>
    <x v="3"/>
    <n v="349.75"/>
    <n v="25"/>
    <n v="89.75"/>
  </r>
  <r>
    <x v="11"/>
    <x v="13"/>
    <x v="23"/>
    <x v="5"/>
    <n v="287.68"/>
    <n v="32"/>
    <n v="114.88"/>
  </r>
  <r>
    <x v="11"/>
    <x v="14"/>
    <x v="22"/>
    <x v="5"/>
    <n v="191.36"/>
    <n v="64"/>
    <n v="114.56"/>
  </r>
  <r>
    <x v="11"/>
    <x v="15"/>
    <x v="19"/>
    <x v="5"/>
    <n v="375.53"/>
    <n v="47"/>
    <n v="154.63"/>
  </r>
  <r>
    <x v="11"/>
    <x v="16"/>
    <x v="18"/>
    <x v="5"/>
    <n v="347.71"/>
    <n v="29"/>
    <n v="141.81"/>
  </r>
  <r>
    <x v="11"/>
    <x v="17"/>
    <x v="7"/>
    <x v="4"/>
    <n v="936.25"/>
    <n v="125"/>
    <n v="448.75"/>
  </r>
  <r>
    <x v="11"/>
    <x v="18"/>
    <x v="44"/>
    <x v="4"/>
    <n v="659.34"/>
    <n v="66"/>
    <n v="289.74"/>
  </r>
  <r>
    <x v="11"/>
    <x v="19"/>
    <x v="21"/>
    <x v="4"/>
    <n v="867.42"/>
    <n v="158"/>
    <n v="488.22"/>
  </r>
  <r>
    <x v="11"/>
    <x v="20"/>
    <x v="38"/>
    <x v="4"/>
    <n v="340.69"/>
    <n v="31"/>
    <n v="148.49"/>
  </r>
  <r>
    <x v="11"/>
    <x v="21"/>
    <x v="17"/>
    <x v="4"/>
    <n v="535.97"/>
    <n v="93"/>
    <n v="238.37"/>
  </r>
  <r>
    <x v="11"/>
    <x v="22"/>
    <x v="25"/>
    <x v="6"/>
    <n v="395.12"/>
    <n v="88"/>
    <n v="166.32"/>
  </r>
  <r>
    <x v="11"/>
    <x v="23"/>
    <x v="5"/>
    <x v="6"/>
    <n v="190.82"/>
    <n v="58"/>
    <n v="80.62"/>
  </r>
  <r>
    <x v="11"/>
    <x v="24"/>
    <x v="33"/>
    <x v="6"/>
    <n v="122.01"/>
    <n v="49"/>
    <n v="58.31"/>
  </r>
  <r>
    <x v="11"/>
    <x v="25"/>
    <x v="41"/>
    <x v="6"/>
    <n v="171.57"/>
    <n v="43"/>
    <n v="72.67"/>
  </r>
  <r>
    <x v="11"/>
    <x v="26"/>
    <x v="39"/>
    <x v="6"/>
    <n v="76.64"/>
    <n v="16"/>
    <n v="30.24"/>
  </r>
  <r>
    <x v="11"/>
    <x v="27"/>
    <x v="45"/>
    <x v="6"/>
    <n v="149.27"/>
    <n v="23"/>
    <n v="57.27"/>
  </r>
  <r>
    <x v="11"/>
    <x v="28"/>
    <x v="15"/>
    <x v="6"/>
    <n v="780.29"/>
    <n v="71"/>
    <n v="198.09"/>
  </r>
  <r>
    <x v="11"/>
    <x v="29"/>
    <x v="9"/>
    <x v="6"/>
    <n v="215.82"/>
    <n v="18"/>
    <n v="79.02"/>
  </r>
  <r>
    <x v="11"/>
    <x v="30"/>
    <x v="47"/>
    <x v="8"/>
    <n v="305.66"/>
    <n v="34"/>
    <n v="105.06"/>
  </r>
  <r>
    <x v="11"/>
    <x v="31"/>
    <x v="14"/>
    <x v="8"/>
    <n v="89.82000000000001"/>
    <n v="18"/>
    <n v="37.62"/>
  </r>
  <r>
    <x v="11"/>
    <x v="32"/>
    <x v="34"/>
    <x v="8"/>
    <n v="134.91"/>
    <n v="9"/>
    <n v="85.41"/>
  </r>
  <r>
    <x v="11"/>
    <x v="33"/>
    <x v="12"/>
    <x v="1"/>
    <n v="551.76"/>
    <n v="24"/>
    <n v="184.56"/>
  </r>
  <r>
    <x v="11"/>
    <x v="34"/>
    <x v="40"/>
    <x v="1"/>
    <n v="383.76"/>
    <n v="24"/>
    <n v="138.96"/>
  </r>
  <r>
    <x v="11"/>
    <x v="35"/>
    <x v="37"/>
    <x v="1"/>
    <n v="233.87"/>
    <n v="13"/>
    <n v="79.17"/>
  </r>
  <r>
    <x v="11"/>
    <x v="36"/>
    <x v="35"/>
    <x v="1"/>
    <n v="359.82"/>
    <n v="18"/>
    <n v="129.42"/>
  </r>
  <r>
    <x v="11"/>
    <x v="37"/>
    <x v="29"/>
    <x v="3"/>
    <n v="1422.99"/>
    <n v="291"/>
    <n v="389.94"/>
  </r>
  <r>
    <x v="11"/>
    <x v="38"/>
    <x v="28"/>
    <x v="3"/>
    <n v="650.37"/>
    <n v="133"/>
    <n v="178.22"/>
  </r>
  <r>
    <x v="11"/>
    <x v="39"/>
    <x v="31"/>
    <x v="3"/>
    <n v="253.11"/>
    <n v="59"/>
    <n v="93.81"/>
  </r>
  <r>
    <x v="11"/>
    <x v="40"/>
    <x v="32"/>
    <x v="7"/>
    <n v="171.57"/>
    <n v="43"/>
    <n v="102.77"/>
  </r>
  <r>
    <x v="11"/>
    <x v="41"/>
    <x v="43"/>
    <x v="7"/>
    <n v="149.9"/>
    <n v="10"/>
    <n v="67.90000000000001"/>
  </r>
  <r>
    <x v="11"/>
    <x v="42"/>
    <x v="1"/>
    <x v="9"/>
    <n v="144.9"/>
    <n v="210"/>
    <n v="65.09999999999999"/>
  </r>
  <r>
    <x v="11"/>
    <x v="43"/>
    <x v="0"/>
    <x v="9"/>
    <n v="126.99"/>
    <n v="51"/>
    <n v="55.59"/>
  </r>
  <r>
    <x v="11"/>
    <x v="44"/>
    <x v="48"/>
    <x v="9"/>
    <n v="112.25"/>
    <n v="25"/>
    <n v="47.25"/>
  </r>
  <r>
    <x v="11"/>
    <x v="45"/>
    <x v="36"/>
    <x v="10"/>
    <n v="626.4299999999999"/>
    <n v="157"/>
    <n v="296.73"/>
  </r>
  <r>
    <x v="11"/>
    <x v="46"/>
    <x v="8"/>
    <x v="10"/>
    <n v="620.37"/>
    <n v="113"/>
    <n v="258.77"/>
  </r>
  <r>
    <x v="11"/>
    <x v="47"/>
    <x v="30"/>
    <x v="10"/>
    <n v="248.82"/>
    <n v="58"/>
    <n v="98.02"/>
  </r>
  <r>
    <x v="11"/>
    <x v="48"/>
    <x v="11"/>
    <x v="10"/>
    <n v="296.34"/>
    <n v="66"/>
    <n v="137.94"/>
  </r>
  <r>
    <x v="11"/>
    <x v="49"/>
    <x v="27"/>
    <x v="10"/>
    <n v="216.38"/>
    <n v="62"/>
    <n v="110.98"/>
  </r>
  <r>
    <x v="12"/>
    <x v="0"/>
    <x v="46"/>
    <x v="0"/>
    <n v="478.13"/>
    <n v="137"/>
    <n v="176.73"/>
  </r>
  <r>
    <x v="12"/>
    <x v="1"/>
    <x v="49"/>
    <x v="0"/>
    <n v="450.45"/>
    <n v="105"/>
    <n v="166.95"/>
  </r>
  <r>
    <x v="12"/>
    <x v="2"/>
    <x v="13"/>
    <x v="0"/>
    <n v="281.53"/>
    <n v="47"/>
    <n v="126.43"/>
  </r>
  <r>
    <x v="12"/>
    <x v="3"/>
    <x v="3"/>
    <x v="2"/>
    <n v="223.68"/>
    <n v="32"/>
    <n v="98.88"/>
  </r>
  <r>
    <x v="12"/>
    <x v="4"/>
    <x v="16"/>
    <x v="2"/>
    <n v="583.4400000000001"/>
    <n v="136"/>
    <n v="291.04"/>
  </r>
  <r>
    <x v="12"/>
    <x v="5"/>
    <x v="10"/>
    <x v="2"/>
    <n v="354.71"/>
    <n v="79"/>
    <n v="173.01"/>
  </r>
  <r>
    <x v="12"/>
    <x v="6"/>
    <x v="42"/>
    <x v="2"/>
    <n v="131.97"/>
    <n v="53"/>
    <n v="73.67"/>
  </r>
  <r>
    <x v="12"/>
    <x v="7"/>
    <x v="24"/>
    <x v="2"/>
    <n v="419.16"/>
    <n v="84"/>
    <n v="192.36"/>
  </r>
  <r>
    <x v="12"/>
    <x v="8"/>
    <x v="26"/>
    <x v="2"/>
    <n v="148.49"/>
    <n v="31"/>
    <n v="67.89"/>
  </r>
  <r>
    <x v="12"/>
    <x v="9"/>
    <x v="2"/>
    <x v="2"/>
    <n v="340.86"/>
    <n v="114"/>
    <n v="232.56"/>
  </r>
  <r>
    <x v="12"/>
    <x v="10"/>
    <x v="4"/>
    <x v="3"/>
    <n v="396.97"/>
    <n v="53"/>
    <n v="100.17"/>
  </r>
  <r>
    <x v="12"/>
    <x v="11"/>
    <x v="20"/>
    <x v="3"/>
    <n v="287.64"/>
    <n v="36"/>
    <n v="104.04"/>
  </r>
  <r>
    <x v="12"/>
    <x v="12"/>
    <x v="6"/>
    <x v="3"/>
    <n v="251.82"/>
    <n v="18"/>
    <n v="64.62"/>
  </r>
  <r>
    <x v="12"/>
    <x v="13"/>
    <x v="23"/>
    <x v="5"/>
    <n v="332.63"/>
    <n v="37"/>
    <n v="132.83"/>
  </r>
  <r>
    <x v="12"/>
    <x v="14"/>
    <x v="22"/>
    <x v="5"/>
    <n v="164.38"/>
    <n v="62"/>
    <n v="89.98"/>
  </r>
  <r>
    <x v="12"/>
    <x v="15"/>
    <x v="19"/>
    <x v="5"/>
    <n v="279.65"/>
    <n v="35"/>
    <n v="115.15"/>
  </r>
  <r>
    <x v="12"/>
    <x v="16"/>
    <x v="18"/>
    <x v="5"/>
    <n v="443.63"/>
    <n v="37"/>
    <n v="180.93"/>
  </r>
  <r>
    <x v="12"/>
    <x v="17"/>
    <x v="7"/>
    <x v="4"/>
    <n v="973.6999999999999"/>
    <n v="130"/>
    <n v="466.7"/>
  </r>
  <r>
    <x v="12"/>
    <x v="18"/>
    <x v="44"/>
    <x v="4"/>
    <n v="609.39"/>
    <n v="61"/>
    <n v="267.79"/>
  </r>
  <r>
    <x v="12"/>
    <x v="19"/>
    <x v="21"/>
    <x v="4"/>
    <n v="839.97"/>
    <n v="153"/>
    <n v="472.77"/>
  </r>
  <r>
    <x v="12"/>
    <x v="20"/>
    <x v="38"/>
    <x v="4"/>
    <n v="373.66"/>
    <n v="34"/>
    <n v="162.86"/>
  </r>
  <r>
    <x v="12"/>
    <x v="21"/>
    <x v="17"/>
    <x v="4"/>
    <n v="395.89"/>
    <n v="61"/>
    <n v="200.69"/>
  </r>
  <r>
    <x v="12"/>
    <x v="22"/>
    <x v="25"/>
    <x v="6"/>
    <n v="462.47"/>
    <n v="103"/>
    <n v="194.67"/>
  </r>
  <r>
    <x v="12"/>
    <x v="23"/>
    <x v="5"/>
    <x v="6"/>
    <n v="157.92"/>
    <n v="48"/>
    <n v="66.72"/>
  </r>
  <r>
    <x v="12"/>
    <x v="24"/>
    <x v="33"/>
    <x v="6"/>
    <n v="89.64"/>
    <n v="36"/>
    <n v="42.84"/>
  </r>
  <r>
    <x v="12"/>
    <x v="25"/>
    <x v="41"/>
    <x v="6"/>
    <n v="115.71"/>
    <n v="29"/>
    <n v="49.01"/>
  </r>
  <r>
    <x v="12"/>
    <x v="26"/>
    <x v="39"/>
    <x v="6"/>
    <n v="81.43000000000001"/>
    <n v="17"/>
    <n v="32.13"/>
  </r>
  <r>
    <x v="12"/>
    <x v="27"/>
    <x v="45"/>
    <x v="6"/>
    <n v="181.72"/>
    <n v="28"/>
    <n v="69.72"/>
  </r>
  <r>
    <x v="12"/>
    <x v="28"/>
    <x v="15"/>
    <x v="6"/>
    <n v="670.39"/>
    <n v="61"/>
    <n v="170.19"/>
  </r>
  <r>
    <x v="12"/>
    <x v="29"/>
    <x v="9"/>
    <x v="6"/>
    <n v="299.75"/>
    <n v="25"/>
    <n v="109.75"/>
  </r>
  <r>
    <x v="12"/>
    <x v="30"/>
    <x v="47"/>
    <x v="8"/>
    <n v="287.68"/>
    <n v="32"/>
    <n v="98.88"/>
  </r>
  <r>
    <x v="12"/>
    <x v="31"/>
    <x v="14"/>
    <x v="8"/>
    <n v="94.81"/>
    <n v="19"/>
    <n v="39.71"/>
  </r>
  <r>
    <x v="12"/>
    <x v="32"/>
    <x v="34"/>
    <x v="8"/>
    <n v="149.9"/>
    <n v="10"/>
    <n v="94.90000000000001"/>
  </r>
  <r>
    <x v="12"/>
    <x v="33"/>
    <x v="12"/>
    <x v="1"/>
    <n v="735.6799999999999"/>
    <n v="32"/>
    <n v="246.08"/>
  </r>
  <r>
    <x v="12"/>
    <x v="34"/>
    <x v="40"/>
    <x v="1"/>
    <n v="383.76"/>
    <n v="24"/>
    <n v="138.96"/>
  </r>
  <r>
    <x v="12"/>
    <x v="35"/>
    <x v="37"/>
    <x v="1"/>
    <n v="377.79"/>
    <n v="21"/>
    <n v="127.89"/>
  </r>
  <r>
    <x v="12"/>
    <x v="36"/>
    <x v="35"/>
    <x v="1"/>
    <n v="439.78"/>
    <n v="22"/>
    <n v="158.18"/>
  </r>
  <r>
    <x v="12"/>
    <x v="37"/>
    <x v="29"/>
    <x v="3"/>
    <n v="1334.97"/>
    <n v="273"/>
    <n v="365.82"/>
  </r>
  <r>
    <x v="12"/>
    <x v="38"/>
    <x v="28"/>
    <x v="3"/>
    <n v="547.6799999999999"/>
    <n v="112"/>
    <n v="150.08"/>
  </r>
  <r>
    <x v="12"/>
    <x v="39"/>
    <x v="31"/>
    <x v="3"/>
    <n v="184.47"/>
    <n v="43"/>
    <n v="68.37"/>
  </r>
  <r>
    <x v="12"/>
    <x v="40"/>
    <x v="32"/>
    <x v="7"/>
    <n v="103.74"/>
    <n v="26"/>
    <n v="62.14"/>
  </r>
  <r>
    <x v="12"/>
    <x v="41"/>
    <x v="43"/>
    <x v="7"/>
    <n v="104.93"/>
    <n v="7"/>
    <n v="47.53"/>
  </r>
  <r>
    <x v="12"/>
    <x v="42"/>
    <x v="1"/>
    <x v="9"/>
    <n v="150.42"/>
    <n v="218"/>
    <n v="67.58"/>
  </r>
  <r>
    <x v="12"/>
    <x v="43"/>
    <x v="0"/>
    <x v="9"/>
    <n v="124.5"/>
    <n v="50"/>
    <n v="54.5"/>
  </r>
  <r>
    <x v="12"/>
    <x v="44"/>
    <x v="48"/>
    <x v="9"/>
    <n v="166.13"/>
    <n v="37"/>
    <n v="69.93000000000001"/>
  </r>
  <r>
    <x v="12"/>
    <x v="45"/>
    <x v="36"/>
    <x v="10"/>
    <n v="570.5700000000001"/>
    <n v="143"/>
    <n v="270.27"/>
  </r>
  <r>
    <x v="12"/>
    <x v="46"/>
    <x v="8"/>
    <x v="10"/>
    <n v="488.61"/>
    <n v="89"/>
    <n v="203.81"/>
  </r>
  <r>
    <x v="12"/>
    <x v="47"/>
    <x v="30"/>
    <x v="10"/>
    <n v="283.91"/>
    <n v="75"/>
    <n v="88.91"/>
  </r>
  <r>
    <x v="12"/>
    <x v="48"/>
    <x v="11"/>
    <x v="10"/>
    <n v="233.48"/>
    <n v="52"/>
    <n v="108.68"/>
  </r>
  <r>
    <x v="12"/>
    <x v="49"/>
    <x v="27"/>
    <x v="10"/>
    <n v="191.95"/>
    <n v="55"/>
    <n v="98.45"/>
  </r>
  <r>
    <x v="13"/>
    <x v="0"/>
    <x v="46"/>
    <x v="0"/>
    <n v="537.46"/>
    <n v="154"/>
    <n v="198.66"/>
  </r>
  <r>
    <x v="13"/>
    <x v="1"/>
    <x v="49"/>
    <x v="0"/>
    <n v="377.52"/>
    <n v="88"/>
    <n v="139.92"/>
  </r>
  <r>
    <x v="13"/>
    <x v="2"/>
    <x v="13"/>
    <x v="0"/>
    <n v="335.44"/>
    <n v="56"/>
    <n v="150.64"/>
  </r>
  <r>
    <x v="13"/>
    <x v="3"/>
    <x v="3"/>
    <x v="2"/>
    <n v="209.7"/>
    <n v="30"/>
    <n v="92.7"/>
  </r>
  <r>
    <x v="13"/>
    <x v="4"/>
    <x v="16"/>
    <x v="2"/>
    <n v="626.34"/>
    <n v="146"/>
    <n v="312.44"/>
  </r>
  <r>
    <x v="13"/>
    <x v="5"/>
    <x v="10"/>
    <x v="2"/>
    <n v="287.36"/>
    <n v="64"/>
    <n v="140.16"/>
  </r>
  <r>
    <x v="13"/>
    <x v="6"/>
    <x v="42"/>
    <x v="2"/>
    <n v="159.36"/>
    <n v="64"/>
    <n v="88.95999999999999"/>
  </r>
  <r>
    <x v="13"/>
    <x v="7"/>
    <x v="24"/>
    <x v="2"/>
    <n v="334.33"/>
    <n v="67"/>
    <n v="153.43"/>
  </r>
  <r>
    <x v="13"/>
    <x v="8"/>
    <x v="26"/>
    <x v="2"/>
    <n v="186.81"/>
    <n v="39"/>
    <n v="85.41"/>
  </r>
  <r>
    <x v="13"/>
    <x v="9"/>
    <x v="2"/>
    <x v="2"/>
    <n v="370.76"/>
    <n v="124"/>
    <n v="252.96"/>
  </r>
  <r>
    <x v="13"/>
    <x v="10"/>
    <x v="4"/>
    <x v="3"/>
    <n v="299.6"/>
    <n v="40"/>
    <n v="75.59999999999999"/>
  </r>
  <r>
    <x v="13"/>
    <x v="11"/>
    <x v="20"/>
    <x v="3"/>
    <n v="215.73"/>
    <n v="27"/>
    <n v="78.03"/>
  </r>
  <r>
    <x v="13"/>
    <x v="12"/>
    <x v="6"/>
    <x v="3"/>
    <n v="405.71"/>
    <n v="29"/>
    <n v="104.11"/>
  </r>
  <r>
    <x v="13"/>
    <x v="13"/>
    <x v="23"/>
    <x v="5"/>
    <n v="368.59"/>
    <n v="41"/>
    <n v="147.19"/>
  </r>
  <r>
    <x v="13"/>
    <x v="14"/>
    <x v="22"/>
    <x v="5"/>
    <n v="182.39"/>
    <n v="61"/>
    <n v="109.19"/>
  </r>
  <r>
    <x v="13"/>
    <x v="15"/>
    <x v="19"/>
    <x v="5"/>
    <n v="375.53"/>
    <n v="47"/>
    <n v="154.63"/>
  </r>
  <r>
    <x v="13"/>
    <x v="16"/>
    <x v="18"/>
    <x v="5"/>
    <n v="539.5500000000001"/>
    <n v="45"/>
    <n v="220.05"/>
  </r>
  <r>
    <x v="13"/>
    <x v="17"/>
    <x v="7"/>
    <x v="4"/>
    <n v="1071.07"/>
    <n v="143"/>
    <n v="513.37"/>
  </r>
  <r>
    <x v="13"/>
    <x v="18"/>
    <x v="44"/>
    <x v="4"/>
    <n v="739.26"/>
    <n v="74"/>
    <n v="324.86"/>
  </r>
  <r>
    <x v="13"/>
    <x v="19"/>
    <x v="21"/>
    <x v="4"/>
    <n v="752.13"/>
    <n v="137"/>
    <n v="423.33"/>
  </r>
  <r>
    <x v="13"/>
    <x v="20"/>
    <x v="38"/>
    <x v="4"/>
    <n v="406.63"/>
    <n v="37"/>
    <n v="177.23"/>
  </r>
  <r>
    <x v="13"/>
    <x v="21"/>
    <x v="17"/>
    <x v="4"/>
    <n v="421.85"/>
    <n v="65"/>
    <n v="213.85"/>
  </r>
  <r>
    <x v="13"/>
    <x v="22"/>
    <x v="25"/>
    <x v="6"/>
    <n v="489.41"/>
    <n v="109"/>
    <n v="206.01"/>
  </r>
  <r>
    <x v="13"/>
    <x v="23"/>
    <x v="5"/>
    <x v="6"/>
    <n v="190.82"/>
    <n v="58"/>
    <n v="80.62"/>
  </r>
  <r>
    <x v="13"/>
    <x v="24"/>
    <x v="33"/>
    <x v="6"/>
    <n v="129.48"/>
    <n v="52"/>
    <n v="61.88"/>
  </r>
  <r>
    <x v="13"/>
    <x v="25"/>
    <x v="41"/>
    <x v="6"/>
    <n v="175.56"/>
    <n v="44"/>
    <n v="74.36"/>
  </r>
  <r>
    <x v="13"/>
    <x v="26"/>
    <x v="39"/>
    <x v="6"/>
    <n v="86.22"/>
    <n v="18"/>
    <n v="34.02"/>
  </r>
  <r>
    <x v="13"/>
    <x v="27"/>
    <x v="45"/>
    <x v="6"/>
    <n v="116.82"/>
    <n v="18"/>
    <n v="44.82"/>
  </r>
  <r>
    <x v="13"/>
    <x v="28"/>
    <x v="15"/>
    <x v="6"/>
    <n v="747.3199999999999"/>
    <n v="68"/>
    <n v="189.72"/>
  </r>
  <r>
    <x v="13"/>
    <x v="29"/>
    <x v="9"/>
    <x v="6"/>
    <n v="302.12"/>
    <n v="28"/>
    <n v="89.31999999999999"/>
  </r>
  <r>
    <x v="13"/>
    <x v="30"/>
    <x v="47"/>
    <x v="8"/>
    <n v="296.67"/>
    <n v="33"/>
    <n v="101.97"/>
  </r>
  <r>
    <x v="13"/>
    <x v="31"/>
    <x v="14"/>
    <x v="8"/>
    <n v="64.87"/>
    <n v="13"/>
    <n v="27.17"/>
  </r>
  <r>
    <x v="13"/>
    <x v="32"/>
    <x v="34"/>
    <x v="8"/>
    <n v="164.89"/>
    <n v="11"/>
    <n v="104.39"/>
  </r>
  <r>
    <x v="13"/>
    <x v="33"/>
    <x v="12"/>
    <x v="1"/>
    <n v="896.6099999999999"/>
    <n v="39"/>
    <n v="299.91"/>
  </r>
  <r>
    <x v="13"/>
    <x v="34"/>
    <x v="40"/>
    <x v="1"/>
    <n v="463.71"/>
    <n v="29"/>
    <n v="167.91"/>
  </r>
  <r>
    <x v="13"/>
    <x v="35"/>
    <x v="37"/>
    <x v="1"/>
    <n v="539.7"/>
    <n v="30"/>
    <n v="182.7"/>
  </r>
  <r>
    <x v="13"/>
    <x v="36"/>
    <x v="35"/>
    <x v="1"/>
    <n v="259.8699999999999"/>
    <n v="13"/>
    <n v="93.47"/>
  </r>
  <r>
    <x v="13"/>
    <x v="37"/>
    <x v="29"/>
    <x v="3"/>
    <n v="1237.17"/>
    <n v="253"/>
    <n v="339.02"/>
  </r>
  <r>
    <x v="13"/>
    <x v="38"/>
    <x v="28"/>
    <x v="3"/>
    <n v="616.14"/>
    <n v="126"/>
    <n v="168.84"/>
  </r>
  <r>
    <x v="13"/>
    <x v="39"/>
    <x v="31"/>
    <x v="3"/>
    <n v="240.24"/>
    <n v="56"/>
    <n v="89.04000000000001"/>
  </r>
  <r>
    <x v="13"/>
    <x v="40"/>
    <x v="32"/>
    <x v="7"/>
    <n v="175.56"/>
    <n v="44"/>
    <n v="105.16"/>
  </r>
  <r>
    <x v="13"/>
    <x v="41"/>
    <x v="43"/>
    <x v="7"/>
    <n v="254.83"/>
    <n v="17"/>
    <n v="115.43"/>
  </r>
  <r>
    <x v="13"/>
    <x v="42"/>
    <x v="1"/>
    <x v="9"/>
    <n v="138"/>
    <n v="200"/>
    <n v="62"/>
  </r>
  <r>
    <x v="13"/>
    <x v="43"/>
    <x v="0"/>
    <x v="9"/>
    <n v="107.07"/>
    <n v="43"/>
    <n v="46.87"/>
  </r>
  <r>
    <x v="13"/>
    <x v="44"/>
    <x v="48"/>
    <x v="9"/>
    <n v="112.22"/>
    <n v="28"/>
    <n v="39.42"/>
  </r>
  <r>
    <x v="13"/>
    <x v="45"/>
    <x v="36"/>
    <x v="10"/>
    <n v="626.4300000000001"/>
    <n v="157"/>
    <n v="296.73"/>
  </r>
  <r>
    <x v="13"/>
    <x v="46"/>
    <x v="8"/>
    <x v="10"/>
    <n v="538.02"/>
    <n v="98"/>
    <n v="224.42"/>
  </r>
  <r>
    <x v="13"/>
    <x v="47"/>
    <x v="30"/>
    <x v="10"/>
    <n v="274.56"/>
    <n v="64"/>
    <n v="108.16"/>
  </r>
  <r>
    <x v="13"/>
    <x v="48"/>
    <x v="11"/>
    <x v="10"/>
    <n v="202.05"/>
    <n v="45"/>
    <n v="94.05"/>
  </r>
  <r>
    <x v="13"/>
    <x v="49"/>
    <x v="27"/>
    <x v="10"/>
    <n v="293.16"/>
    <n v="84"/>
    <n v="150.36"/>
  </r>
  <r>
    <x v="14"/>
    <x v="0"/>
    <x v="46"/>
    <x v="0"/>
    <n v="502.56"/>
    <n v="144"/>
    <n v="185.76"/>
  </r>
  <r>
    <x v="14"/>
    <x v="1"/>
    <x v="49"/>
    <x v="0"/>
    <n v="356.07"/>
    <n v="83"/>
    <n v="131.97"/>
  </r>
  <r>
    <x v="14"/>
    <x v="2"/>
    <x v="13"/>
    <x v="0"/>
    <n v="263.56"/>
    <n v="44"/>
    <n v="118.36"/>
  </r>
  <r>
    <x v="14"/>
    <x v="3"/>
    <x v="3"/>
    <x v="2"/>
    <n v="230.67"/>
    <n v="33"/>
    <n v="101.97"/>
  </r>
  <r>
    <x v="14"/>
    <x v="4"/>
    <x v="16"/>
    <x v="2"/>
    <n v="604.89"/>
    <n v="141"/>
    <n v="301.74"/>
  </r>
  <r>
    <x v="14"/>
    <x v="5"/>
    <x v="10"/>
    <x v="2"/>
    <n v="300.83"/>
    <n v="67"/>
    <n v="146.73"/>
  </r>
  <r>
    <x v="14"/>
    <x v="6"/>
    <x v="42"/>
    <x v="2"/>
    <n v="176.79"/>
    <n v="71"/>
    <n v="98.69"/>
  </r>
  <r>
    <x v="14"/>
    <x v="7"/>
    <x v="24"/>
    <x v="2"/>
    <n v="299.4"/>
    <n v="60"/>
    <n v="137.4"/>
  </r>
  <r>
    <x v="14"/>
    <x v="8"/>
    <x v="26"/>
    <x v="2"/>
    <n v="158.07"/>
    <n v="33"/>
    <n v="72.27"/>
  </r>
  <r>
    <x v="14"/>
    <x v="9"/>
    <x v="2"/>
    <x v="2"/>
    <n v="397.67"/>
    <n v="133"/>
    <n v="271.32"/>
  </r>
  <r>
    <x v="14"/>
    <x v="10"/>
    <x v="4"/>
    <x v="3"/>
    <n v="277.13"/>
    <n v="37"/>
    <n v="69.93000000000001"/>
  </r>
  <r>
    <x v="14"/>
    <x v="11"/>
    <x v="20"/>
    <x v="3"/>
    <n v="239.7"/>
    <n v="30"/>
    <n v="86.7"/>
  </r>
  <r>
    <x v="14"/>
    <x v="12"/>
    <x v="6"/>
    <x v="3"/>
    <n v="657.53"/>
    <n v="47"/>
    <n v="168.73"/>
  </r>
  <r>
    <x v="14"/>
    <x v="13"/>
    <x v="23"/>
    <x v="5"/>
    <n v="413.54"/>
    <n v="46"/>
    <n v="165.14"/>
  </r>
  <r>
    <x v="14"/>
    <x v="14"/>
    <x v="22"/>
    <x v="5"/>
    <n v="200.33"/>
    <n v="67"/>
    <n v="119.93"/>
  </r>
  <r>
    <x v="14"/>
    <x v="15"/>
    <x v="19"/>
    <x v="5"/>
    <n v="375.53"/>
    <n v="47"/>
    <n v="154.63"/>
  </r>
  <r>
    <x v="14"/>
    <x v="16"/>
    <x v="18"/>
    <x v="5"/>
    <n v="479.6"/>
    <n v="40"/>
    <n v="195.6"/>
  </r>
  <r>
    <x v="14"/>
    <x v="17"/>
    <x v="7"/>
    <x v="4"/>
    <n v="1018.64"/>
    <n v="136"/>
    <n v="488.24"/>
  </r>
  <r>
    <x v="14"/>
    <x v="18"/>
    <x v="44"/>
    <x v="4"/>
    <n v="639.36"/>
    <n v="64"/>
    <n v="280.96"/>
  </r>
  <r>
    <x v="14"/>
    <x v="19"/>
    <x v="21"/>
    <x v="4"/>
    <n v="836.49"/>
    <n v="171"/>
    <n v="426.09"/>
  </r>
  <r>
    <x v="14"/>
    <x v="20"/>
    <x v="38"/>
    <x v="4"/>
    <n v="384.65"/>
    <n v="35"/>
    <n v="167.65"/>
  </r>
  <r>
    <x v="14"/>
    <x v="21"/>
    <x v="17"/>
    <x v="4"/>
    <n v="499.73"/>
    <n v="77"/>
    <n v="253.33"/>
  </r>
  <r>
    <x v="14"/>
    <x v="22"/>
    <x v="25"/>
    <x v="6"/>
    <n v="426.55"/>
    <n v="95"/>
    <n v="179.55"/>
  </r>
  <r>
    <x v="14"/>
    <x v="23"/>
    <x v="5"/>
    <x v="6"/>
    <n v="161.21"/>
    <n v="49"/>
    <n v="68.11"/>
  </r>
  <r>
    <x v="14"/>
    <x v="24"/>
    <x v="33"/>
    <x v="6"/>
    <n v="114.54"/>
    <n v="46"/>
    <n v="54.74"/>
  </r>
  <r>
    <x v="14"/>
    <x v="25"/>
    <x v="41"/>
    <x v="6"/>
    <n v="141.21"/>
    <n v="39"/>
    <n v="51.51"/>
  </r>
  <r>
    <x v="14"/>
    <x v="26"/>
    <x v="39"/>
    <x v="6"/>
    <n v="71.84999999999999"/>
    <n v="15"/>
    <n v="28.35"/>
  </r>
  <r>
    <x v="14"/>
    <x v="27"/>
    <x v="45"/>
    <x v="6"/>
    <n v="136.29"/>
    <n v="21"/>
    <n v="52.29"/>
  </r>
  <r>
    <x v="14"/>
    <x v="28"/>
    <x v="15"/>
    <x v="6"/>
    <n v="791.28"/>
    <n v="72"/>
    <n v="200.88"/>
  </r>
  <r>
    <x v="14"/>
    <x v="29"/>
    <x v="9"/>
    <x v="6"/>
    <n v="191.84"/>
    <n v="16"/>
    <n v="70.23999999999999"/>
  </r>
  <r>
    <x v="14"/>
    <x v="30"/>
    <x v="47"/>
    <x v="8"/>
    <n v="404.55"/>
    <n v="45"/>
    <n v="139.05"/>
  </r>
  <r>
    <x v="14"/>
    <x v="31"/>
    <x v="14"/>
    <x v="8"/>
    <n v="59.88"/>
    <n v="12"/>
    <n v="25.08"/>
  </r>
  <r>
    <x v="14"/>
    <x v="32"/>
    <x v="34"/>
    <x v="8"/>
    <n v="89.94"/>
    <n v="6"/>
    <n v="56.94"/>
  </r>
  <r>
    <x v="14"/>
    <x v="33"/>
    <x v="12"/>
    <x v="1"/>
    <n v="758.6700000000001"/>
    <n v="33"/>
    <n v="253.77"/>
  </r>
  <r>
    <x v="14"/>
    <x v="34"/>
    <x v="40"/>
    <x v="1"/>
    <n v="351.78"/>
    <n v="22"/>
    <n v="127.38"/>
  </r>
  <r>
    <x v="14"/>
    <x v="35"/>
    <x v="37"/>
    <x v="1"/>
    <n v="539.6999999999999"/>
    <n v="30"/>
    <n v="182.7"/>
  </r>
  <r>
    <x v="14"/>
    <x v="36"/>
    <x v="35"/>
    <x v="1"/>
    <n v="199.9"/>
    <n v="10"/>
    <n v="71.90000000000001"/>
  </r>
  <r>
    <x v="14"/>
    <x v="37"/>
    <x v="29"/>
    <x v="3"/>
    <n v="1432.77"/>
    <n v="293"/>
    <n v="392.62"/>
  </r>
  <r>
    <x v="14"/>
    <x v="38"/>
    <x v="28"/>
    <x v="3"/>
    <n v="620.87"/>
    <n v="143"/>
    <n v="113.22"/>
  </r>
  <r>
    <x v="14"/>
    <x v="39"/>
    <x v="31"/>
    <x v="3"/>
    <n v="235.95"/>
    <n v="55"/>
    <n v="87.45"/>
  </r>
  <r>
    <x v="14"/>
    <x v="40"/>
    <x v="32"/>
    <x v="7"/>
    <n v="139.65"/>
    <n v="35"/>
    <n v="83.65000000000001"/>
  </r>
  <r>
    <x v="14"/>
    <x v="41"/>
    <x v="43"/>
    <x v="7"/>
    <n v="134.91"/>
    <n v="9"/>
    <n v="61.11"/>
  </r>
  <r>
    <x v="14"/>
    <x v="42"/>
    <x v="1"/>
    <x v="9"/>
    <n v="141.45"/>
    <n v="205"/>
    <n v="63.55"/>
  </r>
  <r>
    <x v="14"/>
    <x v="43"/>
    <x v="0"/>
    <x v="9"/>
    <n v="99.59999999999999"/>
    <n v="40"/>
    <n v="43.6"/>
  </r>
  <r>
    <x v="14"/>
    <x v="44"/>
    <x v="48"/>
    <x v="9"/>
    <n v="103.27"/>
    <n v="23"/>
    <n v="43.47"/>
  </r>
  <r>
    <x v="14"/>
    <x v="45"/>
    <x v="36"/>
    <x v="10"/>
    <n v="570.5700000000001"/>
    <n v="143"/>
    <n v="270.27"/>
  </r>
  <r>
    <x v="14"/>
    <x v="46"/>
    <x v="8"/>
    <x v="10"/>
    <n v="565.47"/>
    <n v="103"/>
    <n v="235.87"/>
  </r>
  <r>
    <x v="14"/>
    <x v="47"/>
    <x v="30"/>
    <x v="10"/>
    <n v="253.11"/>
    <n v="59"/>
    <n v="99.70999999999999"/>
  </r>
  <r>
    <x v="14"/>
    <x v="48"/>
    <x v="11"/>
    <x v="10"/>
    <n v="305.32"/>
    <n v="68"/>
    <n v="142.12"/>
  </r>
  <r>
    <x v="14"/>
    <x v="49"/>
    <x v="27"/>
    <x v="10"/>
    <n v="209.4"/>
    <n v="60"/>
    <n v="107.4"/>
  </r>
  <r>
    <x v="15"/>
    <x v="0"/>
    <x v="46"/>
    <x v="0"/>
    <n v="565.38"/>
    <n v="162"/>
    <n v="208.98"/>
  </r>
  <r>
    <x v="15"/>
    <x v="1"/>
    <x v="49"/>
    <x v="0"/>
    <n v="338.91"/>
    <n v="79"/>
    <n v="125.61"/>
  </r>
  <r>
    <x v="15"/>
    <x v="2"/>
    <x v="13"/>
    <x v="0"/>
    <n v="304.24"/>
    <n v="56"/>
    <n v="119.44"/>
  </r>
  <r>
    <x v="15"/>
    <x v="3"/>
    <x v="3"/>
    <x v="2"/>
    <n v="195.72"/>
    <n v="28"/>
    <n v="86.52"/>
  </r>
  <r>
    <x v="15"/>
    <x v="4"/>
    <x v="16"/>
    <x v="2"/>
    <n v="712.14"/>
    <n v="166"/>
    <n v="355.24"/>
  </r>
  <r>
    <x v="15"/>
    <x v="5"/>
    <x v="10"/>
    <x v="2"/>
    <n v="440.02"/>
    <n v="98"/>
    <n v="214.62"/>
  </r>
  <r>
    <x v="15"/>
    <x v="6"/>
    <x v="42"/>
    <x v="2"/>
    <n v="151.89"/>
    <n v="61"/>
    <n v="84.79000000000001"/>
  </r>
  <r>
    <x v="15"/>
    <x v="7"/>
    <x v="24"/>
    <x v="2"/>
    <n v="339.32"/>
    <n v="68"/>
    <n v="155.72"/>
  </r>
  <r>
    <x v="15"/>
    <x v="8"/>
    <x v="26"/>
    <x v="2"/>
    <n v="143.7"/>
    <n v="30"/>
    <n v="65.7"/>
  </r>
  <r>
    <x v="15"/>
    <x v="9"/>
    <x v="2"/>
    <x v="2"/>
    <n v="328.9"/>
    <n v="110"/>
    <n v="224.4"/>
  </r>
  <r>
    <x v="15"/>
    <x v="10"/>
    <x v="4"/>
    <x v="3"/>
    <n v="381.99"/>
    <n v="51"/>
    <n v="96.39"/>
  </r>
  <r>
    <x v="15"/>
    <x v="11"/>
    <x v="20"/>
    <x v="3"/>
    <n v="199.75"/>
    <n v="25"/>
    <n v="72.25"/>
  </r>
  <r>
    <x v="15"/>
    <x v="12"/>
    <x v="6"/>
    <x v="3"/>
    <n v="447.68"/>
    <n v="32"/>
    <n v="114.88"/>
  </r>
  <r>
    <x v="15"/>
    <x v="13"/>
    <x v="23"/>
    <x v="5"/>
    <n v="242.73"/>
    <n v="27"/>
    <n v="96.93000000000001"/>
  </r>
  <r>
    <x v="15"/>
    <x v="14"/>
    <x v="22"/>
    <x v="5"/>
    <n v="209.21"/>
    <n v="79"/>
    <n v="114.41"/>
  </r>
  <r>
    <x v="15"/>
    <x v="15"/>
    <x v="19"/>
    <x v="5"/>
    <n v="471.41"/>
    <n v="59"/>
    <n v="194.11"/>
  </r>
  <r>
    <x v="15"/>
    <x v="16"/>
    <x v="18"/>
    <x v="5"/>
    <n v="383.68"/>
    <n v="32"/>
    <n v="156.48"/>
  </r>
  <r>
    <x v="15"/>
    <x v="17"/>
    <x v="7"/>
    <x v="4"/>
    <n v="973.7"/>
    <n v="130"/>
    <n v="466.7"/>
  </r>
  <r>
    <x v="15"/>
    <x v="18"/>
    <x v="44"/>
    <x v="4"/>
    <n v="529.47"/>
    <n v="53"/>
    <n v="232.67"/>
  </r>
  <r>
    <x v="15"/>
    <x v="19"/>
    <x v="21"/>
    <x v="4"/>
    <n v="922.3199999999999"/>
    <n v="168"/>
    <n v="519.12"/>
  </r>
  <r>
    <x v="15"/>
    <x v="20"/>
    <x v="38"/>
    <x v="4"/>
    <n v="351.64"/>
    <n v="36"/>
    <n v="128.44"/>
  </r>
  <r>
    <x v="15"/>
    <x v="21"/>
    <x v="17"/>
    <x v="4"/>
    <n v="519.2"/>
    <n v="80"/>
    <n v="263.2"/>
  </r>
  <r>
    <x v="15"/>
    <x v="22"/>
    <x v="25"/>
    <x v="6"/>
    <n v="498.39"/>
    <n v="111"/>
    <n v="209.79"/>
  </r>
  <r>
    <x v="15"/>
    <x v="23"/>
    <x v="5"/>
    <x v="6"/>
    <n v="177.66"/>
    <n v="54"/>
    <n v="75.06"/>
  </r>
  <r>
    <x v="15"/>
    <x v="24"/>
    <x v="33"/>
    <x v="6"/>
    <n v="84.66000000000001"/>
    <n v="34"/>
    <n v="40.46"/>
  </r>
  <r>
    <x v="15"/>
    <x v="25"/>
    <x v="41"/>
    <x v="6"/>
    <n v="131.67"/>
    <n v="33"/>
    <n v="55.77"/>
  </r>
  <r>
    <x v="15"/>
    <x v="26"/>
    <x v="39"/>
    <x v="6"/>
    <n v="86.22"/>
    <n v="18"/>
    <n v="34.02"/>
  </r>
  <r>
    <x v="15"/>
    <x v="27"/>
    <x v="45"/>
    <x v="6"/>
    <n v="84.36999999999999"/>
    <n v="13"/>
    <n v="32.37"/>
  </r>
  <r>
    <x v="15"/>
    <x v="28"/>
    <x v="15"/>
    <x v="6"/>
    <n v="714.35"/>
    <n v="65"/>
    <n v="181.35"/>
  </r>
  <r>
    <x v="15"/>
    <x v="29"/>
    <x v="9"/>
    <x v="6"/>
    <n v="179.85"/>
    <n v="15"/>
    <n v="65.84999999999999"/>
  </r>
  <r>
    <x v="15"/>
    <x v="30"/>
    <x v="47"/>
    <x v="8"/>
    <n v="314.65"/>
    <n v="35"/>
    <n v="108.15"/>
  </r>
  <r>
    <x v="15"/>
    <x v="31"/>
    <x v="14"/>
    <x v="8"/>
    <n v="64.87"/>
    <n v="13"/>
    <n v="27.17"/>
  </r>
  <r>
    <x v="15"/>
    <x v="32"/>
    <x v="34"/>
    <x v="8"/>
    <n v="29.98"/>
    <n v="2"/>
    <n v="18.98"/>
  </r>
  <r>
    <x v="15"/>
    <x v="33"/>
    <x v="12"/>
    <x v="1"/>
    <n v="735.6800000000001"/>
    <n v="32"/>
    <n v="246.08"/>
  </r>
  <r>
    <x v="15"/>
    <x v="34"/>
    <x v="40"/>
    <x v="1"/>
    <n v="354.96"/>
    <n v="24"/>
    <n v="110.16"/>
  </r>
  <r>
    <x v="15"/>
    <x v="35"/>
    <x v="37"/>
    <x v="1"/>
    <n v="467.74"/>
    <n v="26"/>
    <n v="158.34"/>
  </r>
  <r>
    <x v="15"/>
    <x v="36"/>
    <x v="35"/>
    <x v="1"/>
    <n v="439.78"/>
    <n v="22"/>
    <n v="158.18"/>
  </r>
  <r>
    <x v="15"/>
    <x v="37"/>
    <x v="29"/>
    <x v="3"/>
    <n v="1501.23"/>
    <n v="307"/>
    <n v="411.38"/>
  </r>
  <r>
    <x v="15"/>
    <x v="38"/>
    <x v="28"/>
    <x v="3"/>
    <n v="606.36"/>
    <n v="124"/>
    <n v="166.16"/>
  </r>
  <r>
    <x v="15"/>
    <x v="39"/>
    <x v="31"/>
    <x v="3"/>
    <n v="197.34"/>
    <n v="46"/>
    <n v="73.14"/>
  </r>
  <r>
    <x v="15"/>
    <x v="40"/>
    <x v="32"/>
    <x v="7"/>
    <n v="107.73"/>
    <n v="27"/>
    <n v="64.53"/>
  </r>
  <r>
    <x v="15"/>
    <x v="41"/>
    <x v="43"/>
    <x v="7"/>
    <n v="239.84"/>
    <n v="16"/>
    <n v="108.64"/>
  </r>
  <r>
    <x v="15"/>
    <x v="42"/>
    <x v="1"/>
    <x v="9"/>
    <n v="164.45"/>
    <n v="271"/>
    <n v="61.47"/>
  </r>
  <r>
    <x v="15"/>
    <x v="43"/>
    <x v="0"/>
    <x v="9"/>
    <n v="97.11"/>
    <n v="39"/>
    <n v="42.51"/>
  </r>
  <r>
    <x v="15"/>
    <x v="44"/>
    <x v="48"/>
    <x v="9"/>
    <n v="161.64"/>
    <n v="36"/>
    <n v="68.04000000000001"/>
  </r>
  <r>
    <x v="15"/>
    <x v="45"/>
    <x v="36"/>
    <x v="10"/>
    <n v="635.01"/>
    <n v="179"/>
    <n v="259.11"/>
  </r>
  <r>
    <x v="15"/>
    <x v="46"/>
    <x v="8"/>
    <x v="10"/>
    <n v="779.58"/>
    <n v="142"/>
    <n v="325.18"/>
  </r>
  <r>
    <x v="15"/>
    <x v="47"/>
    <x v="30"/>
    <x v="10"/>
    <n v="296.01"/>
    <n v="69"/>
    <n v="116.61"/>
  </r>
  <r>
    <x v="15"/>
    <x v="48"/>
    <x v="11"/>
    <x v="10"/>
    <n v="282.87"/>
    <n v="63"/>
    <n v="131.67"/>
  </r>
  <r>
    <x v="15"/>
    <x v="49"/>
    <x v="27"/>
    <x v="10"/>
    <n v="212.89"/>
    <n v="61"/>
    <n v="109.19"/>
  </r>
  <r>
    <x v="16"/>
    <x v="0"/>
    <x v="46"/>
    <x v="0"/>
    <n v="506.05"/>
    <n v="145"/>
    <n v="187.05"/>
  </r>
  <r>
    <x v="16"/>
    <x v="1"/>
    <x v="49"/>
    <x v="0"/>
    <n v="377.52"/>
    <n v="88"/>
    <n v="139.92"/>
  </r>
  <r>
    <x v="16"/>
    <x v="2"/>
    <x v="13"/>
    <x v="0"/>
    <n v="263.56"/>
    <n v="44"/>
    <n v="118.36"/>
  </r>
  <r>
    <x v="16"/>
    <x v="3"/>
    <x v="3"/>
    <x v="2"/>
    <n v="223.68"/>
    <n v="32"/>
    <n v="98.88"/>
  </r>
  <r>
    <x v="16"/>
    <x v="4"/>
    <x v="16"/>
    <x v="2"/>
    <n v="660.66"/>
    <n v="154"/>
    <n v="329.56"/>
  </r>
  <r>
    <x v="16"/>
    <x v="5"/>
    <x v="10"/>
    <x v="2"/>
    <n v="386.14"/>
    <n v="86"/>
    <n v="188.34"/>
  </r>
  <r>
    <x v="16"/>
    <x v="6"/>
    <x v="42"/>
    <x v="2"/>
    <n v="171.81"/>
    <n v="69"/>
    <n v="95.91"/>
  </r>
  <r>
    <x v="16"/>
    <x v="7"/>
    <x v="24"/>
    <x v="2"/>
    <n v="409.18"/>
    <n v="82"/>
    <n v="187.78"/>
  </r>
  <r>
    <x v="16"/>
    <x v="8"/>
    <x v="26"/>
    <x v="2"/>
    <n v="143.7"/>
    <n v="30"/>
    <n v="65.7"/>
  </r>
  <r>
    <x v="16"/>
    <x v="9"/>
    <x v="2"/>
    <x v="2"/>
    <n v="281.06"/>
    <n v="94"/>
    <n v="191.76"/>
  </r>
  <r>
    <x v="16"/>
    <x v="10"/>
    <x v="4"/>
    <x v="3"/>
    <n v="314.58"/>
    <n v="42"/>
    <n v="79.38"/>
  </r>
  <r>
    <x v="16"/>
    <x v="11"/>
    <x v="20"/>
    <x v="3"/>
    <n v="295.63"/>
    <n v="37"/>
    <n v="106.93"/>
  </r>
  <r>
    <x v="16"/>
    <x v="12"/>
    <x v="6"/>
    <x v="3"/>
    <n v="377.73"/>
    <n v="27"/>
    <n v="96.93000000000001"/>
  </r>
  <r>
    <x v="16"/>
    <x v="13"/>
    <x v="23"/>
    <x v="5"/>
    <n v="476.47"/>
    <n v="53"/>
    <n v="190.27"/>
  </r>
  <r>
    <x v="16"/>
    <x v="14"/>
    <x v="22"/>
    <x v="5"/>
    <n v="125.58"/>
    <n v="42"/>
    <n v="75.18000000000001"/>
  </r>
  <r>
    <x v="16"/>
    <x v="15"/>
    <x v="19"/>
    <x v="5"/>
    <n v="375.53"/>
    <n v="47"/>
    <n v="154.63"/>
  </r>
  <r>
    <x v="16"/>
    <x v="16"/>
    <x v="18"/>
    <x v="5"/>
    <n v="407.66"/>
    <n v="34"/>
    <n v="166.26"/>
  </r>
  <r>
    <x v="16"/>
    <x v="17"/>
    <x v="7"/>
    <x v="4"/>
    <n v="966.21"/>
    <n v="129"/>
    <n v="463.11"/>
  </r>
  <r>
    <x v="16"/>
    <x v="18"/>
    <x v="44"/>
    <x v="4"/>
    <n v="709.29"/>
    <n v="71"/>
    <n v="311.69"/>
  </r>
  <r>
    <x v="16"/>
    <x v="19"/>
    <x v="21"/>
    <x v="4"/>
    <n v="807.03"/>
    <n v="147"/>
    <n v="454.23"/>
  </r>
  <r>
    <x v="16"/>
    <x v="20"/>
    <x v="38"/>
    <x v="4"/>
    <n v="395.64"/>
    <n v="36"/>
    <n v="172.44"/>
  </r>
  <r>
    <x v="16"/>
    <x v="21"/>
    <x v="17"/>
    <x v="4"/>
    <n v="623.0400000000001"/>
    <n v="96"/>
    <n v="315.84"/>
  </r>
  <r>
    <x v="16"/>
    <x v="22"/>
    <x v="25"/>
    <x v="6"/>
    <n v="475.94"/>
    <n v="106"/>
    <n v="200.34"/>
  </r>
  <r>
    <x v="16"/>
    <x v="23"/>
    <x v="5"/>
    <x v="6"/>
    <n v="164.5"/>
    <n v="50"/>
    <n v="69.5"/>
  </r>
  <r>
    <x v="16"/>
    <x v="24"/>
    <x v="33"/>
    <x v="6"/>
    <n v="104.58"/>
    <n v="42"/>
    <n v="49.98"/>
  </r>
  <r>
    <x v="16"/>
    <x v="25"/>
    <x v="41"/>
    <x v="6"/>
    <n v="171.57"/>
    <n v="43"/>
    <n v="72.67"/>
  </r>
  <r>
    <x v="16"/>
    <x v="26"/>
    <x v="39"/>
    <x v="6"/>
    <n v="86.22"/>
    <n v="18"/>
    <n v="34.02"/>
  </r>
  <r>
    <x v="16"/>
    <x v="27"/>
    <x v="45"/>
    <x v="6"/>
    <n v="103.84"/>
    <n v="16"/>
    <n v="39.84"/>
  </r>
  <r>
    <x v="16"/>
    <x v="28"/>
    <x v="15"/>
    <x v="6"/>
    <n v="692.37"/>
    <n v="63"/>
    <n v="175.77"/>
  </r>
  <r>
    <x v="16"/>
    <x v="29"/>
    <x v="9"/>
    <x v="6"/>
    <n v="299.75"/>
    <n v="25"/>
    <n v="109.75"/>
  </r>
  <r>
    <x v="16"/>
    <x v="30"/>
    <x v="47"/>
    <x v="8"/>
    <n v="287.68"/>
    <n v="32"/>
    <n v="98.88"/>
  </r>
  <r>
    <x v="16"/>
    <x v="31"/>
    <x v="14"/>
    <x v="8"/>
    <n v="109.78"/>
    <n v="22"/>
    <n v="45.98"/>
  </r>
  <r>
    <x v="16"/>
    <x v="32"/>
    <x v="34"/>
    <x v="8"/>
    <n v="44.97"/>
    <n v="3"/>
    <n v="28.47"/>
  </r>
  <r>
    <x v="16"/>
    <x v="33"/>
    <x v="12"/>
    <x v="1"/>
    <n v="873.62"/>
    <n v="38"/>
    <n v="292.22"/>
  </r>
  <r>
    <x v="16"/>
    <x v="34"/>
    <x v="40"/>
    <x v="1"/>
    <n v="479.7"/>
    <n v="30"/>
    <n v="173.7"/>
  </r>
  <r>
    <x v="16"/>
    <x v="35"/>
    <x v="37"/>
    <x v="1"/>
    <n v="395.78"/>
    <n v="22"/>
    <n v="133.98"/>
  </r>
  <r>
    <x v="16"/>
    <x v="36"/>
    <x v="35"/>
    <x v="1"/>
    <n v="439.78"/>
    <n v="22"/>
    <n v="158.18"/>
  </r>
  <r>
    <x v="16"/>
    <x v="37"/>
    <x v="29"/>
    <x v="3"/>
    <n v="1388.76"/>
    <n v="284"/>
    <n v="380.56"/>
  </r>
  <r>
    <x v="16"/>
    <x v="38"/>
    <x v="28"/>
    <x v="3"/>
    <n v="586.8"/>
    <n v="120"/>
    <n v="160.8"/>
  </r>
  <r>
    <x v="16"/>
    <x v="39"/>
    <x v="31"/>
    <x v="3"/>
    <n v="235.95"/>
    <n v="55"/>
    <n v="87.45"/>
  </r>
  <r>
    <x v="16"/>
    <x v="40"/>
    <x v="32"/>
    <x v="7"/>
    <n v="167.58"/>
    <n v="42"/>
    <n v="100.38"/>
  </r>
  <r>
    <x v="16"/>
    <x v="41"/>
    <x v="43"/>
    <x v="7"/>
    <n v="104.93"/>
    <n v="7"/>
    <n v="47.53"/>
  </r>
  <r>
    <x v="16"/>
    <x v="42"/>
    <x v="1"/>
    <x v="9"/>
    <n v="137.31"/>
    <n v="199"/>
    <n v="61.69"/>
  </r>
  <r>
    <x v="16"/>
    <x v="43"/>
    <x v="0"/>
    <x v="9"/>
    <n v="138.88"/>
    <n v="62"/>
    <n v="52.08"/>
  </r>
  <r>
    <x v="16"/>
    <x v="44"/>
    <x v="48"/>
    <x v="9"/>
    <n v="58.37"/>
    <n v="13"/>
    <n v="24.57"/>
  </r>
  <r>
    <x v="16"/>
    <x v="45"/>
    <x v="36"/>
    <x v="10"/>
    <n v="594.51"/>
    <n v="149"/>
    <n v="281.61"/>
  </r>
  <r>
    <x v="16"/>
    <x v="46"/>
    <x v="8"/>
    <x v="10"/>
    <n v="675.27"/>
    <n v="123"/>
    <n v="281.67"/>
  </r>
  <r>
    <x v="16"/>
    <x v="47"/>
    <x v="30"/>
    <x v="10"/>
    <n v="261.69"/>
    <n v="61"/>
    <n v="103.09"/>
  </r>
  <r>
    <x v="16"/>
    <x v="48"/>
    <x v="11"/>
    <x v="10"/>
    <n v="300.83"/>
    <n v="67"/>
    <n v="140.03"/>
  </r>
  <r>
    <x v="16"/>
    <x v="49"/>
    <x v="27"/>
    <x v="10"/>
    <n v="212.89"/>
    <n v="61"/>
    <n v="109.19"/>
  </r>
  <r>
    <x v="17"/>
    <x v="0"/>
    <x v="46"/>
    <x v="0"/>
    <n v="425.78"/>
    <n v="122"/>
    <n v="157.38"/>
  </r>
  <r>
    <x v="17"/>
    <x v="1"/>
    <x v="49"/>
    <x v="0"/>
    <n v="291.72"/>
    <n v="68"/>
    <n v="108.12"/>
  </r>
  <r>
    <x v="17"/>
    <x v="2"/>
    <x v="13"/>
    <x v="0"/>
    <n v="273.08"/>
    <n v="52"/>
    <n v="101.48"/>
  </r>
  <r>
    <x v="17"/>
    <x v="3"/>
    <x v="3"/>
    <x v="2"/>
    <n v="195.72"/>
    <n v="28"/>
    <n v="86.52"/>
  </r>
  <r>
    <x v="17"/>
    <x v="4"/>
    <x v="16"/>
    <x v="2"/>
    <n v="805.4300000000001"/>
    <n v="211"/>
    <n v="351.78"/>
  </r>
  <r>
    <x v="17"/>
    <x v="5"/>
    <x v="10"/>
    <x v="2"/>
    <n v="368.18"/>
    <n v="82"/>
    <n v="179.58"/>
  </r>
  <r>
    <x v="17"/>
    <x v="6"/>
    <x v="42"/>
    <x v="2"/>
    <n v="176.79"/>
    <n v="71"/>
    <n v="98.69"/>
  </r>
  <r>
    <x v="17"/>
    <x v="7"/>
    <x v="24"/>
    <x v="2"/>
    <n v="309.38"/>
    <n v="62"/>
    <n v="141.98"/>
  </r>
  <r>
    <x v="17"/>
    <x v="8"/>
    <x v="26"/>
    <x v="2"/>
    <n v="196.39"/>
    <n v="41"/>
    <n v="89.79000000000001"/>
  </r>
  <r>
    <x v="17"/>
    <x v="9"/>
    <x v="2"/>
    <x v="2"/>
    <n v="364.78"/>
    <n v="122"/>
    <n v="248.88"/>
  </r>
  <r>
    <x v="17"/>
    <x v="10"/>
    <x v="4"/>
    <x v="3"/>
    <n v="307.09"/>
    <n v="41"/>
    <n v="77.48999999999999"/>
  </r>
  <r>
    <x v="17"/>
    <x v="11"/>
    <x v="20"/>
    <x v="3"/>
    <n v="231.71"/>
    <n v="29"/>
    <n v="83.81"/>
  </r>
  <r>
    <x v="17"/>
    <x v="12"/>
    <x v="6"/>
    <x v="3"/>
    <n v="531.62"/>
    <n v="38"/>
    <n v="136.42"/>
  </r>
  <r>
    <x v="17"/>
    <x v="13"/>
    <x v="23"/>
    <x v="5"/>
    <n v="341.62"/>
    <n v="38"/>
    <n v="136.42"/>
  </r>
  <r>
    <x v="17"/>
    <x v="14"/>
    <x v="22"/>
    <x v="5"/>
    <n v="173.42"/>
    <n v="58"/>
    <n v="103.82"/>
  </r>
  <r>
    <x v="17"/>
    <x v="15"/>
    <x v="19"/>
    <x v="5"/>
    <n v="383.52"/>
    <n v="48"/>
    <n v="157.92"/>
  </r>
  <r>
    <x v="17"/>
    <x v="16"/>
    <x v="18"/>
    <x v="5"/>
    <n v="503.58"/>
    <n v="42"/>
    <n v="205.38"/>
  </r>
  <r>
    <x v="17"/>
    <x v="17"/>
    <x v="7"/>
    <x v="4"/>
    <n v="1033.62"/>
    <n v="138"/>
    <n v="495.42"/>
  </r>
  <r>
    <x v="17"/>
    <x v="18"/>
    <x v="44"/>
    <x v="4"/>
    <n v="949.0500000000001"/>
    <n v="95"/>
    <n v="417.05"/>
  </r>
  <r>
    <x v="17"/>
    <x v="19"/>
    <x v="21"/>
    <x v="4"/>
    <n v="878.4"/>
    <n v="160"/>
    <n v="494.4"/>
  </r>
  <r>
    <x v="17"/>
    <x v="20"/>
    <x v="38"/>
    <x v="4"/>
    <n v="395.64"/>
    <n v="36"/>
    <n v="172.44"/>
  </r>
  <r>
    <x v="17"/>
    <x v="21"/>
    <x v="17"/>
    <x v="4"/>
    <n v="577.61"/>
    <n v="89"/>
    <n v="292.81"/>
  </r>
  <r>
    <x v="17"/>
    <x v="22"/>
    <x v="25"/>
    <x v="6"/>
    <n v="404.1"/>
    <n v="90"/>
    <n v="170.1"/>
  </r>
  <r>
    <x v="17"/>
    <x v="23"/>
    <x v="5"/>
    <x v="6"/>
    <n v="131.6"/>
    <n v="40"/>
    <n v="55.6"/>
  </r>
  <r>
    <x v="17"/>
    <x v="24"/>
    <x v="33"/>
    <x v="6"/>
    <n v="87.15000000000001"/>
    <n v="35"/>
    <n v="41.65"/>
  </r>
  <r>
    <x v="17"/>
    <x v="25"/>
    <x v="41"/>
    <x v="6"/>
    <n v="123.69"/>
    <n v="31"/>
    <n v="52.39"/>
  </r>
  <r>
    <x v="17"/>
    <x v="26"/>
    <x v="39"/>
    <x v="6"/>
    <n v="95.80000000000001"/>
    <n v="20"/>
    <n v="37.8"/>
  </r>
  <r>
    <x v="17"/>
    <x v="27"/>
    <x v="45"/>
    <x v="6"/>
    <n v="129.8"/>
    <n v="20"/>
    <n v="49.8"/>
  </r>
  <r>
    <x v="17"/>
    <x v="28"/>
    <x v="15"/>
    <x v="6"/>
    <n v="687.91"/>
    <n v="69"/>
    <n v="122.11"/>
  </r>
  <r>
    <x v="17"/>
    <x v="29"/>
    <x v="9"/>
    <x v="6"/>
    <n v="347.71"/>
    <n v="29"/>
    <n v="127.31"/>
  </r>
  <r>
    <x v="17"/>
    <x v="30"/>
    <x v="47"/>
    <x v="8"/>
    <n v="350.61"/>
    <n v="39"/>
    <n v="120.51"/>
  </r>
  <r>
    <x v="17"/>
    <x v="31"/>
    <x v="14"/>
    <x v="8"/>
    <n v="119.76"/>
    <n v="24"/>
    <n v="50.16"/>
  </r>
  <r>
    <x v="17"/>
    <x v="32"/>
    <x v="34"/>
    <x v="8"/>
    <n v="134.91"/>
    <n v="9"/>
    <n v="85.41"/>
  </r>
  <r>
    <x v="17"/>
    <x v="33"/>
    <x v="12"/>
    <x v="1"/>
    <n v="781.66"/>
    <n v="34"/>
    <n v="261.46"/>
  </r>
  <r>
    <x v="17"/>
    <x v="34"/>
    <x v="40"/>
    <x v="1"/>
    <n v="351.78"/>
    <n v="22"/>
    <n v="127.38"/>
  </r>
  <r>
    <x v="17"/>
    <x v="35"/>
    <x v="37"/>
    <x v="1"/>
    <n v="449.75"/>
    <n v="25"/>
    <n v="152.25"/>
  </r>
  <r>
    <x v="17"/>
    <x v="36"/>
    <x v="35"/>
    <x v="1"/>
    <n v="399.8"/>
    <n v="20"/>
    <n v="143.8"/>
  </r>
  <r>
    <x v="17"/>
    <x v="37"/>
    <x v="29"/>
    <x v="3"/>
    <n v="1378.98"/>
    <n v="282"/>
    <n v="377.88"/>
  </r>
  <r>
    <x v="17"/>
    <x v="38"/>
    <x v="28"/>
    <x v="3"/>
    <n v="616.14"/>
    <n v="126"/>
    <n v="168.84"/>
  </r>
  <r>
    <x v="17"/>
    <x v="39"/>
    <x v="31"/>
    <x v="3"/>
    <n v="163.02"/>
    <n v="38"/>
    <n v="60.42"/>
  </r>
  <r>
    <x v="17"/>
    <x v="40"/>
    <x v="32"/>
    <x v="7"/>
    <n v="147.63"/>
    <n v="37"/>
    <n v="88.43000000000001"/>
  </r>
  <r>
    <x v="17"/>
    <x v="41"/>
    <x v="43"/>
    <x v="7"/>
    <n v="224.85"/>
    <n v="15"/>
    <n v="101.85"/>
  </r>
  <r>
    <x v="17"/>
    <x v="42"/>
    <x v="1"/>
    <x v="9"/>
    <n v="153.87"/>
    <n v="223"/>
    <n v="69.13"/>
  </r>
  <r>
    <x v="17"/>
    <x v="43"/>
    <x v="0"/>
    <x v="9"/>
    <n v="114.54"/>
    <n v="46"/>
    <n v="50.14"/>
  </r>
  <r>
    <x v="17"/>
    <x v="44"/>
    <x v="48"/>
    <x v="9"/>
    <n v="121.23"/>
    <n v="27"/>
    <n v="51.03"/>
  </r>
  <r>
    <x v="17"/>
    <x v="45"/>
    <x v="36"/>
    <x v="10"/>
    <n v="522.6900000000001"/>
    <n v="131"/>
    <n v="247.59"/>
  </r>
  <r>
    <x v="17"/>
    <x v="46"/>
    <x v="8"/>
    <x v="10"/>
    <n v="760.75"/>
    <n v="155"/>
    <n v="264.75"/>
  </r>
  <r>
    <x v="17"/>
    <x v="47"/>
    <x v="30"/>
    <x v="10"/>
    <n v="184.47"/>
    <n v="43"/>
    <n v="72.67"/>
  </r>
  <r>
    <x v="17"/>
    <x v="48"/>
    <x v="11"/>
    <x v="10"/>
    <n v="296.34"/>
    <n v="66"/>
    <n v="137.94"/>
  </r>
  <r>
    <x v="17"/>
    <x v="49"/>
    <x v="27"/>
    <x v="10"/>
    <n v="240.81"/>
    <n v="69"/>
    <n v="123.51"/>
  </r>
  <r>
    <x v="18"/>
    <x v="0"/>
    <x v="46"/>
    <x v="0"/>
    <n v="446.72"/>
    <n v="128"/>
    <n v="165.12"/>
  </r>
  <r>
    <x v="18"/>
    <x v="1"/>
    <x v="49"/>
    <x v="0"/>
    <n v="304.59"/>
    <n v="71"/>
    <n v="112.89"/>
  </r>
  <r>
    <x v="18"/>
    <x v="2"/>
    <x v="13"/>
    <x v="0"/>
    <n v="227.62"/>
    <n v="38"/>
    <n v="102.22"/>
  </r>
  <r>
    <x v="18"/>
    <x v="3"/>
    <x v="3"/>
    <x v="2"/>
    <n v="181.74"/>
    <n v="26"/>
    <n v="80.34"/>
  </r>
  <r>
    <x v="18"/>
    <x v="4"/>
    <x v="16"/>
    <x v="2"/>
    <n v="763.62"/>
    <n v="178"/>
    <n v="380.92"/>
  </r>
  <r>
    <x v="18"/>
    <x v="5"/>
    <x v="10"/>
    <x v="2"/>
    <n v="475.94"/>
    <n v="106"/>
    <n v="232.14"/>
  </r>
  <r>
    <x v="18"/>
    <x v="6"/>
    <x v="42"/>
    <x v="2"/>
    <n v="196.71"/>
    <n v="79"/>
    <n v="109.81"/>
  </r>
  <r>
    <x v="18"/>
    <x v="7"/>
    <x v="24"/>
    <x v="2"/>
    <n v="369.26"/>
    <n v="74"/>
    <n v="169.46"/>
  </r>
  <r>
    <x v="18"/>
    <x v="8"/>
    <x v="26"/>
    <x v="2"/>
    <n v="148.49"/>
    <n v="31"/>
    <n v="67.89"/>
  </r>
  <r>
    <x v="18"/>
    <x v="9"/>
    <x v="2"/>
    <x v="2"/>
    <n v="361.79"/>
    <n v="121"/>
    <n v="246.84"/>
  </r>
  <r>
    <x v="18"/>
    <x v="10"/>
    <x v="4"/>
    <x v="3"/>
    <n v="344.54"/>
    <n v="46"/>
    <n v="86.94"/>
  </r>
  <r>
    <x v="18"/>
    <x v="11"/>
    <x v="20"/>
    <x v="3"/>
    <n v="135.83"/>
    <n v="17"/>
    <n v="49.13"/>
  </r>
  <r>
    <x v="18"/>
    <x v="12"/>
    <x v="6"/>
    <x v="3"/>
    <n v="769.45"/>
    <n v="55"/>
    <n v="197.45"/>
  </r>
  <r>
    <x v="18"/>
    <x v="13"/>
    <x v="23"/>
    <x v="5"/>
    <n v="449.5"/>
    <n v="50"/>
    <n v="179.5"/>
  </r>
  <r>
    <x v="18"/>
    <x v="14"/>
    <x v="22"/>
    <x v="5"/>
    <n v="212.29"/>
    <n v="71"/>
    <n v="127.09"/>
  </r>
  <r>
    <x v="18"/>
    <x v="15"/>
    <x v="19"/>
    <x v="5"/>
    <n v="519.35"/>
    <n v="65"/>
    <n v="213.85"/>
  </r>
  <r>
    <x v="18"/>
    <x v="16"/>
    <x v="18"/>
    <x v="5"/>
    <n v="419.65"/>
    <n v="35"/>
    <n v="171.15"/>
  </r>
  <r>
    <x v="18"/>
    <x v="17"/>
    <x v="7"/>
    <x v="4"/>
    <n v="1033.62"/>
    <n v="138"/>
    <n v="495.42"/>
  </r>
  <r>
    <x v="18"/>
    <x v="18"/>
    <x v="44"/>
    <x v="4"/>
    <n v="745.15"/>
    <n v="85"/>
    <n v="269.15"/>
  </r>
  <r>
    <x v="18"/>
    <x v="19"/>
    <x v="21"/>
    <x v="4"/>
    <n v="828.99"/>
    <n v="151"/>
    <n v="466.59"/>
  </r>
  <r>
    <x v="18"/>
    <x v="20"/>
    <x v="38"/>
    <x v="4"/>
    <n v="373.66"/>
    <n v="34"/>
    <n v="162.86"/>
  </r>
  <r>
    <x v="18"/>
    <x v="21"/>
    <x v="17"/>
    <x v="4"/>
    <n v="558.14"/>
    <n v="86"/>
    <n v="282.94"/>
  </r>
  <r>
    <x v="18"/>
    <x v="22"/>
    <x v="25"/>
    <x v="6"/>
    <n v="426.55"/>
    <n v="95"/>
    <n v="179.55"/>
  </r>
  <r>
    <x v="18"/>
    <x v="23"/>
    <x v="5"/>
    <x v="6"/>
    <n v="164.5"/>
    <n v="50"/>
    <n v="69.5"/>
  </r>
  <r>
    <x v="18"/>
    <x v="24"/>
    <x v="33"/>
    <x v="6"/>
    <n v="124.5"/>
    <n v="50"/>
    <n v="59.5"/>
  </r>
  <r>
    <x v="18"/>
    <x v="25"/>
    <x v="41"/>
    <x v="6"/>
    <n v="163.59"/>
    <n v="41"/>
    <n v="69.29000000000001"/>
  </r>
  <r>
    <x v="18"/>
    <x v="26"/>
    <x v="39"/>
    <x v="6"/>
    <n v="91.00999999999999"/>
    <n v="19"/>
    <n v="35.91"/>
  </r>
  <r>
    <x v="18"/>
    <x v="27"/>
    <x v="45"/>
    <x v="6"/>
    <n v="175.23"/>
    <n v="27"/>
    <n v="67.23"/>
  </r>
  <r>
    <x v="18"/>
    <x v="28"/>
    <x v="15"/>
    <x v="6"/>
    <n v="725.34"/>
    <n v="66"/>
    <n v="184.14"/>
  </r>
  <r>
    <x v="18"/>
    <x v="29"/>
    <x v="9"/>
    <x v="6"/>
    <n v="383.6799999999999"/>
    <n v="32"/>
    <n v="140.48"/>
  </r>
  <r>
    <x v="18"/>
    <x v="30"/>
    <x v="47"/>
    <x v="8"/>
    <n v="296.67"/>
    <n v="33"/>
    <n v="101.97"/>
  </r>
  <r>
    <x v="18"/>
    <x v="31"/>
    <x v="14"/>
    <x v="8"/>
    <n v="124.75"/>
    <n v="25"/>
    <n v="52.25"/>
  </r>
  <r>
    <x v="18"/>
    <x v="32"/>
    <x v="34"/>
    <x v="8"/>
    <n v="74.95"/>
    <n v="5"/>
    <n v="47.45"/>
  </r>
  <r>
    <x v="18"/>
    <x v="33"/>
    <x v="12"/>
    <x v="1"/>
    <n v="827.64"/>
    <n v="36"/>
    <n v="276.84"/>
  </r>
  <r>
    <x v="18"/>
    <x v="34"/>
    <x v="40"/>
    <x v="1"/>
    <n v="463.71"/>
    <n v="29"/>
    <n v="167.91"/>
  </r>
  <r>
    <x v="18"/>
    <x v="35"/>
    <x v="37"/>
    <x v="1"/>
    <n v="503.72"/>
    <n v="28"/>
    <n v="170.52"/>
  </r>
  <r>
    <x v="18"/>
    <x v="36"/>
    <x v="35"/>
    <x v="1"/>
    <n v="259.87"/>
    <n v="13"/>
    <n v="93.47"/>
  </r>
  <r>
    <x v="18"/>
    <x v="37"/>
    <x v="29"/>
    <x v="3"/>
    <n v="1261.62"/>
    <n v="258"/>
    <n v="345.72"/>
  </r>
  <r>
    <x v="18"/>
    <x v="38"/>
    <x v="28"/>
    <x v="3"/>
    <n v="528.12"/>
    <n v="108"/>
    <n v="144.72"/>
  </r>
  <r>
    <x v="18"/>
    <x v="39"/>
    <x v="31"/>
    <x v="3"/>
    <n v="188.76"/>
    <n v="44"/>
    <n v="69.95999999999999"/>
  </r>
  <r>
    <x v="18"/>
    <x v="40"/>
    <x v="32"/>
    <x v="7"/>
    <n v="119.7"/>
    <n v="30"/>
    <n v="71.7"/>
  </r>
  <r>
    <x v="18"/>
    <x v="41"/>
    <x v="43"/>
    <x v="7"/>
    <n v="119.92"/>
    <n v="8"/>
    <n v="54.32"/>
  </r>
  <r>
    <x v="18"/>
    <x v="42"/>
    <x v="1"/>
    <x v="9"/>
    <n v="146.97"/>
    <n v="213"/>
    <n v="66.03"/>
  </r>
  <r>
    <x v="18"/>
    <x v="43"/>
    <x v="0"/>
    <x v="9"/>
    <n v="104.58"/>
    <n v="42"/>
    <n v="45.78"/>
  </r>
  <r>
    <x v="18"/>
    <x v="44"/>
    <x v="48"/>
    <x v="9"/>
    <n v="175.11"/>
    <n v="39"/>
    <n v="73.70999999999999"/>
  </r>
  <r>
    <x v="18"/>
    <x v="45"/>
    <x v="36"/>
    <x v="10"/>
    <n v="578.55"/>
    <n v="145"/>
    <n v="274.05"/>
  </r>
  <r>
    <x v="18"/>
    <x v="46"/>
    <x v="8"/>
    <x v="10"/>
    <n v="675.27"/>
    <n v="123"/>
    <n v="281.67"/>
  </r>
  <r>
    <x v="18"/>
    <x v="47"/>
    <x v="30"/>
    <x v="10"/>
    <n v="227.37"/>
    <n v="53"/>
    <n v="89.56999999999999"/>
  </r>
  <r>
    <x v="18"/>
    <x v="48"/>
    <x v="11"/>
    <x v="10"/>
    <n v="224.5"/>
    <n v="50"/>
    <n v="104.5"/>
  </r>
  <r>
    <x v="18"/>
    <x v="49"/>
    <x v="27"/>
    <x v="10"/>
    <n v="233.83"/>
    <n v="67"/>
    <n v="119.93"/>
  </r>
  <r>
    <x v="19"/>
    <x v="0"/>
    <x v="46"/>
    <x v="0"/>
    <n v="471.15"/>
    <n v="135"/>
    <n v="174.15"/>
  </r>
  <r>
    <x v="19"/>
    <x v="1"/>
    <x v="49"/>
    <x v="0"/>
    <n v="343.2"/>
    <n v="80"/>
    <n v="127.2"/>
  </r>
  <r>
    <x v="19"/>
    <x v="2"/>
    <x v="13"/>
    <x v="0"/>
    <n v="317.47"/>
    <n v="53"/>
    <n v="142.57"/>
  </r>
  <r>
    <x v="19"/>
    <x v="3"/>
    <x v="3"/>
    <x v="2"/>
    <n v="174.75"/>
    <n v="25"/>
    <n v="77.25"/>
  </r>
  <r>
    <x v="19"/>
    <x v="4"/>
    <x v="16"/>
    <x v="2"/>
    <n v="626.34"/>
    <n v="146"/>
    <n v="312.44"/>
  </r>
  <r>
    <x v="19"/>
    <x v="5"/>
    <x v="10"/>
    <x v="2"/>
    <n v="408.59"/>
    <n v="91"/>
    <n v="199.29"/>
  </r>
  <r>
    <x v="19"/>
    <x v="6"/>
    <x v="42"/>
    <x v="2"/>
    <n v="194.22"/>
    <n v="78"/>
    <n v="108.42"/>
  </r>
  <r>
    <x v="19"/>
    <x v="7"/>
    <x v="24"/>
    <x v="2"/>
    <n v="384.23"/>
    <n v="77"/>
    <n v="176.33"/>
  </r>
  <r>
    <x v="19"/>
    <x v="8"/>
    <x v="26"/>
    <x v="2"/>
    <n v="172.39"/>
    <n v="41"/>
    <n v="65.79000000000001"/>
  </r>
  <r>
    <x v="19"/>
    <x v="9"/>
    <x v="2"/>
    <x v="2"/>
    <n v="454.48"/>
    <n v="152"/>
    <n v="310.08"/>
  </r>
  <r>
    <x v="19"/>
    <x v="10"/>
    <x v="4"/>
    <x v="3"/>
    <n v="284.62"/>
    <n v="38"/>
    <n v="71.81999999999999"/>
  </r>
  <r>
    <x v="19"/>
    <x v="11"/>
    <x v="20"/>
    <x v="3"/>
    <n v="247.69"/>
    <n v="31"/>
    <n v="89.59"/>
  </r>
  <r>
    <x v="19"/>
    <x v="12"/>
    <x v="6"/>
    <x v="3"/>
    <n v="391.72"/>
    <n v="28"/>
    <n v="100.52"/>
  </r>
  <r>
    <x v="19"/>
    <x v="13"/>
    <x v="23"/>
    <x v="5"/>
    <n v="359.6"/>
    <n v="40"/>
    <n v="143.6"/>
  </r>
  <r>
    <x v="19"/>
    <x v="14"/>
    <x v="22"/>
    <x v="5"/>
    <n v="257.14"/>
    <n v="86"/>
    <n v="153.94"/>
  </r>
  <r>
    <x v="19"/>
    <x v="15"/>
    <x v="19"/>
    <x v="5"/>
    <n v="311.61"/>
    <n v="39"/>
    <n v="128.31"/>
  </r>
  <r>
    <x v="19"/>
    <x v="16"/>
    <x v="18"/>
    <x v="5"/>
    <n v="335.72"/>
    <n v="28"/>
    <n v="136.92"/>
  </r>
  <r>
    <x v="19"/>
    <x v="17"/>
    <x v="7"/>
    <x v="4"/>
    <n v="816.41"/>
    <n v="109"/>
    <n v="391.31"/>
  </r>
  <r>
    <x v="19"/>
    <x v="18"/>
    <x v="44"/>
    <x v="4"/>
    <n v="779.22"/>
    <n v="78"/>
    <n v="342.42"/>
  </r>
  <r>
    <x v="19"/>
    <x v="19"/>
    <x v="21"/>
    <x v="4"/>
    <n v="796.0500000000001"/>
    <n v="145"/>
    <n v="448.05"/>
  </r>
  <r>
    <x v="19"/>
    <x v="20"/>
    <x v="38"/>
    <x v="4"/>
    <n v="329.7"/>
    <n v="30"/>
    <n v="143.7"/>
  </r>
  <r>
    <x v="19"/>
    <x v="21"/>
    <x v="17"/>
    <x v="4"/>
    <n v="506.22"/>
    <n v="78"/>
    <n v="256.62"/>
  </r>
  <r>
    <x v="19"/>
    <x v="22"/>
    <x v="25"/>
    <x v="6"/>
    <n v="399.61"/>
    <n v="89"/>
    <n v="168.21"/>
  </r>
  <r>
    <x v="19"/>
    <x v="23"/>
    <x v="5"/>
    <x v="6"/>
    <n v="148.05"/>
    <n v="45"/>
    <n v="62.55"/>
  </r>
  <r>
    <x v="19"/>
    <x v="24"/>
    <x v="33"/>
    <x v="6"/>
    <n v="117.03"/>
    <n v="47"/>
    <n v="55.93"/>
  </r>
  <r>
    <x v="19"/>
    <x v="25"/>
    <x v="41"/>
    <x v="6"/>
    <n v="167.58"/>
    <n v="42"/>
    <n v="70.98"/>
  </r>
  <r>
    <x v="19"/>
    <x v="26"/>
    <x v="39"/>
    <x v="6"/>
    <n v="110.17"/>
    <n v="23"/>
    <n v="43.47"/>
  </r>
  <r>
    <x v="19"/>
    <x v="27"/>
    <x v="45"/>
    <x v="6"/>
    <n v="168.74"/>
    <n v="26"/>
    <n v="64.73999999999999"/>
  </r>
  <r>
    <x v="19"/>
    <x v="28"/>
    <x v="15"/>
    <x v="6"/>
    <n v="736.33"/>
    <n v="67"/>
    <n v="186.93"/>
  </r>
  <r>
    <x v="19"/>
    <x v="29"/>
    <x v="9"/>
    <x v="6"/>
    <n v="311.74"/>
    <n v="26"/>
    <n v="114.14"/>
  </r>
  <r>
    <x v="19"/>
    <x v="30"/>
    <x v="47"/>
    <x v="8"/>
    <n v="377.58"/>
    <n v="42"/>
    <n v="129.78"/>
  </r>
  <r>
    <x v="19"/>
    <x v="31"/>
    <x v="14"/>
    <x v="8"/>
    <n v="109.78"/>
    <n v="22"/>
    <n v="45.98"/>
  </r>
  <r>
    <x v="19"/>
    <x v="32"/>
    <x v="34"/>
    <x v="8"/>
    <n v="119.92"/>
    <n v="8"/>
    <n v="75.92"/>
  </r>
  <r>
    <x v="19"/>
    <x v="33"/>
    <x v="12"/>
    <x v="1"/>
    <n v="827.64"/>
    <n v="36"/>
    <n v="276.84"/>
  </r>
  <r>
    <x v="19"/>
    <x v="34"/>
    <x v="40"/>
    <x v="1"/>
    <n v="559.65"/>
    <n v="35"/>
    <n v="202.65"/>
  </r>
  <r>
    <x v="19"/>
    <x v="35"/>
    <x v="37"/>
    <x v="1"/>
    <n v="413.77"/>
    <n v="23"/>
    <n v="140.07"/>
  </r>
  <r>
    <x v="19"/>
    <x v="36"/>
    <x v="35"/>
    <x v="1"/>
    <n v="159.92"/>
    <n v="8"/>
    <n v="57.52"/>
  </r>
  <r>
    <x v="19"/>
    <x v="37"/>
    <x v="29"/>
    <x v="3"/>
    <n v="1398.54"/>
    <n v="286"/>
    <n v="383.24"/>
  </r>
  <r>
    <x v="19"/>
    <x v="38"/>
    <x v="28"/>
    <x v="3"/>
    <n v="528.12"/>
    <n v="108"/>
    <n v="144.72"/>
  </r>
  <r>
    <x v="19"/>
    <x v="39"/>
    <x v="31"/>
    <x v="3"/>
    <n v="244.53"/>
    <n v="57"/>
    <n v="90.63"/>
  </r>
  <r>
    <x v="19"/>
    <x v="40"/>
    <x v="32"/>
    <x v="7"/>
    <n v="123.69"/>
    <n v="31"/>
    <n v="74.09"/>
  </r>
  <r>
    <x v="19"/>
    <x v="41"/>
    <x v="43"/>
    <x v="7"/>
    <n v="170.87"/>
    <n v="13"/>
    <n v="64.27"/>
  </r>
  <r>
    <x v="19"/>
    <x v="42"/>
    <x v="1"/>
    <x v="9"/>
    <n v="150.42"/>
    <n v="218"/>
    <n v="67.58"/>
  </r>
  <r>
    <x v="19"/>
    <x v="43"/>
    <x v="0"/>
    <x v="9"/>
    <n v="129.48"/>
    <n v="52"/>
    <n v="56.68"/>
  </r>
  <r>
    <x v="19"/>
    <x v="44"/>
    <x v="48"/>
    <x v="9"/>
    <n v="152.66"/>
    <n v="34"/>
    <n v="64.26000000000001"/>
  </r>
  <r>
    <x v="19"/>
    <x v="45"/>
    <x v="36"/>
    <x v="10"/>
    <n v="518.6999999999999"/>
    <n v="130"/>
    <n v="245.7"/>
  </r>
  <r>
    <x v="19"/>
    <x v="46"/>
    <x v="8"/>
    <x v="10"/>
    <n v="735.66"/>
    <n v="134"/>
    <n v="306.86"/>
  </r>
  <r>
    <x v="19"/>
    <x v="47"/>
    <x v="30"/>
    <x v="10"/>
    <n v="321.75"/>
    <n v="75"/>
    <n v="126.75"/>
  </r>
  <r>
    <x v="19"/>
    <x v="48"/>
    <x v="11"/>
    <x v="10"/>
    <n v="305.32"/>
    <n v="68"/>
    <n v="142.12"/>
  </r>
  <r>
    <x v="19"/>
    <x v="49"/>
    <x v="27"/>
    <x v="10"/>
    <n v="233.83"/>
    <n v="67"/>
    <n v="119.93"/>
  </r>
  <r>
    <x v="20"/>
    <x v="0"/>
    <x v="46"/>
    <x v="0"/>
    <n v="586.3200000000001"/>
    <n v="168"/>
    <n v="216.72"/>
  </r>
  <r>
    <x v="20"/>
    <x v="1"/>
    <x v="49"/>
    <x v="0"/>
    <n v="326.04"/>
    <n v="76"/>
    <n v="120.84"/>
  </r>
  <r>
    <x v="20"/>
    <x v="2"/>
    <x v="13"/>
    <x v="0"/>
    <n v="287.52"/>
    <n v="48"/>
    <n v="129.12"/>
  </r>
  <r>
    <x v="20"/>
    <x v="3"/>
    <x v="3"/>
    <x v="2"/>
    <n v="237.66"/>
    <n v="34"/>
    <n v="105.06"/>
  </r>
  <r>
    <x v="20"/>
    <x v="4"/>
    <x v="16"/>
    <x v="2"/>
    <n v="699.27"/>
    <n v="163"/>
    <n v="348.82"/>
  </r>
  <r>
    <x v="20"/>
    <x v="5"/>
    <x v="10"/>
    <x v="2"/>
    <n v="350.22"/>
    <n v="78"/>
    <n v="170.82"/>
  </r>
  <r>
    <x v="20"/>
    <x v="6"/>
    <x v="42"/>
    <x v="2"/>
    <n v="176.79"/>
    <n v="71"/>
    <n v="98.69"/>
  </r>
  <r>
    <x v="20"/>
    <x v="7"/>
    <x v="24"/>
    <x v="2"/>
    <n v="424.15"/>
    <n v="85"/>
    <n v="194.65"/>
  </r>
  <r>
    <x v="20"/>
    <x v="8"/>
    <x v="26"/>
    <x v="2"/>
    <n v="201.18"/>
    <n v="42"/>
    <n v="91.98"/>
  </r>
  <r>
    <x v="20"/>
    <x v="9"/>
    <x v="2"/>
    <x v="2"/>
    <n v="376.74"/>
    <n v="126"/>
    <n v="257.04"/>
  </r>
  <r>
    <x v="20"/>
    <x v="10"/>
    <x v="4"/>
    <x v="3"/>
    <n v="292.11"/>
    <n v="39"/>
    <n v="73.70999999999999"/>
  </r>
  <r>
    <x v="20"/>
    <x v="11"/>
    <x v="20"/>
    <x v="3"/>
    <n v="175.78"/>
    <n v="22"/>
    <n v="63.58"/>
  </r>
  <r>
    <x v="20"/>
    <x v="12"/>
    <x v="6"/>
    <x v="3"/>
    <n v="489.65"/>
    <n v="35"/>
    <n v="125.65"/>
  </r>
  <r>
    <x v="20"/>
    <x v="13"/>
    <x v="23"/>
    <x v="5"/>
    <n v="539.4"/>
    <n v="60"/>
    <n v="215.4"/>
  </r>
  <r>
    <x v="20"/>
    <x v="14"/>
    <x v="22"/>
    <x v="5"/>
    <n v="185.38"/>
    <n v="62"/>
    <n v="110.98"/>
  </r>
  <r>
    <x v="20"/>
    <x v="15"/>
    <x v="19"/>
    <x v="5"/>
    <n v="423.47"/>
    <n v="53"/>
    <n v="174.37"/>
  </r>
  <r>
    <x v="20"/>
    <x v="16"/>
    <x v="18"/>
    <x v="5"/>
    <n v="227.81"/>
    <n v="19"/>
    <n v="92.91"/>
  </r>
  <r>
    <x v="20"/>
    <x v="17"/>
    <x v="7"/>
    <x v="4"/>
    <n v="808.9200000000001"/>
    <n v="108"/>
    <n v="387.72"/>
  </r>
  <r>
    <x v="20"/>
    <x v="18"/>
    <x v="44"/>
    <x v="4"/>
    <n v="699.3000000000001"/>
    <n v="70"/>
    <n v="307.3"/>
  </r>
  <r>
    <x v="20"/>
    <x v="19"/>
    <x v="21"/>
    <x v="4"/>
    <n v="752.13"/>
    <n v="137"/>
    <n v="423.33"/>
  </r>
  <r>
    <x v="20"/>
    <x v="20"/>
    <x v="38"/>
    <x v="4"/>
    <n v="351.68"/>
    <n v="32"/>
    <n v="153.28"/>
  </r>
  <r>
    <x v="20"/>
    <x v="21"/>
    <x v="17"/>
    <x v="4"/>
    <n v="434.83"/>
    <n v="67"/>
    <n v="220.43"/>
  </r>
  <r>
    <x v="20"/>
    <x v="22"/>
    <x v="25"/>
    <x v="6"/>
    <n v="404.1"/>
    <n v="90"/>
    <n v="170.1"/>
  </r>
  <r>
    <x v="20"/>
    <x v="23"/>
    <x v="5"/>
    <x v="6"/>
    <n v="171.08"/>
    <n v="52"/>
    <n v="72.28"/>
  </r>
  <r>
    <x v="20"/>
    <x v="24"/>
    <x v="33"/>
    <x v="6"/>
    <n v="112.05"/>
    <n v="45"/>
    <n v="53.55"/>
  </r>
  <r>
    <x v="20"/>
    <x v="25"/>
    <x v="41"/>
    <x v="6"/>
    <n v="67.83"/>
    <n v="17"/>
    <n v="28.73"/>
  </r>
  <r>
    <x v="20"/>
    <x v="26"/>
    <x v="39"/>
    <x v="6"/>
    <n v="92.90000000000001"/>
    <n v="22"/>
    <n v="29.1"/>
  </r>
  <r>
    <x v="20"/>
    <x v="27"/>
    <x v="45"/>
    <x v="6"/>
    <n v="142.78"/>
    <n v="22"/>
    <n v="54.78"/>
  </r>
  <r>
    <x v="20"/>
    <x v="28"/>
    <x v="15"/>
    <x v="6"/>
    <n v="747.3200000000001"/>
    <n v="68"/>
    <n v="189.72"/>
  </r>
  <r>
    <x v="20"/>
    <x v="29"/>
    <x v="9"/>
    <x v="6"/>
    <n v="239.8"/>
    <n v="20"/>
    <n v="87.8"/>
  </r>
  <r>
    <x v="20"/>
    <x v="30"/>
    <x v="47"/>
    <x v="8"/>
    <n v="296.67"/>
    <n v="33"/>
    <n v="101.97"/>
  </r>
  <r>
    <x v="20"/>
    <x v="31"/>
    <x v="14"/>
    <x v="8"/>
    <n v="104.79"/>
    <n v="21"/>
    <n v="43.89"/>
  </r>
  <r>
    <x v="20"/>
    <x v="32"/>
    <x v="34"/>
    <x v="8"/>
    <n v="194.87"/>
    <n v="13"/>
    <n v="123.37"/>
  </r>
  <r>
    <x v="20"/>
    <x v="33"/>
    <x v="12"/>
    <x v="1"/>
    <n v="965.5799999999999"/>
    <n v="42"/>
    <n v="322.98"/>
  </r>
  <r>
    <x v="20"/>
    <x v="34"/>
    <x v="40"/>
    <x v="1"/>
    <n v="655.59"/>
    <n v="41"/>
    <n v="237.39"/>
  </r>
  <r>
    <x v="20"/>
    <x v="35"/>
    <x v="37"/>
    <x v="1"/>
    <n v="413.77"/>
    <n v="23"/>
    <n v="140.07"/>
  </r>
  <r>
    <x v="20"/>
    <x v="36"/>
    <x v="35"/>
    <x v="1"/>
    <n v="299.85"/>
    <n v="15"/>
    <n v="107.85"/>
  </r>
  <r>
    <x v="20"/>
    <x v="37"/>
    <x v="29"/>
    <x v="3"/>
    <n v="1344.75"/>
    <n v="275"/>
    <n v="368.5"/>
  </r>
  <r>
    <x v="20"/>
    <x v="38"/>
    <x v="28"/>
    <x v="3"/>
    <n v="444.99"/>
    <n v="91"/>
    <n v="121.94"/>
  </r>
  <r>
    <x v="20"/>
    <x v="39"/>
    <x v="31"/>
    <x v="3"/>
    <n v="315.65"/>
    <n v="83"/>
    <n v="91.55"/>
  </r>
  <r>
    <x v="20"/>
    <x v="40"/>
    <x v="32"/>
    <x v="7"/>
    <n v="155.61"/>
    <n v="39"/>
    <n v="93.20999999999999"/>
  </r>
  <r>
    <x v="20"/>
    <x v="41"/>
    <x v="43"/>
    <x v="7"/>
    <n v="224.85"/>
    <n v="15"/>
    <n v="101.85"/>
  </r>
  <r>
    <x v="20"/>
    <x v="42"/>
    <x v="1"/>
    <x v="9"/>
    <n v="164.22"/>
    <n v="238"/>
    <n v="73.78"/>
  </r>
  <r>
    <x v="20"/>
    <x v="43"/>
    <x v="0"/>
    <x v="9"/>
    <n v="154.38"/>
    <n v="62"/>
    <n v="67.58"/>
  </r>
  <r>
    <x v="20"/>
    <x v="44"/>
    <x v="48"/>
    <x v="9"/>
    <n v="130.21"/>
    <n v="29"/>
    <n v="54.81"/>
  </r>
  <r>
    <x v="20"/>
    <x v="45"/>
    <x v="36"/>
    <x v="10"/>
    <n v="593.55"/>
    <n v="165"/>
    <n v="247.05"/>
  </r>
  <r>
    <x v="20"/>
    <x v="46"/>
    <x v="8"/>
    <x v="10"/>
    <n v="592.9200000000001"/>
    <n v="108"/>
    <n v="247.32"/>
  </r>
  <r>
    <x v="20"/>
    <x v="47"/>
    <x v="30"/>
    <x v="10"/>
    <n v="214.5"/>
    <n v="50"/>
    <n v="84.5"/>
  </r>
  <r>
    <x v="20"/>
    <x v="48"/>
    <x v="11"/>
    <x v="10"/>
    <n v="291.85"/>
    <n v="65"/>
    <n v="135.85"/>
  </r>
  <r>
    <x v="20"/>
    <x v="49"/>
    <x v="27"/>
    <x v="10"/>
    <n v="237.32"/>
    <n v="68"/>
    <n v="121.72"/>
  </r>
  <r>
    <x v="21"/>
    <x v="0"/>
    <x v="46"/>
    <x v="0"/>
    <n v="558.4"/>
    <n v="160"/>
    <n v="206.4"/>
  </r>
  <r>
    <x v="21"/>
    <x v="1"/>
    <x v="49"/>
    <x v="0"/>
    <n v="338.91"/>
    <n v="79"/>
    <n v="125.61"/>
  </r>
  <r>
    <x v="21"/>
    <x v="2"/>
    <x v="13"/>
    <x v="0"/>
    <n v="179.7"/>
    <n v="30"/>
    <n v="80.7"/>
  </r>
  <r>
    <x v="21"/>
    <x v="3"/>
    <x v="3"/>
    <x v="2"/>
    <n v="174.75"/>
    <n v="25"/>
    <n v="77.25"/>
  </r>
  <r>
    <x v="21"/>
    <x v="4"/>
    <x v="16"/>
    <x v="2"/>
    <n v="789.36"/>
    <n v="184"/>
    <n v="393.76"/>
  </r>
  <r>
    <x v="21"/>
    <x v="5"/>
    <x v="10"/>
    <x v="2"/>
    <n v="408.59"/>
    <n v="91"/>
    <n v="199.29"/>
  </r>
  <r>
    <x v="21"/>
    <x v="6"/>
    <x v="42"/>
    <x v="2"/>
    <n v="217.49"/>
    <n v="101"/>
    <n v="106.39"/>
  </r>
  <r>
    <x v="21"/>
    <x v="7"/>
    <x v="24"/>
    <x v="2"/>
    <n v="389.22"/>
    <n v="78"/>
    <n v="178.62"/>
  </r>
  <r>
    <x v="21"/>
    <x v="8"/>
    <x v="26"/>
    <x v="2"/>
    <n v="148.49"/>
    <n v="31"/>
    <n v="67.89"/>
  </r>
  <r>
    <x v="21"/>
    <x v="9"/>
    <x v="2"/>
    <x v="2"/>
    <n v="358.8"/>
    <n v="120"/>
    <n v="244.8"/>
  </r>
  <r>
    <x v="21"/>
    <x v="10"/>
    <x v="4"/>
    <x v="3"/>
    <n v="272.56"/>
    <n v="44"/>
    <n v="26.16"/>
  </r>
  <r>
    <x v="21"/>
    <x v="11"/>
    <x v="20"/>
    <x v="3"/>
    <n v="215.73"/>
    <n v="27"/>
    <n v="78.03"/>
  </r>
  <r>
    <x v="21"/>
    <x v="12"/>
    <x v="6"/>
    <x v="3"/>
    <n v="433.69"/>
    <n v="31"/>
    <n v="111.29"/>
  </r>
  <r>
    <x v="21"/>
    <x v="13"/>
    <x v="23"/>
    <x v="5"/>
    <n v="363.15"/>
    <n v="45"/>
    <n v="120.15"/>
  </r>
  <r>
    <x v="21"/>
    <x v="14"/>
    <x v="22"/>
    <x v="5"/>
    <n v="227.24"/>
    <n v="76"/>
    <n v="136.04"/>
  </r>
  <r>
    <x v="21"/>
    <x v="15"/>
    <x v="19"/>
    <x v="5"/>
    <n v="335.58"/>
    <n v="42"/>
    <n v="138.18"/>
  </r>
  <r>
    <x v="21"/>
    <x v="16"/>
    <x v="18"/>
    <x v="5"/>
    <n v="479.6"/>
    <n v="40"/>
    <n v="195.6"/>
  </r>
  <r>
    <x v="21"/>
    <x v="17"/>
    <x v="7"/>
    <x v="4"/>
    <n v="951.23"/>
    <n v="127"/>
    <n v="455.93"/>
  </r>
  <r>
    <x v="21"/>
    <x v="18"/>
    <x v="44"/>
    <x v="4"/>
    <n v="829.17"/>
    <n v="83"/>
    <n v="364.37"/>
  </r>
  <r>
    <x v="21"/>
    <x v="19"/>
    <x v="21"/>
    <x v="4"/>
    <n v="752.13"/>
    <n v="137"/>
    <n v="423.33"/>
  </r>
  <r>
    <x v="21"/>
    <x v="20"/>
    <x v="38"/>
    <x v="4"/>
    <n v="450.59"/>
    <n v="41"/>
    <n v="196.39"/>
  </r>
  <r>
    <x v="21"/>
    <x v="21"/>
    <x v="17"/>
    <x v="4"/>
    <n v="616.55"/>
    <n v="95"/>
    <n v="312.55"/>
  </r>
  <r>
    <x v="21"/>
    <x v="22"/>
    <x v="25"/>
    <x v="6"/>
    <n v="435.53"/>
    <n v="97"/>
    <n v="183.33"/>
  </r>
  <r>
    <x v="21"/>
    <x v="23"/>
    <x v="5"/>
    <x v="6"/>
    <n v="134.89"/>
    <n v="41"/>
    <n v="56.99"/>
  </r>
  <r>
    <x v="21"/>
    <x v="24"/>
    <x v="33"/>
    <x v="6"/>
    <n v="99.59999999999999"/>
    <n v="40"/>
    <n v="47.6"/>
  </r>
  <r>
    <x v="21"/>
    <x v="25"/>
    <x v="41"/>
    <x v="6"/>
    <n v="147.63"/>
    <n v="37"/>
    <n v="62.53"/>
  </r>
  <r>
    <x v="21"/>
    <x v="26"/>
    <x v="39"/>
    <x v="6"/>
    <n v="113.01"/>
    <n v="27"/>
    <n v="34.71"/>
  </r>
  <r>
    <x v="21"/>
    <x v="27"/>
    <x v="45"/>
    <x v="6"/>
    <n v="201.19"/>
    <n v="31"/>
    <n v="77.19"/>
  </r>
  <r>
    <x v="21"/>
    <x v="28"/>
    <x v="15"/>
    <x v="6"/>
    <n v="736.33"/>
    <n v="67"/>
    <n v="186.93"/>
  </r>
  <r>
    <x v="21"/>
    <x v="29"/>
    <x v="9"/>
    <x v="6"/>
    <n v="347.71"/>
    <n v="29"/>
    <n v="127.31"/>
  </r>
  <r>
    <x v="21"/>
    <x v="30"/>
    <x v="47"/>
    <x v="8"/>
    <n v="413.54"/>
    <n v="46"/>
    <n v="142.14"/>
  </r>
  <r>
    <x v="21"/>
    <x v="31"/>
    <x v="14"/>
    <x v="8"/>
    <n v="64.87"/>
    <n v="13"/>
    <n v="27.17"/>
  </r>
  <r>
    <x v="21"/>
    <x v="32"/>
    <x v="34"/>
    <x v="8"/>
    <n v="74.95"/>
    <n v="5"/>
    <n v="47.45"/>
  </r>
  <r>
    <x v="21"/>
    <x v="33"/>
    <x v="12"/>
    <x v="1"/>
    <n v="758.67"/>
    <n v="33"/>
    <n v="253.77"/>
  </r>
  <r>
    <x v="21"/>
    <x v="34"/>
    <x v="40"/>
    <x v="1"/>
    <n v="463.71"/>
    <n v="29"/>
    <n v="167.91"/>
  </r>
  <r>
    <x v="21"/>
    <x v="35"/>
    <x v="37"/>
    <x v="1"/>
    <n v="485.73"/>
    <n v="27"/>
    <n v="164.43"/>
  </r>
  <r>
    <x v="21"/>
    <x v="36"/>
    <x v="35"/>
    <x v="1"/>
    <n v="259.87"/>
    <n v="13"/>
    <n v="93.47"/>
  </r>
  <r>
    <x v="21"/>
    <x v="37"/>
    <x v="29"/>
    <x v="3"/>
    <n v="1447.44"/>
    <n v="296"/>
    <n v="396.64"/>
  </r>
  <r>
    <x v="21"/>
    <x v="38"/>
    <x v="28"/>
    <x v="3"/>
    <n v="464.55"/>
    <n v="95"/>
    <n v="127.3"/>
  </r>
  <r>
    <x v="21"/>
    <x v="39"/>
    <x v="31"/>
    <x v="3"/>
    <n v="261.69"/>
    <n v="61"/>
    <n v="96.98999999999999"/>
  </r>
  <r>
    <x v="21"/>
    <x v="40"/>
    <x v="32"/>
    <x v="7"/>
    <n v="151.62"/>
    <n v="38"/>
    <n v="90.81999999999999"/>
  </r>
  <r>
    <x v="21"/>
    <x v="41"/>
    <x v="43"/>
    <x v="7"/>
    <n v="284.81"/>
    <n v="19"/>
    <n v="129.01"/>
  </r>
  <r>
    <x v="21"/>
    <x v="42"/>
    <x v="1"/>
    <x v="9"/>
    <n v="147.66"/>
    <n v="214"/>
    <n v="66.34"/>
  </r>
  <r>
    <x v="21"/>
    <x v="43"/>
    <x v="0"/>
    <x v="9"/>
    <n v="139.44"/>
    <n v="56"/>
    <n v="61.04"/>
  </r>
  <r>
    <x v="21"/>
    <x v="44"/>
    <x v="48"/>
    <x v="9"/>
    <n v="139.19"/>
    <n v="31"/>
    <n v="58.59"/>
  </r>
  <r>
    <x v="21"/>
    <x v="45"/>
    <x v="36"/>
    <x v="10"/>
    <n v="690.27"/>
    <n v="173"/>
    <n v="326.97"/>
  </r>
  <r>
    <x v="21"/>
    <x v="46"/>
    <x v="8"/>
    <x v="10"/>
    <n v="636.84"/>
    <n v="116"/>
    <n v="265.64"/>
  </r>
  <r>
    <x v="21"/>
    <x v="47"/>
    <x v="30"/>
    <x v="10"/>
    <n v="231.66"/>
    <n v="54"/>
    <n v="91.26000000000001"/>
  </r>
  <r>
    <x v="21"/>
    <x v="48"/>
    <x v="11"/>
    <x v="10"/>
    <n v="264.91"/>
    <n v="59"/>
    <n v="123.31"/>
  </r>
  <r>
    <x v="21"/>
    <x v="49"/>
    <x v="27"/>
    <x v="10"/>
    <n v="254.77"/>
    <n v="73"/>
    <n v="130.67"/>
  </r>
  <r>
    <x v="22"/>
    <x v="0"/>
    <x v="46"/>
    <x v="0"/>
    <n v="530.48"/>
    <n v="152"/>
    <n v="196.08"/>
  </r>
  <r>
    <x v="22"/>
    <x v="1"/>
    <x v="49"/>
    <x v="0"/>
    <n v="373.23"/>
    <n v="87"/>
    <n v="138.33"/>
  </r>
  <r>
    <x v="22"/>
    <x v="2"/>
    <x v="13"/>
    <x v="0"/>
    <n v="311.48"/>
    <n v="52"/>
    <n v="139.88"/>
  </r>
  <r>
    <x v="22"/>
    <x v="3"/>
    <x v="3"/>
    <x v="2"/>
    <n v="223.68"/>
    <n v="32"/>
    <n v="98.88"/>
  </r>
  <r>
    <x v="22"/>
    <x v="4"/>
    <x v="16"/>
    <x v="2"/>
    <n v="763.62"/>
    <n v="178"/>
    <n v="380.92"/>
  </r>
  <r>
    <x v="22"/>
    <x v="5"/>
    <x v="10"/>
    <x v="2"/>
    <n v="489.41"/>
    <n v="109"/>
    <n v="238.71"/>
  </r>
  <r>
    <x v="22"/>
    <x v="6"/>
    <x v="42"/>
    <x v="2"/>
    <n v="219.12"/>
    <n v="88"/>
    <n v="122.32"/>
  </r>
  <r>
    <x v="22"/>
    <x v="7"/>
    <x v="24"/>
    <x v="2"/>
    <n v="469.06"/>
    <n v="94"/>
    <n v="215.26"/>
  </r>
  <r>
    <x v="22"/>
    <x v="8"/>
    <x v="26"/>
    <x v="2"/>
    <n v="167.65"/>
    <n v="35"/>
    <n v="76.65000000000001"/>
  </r>
  <r>
    <x v="22"/>
    <x v="9"/>
    <x v="2"/>
    <x v="2"/>
    <n v="355.81"/>
    <n v="119"/>
    <n v="242.76"/>
  </r>
  <r>
    <x v="22"/>
    <x v="10"/>
    <x v="4"/>
    <x v="3"/>
    <n v="401.39"/>
    <n v="61"/>
    <n v="59.79"/>
  </r>
  <r>
    <x v="22"/>
    <x v="11"/>
    <x v="20"/>
    <x v="3"/>
    <n v="183.77"/>
    <n v="23"/>
    <n v="66.47"/>
  </r>
  <r>
    <x v="22"/>
    <x v="12"/>
    <x v="6"/>
    <x v="3"/>
    <n v="475.66"/>
    <n v="34"/>
    <n v="122.06"/>
  </r>
  <r>
    <x v="22"/>
    <x v="13"/>
    <x v="23"/>
    <x v="5"/>
    <n v="512.4299999999999"/>
    <n v="57"/>
    <n v="204.63"/>
  </r>
  <r>
    <x v="22"/>
    <x v="14"/>
    <x v="22"/>
    <x v="5"/>
    <n v="170.43"/>
    <n v="57"/>
    <n v="102.03"/>
  </r>
  <r>
    <x v="22"/>
    <x v="15"/>
    <x v="19"/>
    <x v="5"/>
    <n v="394.64"/>
    <n v="56"/>
    <n v="131.44"/>
  </r>
  <r>
    <x v="22"/>
    <x v="16"/>
    <x v="18"/>
    <x v="5"/>
    <n v="474.74"/>
    <n v="46"/>
    <n v="148.14"/>
  </r>
  <r>
    <x v="22"/>
    <x v="17"/>
    <x v="7"/>
    <x v="4"/>
    <n v="1213.38"/>
    <n v="162"/>
    <n v="581.58"/>
  </r>
  <r>
    <x v="22"/>
    <x v="18"/>
    <x v="44"/>
    <x v="4"/>
    <n v="999"/>
    <n v="100"/>
    <n v="439"/>
  </r>
  <r>
    <x v="22"/>
    <x v="19"/>
    <x v="21"/>
    <x v="4"/>
    <n v="790.5599999999999"/>
    <n v="144"/>
    <n v="444.96"/>
  </r>
  <r>
    <x v="22"/>
    <x v="20"/>
    <x v="38"/>
    <x v="4"/>
    <n v="406.63"/>
    <n v="37"/>
    <n v="177.23"/>
  </r>
  <r>
    <x v="22"/>
    <x v="21"/>
    <x v="17"/>
    <x v="4"/>
    <n v="499.73"/>
    <n v="77"/>
    <n v="253.33"/>
  </r>
  <r>
    <x v="22"/>
    <x v="22"/>
    <x v="25"/>
    <x v="6"/>
    <n v="520.84"/>
    <n v="116"/>
    <n v="219.24"/>
  </r>
  <r>
    <x v="22"/>
    <x v="23"/>
    <x v="5"/>
    <x v="6"/>
    <n v="131.6"/>
    <n v="40"/>
    <n v="55.6"/>
  </r>
  <r>
    <x v="22"/>
    <x v="24"/>
    <x v="33"/>
    <x v="6"/>
    <n v="104.58"/>
    <n v="42"/>
    <n v="49.98"/>
  </r>
  <r>
    <x v="22"/>
    <x v="25"/>
    <x v="41"/>
    <x v="6"/>
    <n v="163.59"/>
    <n v="41"/>
    <n v="69.29000000000001"/>
  </r>
  <r>
    <x v="22"/>
    <x v="26"/>
    <x v="39"/>
    <x v="6"/>
    <n v="119.75"/>
    <n v="25"/>
    <n v="47.25"/>
  </r>
  <r>
    <x v="22"/>
    <x v="27"/>
    <x v="45"/>
    <x v="6"/>
    <n v="162.25"/>
    <n v="25"/>
    <n v="62.25"/>
  </r>
  <r>
    <x v="22"/>
    <x v="28"/>
    <x v="15"/>
    <x v="6"/>
    <n v="967.12"/>
    <n v="88"/>
    <n v="245.52"/>
  </r>
  <r>
    <x v="22"/>
    <x v="29"/>
    <x v="9"/>
    <x v="6"/>
    <n v="263.78"/>
    <n v="22"/>
    <n v="96.58"/>
  </r>
  <r>
    <x v="22"/>
    <x v="30"/>
    <x v="47"/>
    <x v="8"/>
    <n v="287.68"/>
    <n v="32"/>
    <n v="98.88"/>
  </r>
  <r>
    <x v="22"/>
    <x v="31"/>
    <x v="14"/>
    <x v="8"/>
    <n v="134.73"/>
    <n v="27"/>
    <n v="56.43"/>
  </r>
  <r>
    <x v="22"/>
    <x v="32"/>
    <x v="34"/>
    <x v="8"/>
    <n v="194.87"/>
    <n v="13"/>
    <n v="123.37"/>
  </r>
  <r>
    <x v="22"/>
    <x v="33"/>
    <x v="12"/>
    <x v="1"/>
    <n v="1108.05"/>
    <n v="55"/>
    <n v="266.55"/>
  </r>
  <r>
    <x v="22"/>
    <x v="34"/>
    <x v="40"/>
    <x v="1"/>
    <n v="495.69"/>
    <n v="31"/>
    <n v="179.49"/>
  </r>
  <r>
    <x v="22"/>
    <x v="35"/>
    <x v="37"/>
    <x v="1"/>
    <n v="323.82"/>
    <n v="18"/>
    <n v="109.62"/>
  </r>
  <r>
    <x v="22"/>
    <x v="36"/>
    <x v="35"/>
    <x v="1"/>
    <n v="439.78"/>
    <n v="22"/>
    <n v="158.18"/>
  </r>
  <r>
    <x v="22"/>
    <x v="37"/>
    <x v="29"/>
    <x v="3"/>
    <n v="1183.38"/>
    <n v="242"/>
    <n v="324.28"/>
  </r>
  <r>
    <x v="22"/>
    <x v="38"/>
    <x v="28"/>
    <x v="3"/>
    <n v="547.6799999999999"/>
    <n v="112"/>
    <n v="150.08"/>
  </r>
  <r>
    <x v="22"/>
    <x v="39"/>
    <x v="31"/>
    <x v="3"/>
    <n v="167.31"/>
    <n v="39"/>
    <n v="62.01"/>
  </r>
  <r>
    <x v="22"/>
    <x v="40"/>
    <x v="32"/>
    <x v="7"/>
    <n v="131.67"/>
    <n v="33"/>
    <n v="78.87"/>
  </r>
  <r>
    <x v="22"/>
    <x v="41"/>
    <x v="43"/>
    <x v="7"/>
    <n v="239.84"/>
    <n v="16"/>
    <n v="108.64"/>
  </r>
  <r>
    <x v="22"/>
    <x v="42"/>
    <x v="1"/>
    <x v="9"/>
    <n v="147.66"/>
    <n v="214"/>
    <n v="66.34"/>
  </r>
  <r>
    <x v="22"/>
    <x v="43"/>
    <x v="0"/>
    <x v="9"/>
    <n v="126.99"/>
    <n v="51"/>
    <n v="55.59"/>
  </r>
  <r>
    <x v="22"/>
    <x v="44"/>
    <x v="48"/>
    <x v="9"/>
    <n v="134.7"/>
    <n v="30"/>
    <n v="56.7"/>
  </r>
  <r>
    <x v="22"/>
    <x v="45"/>
    <x v="36"/>
    <x v="10"/>
    <n v="630.42"/>
    <n v="158"/>
    <n v="298.62"/>
  </r>
  <r>
    <x v="22"/>
    <x v="46"/>
    <x v="8"/>
    <x v="10"/>
    <n v="658.8"/>
    <n v="120"/>
    <n v="274.8"/>
  </r>
  <r>
    <x v="22"/>
    <x v="47"/>
    <x v="30"/>
    <x v="10"/>
    <n v="356.07"/>
    <n v="83"/>
    <n v="140.27"/>
  </r>
  <r>
    <x v="22"/>
    <x v="48"/>
    <x v="11"/>
    <x v="10"/>
    <n v="323.28"/>
    <n v="72"/>
    <n v="150.48"/>
  </r>
  <r>
    <x v="22"/>
    <x v="49"/>
    <x v="27"/>
    <x v="10"/>
    <n v="247.79"/>
    <n v="71"/>
    <n v="127.09"/>
  </r>
  <r>
    <x v="23"/>
    <x v="0"/>
    <x v="46"/>
    <x v="0"/>
    <n v="502.56"/>
    <n v="144"/>
    <n v="185.76"/>
  </r>
  <r>
    <x v="23"/>
    <x v="1"/>
    <x v="49"/>
    <x v="0"/>
    <n v="317.46"/>
    <n v="74"/>
    <n v="117.66"/>
  </r>
  <r>
    <x v="23"/>
    <x v="2"/>
    <x v="13"/>
    <x v="0"/>
    <n v="275.54"/>
    <n v="46"/>
    <n v="123.74"/>
  </r>
  <r>
    <x v="23"/>
    <x v="3"/>
    <x v="3"/>
    <x v="2"/>
    <n v="244.65"/>
    <n v="35"/>
    <n v="108.15"/>
  </r>
  <r>
    <x v="23"/>
    <x v="4"/>
    <x v="16"/>
    <x v="2"/>
    <n v="767.91"/>
    <n v="179"/>
    <n v="383.06"/>
  </r>
  <r>
    <x v="23"/>
    <x v="5"/>
    <x v="10"/>
    <x v="2"/>
    <n v="431.04"/>
    <n v="96"/>
    <n v="210.24"/>
  </r>
  <r>
    <x v="23"/>
    <x v="6"/>
    <x v="42"/>
    <x v="2"/>
    <n v="186.75"/>
    <n v="75"/>
    <n v="104.25"/>
  </r>
  <r>
    <x v="23"/>
    <x v="7"/>
    <x v="24"/>
    <x v="2"/>
    <n v="469.06"/>
    <n v="94"/>
    <n v="215.26"/>
  </r>
  <r>
    <x v="23"/>
    <x v="8"/>
    <x v="26"/>
    <x v="2"/>
    <n v="158.07"/>
    <n v="33"/>
    <n v="72.27"/>
  </r>
  <r>
    <x v="23"/>
    <x v="9"/>
    <x v="2"/>
    <x v="2"/>
    <n v="400.66"/>
    <n v="134"/>
    <n v="273.36"/>
  </r>
  <r>
    <x v="23"/>
    <x v="10"/>
    <x v="4"/>
    <x v="3"/>
    <n v="329.56"/>
    <n v="44"/>
    <n v="83.16"/>
  </r>
  <r>
    <x v="23"/>
    <x v="11"/>
    <x v="20"/>
    <x v="3"/>
    <n v="215.73"/>
    <n v="27"/>
    <n v="78.03"/>
  </r>
  <r>
    <x v="23"/>
    <x v="12"/>
    <x v="6"/>
    <x v="3"/>
    <n v="601.5700000000001"/>
    <n v="43"/>
    <n v="154.37"/>
  </r>
  <r>
    <x v="23"/>
    <x v="13"/>
    <x v="23"/>
    <x v="5"/>
    <n v="359.6"/>
    <n v="40"/>
    <n v="143.6"/>
  </r>
  <r>
    <x v="23"/>
    <x v="14"/>
    <x v="22"/>
    <x v="5"/>
    <n v="233.22"/>
    <n v="78"/>
    <n v="139.62"/>
  </r>
  <r>
    <x v="23"/>
    <x v="15"/>
    <x v="19"/>
    <x v="5"/>
    <n v="351.56"/>
    <n v="44"/>
    <n v="144.76"/>
  </r>
  <r>
    <x v="23"/>
    <x v="16"/>
    <x v="18"/>
    <x v="5"/>
    <n v="371.69"/>
    <n v="31"/>
    <n v="151.59"/>
  </r>
  <r>
    <x v="23"/>
    <x v="17"/>
    <x v="7"/>
    <x v="4"/>
    <n v="898.8000000000001"/>
    <n v="120"/>
    <n v="430.8"/>
  </r>
  <r>
    <x v="23"/>
    <x v="18"/>
    <x v="44"/>
    <x v="4"/>
    <n v="929.0700000000001"/>
    <n v="93"/>
    <n v="408.27"/>
  </r>
  <r>
    <x v="23"/>
    <x v="19"/>
    <x v="21"/>
    <x v="4"/>
    <n v="620.37"/>
    <n v="113"/>
    <n v="349.17"/>
  </r>
  <r>
    <x v="23"/>
    <x v="20"/>
    <x v="38"/>
    <x v="4"/>
    <n v="406.63"/>
    <n v="37"/>
    <n v="177.23"/>
  </r>
  <r>
    <x v="23"/>
    <x v="21"/>
    <x v="17"/>
    <x v="4"/>
    <n v="428.34"/>
    <n v="66"/>
    <n v="217.14"/>
  </r>
  <r>
    <x v="23"/>
    <x v="22"/>
    <x v="25"/>
    <x v="6"/>
    <n v="484.92"/>
    <n v="108"/>
    <n v="204.12"/>
  </r>
  <r>
    <x v="23"/>
    <x v="23"/>
    <x v="5"/>
    <x v="6"/>
    <n v="144.76"/>
    <n v="44"/>
    <n v="61.16"/>
  </r>
  <r>
    <x v="23"/>
    <x v="24"/>
    <x v="33"/>
    <x v="6"/>
    <n v="117.03"/>
    <n v="47"/>
    <n v="55.93"/>
  </r>
  <r>
    <x v="23"/>
    <x v="25"/>
    <x v="41"/>
    <x v="6"/>
    <n v="119.7"/>
    <n v="30"/>
    <n v="50.7"/>
  </r>
  <r>
    <x v="23"/>
    <x v="26"/>
    <x v="39"/>
    <x v="6"/>
    <n v="119.75"/>
    <n v="25"/>
    <n v="47.25"/>
  </r>
  <r>
    <x v="23"/>
    <x v="27"/>
    <x v="45"/>
    <x v="6"/>
    <n v="145.34"/>
    <n v="26"/>
    <n v="41.34"/>
  </r>
  <r>
    <x v="23"/>
    <x v="28"/>
    <x v="15"/>
    <x v="6"/>
    <n v="626.4299999999999"/>
    <n v="57"/>
    <n v="159.03"/>
  </r>
  <r>
    <x v="23"/>
    <x v="29"/>
    <x v="9"/>
    <x v="6"/>
    <n v="311.74"/>
    <n v="26"/>
    <n v="114.14"/>
  </r>
  <r>
    <x v="23"/>
    <x v="30"/>
    <x v="47"/>
    <x v="8"/>
    <n v="206.77"/>
    <n v="23"/>
    <n v="71.06999999999999"/>
  </r>
  <r>
    <x v="23"/>
    <x v="31"/>
    <x v="14"/>
    <x v="8"/>
    <n v="159.68"/>
    <n v="32"/>
    <n v="66.88"/>
  </r>
  <r>
    <x v="23"/>
    <x v="32"/>
    <x v="34"/>
    <x v="8"/>
    <n v="74.95"/>
    <n v="5"/>
    <n v="47.45"/>
  </r>
  <r>
    <x v="23"/>
    <x v="33"/>
    <x v="12"/>
    <x v="1"/>
    <n v="735.6800000000001"/>
    <n v="32"/>
    <n v="246.08"/>
  </r>
  <r>
    <x v="23"/>
    <x v="34"/>
    <x v="40"/>
    <x v="1"/>
    <n v="559.65"/>
    <n v="35"/>
    <n v="202.65"/>
  </r>
  <r>
    <x v="23"/>
    <x v="35"/>
    <x v="37"/>
    <x v="1"/>
    <n v="539.6999999999999"/>
    <n v="30"/>
    <n v="182.7"/>
  </r>
  <r>
    <x v="23"/>
    <x v="36"/>
    <x v="35"/>
    <x v="1"/>
    <n v="319.84"/>
    <n v="16"/>
    <n v="115.04"/>
  </r>
  <r>
    <x v="23"/>
    <x v="37"/>
    <x v="29"/>
    <x v="3"/>
    <n v="1403.43"/>
    <n v="287"/>
    <n v="384.58"/>
  </r>
  <r>
    <x v="23"/>
    <x v="38"/>
    <x v="28"/>
    <x v="3"/>
    <n v="489"/>
    <n v="100"/>
    <n v="134"/>
  </r>
  <r>
    <x v="23"/>
    <x v="39"/>
    <x v="31"/>
    <x v="3"/>
    <n v="227.37"/>
    <n v="53"/>
    <n v="84.27"/>
  </r>
  <r>
    <x v="23"/>
    <x v="40"/>
    <x v="32"/>
    <x v="7"/>
    <n v="103.74"/>
    <n v="26"/>
    <n v="62.14"/>
  </r>
  <r>
    <x v="23"/>
    <x v="41"/>
    <x v="43"/>
    <x v="7"/>
    <n v="164.89"/>
    <n v="11"/>
    <n v="74.69"/>
  </r>
  <r>
    <x v="23"/>
    <x v="42"/>
    <x v="1"/>
    <x v="9"/>
    <n v="161.46"/>
    <n v="234"/>
    <n v="72.54000000000001"/>
  </r>
  <r>
    <x v="23"/>
    <x v="43"/>
    <x v="0"/>
    <x v="9"/>
    <n v="109.56"/>
    <n v="44"/>
    <n v="47.96"/>
  </r>
  <r>
    <x v="23"/>
    <x v="44"/>
    <x v="48"/>
    <x v="9"/>
    <n v="107.76"/>
    <n v="24"/>
    <n v="45.36"/>
  </r>
  <r>
    <x v="23"/>
    <x v="45"/>
    <x v="36"/>
    <x v="10"/>
    <n v="578.55"/>
    <n v="145"/>
    <n v="274.05"/>
  </r>
  <r>
    <x v="23"/>
    <x v="46"/>
    <x v="8"/>
    <x v="10"/>
    <n v="686.25"/>
    <n v="125"/>
    <n v="286.25"/>
  </r>
  <r>
    <x v="23"/>
    <x v="47"/>
    <x v="30"/>
    <x v="10"/>
    <n v="223.88"/>
    <n v="58"/>
    <n v="73.08"/>
  </r>
  <r>
    <x v="23"/>
    <x v="48"/>
    <x v="11"/>
    <x v="10"/>
    <n v="327.77"/>
    <n v="73"/>
    <n v="152.57"/>
  </r>
  <r>
    <x v="23"/>
    <x v="49"/>
    <x v="27"/>
    <x v="10"/>
    <n v="265.24"/>
    <n v="76"/>
    <n v="136.04"/>
  </r>
  <r>
    <x v="24"/>
    <x v="0"/>
    <x v="46"/>
    <x v="0"/>
    <n v="436.25"/>
    <n v="125"/>
    <n v="161.25"/>
  </r>
  <r>
    <x v="24"/>
    <x v="1"/>
    <x v="49"/>
    <x v="0"/>
    <n v="364.65"/>
    <n v="85"/>
    <n v="135.15"/>
  </r>
  <r>
    <x v="24"/>
    <x v="2"/>
    <x v="13"/>
    <x v="0"/>
    <n v="293.45"/>
    <n v="55"/>
    <n v="111.95"/>
  </r>
  <r>
    <x v="24"/>
    <x v="3"/>
    <x v="3"/>
    <x v="2"/>
    <n v="174.75"/>
    <n v="25"/>
    <n v="77.25"/>
  </r>
  <r>
    <x v="24"/>
    <x v="4"/>
    <x v="16"/>
    <x v="2"/>
    <n v="840.84"/>
    <n v="196"/>
    <n v="419.44"/>
  </r>
  <r>
    <x v="24"/>
    <x v="5"/>
    <x v="10"/>
    <x v="2"/>
    <n v="431.04"/>
    <n v="96"/>
    <n v="210.24"/>
  </r>
  <r>
    <x v="24"/>
    <x v="6"/>
    <x v="42"/>
    <x v="2"/>
    <n v="256.47"/>
    <n v="103"/>
    <n v="143.17"/>
  </r>
  <r>
    <x v="24"/>
    <x v="7"/>
    <x v="24"/>
    <x v="2"/>
    <n v="464.07"/>
    <n v="93"/>
    <n v="212.97"/>
  </r>
  <r>
    <x v="24"/>
    <x v="8"/>
    <x v="26"/>
    <x v="2"/>
    <n v="177.23"/>
    <n v="37"/>
    <n v="81.03"/>
  </r>
  <r>
    <x v="24"/>
    <x v="9"/>
    <x v="2"/>
    <x v="2"/>
    <n v="397.67"/>
    <n v="133"/>
    <n v="271.32"/>
  </r>
  <r>
    <x v="24"/>
    <x v="10"/>
    <x v="4"/>
    <x v="3"/>
    <n v="262.15"/>
    <n v="35"/>
    <n v="66.15000000000001"/>
  </r>
  <r>
    <x v="24"/>
    <x v="11"/>
    <x v="20"/>
    <x v="3"/>
    <n v="215.73"/>
    <n v="27"/>
    <n v="78.03"/>
  </r>
  <r>
    <x v="24"/>
    <x v="12"/>
    <x v="6"/>
    <x v="3"/>
    <n v="699.5"/>
    <n v="50"/>
    <n v="179.5"/>
  </r>
  <r>
    <x v="24"/>
    <x v="13"/>
    <x v="23"/>
    <x v="5"/>
    <n v="431.52"/>
    <n v="48"/>
    <n v="172.32"/>
  </r>
  <r>
    <x v="24"/>
    <x v="14"/>
    <x v="22"/>
    <x v="5"/>
    <n v="236.21"/>
    <n v="79"/>
    <n v="141.41"/>
  </r>
  <r>
    <x v="24"/>
    <x v="15"/>
    <x v="19"/>
    <x v="5"/>
    <n v="367.54"/>
    <n v="46"/>
    <n v="151.34"/>
  </r>
  <r>
    <x v="24"/>
    <x v="16"/>
    <x v="18"/>
    <x v="5"/>
    <n v="407.66"/>
    <n v="34"/>
    <n v="166.26"/>
  </r>
  <r>
    <x v="24"/>
    <x v="17"/>
    <x v="7"/>
    <x v="4"/>
    <n v="1116.01"/>
    <n v="149"/>
    <n v="534.91"/>
  </r>
  <r>
    <x v="24"/>
    <x v="18"/>
    <x v="44"/>
    <x v="4"/>
    <n v="799.2"/>
    <n v="80"/>
    <n v="351.2"/>
  </r>
  <r>
    <x v="24"/>
    <x v="19"/>
    <x v="21"/>
    <x v="4"/>
    <n v="680.76"/>
    <n v="124"/>
    <n v="383.16"/>
  </r>
  <r>
    <x v="24"/>
    <x v="20"/>
    <x v="38"/>
    <x v="4"/>
    <n v="406.63"/>
    <n v="37"/>
    <n v="177.23"/>
  </r>
  <r>
    <x v="24"/>
    <x v="21"/>
    <x v="17"/>
    <x v="4"/>
    <n v="525.6900000000001"/>
    <n v="81"/>
    <n v="266.49"/>
  </r>
  <r>
    <x v="24"/>
    <x v="22"/>
    <x v="25"/>
    <x v="6"/>
    <n v="449"/>
    <n v="100"/>
    <n v="189"/>
  </r>
  <r>
    <x v="24"/>
    <x v="23"/>
    <x v="5"/>
    <x v="6"/>
    <n v="121.73"/>
    <n v="37"/>
    <n v="51.43"/>
  </r>
  <r>
    <x v="24"/>
    <x v="24"/>
    <x v="33"/>
    <x v="6"/>
    <n v="107.07"/>
    <n v="43"/>
    <n v="51.17"/>
  </r>
  <r>
    <x v="24"/>
    <x v="25"/>
    <x v="41"/>
    <x v="6"/>
    <n v="179.55"/>
    <n v="45"/>
    <n v="76.05"/>
  </r>
  <r>
    <x v="24"/>
    <x v="26"/>
    <x v="39"/>
    <x v="6"/>
    <n v="91.01000000000001"/>
    <n v="19"/>
    <n v="35.91"/>
  </r>
  <r>
    <x v="24"/>
    <x v="27"/>
    <x v="45"/>
    <x v="6"/>
    <n v="168.74"/>
    <n v="26"/>
    <n v="64.73999999999999"/>
  </r>
  <r>
    <x v="24"/>
    <x v="28"/>
    <x v="15"/>
    <x v="6"/>
    <n v="802.27"/>
    <n v="73"/>
    <n v="203.67"/>
  </r>
  <r>
    <x v="24"/>
    <x v="29"/>
    <x v="9"/>
    <x v="6"/>
    <n v="251.79"/>
    <n v="21"/>
    <n v="92.19"/>
  </r>
  <r>
    <x v="24"/>
    <x v="30"/>
    <x v="47"/>
    <x v="8"/>
    <n v="287.68"/>
    <n v="32"/>
    <n v="98.88"/>
  </r>
  <r>
    <x v="24"/>
    <x v="31"/>
    <x v="14"/>
    <x v="8"/>
    <n v="94.81"/>
    <n v="19"/>
    <n v="39.71"/>
  </r>
  <r>
    <x v="24"/>
    <x v="32"/>
    <x v="34"/>
    <x v="8"/>
    <n v="89.94"/>
    <n v="6"/>
    <n v="56.94"/>
  </r>
  <r>
    <x v="24"/>
    <x v="33"/>
    <x v="12"/>
    <x v="1"/>
    <n v="873.62"/>
    <n v="38"/>
    <n v="292.22"/>
  </r>
  <r>
    <x v="24"/>
    <x v="34"/>
    <x v="40"/>
    <x v="1"/>
    <n v="479.7"/>
    <n v="30"/>
    <n v="173.7"/>
  </r>
  <r>
    <x v="24"/>
    <x v="35"/>
    <x v="37"/>
    <x v="1"/>
    <n v="719.6"/>
    <n v="40"/>
    <n v="243.6"/>
  </r>
  <r>
    <x v="24"/>
    <x v="36"/>
    <x v="35"/>
    <x v="1"/>
    <n v="207.88"/>
    <n v="12"/>
    <n v="54.28"/>
  </r>
  <r>
    <x v="24"/>
    <x v="37"/>
    <x v="29"/>
    <x v="3"/>
    <n v="987.78"/>
    <n v="202"/>
    <n v="270.68"/>
  </r>
  <r>
    <x v="24"/>
    <x v="38"/>
    <x v="28"/>
    <x v="3"/>
    <n v="611.25"/>
    <n v="125"/>
    <n v="167.5"/>
  </r>
  <r>
    <x v="24"/>
    <x v="39"/>
    <x v="31"/>
    <x v="3"/>
    <n v="227.37"/>
    <n v="53"/>
    <n v="84.27"/>
  </r>
  <r>
    <x v="24"/>
    <x v="40"/>
    <x v="32"/>
    <x v="7"/>
    <n v="91.77"/>
    <n v="23"/>
    <n v="54.97"/>
  </r>
  <r>
    <x v="24"/>
    <x v="41"/>
    <x v="43"/>
    <x v="7"/>
    <n v="194.87"/>
    <n v="13"/>
    <n v="88.27"/>
  </r>
  <r>
    <x v="24"/>
    <x v="42"/>
    <x v="1"/>
    <x v="9"/>
    <n v="158.7"/>
    <n v="230"/>
    <n v="71.3"/>
  </r>
  <r>
    <x v="24"/>
    <x v="43"/>
    <x v="0"/>
    <x v="9"/>
    <n v="131.97"/>
    <n v="53"/>
    <n v="57.77"/>
  </r>
  <r>
    <x v="24"/>
    <x v="44"/>
    <x v="48"/>
    <x v="9"/>
    <n v="125.72"/>
    <n v="28"/>
    <n v="52.92"/>
  </r>
  <r>
    <x v="24"/>
    <x v="45"/>
    <x v="36"/>
    <x v="10"/>
    <n v="674.3099999999999"/>
    <n v="169"/>
    <n v="319.41"/>
  </r>
  <r>
    <x v="24"/>
    <x v="46"/>
    <x v="8"/>
    <x v="10"/>
    <n v="774.09"/>
    <n v="141"/>
    <n v="322.89"/>
  </r>
  <r>
    <x v="24"/>
    <x v="47"/>
    <x v="30"/>
    <x v="10"/>
    <n v="244.53"/>
    <n v="57"/>
    <n v="96.33"/>
  </r>
  <r>
    <x v="24"/>
    <x v="48"/>
    <x v="11"/>
    <x v="10"/>
    <n v="255.93"/>
    <n v="57"/>
    <n v="119.13"/>
  </r>
  <r>
    <x v="24"/>
    <x v="49"/>
    <x v="27"/>
    <x v="10"/>
    <n v="240.81"/>
    <n v="69"/>
    <n v="123.51"/>
  </r>
  <r>
    <x v="25"/>
    <x v="0"/>
    <x v="46"/>
    <x v="0"/>
    <n v="523.5"/>
    <n v="150"/>
    <n v="193.5"/>
  </r>
  <r>
    <x v="25"/>
    <x v="1"/>
    <x v="49"/>
    <x v="0"/>
    <n v="373.23"/>
    <n v="87"/>
    <n v="138.33"/>
  </r>
  <r>
    <x v="25"/>
    <x v="2"/>
    <x v="13"/>
    <x v="0"/>
    <n v="245.59"/>
    <n v="41"/>
    <n v="110.29"/>
  </r>
  <r>
    <x v="25"/>
    <x v="3"/>
    <x v="3"/>
    <x v="2"/>
    <n v="356.49"/>
    <n v="51"/>
    <n v="157.59"/>
  </r>
  <r>
    <x v="25"/>
    <x v="4"/>
    <x v="16"/>
    <x v="2"/>
    <n v="1389.96"/>
    <n v="324"/>
    <n v="693.36"/>
  </r>
  <r>
    <x v="25"/>
    <x v="5"/>
    <x v="10"/>
    <x v="2"/>
    <n v="417.57"/>
    <n v="93"/>
    <n v="203.67"/>
  </r>
  <r>
    <x v="25"/>
    <x v="6"/>
    <x v="42"/>
    <x v="2"/>
    <n v="171.81"/>
    <n v="69"/>
    <n v="95.91"/>
  </r>
  <r>
    <x v="25"/>
    <x v="7"/>
    <x v="24"/>
    <x v="2"/>
    <n v="404.19"/>
    <n v="81"/>
    <n v="185.49"/>
  </r>
  <r>
    <x v="25"/>
    <x v="8"/>
    <x v="26"/>
    <x v="2"/>
    <n v="148.49"/>
    <n v="31"/>
    <n v="67.89"/>
  </r>
  <r>
    <x v="25"/>
    <x v="9"/>
    <x v="2"/>
    <x v="2"/>
    <n v="358.8"/>
    <n v="120"/>
    <n v="244.8"/>
  </r>
  <r>
    <x v="25"/>
    <x v="10"/>
    <x v="4"/>
    <x v="3"/>
    <n v="359.52"/>
    <n v="48"/>
    <n v="90.72"/>
  </r>
  <r>
    <x v="25"/>
    <x v="11"/>
    <x v="20"/>
    <x v="3"/>
    <n v="319.6"/>
    <n v="40"/>
    <n v="115.6"/>
  </r>
  <r>
    <x v="25"/>
    <x v="12"/>
    <x v="6"/>
    <x v="3"/>
    <n v="573.59"/>
    <n v="41"/>
    <n v="147.19"/>
  </r>
  <r>
    <x v="25"/>
    <x v="13"/>
    <x v="23"/>
    <x v="5"/>
    <n v="341.62"/>
    <n v="38"/>
    <n v="136.42"/>
  </r>
  <r>
    <x v="25"/>
    <x v="14"/>
    <x v="22"/>
    <x v="5"/>
    <n v="313.95"/>
    <n v="105"/>
    <n v="187.95"/>
  </r>
  <r>
    <x v="25"/>
    <x v="15"/>
    <x v="19"/>
    <x v="5"/>
    <n v="231.71"/>
    <n v="29"/>
    <n v="95.41"/>
  </r>
  <r>
    <x v="25"/>
    <x v="16"/>
    <x v="18"/>
    <x v="5"/>
    <n v="275.77"/>
    <n v="23"/>
    <n v="112.47"/>
  </r>
  <r>
    <x v="25"/>
    <x v="17"/>
    <x v="7"/>
    <x v="4"/>
    <n v="1041.11"/>
    <n v="139"/>
    <n v="499.01"/>
  </r>
  <r>
    <x v="25"/>
    <x v="18"/>
    <x v="44"/>
    <x v="4"/>
    <n v="559.4400000000001"/>
    <n v="56"/>
    <n v="245.84"/>
  </r>
  <r>
    <x v="25"/>
    <x v="19"/>
    <x v="21"/>
    <x v="4"/>
    <n v="483.12"/>
    <n v="88"/>
    <n v="271.92"/>
  </r>
  <r>
    <x v="25"/>
    <x v="20"/>
    <x v="38"/>
    <x v="4"/>
    <n v="461.58"/>
    <n v="42"/>
    <n v="201.18"/>
  </r>
  <r>
    <x v="25"/>
    <x v="21"/>
    <x v="17"/>
    <x v="4"/>
    <n v="460.79"/>
    <n v="71"/>
    <n v="233.59"/>
  </r>
  <r>
    <x v="25"/>
    <x v="22"/>
    <x v="25"/>
    <x v="6"/>
    <n v="354.71"/>
    <n v="79"/>
    <n v="149.31"/>
  </r>
  <r>
    <x v="25"/>
    <x v="23"/>
    <x v="5"/>
    <x v="6"/>
    <n v="131.6"/>
    <n v="40"/>
    <n v="55.6"/>
  </r>
  <r>
    <x v="25"/>
    <x v="24"/>
    <x v="33"/>
    <x v="6"/>
    <n v="84.66"/>
    <n v="34"/>
    <n v="40.46"/>
  </r>
  <r>
    <x v="25"/>
    <x v="25"/>
    <x v="41"/>
    <x v="6"/>
    <n v="131.67"/>
    <n v="33"/>
    <n v="55.77"/>
  </r>
  <r>
    <x v="25"/>
    <x v="26"/>
    <x v="39"/>
    <x v="6"/>
    <n v="118.77"/>
    <n v="27"/>
    <n v="40.47"/>
  </r>
  <r>
    <x v="25"/>
    <x v="27"/>
    <x v="45"/>
    <x v="6"/>
    <n v="142.78"/>
    <n v="22"/>
    <n v="54.78"/>
  </r>
  <r>
    <x v="25"/>
    <x v="28"/>
    <x v="15"/>
    <x v="6"/>
    <n v="648.41"/>
    <n v="59"/>
    <n v="164.61"/>
  </r>
  <r>
    <x v="25"/>
    <x v="29"/>
    <x v="9"/>
    <x v="6"/>
    <n v="179.85"/>
    <n v="15"/>
    <n v="65.84999999999999"/>
  </r>
  <r>
    <x v="25"/>
    <x v="30"/>
    <x v="47"/>
    <x v="8"/>
    <n v="314.65"/>
    <n v="35"/>
    <n v="108.15"/>
  </r>
  <r>
    <x v="25"/>
    <x v="31"/>
    <x v="14"/>
    <x v="8"/>
    <n v="104.79"/>
    <n v="21"/>
    <n v="43.89"/>
  </r>
  <r>
    <x v="25"/>
    <x v="32"/>
    <x v="34"/>
    <x v="8"/>
    <n v="119.92"/>
    <n v="8"/>
    <n v="75.92"/>
  </r>
  <r>
    <x v="25"/>
    <x v="33"/>
    <x v="12"/>
    <x v="1"/>
    <n v="758.67"/>
    <n v="33"/>
    <n v="253.77"/>
  </r>
  <r>
    <x v="25"/>
    <x v="34"/>
    <x v="40"/>
    <x v="1"/>
    <n v="383.76"/>
    <n v="24"/>
    <n v="138.96"/>
  </r>
  <r>
    <x v="25"/>
    <x v="35"/>
    <x v="37"/>
    <x v="1"/>
    <n v="629.65"/>
    <n v="35"/>
    <n v="213.15"/>
  </r>
  <r>
    <x v="25"/>
    <x v="36"/>
    <x v="35"/>
    <x v="1"/>
    <n v="299.85"/>
    <n v="15"/>
    <n v="107.85"/>
  </r>
  <r>
    <x v="25"/>
    <x v="37"/>
    <x v="29"/>
    <x v="3"/>
    <n v="1134.48"/>
    <n v="232"/>
    <n v="310.88"/>
  </r>
  <r>
    <x v="25"/>
    <x v="38"/>
    <x v="28"/>
    <x v="3"/>
    <n v="557.46"/>
    <n v="114"/>
    <n v="152.76"/>
  </r>
  <r>
    <x v="25"/>
    <x v="39"/>
    <x v="31"/>
    <x v="3"/>
    <n v="180.18"/>
    <n v="42"/>
    <n v="66.78"/>
  </r>
  <r>
    <x v="25"/>
    <x v="40"/>
    <x v="32"/>
    <x v="7"/>
    <n v="111.72"/>
    <n v="28"/>
    <n v="66.92"/>
  </r>
  <r>
    <x v="25"/>
    <x v="41"/>
    <x v="43"/>
    <x v="7"/>
    <n v="221.83"/>
    <n v="17"/>
    <n v="82.43000000000001"/>
  </r>
  <r>
    <x v="25"/>
    <x v="42"/>
    <x v="1"/>
    <x v="9"/>
    <n v="132.48"/>
    <n v="192"/>
    <n v="59.52"/>
  </r>
  <r>
    <x v="25"/>
    <x v="43"/>
    <x v="0"/>
    <x v="9"/>
    <n v="155.31"/>
    <n v="69"/>
    <n v="58.71"/>
  </r>
  <r>
    <x v="25"/>
    <x v="44"/>
    <x v="48"/>
    <x v="9"/>
    <n v="193.07"/>
    <n v="43"/>
    <n v="81.27"/>
  </r>
  <r>
    <x v="25"/>
    <x v="45"/>
    <x v="36"/>
    <x v="10"/>
    <n v="586.34"/>
    <n v="166"/>
    <n v="237.74"/>
  </r>
  <r>
    <x v="25"/>
    <x v="46"/>
    <x v="8"/>
    <x v="10"/>
    <n v="559.98"/>
    <n v="102"/>
    <n v="233.58"/>
  </r>
  <r>
    <x v="25"/>
    <x v="47"/>
    <x v="30"/>
    <x v="10"/>
    <n v="253.11"/>
    <n v="59"/>
    <n v="99.70999999999999"/>
  </r>
  <r>
    <x v="25"/>
    <x v="48"/>
    <x v="11"/>
    <x v="10"/>
    <n v="273.89"/>
    <n v="61"/>
    <n v="127.49"/>
  </r>
  <r>
    <x v="25"/>
    <x v="49"/>
    <x v="27"/>
    <x v="10"/>
    <n v="191.95"/>
    <n v="55"/>
    <n v="98.45"/>
  </r>
</pivotCacheRecords>
</file>

<file path=xl/pivotCache/pivotCacheRecords2.xml><?xml version="1.0" encoding="utf-8"?>
<pivotCacheRecords xmlns="http://schemas.openxmlformats.org/spreadsheetml/2006/main" count="1300">
  <r>
    <x v="0"/>
    <x v="0"/>
    <x v="46"/>
    <x v="0"/>
    <n v="582.83"/>
    <n v="167"/>
    <n v="215.43"/>
  </r>
  <r>
    <x v="0"/>
    <x v="1"/>
    <x v="49"/>
    <x v="0"/>
    <n v="291.72"/>
    <n v="68"/>
    <n v="108.12"/>
  </r>
  <r>
    <x v="0"/>
    <x v="2"/>
    <x v="13"/>
    <x v="0"/>
    <n v="281.53"/>
    <n v="47"/>
    <n v="126.43"/>
  </r>
  <r>
    <x v="0"/>
    <x v="3"/>
    <x v="3"/>
    <x v="2"/>
    <n v="265.62"/>
    <n v="38"/>
    <n v="117.42"/>
  </r>
  <r>
    <x v="0"/>
    <x v="4"/>
    <x v="16"/>
    <x v="2"/>
    <n v="926.6399999999999"/>
    <n v="216"/>
    <n v="462.24"/>
  </r>
  <r>
    <x v="0"/>
    <x v="5"/>
    <x v="10"/>
    <x v="2"/>
    <n v="556.76"/>
    <n v="124"/>
    <n v="271.56"/>
  </r>
  <r>
    <x v="0"/>
    <x v="6"/>
    <x v="42"/>
    <x v="2"/>
    <n v="241.53"/>
    <n v="97"/>
    <n v="134.83"/>
  </r>
  <r>
    <x v="0"/>
    <x v="7"/>
    <x v="24"/>
    <x v="2"/>
    <n v="484.03"/>
    <n v="97"/>
    <n v="222.13"/>
  </r>
  <r>
    <x v="0"/>
    <x v="8"/>
    <x v="26"/>
    <x v="2"/>
    <n v="220.34"/>
    <n v="46"/>
    <n v="100.74"/>
  </r>
  <r>
    <x v="0"/>
    <x v="9"/>
    <x v="2"/>
    <x v="2"/>
    <n v="439.53"/>
    <n v="147"/>
    <n v="299.88"/>
  </r>
  <r>
    <x v="0"/>
    <x v="10"/>
    <x v="4"/>
    <x v="3"/>
    <n v="277.13"/>
    <n v="37"/>
    <n v="69.93000000000001"/>
  </r>
  <r>
    <x v="0"/>
    <x v="11"/>
    <x v="20"/>
    <x v="3"/>
    <n v="258.83"/>
    <n v="37"/>
    <n v="70.13"/>
  </r>
  <r>
    <x v="0"/>
    <x v="12"/>
    <x v="6"/>
    <x v="3"/>
    <n v="559.6"/>
    <n v="40"/>
    <n v="143.6"/>
  </r>
  <r>
    <x v="0"/>
    <x v="13"/>
    <x v="23"/>
    <x v="5"/>
    <n v="512.4300000000001"/>
    <n v="57"/>
    <n v="204.63"/>
  </r>
  <r>
    <x v="0"/>
    <x v="14"/>
    <x v="22"/>
    <x v="5"/>
    <n v="266.11"/>
    <n v="89"/>
    <n v="159.31"/>
  </r>
  <r>
    <x v="0"/>
    <x v="15"/>
    <x v="19"/>
    <x v="5"/>
    <n v="263.67"/>
    <n v="33"/>
    <n v="108.57"/>
  </r>
  <r>
    <x v="0"/>
    <x v="16"/>
    <x v="18"/>
    <x v="5"/>
    <n v="299.75"/>
    <n v="25"/>
    <n v="122.25"/>
  </r>
  <r>
    <x v="0"/>
    <x v="17"/>
    <x v="7"/>
    <x v="4"/>
    <n v="1026.13"/>
    <n v="137"/>
    <n v="491.83"/>
  </r>
  <r>
    <x v="0"/>
    <x v="18"/>
    <x v="44"/>
    <x v="4"/>
    <n v="979.0200000000001"/>
    <n v="98"/>
    <n v="430.22"/>
  </r>
  <r>
    <x v="0"/>
    <x v="19"/>
    <x v="21"/>
    <x v="4"/>
    <n v="610.35"/>
    <n v="125"/>
    <n v="310.35"/>
  </r>
  <r>
    <x v="0"/>
    <x v="20"/>
    <x v="38"/>
    <x v="4"/>
    <n v="494.55"/>
    <n v="45"/>
    <n v="215.55"/>
  </r>
  <r>
    <x v="0"/>
    <x v="21"/>
    <x v="17"/>
    <x v="4"/>
    <n v="389.4"/>
    <n v="60"/>
    <n v="197.4"/>
  </r>
  <r>
    <x v="0"/>
    <x v="22"/>
    <x v="25"/>
    <x v="6"/>
    <n v="296.34"/>
    <n v="66"/>
    <n v="124.74"/>
  </r>
  <r>
    <x v="0"/>
    <x v="23"/>
    <x v="5"/>
    <x v="6"/>
    <n v="98.7"/>
    <n v="30"/>
    <n v="41.7"/>
  </r>
  <r>
    <x v="0"/>
    <x v="24"/>
    <x v="33"/>
    <x v="6"/>
    <n v="59.76000000000001"/>
    <n v="24"/>
    <n v="28.56"/>
  </r>
  <r>
    <x v="0"/>
    <x v="25"/>
    <x v="41"/>
    <x v="6"/>
    <n v="71.82000000000001"/>
    <n v="18"/>
    <n v="30.42"/>
  </r>
  <r>
    <x v="0"/>
    <x v="26"/>
    <x v="39"/>
    <x v="6"/>
    <n v="86.22"/>
    <n v="18"/>
    <n v="34.02"/>
  </r>
  <r>
    <x v="0"/>
    <x v="27"/>
    <x v="45"/>
    <x v="6"/>
    <n v="84.37"/>
    <n v="13"/>
    <n v="32.37"/>
  </r>
  <r>
    <x v="0"/>
    <x v="28"/>
    <x v="15"/>
    <x v="6"/>
    <n v="824.25"/>
    <n v="75"/>
    <n v="209.25"/>
  </r>
  <r>
    <x v="0"/>
    <x v="29"/>
    <x v="9"/>
    <x v="6"/>
    <n v="371.69"/>
    <n v="31"/>
    <n v="136.09"/>
  </r>
  <r>
    <x v="0"/>
    <x v="30"/>
    <x v="47"/>
    <x v="8"/>
    <n v="242.73"/>
    <n v="27"/>
    <n v="83.43000000000001"/>
  </r>
  <r>
    <x v="0"/>
    <x v="31"/>
    <x v="14"/>
    <x v="8"/>
    <n v="54.89"/>
    <n v="11"/>
    <n v="22.99"/>
  </r>
  <r>
    <x v="0"/>
    <x v="32"/>
    <x v="34"/>
    <x v="8"/>
    <n v="59.96"/>
    <n v="4"/>
    <n v="37.96"/>
  </r>
  <r>
    <x v="0"/>
    <x v="33"/>
    <x v="12"/>
    <x v="1"/>
    <n v="758.67"/>
    <n v="33"/>
    <n v="253.77"/>
  </r>
  <r>
    <x v="0"/>
    <x v="34"/>
    <x v="40"/>
    <x v="1"/>
    <n v="607.62"/>
    <n v="38"/>
    <n v="220.02"/>
  </r>
  <r>
    <x v="0"/>
    <x v="35"/>
    <x v="37"/>
    <x v="1"/>
    <n v="586.4300000000001"/>
    <n v="37"/>
    <n v="146.13"/>
  </r>
  <r>
    <x v="0"/>
    <x v="36"/>
    <x v="35"/>
    <x v="1"/>
    <n v="199.9"/>
    <n v="10"/>
    <n v="71.90000000000001"/>
  </r>
  <r>
    <x v="0"/>
    <x v="37"/>
    <x v="29"/>
    <x v="3"/>
    <n v="1388.76"/>
    <n v="284"/>
    <n v="380.56"/>
  </r>
  <r>
    <x v="0"/>
    <x v="38"/>
    <x v="28"/>
    <x v="3"/>
    <n v="552.5699999999999"/>
    <n v="113"/>
    <n v="151.42"/>
  </r>
  <r>
    <x v="0"/>
    <x v="39"/>
    <x v="31"/>
    <x v="3"/>
    <n v="193.05"/>
    <n v="45"/>
    <n v="71.55"/>
  </r>
  <r>
    <x v="0"/>
    <x v="40"/>
    <x v="32"/>
    <x v="7"/>
    <n v="87.78"/>
    <n v="22"/>
    <n v="52.58"/>
  </r>
  <r>
    <x v="0"/>
    <x v="41"/>
    <x v="43"/>
    <x v="7"/>
    <n v="194.87"/>
    <n v="13"/>
    <n v="88.27"/>
  </r>
  <r>
    <x v="0"/>
    <x v="42"/>
    <x v="1"/>
    <x v="9"/>
    <n v="147.66"/>
    <n v="214"/>
    <n v="66.34"/>
  </r>
  <r>
    <x v="0"/>
    <x v="43"/>
    <x v="0"/>
    <x v="9"/>
    <n v="176.79"/>
    <n v="71"/>
    <n v="77.39"/>
  </r>
  <r>
    <x v="0"/>
    <x v="44"/>
    <x v="48"/>
    <x v="9"/>
    <n v="193.07"/>
    <n v="43"/>
    <n v="81.27"/>
  </r>
  <r>
    <x v="0"/>
    <x v="45"/>
    <x v="36"/>
    <x v="10"/>
    <n v="562.59"/>
    <n v="141"/>
    <n v="266.49"/>
  </r>
  <r>
    <x v="0"/>
    <x v="46"/>
    <x v="8"/>
    <x v="10"/>
    <n v="581.9400000000001"/>
    <n v="106"/>
    <n v="242.74"/>
  </r>
  <r>
    <x v="0"/>
    <x v="47"/>
    <x v="30"/>
    <x v="10"/>
    <n v="296.01"/>
    <n v="69"/>
    <n v="116.61"/>
  </r>
  <r>
    <x v="0"/>
    <x v="48"/>
    <x v="11"/>
    <x v="10"/>
    <n v="291.85"/>
    <n v="65"/>
    <n v="135.85"/>
  </r>
  <r>
    <x v="0"/>
    <x v="49"/>
    <x v="27"/>
    <x v="10"/>
    <n v="230.34"/>
    <n v="66"/>
    <n v="118.14"/>
  </r>
  <r>
    <x v="1"/>
    <x v="0"/>
    <x v="46"/>
    <x v="0"/>
    <n v="480.05"/>
    <n v="155"/>
    <n v="139.05"/>
  </r>
  <r>
    <x v="1"/>
    <x v="1"/>
    <x v="49"/>
    <x v="0"/>
    <n v="364.65"/>
    <n v="85"/>
    <n v="135.15"/>
  </r>
  <r>
    <x v="1"/>
    <x v="2"/>
    <x v="13"/>
    <x v="0"/>
    <n v="251.58"/>
    <n v="42"/>
    <n v="112.98"/>
  </r>
  <r>
    <x v="1"/>
    <x v="3"/>
    <x v="3"/>
    <x v="2"/>
    <n v="209.7"/>
    <n v="30"/>
    <n v="92.7"/>
  </r>
  <r>
    <x v="1"/>
    <x v="4"/>
    <x v="16"/>
    <x v="2"/>
    <n v="737.88"/>
    <n v="172"/>
    <n v="368.08"/>
  </r>
  <r>
    <x v="1"/>
    <x v="5"/>
    <x v="10"/>
    <x v="2"/>
    <n v="547.78"/>
    <n v="122"/>
    <n v="267.18"/>
  </r>
  <r>
    <x v="1"/>
    <x v="6"/>
    <x v="42"/>
    <x v="2"/>
    <n v="226.59"/>
    <n v="91"/>
    <n v="126.49"/>
  </r>
  <r>
    <x v="1"/>
    <x v="7"/>
    <x v="24"/>
    <x v="2"/>
    <n v="424.15"/>
    <n v="85"/>
    <n v="194.65"/>
  </r>
  <r>
    <x v="1"/>
    <x v="8"/>
    <x v="26"/>
    <x v="2"/>
    <n v="287.31"/>
    <n v="69"/>
    <n v="107.91"/>
  </r>
  <r>
    <x v="1"/>
    <x v="9"/>
    <x v="2"/>
    <x v="2"/>
    <n v="403.65"/>
    <n v="135"/>
    <n v="275.4"/>
  </r>
  <r>
    <x v="1"/>
    <x v="10"/>
    <x v="4"/>
    <x v="3"/>
    <n v="367.01"/>
    <n v="49"/>
    <n v="92.61"/>
  </r>
  <r>
    <x v="1"/>
    <x v="11"/>
    <x v="20"/>
    <x v="3"/>
    <n v="255.68"/>
    <n v="32"/>
    <n v="92.48"/>
  </r>
  <r>
    <x v="1"/>
    <x v="12"/>
    <x v="6"/>
    <x v="3"/>
    <n v="573.59"/>
    <n v="41"/>
    <n v="147.19"/>
  </r>
  <r>
    <x v="1"/>
    <x v="13"/>
    <x v="23"/>
    <x v="5"/>
    <n v="440.51"/>
    <n v="49"/>
    <n v="175.91"/>
  </r>
  <r>
    <x v="1"/>
    <x v="14"/>
    <x v="22"/>
    <x v="5"/>
    <n v="227.24"/>
    <n v="76"/>
    <n v="136.04"/>
  </r>
  <r>
    <x v="1"/>
    <x v="15"/>
    <x v="19"/>
    <x v="5"/>
    <n v="287.64"/>
    <n v="36"/>
    <n v="118.44"/>
  </r>
  <r>
    <x v="1"/>
    <x v="16"/>
    <x v="18"/>
    <x v="5"/>
    <n v="347.71"/>
    <n v="29"/>
    <n v="141.81"/>
  </r>
  <r>
    <x v="1"/>
    <x v="17"/>
    <x v="7"/>
    <x v="4"/>
    <n v="801.4299999999999"/>
    <n v="107"/>
    <n v="384.13"/>
  </r>
  <r>
    <x v="1"/>
    <x v="18"/>
    <x v="44"/>
    <x v="4"/>
    <n v="969.03"/>
    <n v="97"/>
    <n v="425.83"/>
  </r>
  <r>
    <x v="1"/>
    <x v="19"/>
    <x v="21"/>
    <x v="4"/>
    <n v="559.98"/>
    <n v="102"/>
    <n v="315.18"/>
  </r>
  <r>
    <x v="1"/>
    <x v="20"/>
    <x v="38"/>
    <x v="4"/>
    <n v="525.27"/>
    <n v="53"/>
    <n v="196.67"/>
  </r>
  <r>
    <x v="1"/>
    <x v="21"/>
    <x v="17"/>
    <x v="4"/>
    <n v="545.16"/>
    <n v="84"/>
    <n v="276.36"/>
  </r>
  <r>
    <x v="1"/>
    <x v="22"/>
    <x v="25"/>
    <x v="6"/>
    <n v="404.1"/>
    <n v="90"/>
    <n v="170.1"/>
  </r>
  <r>
    <x v="1"/>
    <x v="23"/>
    <x v="5"/>
    <x v="6"/>
    <n v="131.6"/>
    <n v="40"/>
    <n v="55.6"/>
  </r>
  <r>
    <x v="1"/>
    <x v="24"/>
    <x v="33"/>
    <x v="6"/>
    <n v="72.20999999999999"/>
    <n v="29"/>
    <n v="34.51"/>
  </r>
  <r>
    <x v="1"/>
    <x v="25"/>
    <x v="41"/>
    <x v="6"/>
    <n v="75.81"/>
    <n v="19"/>
    <n v="32.11"/>
  </r>
  <r>
    <x v="1"/>
    <x v="26"/>
    <x v="39"/>
    <x v="6"/>
    <n v="122.59"/>
    <n v="29"/>
    <n v="38.49"/>
  </r>
  <r>
    <x v="1"/>
    <x v="27"/>
    <x v="45"/>
    <x v="6"/>
    <n v="110.33"/>
    <n v="17"/>
    <n v="42.33"/>
  </r>
  <r>
    <x v="1"/>
    <x v="28"/>
    <x v="15"/>
    <x v="6"/>
    <n v="758.22"/>
    <n v="78"/>
    <n v="118.62"/>
  </r>
  <r>
    <x v="1"/>
    <x v="29"/>
    <x v="9"/>
    <x v="6"/>
    <n v="227.81"/>
    <n v="19"/>
    <n v="83.41"/>
  </r>
  <r>
    <x v="1"/>
    <x v="30"/>
    <x v="47"/>
    <x v="8"/>
    <n v="359.6"/>
    <n v="40"/>
    <n v="123.6"/>
  </r>
  <r>
    <x v="1"/>
    <x v="31"/>
    <x v="14"/>
    <x v="8"/>
    <n v="94.81"/>
    <n v="19"/>
    <n v="39.71"/>
  </r>
  <r>
    <x v="1"/>
    <x v="32"/>
    <x v="34"/>
    <x v="8"/>
    <n v="164.89"/>
    <n v="11"/>
    <n v="104.39"/>
  </r>
  <r>
    <x v="1"/>
    <x v="33"/>
    <x v="12"/>
    <x v="1"/>
    <n v="1126.51"/>
    <n v="49"/>
    <n v="376.81"/>
  </r>
  <r>
    <x v="1"/>
    <x v="34"/>
    <x v="40"/>
    <x v="1"/>
    <n v="559.65"/>
    <n v="35"/>
    <n v="202.65"/>
  </r>
  <r>
    <x v="1"/>
    <x v="35"/>
    <x v="37"/>
    <x v="1"/>
    <n v="467.74"/>
    <n v="26"/>
    <n v="158.34"/>
  </r>
  <r>
    <x v="1"/>
    <x v="36"/>
    <x v="35"/>
    <x v="1"/>
    <n v="239.88"/>
    <n v="12"/>
    <n v="86.28"/>
  </r>
  <r>
    <x v="1"/>
    <x v="37"/>
    <x v="29"/>
    <x v="3"/>
    <n v="1408.32"/>
    <n v="288"/>
    <n v="385.92"/>
  </r>
  <r>
    <x v="1"/>
    <x v="38"/>
    <x v="28"/>
    <x v="3"/>
    <n v="638.48"/>
    <n v="146"/>
    <n v="120.18"/>
  </r>
  <r>
    <x v="1"/>
    <x v="39"/>
    <x v="31"/>
    <x v="3"/>
    <n v="197.34"/>
    <n v="46"/>
    <n v="73.14"/>
  </r>
  <r>
    <x v="1"/>
    <x v="40"/>
    <x v="32"/>
    <x v="7"/>
    <n v="95.76000000000001"/>
    <n v="24"/>
    <n v="57.36"/>
  </r>
  <r>
    <x v="1"/>
    <x v="41"/>
    <x v="43"/>
    <x v="7"/>
    <n v="209.86"/>
    <n v="14"/>
    <n v="95.06"/>
  </r>
  <r>
    <x v="1"/>
    <x v="42"/>
    <x v="1"/>
    <x v="9"/>
    <n v="141.45"/>
    <n v="205"/>
    <n v="63.55"/>
  </r>
  <r>
    <x v="1"/>
    <x v="43"/>
    <x v="0"/>
    <x v="9"/>
    <n v="139.44"/>
    <n v="56"/>
    <n v="61.04"/>
  </r>
  <r>
    <x v="1"/>
    <x v="44"/>
    <x v="48"/>
    <x v="9"/>
    <n v="139.19"/>
    <n v="31"/>
    <n v="58.59"/>
  </r>
  <r>
    <x v="1"/>
    <x v="45"/>
    <x v="36"/>
    <x v="10"/>
    <n v="626.4299999999999"/>
    <n v="157"/>
    <n v="296.73"/>
  </r>
  <r>
    <x v="1"/>
    <x v="46"/>
    <x v="8"/>
    <x v="10"/>
    <n v="691.74"/>
    <n v="126"/>
    <n v="288.54"/>
  </r>
  <r>
    <x v="1"/>
    <x v="47"/>
    <x v="30"/>
    <x v="10"/>
    <n v="300.3"/>
    <n v="70"/>
    <n v="118.3"/>
  </r>
  <r>
    <x v="1"/>
    <x v="48"/>
    <x v="11"/>
    <x v="10"/>
    <n v="336.75"/>
    <n v="75"/>
    <n v="156.75"/>
  </r>
  <r>
    <x v="1"/>
    <x v="49"/>
    <x v="27"/>
    <x v="10"/>
    <n v="216.38"/>
    <n v="62"/>
    <n v="110.98"/>
  </r>
  <r>
    <x v="2"/>
    <x v="0"/>
    <x v="46"/>
    <x v="0"/>
    <n v="485.11"/>
    <n v="139"/>
    <n v="179.31"/>
  </r>
  <r>
    <x v="2"/>
    <x v="1"/>
    <x v="49"/>
    <x v="0"/>
    <n v="240.24"/>
    <n v="56"/>
    <n v="89.04000000000001"/>
  </r>
  <r>
    <x v="2"/>
    <x v="2"/>
    <x v="13"/>
    <x v="0"/>
    <n v="257.57"/>
    <n v="43"/>
    <n v="115.67"/>
  </r>
  <r>
    <x v="2"/>
    <x v="3"/>
    <x v="3"/>
    <x v="2"/>
    <n v="227.83"/>
    <n v="37"/>
    <n v="83.53"/>
  </r>
  <r>
    <x v="2"/>
    <x v="4"/>
    <x v="16"/>
    <x v="2"/>
    <n v="707.85"/>
    <n v="165"/>
    <n v="353.1"/>
  </r>
  <r>
    <x v="2"/>
    <x v="5"/>
    <x v="10"/>
    <x v="2"/>
    <n v="350.22"/>
    <n v="78"/>
    <n v="170.82"/>
  </r>
  <r>
    <x v="2"/>
    <x v="6"/>
    <x v="42"/>
    <x v="2"/>
    <n v="194.22"/>
    <n v="78"/>
    <n v="108.42"/>
  </r>
  <r>
    <x v="2"/>
    <x v="7"/>
    <x v="24"/>
    <x v="2"/>
    <n v="384.23"/>
    <n v="77"/>
    <n v="176.33"/>
  </r>
  <r>
    <x v="2"/>
    <x v="8"/>
    <x v="26"/>
    <x v="2"/>
    <n v="196.39"/>
    <n v="41"/>
    <n v="89.79000000000001"/>
  </r>
  <r>
    <x v="2"/>
    <x v="9"/>
    <x v="2"/>
    <x v="2"/>
    <n v="367.77"/>
    <n v="123"/>
    <n v="250.92"/>
  </r>
  <r>
    <x v="2"/>
    <x v="10"/>
    <x v="4"/>
    <x v="3"/>
    <n v="239.68"/>
    <n v="32"/>
    <n v="60.48"/>
  </r>
  <r>
    <x v="2"/>
    <x v="11"/>
    <x v="20"/>
    <x v="3"/>
    <n v="359.55"/>
    <n v="45"/>
    <n v="130.05"/>
  </r>
  <r>
    <x v="2"/>
    <x v="12"/>
    <x v="6"/>
    <x v="3"/>
    <n v="489.65"/>
    <n v="35"/>
    <n v="125.65"/>
  </r>
  <r>
    <x v="2"/>
    <x v="13"/>
    <x v="23"/>
    <x v="5"/>
    <n v="458.49"/>
    <n v="51"/>
    <n v="183.09"/>
  </r>
  <r>
    <x v="2"/>
    <x v="14"/>
    <x v="22"/>
    <x v="5"/>
    <n v="230.23"/>
    <n v="77"/>
    <n v="137.83"/>
  </r>
  <r>
    <x v="2"/>
    <x v="15"/>
    <x v="19"/>
    <x v="5"/>
    <n v="279.65"/>
    <n v="35"/>
    <n v="115.15"/>
  </r>
  <r>
    <x v="2"/>
    <x v="16"/>
    <x v="18"/>
    <x v="5"/>
    <n v="467.61"/>
    <n v="39"/>
    <n v="190.71"/>
  </r>
  <r>
    <x v="2"/>
    <x v="17"/>
    <x v="7"/>
    <x v="4"/>
    <n v="816.41"/>
    <n v="109"/>
    <n v="391.31"/>
  </r>
  <r>
    <x v="2"/>
    <x v="18"/>
    <x v="44"/>
    <x v="4"/>
    <n v="829.1700000000001"/>
    <n v="83"/>
    <n v="364.37"/>
  </r>
  <r>
    <x v="2"/>
    <x v="19"/>
    <x v="21"/>
    <x v="4"/>
    <n v="636.84"/>
    <n v="116"/>
    <n v="358.44"/>
  </r>
  <r>
    <x v="2"/>
    <x v="20"/>
    <x v="38"/>
    <x v="4"/>
    <n v="461.58"/>
    <n v="42"/>
    <n v="201.18"/>
  </r>
  <r>
    <x v="2"/>
    <x v="21"/>
    <x v="17"/>
    <x v="4"/>
    <n v="577.61"/>
    <n v="89"/>
    <n v="292.81"/>
  </r>
  <r>
    <x v="2"/>
    <x v="22"/>
    <x v="25"/>
    <x v="6"/>
    <n v="386.14"/>
    <n v="86"/>
    <n v="162.54"/>
  </r>
  <r>
    <x v="2"/>
    <x v="23"/>
    <x v="5"/>
    <x v="6"/>
    <n v="78.95999999999999"/>
    <n v="24"/>
    <n v="33.36"/>
  </r>
  <r>
    <x v="2"/>
    <x v="24"/>
    <x v="33"/>
    <x v="6"/>
    <n v="104.58"/>
    <n v="42"/>
    <n v="49.98"/>
  </r>
  <r>
    <x v="2"/>
    <x v="25"/>
    <x v="41"/>
    <x v="6"/>
    <n v="143.64"/>
    <n v="36"/>
    <n v="60.84"/>
  </r>
  <r>
    <x v="2"/>
    <x v="26"/>
    <x v="39"/>
    <x v="6"/>
    <n v="114.96"/>
    <n v="24"/>
    <n v="45.36"/>
  </r>
  <r>
    <x v="2"/>
    <x v="27"/>
    <x v="45"/>
    <x v="6"/>
    <n v="71.39"/>
    <n v="11"/>
    <n v="27.39"/>
  </r>
  <r>
    <x v="2"/>
    <x v="28"/>
    <x v="15"/>
    <x v="6"/>
    <n v="637.42"/>
    <n v="58"/>
    <n v="161.82"/>
  </r>
  <r>
    <x v="2"/>
    <x v="29"/>
    <x v="9"/>
    <x v="6"/>
    <n v="203.83"/>
    <n v="17"/>
    <n v="74.63"/>
  </r>
  <r>
    <x v="2"/>
    <x v="30"/>
    <x v="47"/>
    <x v="8"/>
    <n v="377.58"/>
    <n v="42"/>
    <n v="129.78"/>
  </r>
  <r>
    <x v="2"/>
    <x v="31"/>
    <x v="14"/>
    <x v="8"/>
    <n v="109.78"/>
    <n v="22"/>
    <n v="45.98"/>
  </r>
  <r>
    <x v="2"/>
    <x v="32"/>
    <x v="34"/>
    <x v="8"/>
    <n v="134.91"/>
    <n v="9"/>
    <n v="85.41"/>
  </r>
  <r>
    <x v="2"/>
    <x v="33"/>
    <x v="12"/>
    <x v="1"/>
    <n v="634.48"/>
    <n v="32"/>
    <n v="144.88"/>
  </r>
  <r>
    <x v="2"/>
    <x v="34"/>
    <x v="40"/>
    <x v="1"/>
    <n v="399.75"/>
    <n v="25"/>
    <n v="144.75"/>
  </r>
  <r>
    <x v="2"/>
    <x v="35"/>
    <x v="37"/>
    <x v="1"/>
    <n v="647.64"/>
    <n v="36"/>
    <n v="219.24"/>
  </r>
  <r>
    <x v="2"/>
    <x v="36"/>
    <x v="35"/>
    <x v="1"/>
    <n v="279.86"/>
    <n v="14"/>
    <n v="100.66"/>
  </r>
  <r>
    <x v="2"/>
    <x v="37"/>
    <x v="29"/>
    <x v="3"/>
    <n v="1261.62"/>
    <n v="258"/>
    <n v="345.72"/>
  </r>
  <r>
    <x v="2"/>
    <x v="38"/>
    <x v="28"/>
    <x v="3"/>
    <n v="503.67"/>
    <n v="103"/>
    <n v="138.02"/>
  </r>
  <r>
    <x v="2"/>
    <x v="39"/>
    <x v="31"/>
    <x v="3"/>
    <n v="231.66"/>
    <n v="54"/>
    <n v="85.86"/>
  </r>
  <r>
    <x v="2"/>
    <x v="40"/>
    <x v="32"/>
    <x v="7"/>
    <n v="107.73"/>
    <n v="27"/>
    <n v="64.53"/>
  </r>
  <r>
    <x v="2"/>
    <x v="41"/>
    <x v="43"/>
    <x v="7"/>
    <n v="209.86"/>
    <n v="14"/>
    <n v="95.06"/>
  </r>
  <r>
    <x v="2"/>
    <x v="42"/>
    <x v="1"/>
    <x v="9"/>
    <n v="143.52"/>
    <n v="208"/>
    <n v="64.48"/>
  </r>
  <r>
    <x v="2"/>
    <x v="43"/>
    <x v="0"/>
    <x v="9"/>
    <n v="153.81"/>
    <n v="69"/>
    <n v="57.21"/>
  </r>
  <r>
    <x v="2"/>
    <x v="44"/>
    <x v="48"/>
    <x v="9"/>
    <n v="148.17"/>
    <n v="33"/>
    <n v="62.37"/>
  </r>
  <r>
    <x v="2"/>
    <x v="45"/>
    <x v="36"/>
    <x v="10"/>
    <n v="502.74"/>
    <n v="126"/>
    <n v="238.14"/>
  </r>
  <r>
    <x v="2"/>
    <x v="46"/>
    <x v="8"/>
    <x v="10"/>
    <n v="653.3099999999999"/>
    <n v="119"/>
    <n v="272.51"/>
  </r>
  <r>
    <x v="2"/>
    <x v="47"/>
    <x v="30"/>
    <x v="10"/>
    <n v="296.01"/>
    <n v="69"/>
    <n v="116.61"/>
  </r>
  <r>
    <x v="2"/>
    <x v="48"/>
    <x v="11"/>
    <x v="10"/>
    <n v="215.52"/>
    <n v="48"/>
    <n v="100.32"/>
  </r>
  <r>
    <x v="2"/>
    <x v="49"/>
    <x v="27"/>
    <x v="10"/>
    <n v="167.52"/>
    <n v="48"/>
    <n v="85.92"/>
  </r>
  <r>
    <x v="3"/>
    <x v="0"/>
    <x v="46"/>
    <x v="0"/>
    <n v="506.05"/>
    <n v="145"/>
    <n v="187.05"/>
  </r>
  <r>
    <x v="3"/>
    <x v="1"/>
    <x v="49"/>
    <x v="0"/>
    <n v="326.04"/>
    <n v="76"/>
    <n v="120.84"/>
  </r>
  <r>
    <x v="3"/>
    <x v="2"/>
    <x v="13"/>
    <x v="0"/>
    <n v="335.44"/>
    <n v="56"/>
    <n v="150.64"/>
  </r>
  <r>
    <x v="3"/>
    <x v="3"/>
    <x v="3"/>
    <x v="2"/>
    <n v="286.59"/>
    <n v="41"/>
    <n v="126.69"/>
  </r>
  <r>
    <x v="3"/>
    <x v="4"/>
    <x v="16"/>
    <x v="2"/>
    <n v="806.52"/>
    <n v="188"/>
    <n v="402.32"/>
  </r>
  <r>
    <x v="3"/>
    <x v="5"/>
    <x v="10"/>
    <x v="2"/>
    <n v="386.14"/>
    <n v="86"/>
    <n v="188.34"/>
  </r>
  <r>
    <x v="3"/>
    <x v="6"/>
    <x v="42"/>
    <x v="2"/>
    <n v="189.24"/>
    <n v="76"/>
    <n v="105.64"/>
  </r>
  <r>
    <x v="3"/>
    <x v="7"/>
    <x v="24"/>
    <x v="2"/>
    <n v="414.17"/>
    <n v="83"/>
    <n v="190.07"/>
  </r>
  <r>
    <x v="3"/>
    <x v="8"/>
    <x v="26"/>
    <x v="2"/>
    <n v="244.2"/>
    <n v="60"/>
    <n v="88.2"/>
  </r>
  <r>
    <x v="3"/>
    <x v="9"/>
    <x v="2"/>
    <x v="2"/>
    <n v="445.51"/>
    <n v="149"/>
    <n v="303.96"/>
  </r>
  <r>
    <x v="3"/>
    <x v="10"/>
    <x v="4"/>
    <x v="3"/>
    <n v="374.5"/>
    <n v="50"/>
    <n v="94.5"/>
  </r>
  <r>
    <x v="3"/>
    <x v="11"/>
    <x v="20"/>
    <x v="3"/>
    <n v="135.83"/>
    <n v="17"/>
    <n v="49.13"/>
  </r>
  <r>
    <x v="3"/>
    <x v="12"/>
    <x v="6"/>
    <x v="3"/>
    <n v="405.71"/>
    <n v="29"/>
    <n v="104.11"/>
  </r>
  <r>
    <x v="3"/>
    <x v="13"/>
    <x v="23"/>
    <x v="5"/>
    <n v="341.62"/>
    <n v="38"/>
    <n v="136.42"/>
  </r>
  <r>
    <x v="3"/>
    <x v="14"/>
    <x v="22"/>
    <x v="5"/>
    <n v="258.83"/>
    <n v="97"/>
    <n v="142.43"/>
  </r>
  <r>
    <x v="3"/>
    <x v="15"/>
    <x v="19"/>
    <x v="5"/>
    <n v="343.57"/>
    <n v="43"/>
    <n v="141.47"/>
  </r>
  <r>
    <x v="3"/>
    <x v="16"/>
    <x v="18"/>
    <x v="5"/>
    <n v="251.79"/>
    <n v="21"/>
    <n v="102.69"/>
  </r>
  <r>
    <x v="3"/>
    <x v="17"/>
    <x v="7"/>
    <x v="4"/>
    <n v="1108.52"/>
    <n v="148"/>
    <n v="531.3200000000001"/>
  </r>
  <r>
    <x v="3"/>
    <x v="18"/>
    <x v="44"/>
    <x v="4"/>
    <n v="1008.99"/>
    <n v="101"/>
    <n v="443.39"/>
  </r>
  <r>
    <x v="3"/>
    <x v="19"/>
    <x v="21"/>
    <x v="4"/>
    <n v="647.8199999999999"/>
    <n v="118"/>
    <n v="364.62"/>
  </r>
  <r>
    <x v="3"/>
    <x v="20"/>
    <x v="38"/>
    <x v="4"/>
    <n v="318.71"/>
    <n v="29"/>
    <n v="138.91"/>
  </r>
  <r>
    <x v="3"/>
    <x v="21"/>
    <x v="17"/>
    <x v="4"/>
    <n v="434.83"/>
    <n v="67"/>
    <n v="220.43"/>
  </r>
  <r>
    <x v="3"/>
    <x v="22"/>
    <x v="25"/>
    <x v="6"/>
    <n v="422.06"/>
    <n v="94"/>
    <n v="177.66"/>
  </r>
  <r>
    <x v="3"/>
    <x v="23"/>
    <x v="5"/>
    <x v="6"/>
    <n v="190.82"/>
    <n v="58"/>
    <n v="80.62"/>
  </r>
  <r>
    <x v="3"/>
    <x v="24"/>
    <x v="33"/>
    <x v="6"/>
    <n v="112.05"/>
    <n v="45"/>
    <n v="53.55"/>
  </r>
  <r>
    <x v="3"/>
    <x v="25"/>
    <x v="41"/>
    <x v="6"/>
    <n v="111.72"/>
    <n v="28"/>
    <n v="47.32"/>
  </r>
  <r>
    <x v="3"/>
    <x v="26"/>
    <x v="39"/>
    <x v="6"/>
    <n v="81.43000000000001"/>
    <n v="17"/>
    <n v="32.13"/>
  </r>
  <r>
    <x v="3"/>
    <x v="27"/>
    <x v="45"/>
    <x v="6"/>
    <n v="90.86000000000001"/>
    <n v="14"/>
    <n v="34.86"/>
  </r>
  <r>
    <x v="3"/>
    <x v="28"/>
    <x v="15"/>
    <x v="6"/>
    <n v="538.51"/>
    <n v="49"/>
    <n v="136.71"/>
  </r>
  <r>
    <x v="3"/>
    <x v="29"/>
    <x v="9"/>
    <x v="6"/>
    <n v="287.76"/>
    <n v="24"/>
    <n v="105.36"/>
  </r>
  <r>
    <x v="3"/>
    <x v="30"/>
    <x v="47"/>
    <x v="8"/>
    <n v="269.7"/>
    <n v="30"/>
    <n v="92.7"/>
  </r>
  <r>
    <x v="3"/>
    <x v="31"/>
    <x v="14"/>
    <x v="8"/>
    <n v="144.71"/>
    <n v="29"/>
    <n v="60.61"/>
  </r>
  <r>
    <x v="3"/>
    <x v="32"/>
    <x v="34"/>
    <x v="8"/>
    <n v="74.95"/>
    <n v="5"/>
    <n v="47.45"/>
  </r>
  <r>
    <x v="3"/>
    <x v="33"/>
    <x v="12"/>
    <x v="1"/>
    <n v="850.63"/>
    <n v="37"/>
    <n v="284.53"/>
  </r>
  <r>
    <x v="3"/>
    <x v="34"/>
    <x v="40"/>
    <x v="1"/>
    <n v="671.58"/>
    <n v="42"/>
    <n v="243.18"/>
  </r>
  <r>
    <x v="3"/>
    <x v="35"/>
    <x v="37"/>
    <x v="1"/>
    <n v="557.6899999999999"/>
    <n v="31"/>
    <n v="188.79"/>
  </r>
  <r>
    <x v="3"/>
    <x v="36"/>
    <x v="35"/>
    <x v="1"/>
    <n v="319.84"/>
    <n v="16"/>
    <n v="115.04"/>
  </r>
  <r>
    <x v="3"/>
    <x v="37"/>
    <x v="29"/>
    <x v="3"/>
    <n v="1256.73"/>
    <n v="257"/>
    <n v="344.38"/>
  </r>
  <r>
    <x v="3"/>
    <x v="38"/>
    <x v="28"/>
    <x v="3"/>
    <n v="621.03"/>
    <n v="127"/>
    <n v="170.18"/>
  </r>
  <r>
    <x v="3"/>
    <x v="39"/>
    <x v="31"/>
    <x v="3"/>
    <n v="223.08"/>
    <n v="52"/>
    <n v="82.68000000000001"/>
  </r>
  <r>
    <x v="3"/>
    <x v="40"/>
    <x v="32"/>
    <x v="7"/>
    <n v="131.67"/>
    <n v="33"/>
    <n v="78.87"/>
  </r>
  <r>
    <x v="3"/>
    <x v="41"/>
    <x v="43"/>
    <x v="7"/>
    <n v="149.9"/>
    <n v="10"/>
    <n v="67.90000000000001"/>
  </r>
  <r>
    <x v="3"/>
    <x v="42"/>
    <x v="1"/>
    <x v="9"/>
    <n v="173.19"/>
    <n v="251"/>
    <n v="77.81"/>
  </r>
  <r>
    <x v="3"/>
    <x v="43"/>
    <x v="0"/>
    <x v="9"/>
    <n v="131.97"/>
    <n v="53"/>
    <n v="57.77"/>
  </r>
  <r>
    <x v="3"/>
    <x v="44"/>
    <x v="48"/>
    <x v="9"/>
    <n v="130.21"/>
    <n v="29"/>
    <n v="54.81"/>
  </r>
  <r>
    <x v="3"/>
    <x v="45"/>
    <x v="36"/>
    <x v="10"/>
    <n v="614.46"/>
    <n v="154"/>
    <n v="291.06"/>
  </r>
  <r>
    <x v="3"/>
    <x v="46"/>
    <x v="8"/>
    <x v="10"/>
    <n v="746.64"/>
    <n v="136"/>
    <n v="311.44"/>
  </r>
  <r>
    <x v="3"/>
    <x v="47"/>
    <x v="30"/>
    <x v="10"/>
    <n v="274.56"/>
    <n v="64"/>
    <n v="108.16"/>
  </r>
  <r>
    <x v="3"/>
    <x v="48"/>
    <x v="11"/>
    <x v="10"/>
    <n v="278.38"/>
    <n v="62"/>
    <n v="129.58"/>
  </r>
  <r>
    <x v="3"/>
    <x v="49"/>
    <x v="27"/>
    <x v="10"/>
    <n v="265.84"/>
    <n v="86"/>
    <n v="119.64"/>
  </r>
  <r>
    <x v="4"/>
    <x v="0"/>
    <x v="46"/>
    <x v="0"/>
    <n v="553.34"/>
    <n v="176"/>
    <n v="166.14"/>
  </r>
  <r>
    <x v="4"/>
    <x v="1"/>
    <x v="49"/>
    <x v="0"/>
    <n v="429"/>
    <n v="100"/>
    <n v="159"/>
  </r>
  <r>
    <x v="4"/>
    <x v="2"/>
    <x v="13"/>
    <x v="0"/>
    <n v="167.72"/>
    <n v="28"/>
    <n v="75.31999999999999"/>
  </r>
  <r>
    <x v="4"/>
    <x v="3"/>
    <x v="3"/>
    <x v="2"/>
    <n v="265.58"/>
    <n v="42"/>
    <n v="101.78"/>
  </r>
  <r>
    <x v="4"/>
    <x v="4"/>
    <x v="16"/>
    <x v="2"/>
    <n v="789.36"/>
    <n v="184"/>
    <n v="393.76"/>
  </r>
  <r>
    <x v="4"/>
    <x v="5"/>
    <x v="10"/>
    <x v="2"/>
    <n v="368.18"/>
    <n v="82"/>
    <n v="179.58"/>
  </r>
  <r>
    <x v="4"/>
    <x v="6"/>
    <x v="42"/>
    <x v="2"/>
    <n v="184.26"/>
    <n v="74"/>
    <n v="102.86"/>
  </r>
  <r>
    <x v="4"/>
    <x v="7"/>
    <x v="24"/>
    <x v="2"/>
    <n v="464.0700000000001"/>
    <n v="93"/>
    <n v="212.97"/>
  </r>
  <r>
    <x v="4"/>
    <x v="8"/>
    <x v="26"/>
    <x v="2"/>
    <n v="234.71"/>
    <n v="49"/>
    <n v="107.31"/>
  </r>
  <r>
    <x v="4"/>
    <x v="9"/>
    <x v="2"/>
    <x v="2"/>
    <n v="376.74"/>
    <n v="126"/>
    <n v="257.04"/>
  </r>
  <r>
    <x v="4"/>
    <x v="10"/>
    <x v="4"/>
    <x v="3"/>
    <n v="322.07"/>
    <n v="43"/>
    <n v="81.27"/>
  </r>
  <r>
    <x v="4"/>
    <x v="11"/>
    <x v="20"/>
    <x v="3"/>
    <n v="287.64"/>
    <n v="36"/>
    <n v="104.04"/>
  </r>
  <r>
    <x v="4"/>
    <x v="12"/>
    <x v="6"/>
    <x v="3"/>
    <n v="601.5700000000001"/>
    <n v="43"/>
    <n v="154.37"/>
  </r>
  <r>
    <x v="4"/>
    <x v="13"/>
    <x v="23"/>
    <x v="5"/>
    <n v="323.64"/>
    <n v="36"/>
    <n v="129.24"/>
  </r>
  <r>
    <x v="4"/>
    <x v="14"/>
    <x v="22"/>
    <x v="5"/>
    <n v="200.33"/>
    <n v="67"/>
    <n v="119.93"/>
  </r>
  <r>
    <x v="4"/>
    <x v="15"/>
    <x v="19"/>
    <x v="5"/>
    <n v="327.59"/>
    <n v="41"/>
    <n v="134.89"/>
  </r>
  <r>
    <x v="4"/>
    <x v="16"/>
    <x v="18"/>
    <x v="5"/>
    <n v="419.65"/>
    <n v="35"/>
    <n v="171.15"/>
  </r>
  <r>
    <x v="4"/>
    <x v="17"/>
    <x v="7"/>
    <x v="4"/>
    <n v="1116.01"/>
    <n v="149"/>
    <n v="534.91"/>
  </r>
  <r>
    <x v="4"/>
    <x v="18"/>
    <x v="44"/>
    <x v="4"/>
    <n v="899.1"/>
    <n v="90"/>
    <n v="395.1"/>
  </r>
  <r>
    <x v="4"/>
    <x v="19"/>
    <x v="21"/>
    <x v="4"/>
    <n v="636.84"/>
    <n v="116"/>
    <n v="358.44"/>
  </r>
  <r>
    <x v="4"/>
    <x v="20"/>
    <x v="38"/>
    <x v="4"/>
    <n v="593.46"/>
    <n v="54"/>
    <n v="258.66"/>
  </r>
  <r>
    <x v="4"/>
    <x v="21"/>
    <x v="17"/>
    <x v="4"/>
    <n v="350.46"/>
    <n v="54"/>
    <n v="177.66"/>
  </r>
  <r>
    <x v="4"/>
    <x v="22"/>
    <x v="25"/>
    <x v="6"/>
    <n v="368.18"/>
    <n v="82"/>
    <n v="154.98"/>
  </r>
  <r>
    <x v="4"/>
    <x v="23"/>
    <x v="5"/>
    <x v="6"/>
    <n v="157.92"/>
    <n v="48"/>
    <n v="66.72"/>
  </r>
  <r>
    <x v="4"/>
    <x v="24"/>
    <x v="33"/>
    <x v="6"/>
    <n v="119.52"/>
    <n v="48"/>
    <n v="57.12"/>
  </r>
  <r>
    <x v="4"/>
    <x v="25"/>
    <x v="41"/>
    <x v="6"/>
    <n v="171.57"/>
    <n v="43"/>
    <n v="72.67"/>
  </r>
  <r>
    <x v="4"/>
    <x v="26"/>
    <x v="39"/>
    <x v="6"/>
    <n v="95.8"/>
    <n v="20"/>
    <n v="37.8"/>
  </r>
  <r>
    <x v="4"/>
    <x v="27"/>
    <x v="45"/>
    <x v="6"/>
    <n v="136.29"/>
    <n v="21"/>
    <n v="52.29"/>
  </r>
  <r>
    <x v="4"/>
    <x v="28"/>
    <x v="15"/>
    <x v="6"/>
    <n v="923.1600000000001"/>
    <n v="84"/>
    <n v="234.36"/>
  </r>
  <r>
    <x v="4"/>
    <x v="29"/>
    <x v="9"/>
    <x v="6"/>
    <n v="191.84"/>
    <n v="16"/>
    <n v="70.23999999999999"/>
  </r>
  <r>
    <x v="4"/>
    <x v="30"/>
    <x v="47"/>
    <x v="8"/>
    <n v="332.63"/>
    <n v="37"/>
    <n v="114.33"/>
  </r>
  <r>
    <x v="4"/>
    <x v="31"/>
    <x v="14"/>
    <x v="8"/>
    <n v="89.82000000000001"/>
    <n v="18"/>
    <n v="37.62"/>
  </r>
  <r>
    <x v="4"/>
    <x v="32"/>
    <x v="34"/>
    <x v="8"/>
    <n v="179.88"/>
    <n v="12"/>
    <n v="113.88"/>
  </r>
  <r>
    <x v="4"/>
    <x v="33"/>
    <x v="12"/>
    <x v="1"/>
    <n v="551.76"/>
    <n v="24"/>
    <n v="184.56"/>
  </r>
  <r>
    <x v="4"/>
    <x v="34"/>
    <x v="40"/>
    <x v="1"/>
    <n v="511.68"/>
    <n v="32"/>
    <n v="185.28"/>
  </r>
  <r>
    <x v="4"/>
    <x v="35"/>
    <x v="37"/>
    <x v="1"/>
    <n v="611.66"/>
    <n v="34"/>
    <n v="207.06"/>
  </r>
  <r>
    <x v="4"/>
    <x v="36"/>
    <x v="35"/>
    <x v="1"/>
    <n v="359.82"/>
    <n v="18"/>
    <n v="129.42"/>
  </r>
  <r>
    <x v="4"/>
    <x v="37"/>
    <x v="29"/>
    <x v="3"/>
    <n v="1295.5"/>
    <n v="300"/>
    <n v="230.5"/>
  </r>
  <r>
    <x v="4"/>
    <x v="38"/>
    <x v="28"/>
    <x v="3"/>
    <n v="667.78"/>
    <n v="156"/>
    <n v="113.98"/>
  </r>
  <r>
    <x v="4"/>
    <x v="39"/>
    <x v="31"/>
    <x v="3"/>
    <n v="218.72"/>
    <n v="58"/>
    <n v="62.12"/>
  </r>
  <r>
    <x v="4"/>
    <x v="40"/>
    <x v="32"/>
    <x v="7"/>
    <n v="151.62"/>
    <n v="38"/>
    <n v="90.81999999999999"/>
  </r>
  <r>
    <x v="4"/>
    <x v="41"/>
    <x v="43"/>
    <x v="7"/>
    <n v="134.91"/>
    <n v="9"/>
    <n v="61.11"/>
  </r>
  <r>
    <x v="4"/>
    <x v="42"/>
    <x v="1"/>
    <x v="9"/>
    <n v="147.66"/>
    <n v="214"/>
    <n v="66.34"/>
  </r>
  <r>
    <x v="4"/>
    <x v="43"/>
    <x v="0"/>
    <x v="9"/>
    <n v="117.03"/>
    <n v="47"/>
    <n v="51.23"/>
  </r>
  <r>
    <x v="4"/>
    <x v="44"/>
    <x v="48"/>
    <x v="9"/>
    <n v="166.13"/>
    <n v="37"/>
    <n v="69.93000000000001"/>
  </r>
  <r>
    <x v="4"/>
    <x v="45"/>
    <x v="36"/>
    <x v="10"/>
    <n v="630.42"/>
    <n v="158"/>
    <n v="298.62"/>
  </r>
  <r>
    <x v="4"/>
    <x v="46"/>
    <x v="8"/>
    <x v="10"/>
    <n v="669.78"/>
    <n v="122"/>
    <n v="279.38"/>
  </r>
  <r>
    <x v="4"/>
    <x v="47"/>
    <x v="30"/>
    <x v="10"/>
    <n v="231.59"/>
    <n v="61"/>
    <n v="72.98999999999999"/>
  </r>
  <r>
    <x v="4"/>
    <x v="48"/>
    <x v="11"/>
    <x v="10"/>
    <n v="291.85"/>
    <n v="65"/>
    <n v="135.85"/>
  </r>
  <r>
    <x v="4"/>
    <x v="49"/>
    <x v="27"/>
    <x v="10"/>
    <n v="226.85"/>
    <n v="65"/>
    <n v="116.35"/>
  </r>
  <r>
    <x v="5"/>
    <x v="0"/>
    <x v="46"/>
    <x v="0"/>
    <n v="464.17"/>
    <n v="133"/>
    <n v="171.57"/>
  </r>
  <r>
    <x v="5"/>
    <x v="1"/>
    <x v="49"/>
    <x v="0"/>
    <n v="300.3"/>
    <n v="70"/>
    <n v="111.3"/>
  </r>
  <r>
    <x v="5"/>
    <x v="2"/>
    <x v="13"/>
    <x v="0"/>
    <n v="293.51"/>
    <n v="49"/>
    <n v="131.81"/>
  </r>
  <r>
    <x v="5"/>
    <x v="3"/>
    <x v="3"/>
    <x v="2"/>
    <n v="229.23"/>
    <n v="37"/>
    <n v="84.93000000000001"/>
  </r>
  <r>
    <x v="5"/>
    <x v="4"/>
    <x v="16"/>
    <x v="2"/>
    <n v="884.34"/>
    <n v="232"/>
    <n v="385.54"/>
  </r>
  <r>
    <x v="5"/>
    <x v="5"/>
    <x v="10"/>
    <x v="2"/>
    <n v="341.24"/>
    <n v="76"/>
    <n v="166.44"/>
  </r>
  <r>
    <x v="5"/>
    <x v="6"/>
    <x v="42"/>
    <x v="2"/>
    <n v="176.79"/>
    <n v="71"/>
    <n v="98.69"/>
  </r>
  <r>
    <x v="5"/>
    <x v="7"/>
    <x v="24"/>
    <x v="2"/>
    <n v="364.27"/>
    <n v="73"/>
    <n v="167.17"/>
  </r>
  <r>
    <x v="5"/>
    <x v="8"/>
    <x v="26"/>
    <x v="2"/>
    <n v="172.44"/>
    <n v="36"/>
    <n v="78.84"/>
  </r>
  <r>
    <x v="5"/>
    <x v="9"/>
    <x v="2"/>
    <x v="2"/>
    <n v="340.86"/>
    <n v="114"/>
    <n v="232.56"/>
  </r>
  <r>
    <x v="5"/>
    <x v="10"/>
    <x v="4"/>
    <x v="3"/>
    <n v="389.48"/>
    <n v="52"/>
    <n v="98.28"/>
  </r>
  <r>
    <x v="5"/>
    <x v="11"/>
    <x v="20"/>
    <x v="3"/>
    <n v="255.68"/>
    <n v="32"/>
    <n v="92.48"/>
  </r>
  <r>
    <x v="5"/>
    <x v="12"/>
    <x v="6"/>
    <x v="3"/>
    <n v="391.72"/>
    <n v="28"/>
    <n v="100.52"/>
  </r>
  <r>
    <x v="5"/>
    <x v="13"/>
    <x v="23"/>
    <x v="5"/>
    <n v="431.52"/>
    <n v="48"/>
    <n v="172.32"/>
  </r>
  <r>
    <x v="5"/>
    <x v="14"/>
    <x v="22"/>
    <x v="5"/>
    <n v="182.39"/>
    <n v="61"/>
    <n v="109.19"/>
  </r>
  <r>
    <x v="5"/>
    <x v="15"/>
    <x v="19"/>
    <x v="5"/>
    <n v="367.54"/>
    <n v="46"/>
    <n v="151.34"/>
  </r>
  <r>
    <x v="5"/>
    <x v="16"/>
    <x v="18"/>
    <x v="5"/>
    <n v="407.66"/>
    <n v="34"/>
    <n v="166.26"/>
  </r>
  <r>
    <x v="5"/>
    <x v="17"/>
    <x v="7"/>
    <x v="4"/>
    <n v="1109.82"/>
    <n v="168"/>
    <n v="454.62"/>
  </r>
  <r>
    <x v="5"/>
    <x v="18"/>
    <x v="44"/>
    <x v="4"/>
    <n v="1018.98"/>
    <n v="102"/>
    <n v="447.78"/>
  </r>
  <r>
    <x v="5"/>
    <x v="19"/>
    <x v="21"/>
    <x v="4"/>
    <n v="658.8"/>
    <n v="120"/>
    <n v="370.8"/>
  </r>
  <r>
    <x v="5"/>
    <x v="20"/>
    <x v="38"/>
    <x v="4"/>
    <n v="413.17"/>
    <n v="43"/>
    <n v="146.57"/>
  </r>
  <r>
    <x v="5"/>
    <x v="21"/>
    <x v="17"/>
    <x v="4"/>
    <n v="454.3"/>
    <n v="70"/>
    <n v="230.3"/>
  </r>
  <r>
    <x v="5"/>
    <x v="22"/>
    <x v="25"/>
    <x v="6"/>
    <n v="444.51"/>
    <n v="99"/>
    <n v="187.11"/>
  </r>
  <r>
    <x v="5"/>
    <x v="23"/>
    <x v="5"/>
    <x v="6"/>
    <n v="128.31"/>
    <n v="39"/>
    <n v="54.21"/>
  </r>
  <r>
    <x v="5"/>
    <x v="24"/>
    <x v="33"/>
    <x v="6"/>
    <n v="104.58"/>
    <n v="42"/>
    <n v="49.98"/>
  </r>
  <r>
    <x v="5"/>
    <x v="25"/>
    <x v="41"/>
    <x v="6"/>
    <n v="163.59"/>
    <n v="41"/>
    <n v="69.29000000000001"/>
  </r>
  <r>
    <x v="5"/>
    <x v="26"/>
    <x v="39"/>
    <x v="6"/>
    <n v="126.43"/>
    <n v="29"/>
    <n v="42.33"/>
  </r>
  <r>
    <x v="5"/>
    <x v="27"/>
    <x v="45"/>
    <x v="6"/>
    <n v="136.29"/>
    <n v="21"/>
    <n v="52.29"/>
  </r>
  <r>
    <x v="5"/>
    <x v="28"/>
    <x v="15"/>
    <x v="6"/>
    <n v="791.28"/>
    <n v="72"/>
    <n v="200.88"/>
  </r>
  <r>
    <x v="5"/>
    <x v="29"/>
    <x v="9"/>
    <x v="6"/>
    <n v="275.77"/>
    <n v="23"/>
    <n v="100.97"/>
  </r>
  <r>
    <x v="5"/>
    <x v="30"/>
    <x v="47"/>
    <x v="8"/>
    <n v="323.64"/>
    <n v="36"/>
    <n v="111.24"/>
  </r>
  <r>
    <x v="5"/>
    <x v="31"/>
    <x v="14"/>
    <x v="8"/>
    <n v="114.77"/>
    <n v="23"/>
    <n v="48.07"/>
  </r>
  <r>
    <x v="5"/>
    <x v="32"/>
    <x v="34"/>
    <x v="8"/>
    <n v="59.96"/>
    <n v="4"/>
    <n v="37.96"/>
  </r>
  <r>
    <x v="5"/>
    <x v="33"/>
    <x v="12"/>
    <x v="1"/>
    <n v="735.6800000000001"/>
    <n v="32"/>
    <n v="246.08"/>
  </r>
  <r>
    <x v="5"/>
    <x v="34"/>
    <x v="40"/>
    <x v="1"/>
    <n v="463.71"/>
    <n v="29"/>
    <n v="167.91"/>
  </r>
  <r>
    <x v="5"/>
    <x v="35"/>
    <x v="37"/>
    <x v="1"/>
    <n v="773.5699999999999"/>
    <n v="43"/>
    <n v="261.87"/>
  </r>
  <r>
    <x v="5"/>
    <x v="36"/>
    <x v="35"/>
    <x v="1"/>
    <n v="319.84"/>
    <n v="16"/>
    <n v="115.04"/>
  </r>
  <r>
    <x v="5"/>
    <x v="37"/>
    <x v="29"/>
    <x v="3"/>
    <n v="1364.31"/>
    <n v="279"/>
    <n v="373.86"/>
  </r>
  <r>
    <x v="5"/>
    <x v="38"/>
    <x v="28"/>
    <x v="3"/>
    <n v="562.35"/>
    <n v="115"/>
    <n v="154.1"/>
  </r>
  <r>
    <x v="5"/>
    <x v="39"/>
    <x v="31"/>
    <x v="3"/>
    <n v="214.5"/>
    <n v="50"/>
    <n v="79.5"/>
  </r>
  <r>
    <x v="5"/>
    <x v="40"/>
    <x v="32"/>
    <x v="7"/>
    <n v="121.26"/>
    <n v="34"/>
    <n v="66.86"/>
  </r>
  <r>
    <x v="5"/>
    <x v="41"/>
    <x v="43"/>
    <x v="7"/>
    <n v="269.82"/>
    <n v="18"/>
    <n v="122.22"/>
  </r>
  <r>
    <x v="5"/>
    <x v="42"/>
    <x v="1"/>
    <x v="9"/>
    <n v="160.77"/>
    <n v="233"/>
    <n v="72.23"/>
  </r>
  <r>
    <x v="5"/>
    <x v="43"/>
    <x v="0"/>
    <x v="9"/>
    <n v="117.03"/>
    <n v="47"/>
    <n v="51.23"/>
  </r>
  <r>
    <x v="5"/>
    <x v="44"/>
    <x v="48"/>
    <x v="9"/>
    <n v="188.58"/>
    <n v="42"/>
    <n v="79.38"/>
  </r>
  <r>
    <x v="5"/>
    <x v="45"/>
    <x v="36"/>
    <x v="10"/>
    <n v="518.7"/>
    <n v="130"/>
    <n v="245.7"/>
  </r>
  <r>
    <x v="5"/>
    <x v="46"/>
    <x v="8"/>
    <x v="10"/>
    <n v="647.64"/>
    <n v="136"/>
    <n v="212.44"/>
  </r>
  <r>
    <x v="5"/>
    <x v="47"/>
    <x v="30"/>
    <x v="10"/>
    <n v="214.5"/>
    <n v="50"/>
    <n v="84.5"/>
  </r>
  <r>
    <x v="5"/>
    <x v="48"/>
    <x v="11"/>
    <x v="10"/>
    <n v="269.4"/>
    <n v="60"/>
    <n v="125.4"/>
  </r>
  <r>
    <x v="5"/>
    <x v="49"/>
    <x v="27"/>
    <x v="10"/>
    <n v="223.36"/>
    <n v="64"/>
    <n v="114.56"/>
  </r>
  <r>
    <x v="6"/>
    <x v="0"/>
    <x v="46"/>
    <x v="0"/>
    <n v="533.97"/>
    <n v="153"/>
    <n v="197.37"/>
  </r>
  <r>
    <x v="6"/>
    <x v="1"/>
    <x v="49"/>
    <x v="0"/>
    <n v="253.11"/>
    <n v="59"/>
    <n v="93.81"/>
  </r>
  <r>
    <x v="6"/>
    <x v="2"/>
    <x v="13"/>
    <x v="0"/>
    <n v="161.73"/>
    <n v="27"/>
    <n v="72.63"/>
  </r>
  <r>
    <x v="6"/>
    <x v="3"/>
    <x v="3"/>
    <x v="2"/>
    <n v="223.68"/>
    <n v="32"/>
    <n v="98.88"/>
  </r>
  <r>
    <x v="6"/>
    <x v="4"/>
    <x v="16"/>
    <x v="2"/>
    <n v="583.4400000000001"/>
    <n v="136"/>
    <n v="291.04"/>
  </r>
  <r>
    <x v="6"/>
    <x v="5"/>
    <x v="10"/>
    <x v="2"/>
    <n v="413.08"/>
    <n v="92"/>
    <n v="201.48"/>
  </r>
  <r>
    <x v="6"/>
    <x v="6"/>
    <x v="42"/>
    <x v="2"/>
    <n v="179.28"/>
    <n v="72"/>
    <n v="100.08"/>
  </r>
  <r>
    <x v="6"/>
    <x v="7"/>
    <x v="24"/>
    <x v="2"/>
    <n v="469.06"/>
    <n v="94"/>
    <n v="215.26"/>
  </r>
  <r>
    <x v="6"/>
    <x v="8"/>
    <x v="26"/>
    <x v="2"/>
    <n v="177.23"/>
    <n v="37"/>
    <n v="81.03"/>
  </r>
  <r>
    <x v="6"/>
    <x v="9"/>
    <x v="2"/>
    <x v="2"/>
    <n v="334.88"/>
    <n v="112"/>
    <n v="228.48"/>
  </r>
  <r>
    <x v="6"/>
    <x v="10"/>
    <x v="4"/>
    <x v="3"/>
    <n v="419.44"/>
    <n v="56"/>
    <n v="105.84"/>
  </r>
  <r>
    <x v="6"/>
    <x v="11"/>
    <x v="20"/>
    <x v="3"/>
    <n v="255.68"/>
    <n v="32"/>
    <n v="92.48"/>
  </r>
  <r>
    <x v="6"/>
    <x v="12"/>
    <x v="6"/>
    <x v="3"/>
    <n v="601.5699999999999"/>
    <n v="43"/>
    <n v="154.37"/>
  </r>
  <r>
    <x v="6"/>
    <x v="13"/>
    <x v="23"/>
    <x v="5"/>
    <n v="404.55"/>
    <n v="45"/>
    <n v="161.55"/>
  </r>
  <r>
    <x v="6"/>
    <x v="14"/>
    <x v="22"/>
    <x v="5"/>
    <n v="170.43"/>
    <n v="57"/>
    <n v="102.03"/>
  </r>
  <r>
    <x v="6"/>
    <x v="15"/>
    <x v="19"/>
    <x v="5"/>
    <n v="479.4"/>
    <n v="60"/>
    <n v="197.4"/>
  </r>
  <r>
    <x v="6"/>
    <x v="16"/>
    <x v="18"/>
    <x v="5"/>
    <n v="539.55"/>
    <n v="45"/>
    <n v="220.05"/>
  </r>
  <r>
    <x v="6"/>
    <x v="17"/>
    <x v="7"/>
    <x v="4"/>
    <n v="1071.07"/>
    <n v="143"/>
    <n v="513.37"/>
  </r>
  <r>
    <x v="6"/>
    <x v="18"/>
    <x v="44"/>
    <x v="4"/>
    <n v="989.01"/>
    <n v="99"/>
    <n v="434.61"/>
  </r>
  <r>
    <x v="6"/>
    <x v="19"/>
    <x v="21"/>
    <x v="4"/>
    <n v="938.7900000000001"/>
    <n v="171"/>
    <n v="528.39"/>
  </r>
  <r>
    <x v="6"/>
    <x v="20"/>
    <x v="38"/>
    <x v="4"/>
    <n v="571.48"/>
    <n v="52"/>
    <n v="249.08"/>
  </r>
  <r>
    <x v="6"/>
    <x v="21"/>
    <x v="17"/>
    <x v="4"/>
    <n v="454.3"/>
    <n v="70"/>
    <n v="230.3"/>
  </r>
  <r>
    <x v="6"/>
    <x v="22"/>
    <x v="25"/>
    <x v="6"/>
    <n v="336.75"/>
    <n v="75"/>
    <n v="141.75"/>
  </r>
  <r>
    <x v="6"/>
    <x v="23"/>
    <x v="5"/>
    <x v="6"/>
    <n v="154.63"/>
    <n v="47"/>
    <n v="65.33"/>
  </r>
  <r>
    <x v="6"/>
    <x v="24"/>
    <x v="33"/>
    <x v="6"/>
    <n v="89.64"/>
    <n v="36"/>
    <n v="42.84"/>
  </r>
  <r>
    <x v="6"/>
    <x v="25"/>
    <x v="41"/>
    <x v="6"/>
    <n v="155.61"/>
    <n v="39"/>
    <n v="65.91"/>
  </r>
  <r>
    <x v="6"/>
    <x v="26"/>
    <x v="39"/>
    <x v="6"/>
    <n v="52.69"/>
    <n v="11"/>
    <n v="20.79"/>
  </r>
  <r>
    <x v="6"/>
    <x v="27"/>
    <x v="45"/>
    <x v="6"/>
    <n v="129.8"/>
    <n v="20"/>
    <n v="49.8"/>
  </r>
  <r>
    <x v="6"/>
    <x v="28"/>
    <x v="15"/>
    <x v="6"/>
    <n v="494.55"/>
    <n v="45"/>
    <n v="125.55"/>
  </r>
  <r>
    <x v="6"/>
    <x v="29"/>
    <x v="9"/>
    <x v="6"/>
    <n v="203.83"/>
    <n v="17"/>
    <n v="74.63"/>
  </r>
  <r>
    <x v="6"/>
    <x v="30"/>
    <x v="47"/>
    <x v="8"/>
    <n v="287.68"/>
    <n v="32"/>
    <n v="98.88"/>
  </r>
  <r>
    <x v="6"/>
    <x v="31"/>
    <x v="14"/>
    <x v="8"/>
    <n v="84.83000000000001"/>
    <n v="17"/>
    <n v="35.53"/>
  </r>
  <r>
    <x v="6"/>
    <x v="32"/>
    <x v="34"/>
    <x v="8"/>
    <n v="104.93"/>
    <n v="7"/>
    <n v="66.43000000000001"/>
  </r>
  <r>
    <x v="6"/>
    <x v="33"/>
    <x v="12"/>
    <x v="1"/>
    <n v="988.5699999999999"/>
    <n v="43"/>
    <n v="330.67"/>
  </r>
  <r>
    <x v="6"/>
    <x v="34"/>
    <x v="40"/>
    <x v="1"/>
    <n v="463.71"/>
    <n v="29"/>
    <n v="167.91"/>
  </r>
  <r>
    <x v="6"/>
    <x v="35"/>
    <x v="37"/>
    <x v="1"/>
    <n v="287.84"/>
    <n v="16"/>
    <n v="97.44"/>
  </r>
  <r>
    <x v="6"/>
    <x v="36"/>
    <x v="35"/>
    <x v="1"/>
    <n v="439.78"/>
    <n v="22"/>
    <n v="158.18"/>
  </r>
  <r>
    <x v="6"/>
    <x v="37"/>
    <x v="29"/>
    <x v="3"/>
    <n v="1286.07"/>
    <n v="263"/>
    <n v="352.42"/>
  </r>
  <r>
    <x v="6"/>
    <x v="38"/>
    <x v="28"/>
    <x v="3"/>
    <n v="493.89"/>
    <n v="101"/>
    <n v="135.34"/>
  </r>
  <r>
    <x v="6"/>
    <x v="39"/>
    <x v="31"/>
    <x v="3"/>
    <n v="227.37"/>
    <n v="53"/>
    <n v="84.27"/>
  </r>
  <r>
    <x v="6"/>
    <x v="40"/>
    <x v="32"/>
    <x v="7"/>
    <n v="191.52"/>
    <n v="48"/>
    <n v="114.72"/>
  </r>
  <r>
    <x v="6"/>
    <x v="41"/>
    <x v="43"/>
    <x v="7"/>
    <n v="179.88"/>
    <n v="12"/>
    <n v="81.48"/>
  </r>
  <r>
    <x v="6"/>
    <x v="42"/>
    <x v="1"/>
    <x v="9"/>
    <n v="151.92"/>
    <n v="250"/>
    <n v="56.92"/>
  </r>
  <r>
    <x v="6"/>
    <x v="43"/>
    <x v="0"/>
    <x v="9"/>
    <n v="131.97"/>
    <n v="53"/>
    <n v="57.77"/>
  </r>
  <r>
    <x v="6"/>
    <x v="44"/>
    <x v="48"/>
    <x v="9"/>
    <n v="228.99"/>
    <n v="51"/>
    <n v="96.39"/>
  </r>
  <r>
    <x v="6"/>
    <x v="45"/>
    <x v="36"/>
    <x v="10"/>
    <n v="562.59"/>
    <n v="141"/>
    <n v="266.49"/>
  </r>
  <r>
    <x v="6"/>
    <x v="46"/>
    <x v="8"/>
    <x v="10"/>
    <n v="543.51"/>
    <n v="99"/>
    <n v="226.71"/>
  </r>
  <r>
    <x v="6"/>
    <x v="47"/>
    <x v="30"/>
    <x v="10"/>
    <n v="244.53"/>
    <n v="57"/>
    <n v="96.33"/>
  </r>
  <r>
    <x v="6"/>
    <x v="48"/>
    <x v="11"/>
    <x v="10"/>
    <n v="273.89"/>
    <n v="61"/>
    <n v="127.49"/>
  </r>
  <r>
    <x v="6"/>
    <x v="49"/>
    <x v="27"/>
    <x v="10"/>
    <n v="233.83"/>
    <n v="67"/>
    <n v="119.93"/>
  </r>
  <r>
    <x v="7"/>
    <x v="0"/>
    <x v="46"/>
    <x v="0"/>
    <n v="443.23"/>
    <n v="127"/>
    <n v="163.83"/>
  </r>
  <r>
    <x v="7"/>
    <x v="1"/>
    <x v="49"/>
    <x v="0"/>
    <n v="390.39"/>
    <n v="91"/>
    <n v="144.69"/>
  </r>
  <r>
    <x v="7"/>
    <x v="2"/>
    <x v="13"/>
    <x v="0"/>
    <n v="257.57"/>
    <n v="43"/>
    <n v="115.67"/>
  </r>
  <r>
    <x v="7"/>
    <x v="3"/>
    <x v="3"/>
    <x v="2"/>
    <n v="237.66"/>
    <n v="34"/>
    <n v="105.06"/>
  </r>
  <r>
    <x v="7"/>
    <x v="4"/>
    <x v="16"/>
    <x v="2"/>
    <n v="737.88"/>
    <n v="172"/>
    <n v="368.08"/>
  </r>
  <r>
    <x v="7"/>
    <x v="5"/>
    <x v="10"/>
    <x v="2"/>
    <n v="359.2"/>
    <n v="80"/>
    <n v="175.2"/>
  </r>
  <r>
    <x v="7"/>
    <x v="6"/>
    <x v="42"/>
    <x v="2"/>
    <n v="169.32"/>
    <n v="68"/>
    <n v="94.52"/>
  </r>
  <r>
    <x v="7"/>
    <x v="7"/>
    <x v="24"/>
    <x v="2"/>
    <n v="424.15"/>
    <n v="85"/>
    <n v="194.65"/>
  </r>
  <r>
    <x v="7"/>
    <x v="8"/>
    <x v="26"/>
    <x v="2"/>
    <n v="138.91"/>
    <n v="29"/>
    <n v="63.51"/>
  </r>
  <r>
    <x v="7"/>
    <x v="9"/>
    <x v="2"/>
    <x v="2"/>
    <n v="418.6"/>
    <n v="140"/>
    <n v="285.6"/>
  </r>
  <r>
    <x v="7"/>
    <x v="10"/>
    <x v="4"/>
    <x v="3"/>
    <n v="254.66"/>
    <n v="34"/>
    <n v="64.26000000000001"/>
  </r>
  <r>
    <x v="7"/>
    <x v="11"/>
    <x v="20"/>
    <x v="3"/>
    <n v="175.78"/>
    <n v="22"/>
    <n v="63.58"/>
  </r>
  <r>
    <x v="7"/>
    <x v="12"/>
    <x v="6"/>
    <x v="3"/>
    <n v="503.64"/>
    <n v="36"/>
    <n v="129.24"/>
  </r>
  <r>
    <x v="7"/>
    <x v="13"/>
    <x v="23"/>
    <x v="5"/>
    <n v="287.68"/>
    <n v="32"/>
    <n v="114.88"/>
  </r>
  <r>
    <x v="7"/>
    <x v="14"/>
    <x v="22"/>
    <x v="5"/>
    <n v="227.24"/>
    <n v="76"/>
    <n v="136.04"/>
  </r>
  <r>
    <x v="7"/>
    <x v="15"/>
    <x v="19"/>
    <x v="5"/>
    <n v="303.62"/>
    <n v="38"/>
    <n v="125.02"/>
  </r>
  <r>
    <x v="7"/>
    <x v="16"/>
    <x v="18"/>
    <x v="5"/>
    <n v="407.66"/>
    <n v="34"/>
    <n v="166.26"/>
  </r>
  <r>
    <x v="7"/>
    <x v="17"/>
    <x v="7"/>
    <x v="4"/>
    <n v="936.25"/>
    <n v="125"/>
    <n v="448.75"/>
  </r>
  <r>
    <x v="7"/>
    <x v="18"/>
    <x v="44"/>
    <x v="4"/>
    <n v="819.1800000000001"/>
    <n v="82"/>
    <n v="359.98"/>
  </r>
  <r>
    <x v="7"/>
    <x v="19"/>
    <x v="21"/>
    <x v="4"/>
    <n v="724.6800000000001"/>
    <n v="132"/>
    <n v="407.88"/>
  </r>
  <r>
    <x v="7"/>
    <x v="20"/>
    <x v="38"/>
    <x v="4"/>
    <n v="384.65"/>
    <n v="35"/>
    <n v="167.65"/>
  </r>
  <r>
    <x v="7"/>
    <x v="21"/>
    <x v="17"/>
    <x v="4"/>
    <n v="337.48"/>
    <n v="52"/>
    <n v="171.08"/>
  </r>
  <r>
    <x v="7"/>
    <x v="22"/>
    <x v="25"/>
    <x v="6"/>
    <n v="426.55"/>
    <n v="95"/>
    <n v="179.55"/>
  </r>
  <r>
    <x v="7"/>
    <x v="23"/>
    <x v="5"/>
    <x v="6"/>
    <n v="98.69999999999999"/>
    <n v="30"/>
    <n v="41.7"/>
  </r>
  <r>
    <x v="7"/>
    <x v="24"/>
    <x v="33"/>
    <x v="6"/>
    <n v="77.19"/>
    <n v="31"/>
    <n v="36.89"/>
  </r>
  <r>
    <x v="7"/>
    <x v="25"/>
    <x v="41"/>
    <x v="6"/>
    <n v="171.57"/>
    <n v="43"/>
    <n v="72.67"/>
  </r>
  <r>
    <x v="7"/>
    <x v="26"/>
    <x v="39"/>
    <x v="6"/>
    <n v="86.22"/>
    <n v="18"/>
    <n v="34.02"/>
  </r>
  <r>
    <x v="7"/>
    <x v="27"/>
    <x v="45"/>
    <x v="6"/>
    <n v="90.86000000000001"/>
    <n v="14"/>
    <n v="34.86"/>
  </r>
  <r>
    <x v="7"/>
    <x v="28"/>
    <x v="15"/>
    <x v="6"/>
    <n v="857.22"/>
    <n v="78"/>
    <n v="217.62"/>
  </r>
  <r>
    <x v="7"/>
    <x v="29"/>
    <x v="9"/>
    <x v="6"/>
    <n v="299.75"/>
    <n v="25"/>
    <n v="109.75"/>
  </r>
  <r>
    <x v="7"/>
    <x v="30"/>
    <x v="47"/>
    <x v="8"/>
    <n v="269.7"/>
    <n v="30"/>
    <n v="92.7"/>
  </r>
  <r>
    <x v="7"/>
    <x v="31"/>
    <x v="14"/>
    <x v="8"/>
    <n v="114.77"/>
    <n v="23"/>
    <n v="48.07"/>
  </r>
  <r>
    <x v="7"/>
    <x v="32"/>
    <x v="34"/>
    <x v="8"/>
    <n v="179.88"/>
    <n v="12"/>
    <n v="113.88"/>
  </r>
  <r>
    <x v="7"/>
    <x v="33"/>
    <x v="12"/>
    <x v="1"/>
    <n v="620.73"/>
    <n v="27"/>
    <n v="207.63"/>
  </r>
  <r>
    <x v="7"/>
    <x v="34"/>
    <x v="40"/>
    <x v="1"/>
    <n v="511.68"/>
    <n v="32"/>
    <n v="185.28"/>
  </r>
  <r>
    <x v="7"/>
    <x v="35"/>
    <x v="37"/>
    <x v="1"/>
    <n v="359.8"/>
    <n v="20"/>
    <n v="121.8"/>
  </r>
  <r>
    <x v="7"/>
    <x v="36"/>
    <x v="35"/>
    <x v="1"/>
    <n v="319.84"/>
    <n v="16"/>
    <n v="115.04"/>
  </r>
  <r>
    <x v="7"/>
    <x v="37"/>
    <x v="29"/>
    <x v="3"/>
    <n v="1452.33"/>
    <n v="297"/>
    <n v="397.98"/>
  </r>
  <r>
    <x v="7"/>
    <x v="38"/>
    <x v="28"/>
    <x v="3"/>
    <n v="518.3399999999999"/>
    <n v="106"/>
    <n v="142.04"/>
  </r>
  <r>
    <x v="7"/>
    <x v="39"/>
    <x v="31"/>
    <x v="3"/>
    <n v="210.21"/>
    <n v="49"/>
    <n v="77.91"/>
  </r>
  <r>
    <x v="7"/>
    <x v="40"/>
    <x v="32"/>
    <x v="7"/>
    <n v="155.61"/>
    <n v="39"/>
    <n v="93.20999999999999"/>
  </r>
  <r>
    <x v="7"/>
    <x v="41"/>
    <x v="43"/>
    <x v="7"/>
    <n v="104.93"/>
    <n v="7"/>
    <n v="47.53"/>
  </r>
  <r>
    <x v="7"/>
    <x v="42"/>
    <x v="1"/>
    <x v="9"/>
    <n v="152.91"/>
    <n v="249"/>
    <n v="58.29"/>
  </r>
  <r>
    <x v="7"/>
    <x v="43"/>
    <x v="0"/>
    <x v="9"/>
    <n v="109.56"/>
    <n v="44"/>
    <n v="47.96"/>
  </r>
  <r>
    <x v="7"/>
    <x v="44"/>
    <x v="48"/>
    <x v="9"/>
    <n v="134.7"/>
    <n v="30"/>
    <n v="56.7"/>
  </r>
  <r>
    <x v="7"/>
    <x v="45"/>
    <x v="36"/>
    <x v="10"/>
    <n v="526.6800000000001"/>
    <n v="132"/>
    <n v="249.48"/>
  </r>
  <r>
    <x v="7"/>
    <x v="46"/>
    <x v="8"/>
    <x v="10"/>
    <n v="625.86"/>
    <n v="114"/>
    <n v="261.06"/>
  </r>
  <r>
    <x v="7"/>
    <x v="47"/>
    <x v="30"/>
    <x v="10"/>
    <n v="304.59"/>
    <n v="71"/>
    <n v="119.99"/>
  </r>
  <r>
    <x v="7"/>
    <x v="48"/>
    <x v="11"/>
    <x v="10"/>
    <n v="228.99"/>
    <n v="51"/>
    <n v="106.59"/>
  </r>
  <r>
    <x v="7"/>
    <x v="49"/>
    <x v="27"/>
    <x v="10"/>
    <n v="303.63"/>
    <n v="87"/>
    <n v="155.73"/>
  </r>
  <r>
    <x v="8"/>
    <x v="0"/>
    <x v="46"/>
    <x v="0"/>
    <n v="478.13"/>
    <n v="137"/>
    <n v="176.73"/>
  </r>
  <r>
    <x v="8"/>
    <x v="1"/>
    <x v="49"/>
    <x v="0"/>
    <n v="356.07"/>
    <n v="83"/>
    <n v="131.97"/>
  </r>
  <r>
    <x v="8"/>
    <x v="2"/>
    <x v="13"/>
    <x v="0"/>
    <n v="251.58"/>
    <n v="42"/>
    <n v="112.98"/>
  </r>
  <r>
    <x v="8"/>
    <x v="3"/>
    <x v="3"/>
    <x v="2"/>
    <n v="209.7"/>
    <n v="30"/>
    <n v="92.7"/>
  </r>
  <r>
    <x v="8"/>
    <x v="4"/>
    <x v="16"/>
    <x v="2"/>
    <n v="686.4"/>
    <n v="160"/>
    <n v="342.4"/>
  </r>
  <r>
    <x v="8"/>
    <x v="5"/>
    <x v="10"/>
    <x v="2"/>
    <n v="471.45"/>
    <n v="105"/>
    <n v="229.95"/>
  </r>
  <r>
    <x v="8"/>
    <x v="6"/>
    <x v="42"/>
    <x v="2"/>
    <n v="171.81"/>
    <n v="69"/>
    <n v="95.91"/>
  </r>
  <r>
    <x v="8"/>
    <x v="7"/>
    <x v="24"/>
    <x v="2"/>
    <n v="364.27"/>
    <n v="73"/>
    <n v="167.17"/>
  </r>
  <r>
    <x v="8"/>
    <x v="8"/>
    <x v="26"/>
    <x v="2"/>
    <n v="186.81"/>
    <n v="39"/>
    <n v="85.41"/>
  </r>
  <r>
    <x v="8"/>
    <x v="9"/>
    <x v="2"/>
    <x v="2"/>
    <n v="281.06"/>
    <n v="94"/>
    <n v="191.76"/>
  </r>
  <r>
    <x v="8"/>
    <x v="10"/>
    <x v="4"/>
    <x v="3"/>
    <n v="179.76"/>
    <n v="24"/>
    <n v="45.36"/>
  </r>
  <r>
    <x v="8"/>
    <x v="11"/>
    <x v="20"/>
    <x v="3"/>
    <n v="247.65"/>
    <n v="35"/>
    <n v="69.15000000000001"/>
  </r>
  <r>
    <x v="8"/>
    <x v="12"/>
    <x v="6"/>
    <x v="3"/>
    <n v="467.23"/>
    <n v="37"/>
    <n v="82.43000000000001"/>
  </r>
  <r>
    <x v="8"/>
    <x v="13"/>
    <x v="23"/>
    <x v="5"/>
    <n v="377.58"/>
    <n v="42"/>
    <n v="150.78"/>
  </r>
  <r>
    <x v="8"/>
    <x v="14"/>
    <x v="22"/>
    <x v="5"/>
    <n v="125.58"/>
    <n v="42"/>
    <n v="75.18000000000001"/>
  </r>
  <r>
    <x v="8"/>
    <x v="15"/>
    <x v="19"/>
    <x v="5"/>
    <n v="423.47"/>
    <n v="53"/>
    <n v="174.37"/>
  </r>
  <r>
    <x v="8"/>
    <x v="16"/>
    <x v="18"/>
    <x v="5"/>
    <n v="431.64"/>
    <n v="36"/>
    <n v="176.04"/>
  </r>
  <r>
    <x v="8"/>
    <x v="17"/>
    <x v="7"/>
    <x v="4"/>
    <n v="1078.56"/>
    <n v="144"/>
    <n v="516.96"/>
  </r>
  <r>
    <x v="8"/>
    <x v="18"/>
    <x v="44"/>
    <x v="4"/>
    <n v="829.17"/>
    <n v="83"/>
    <n v="364.37"/>
  </r>
  <r>
    <x v="8"/>
    <x v="19"/>
    <x v="21"/>
    <x v="4"/>
    <n v="816.6999999999999"/>
    <n v="170"/>
    <n v="408.7"/>
  </r>
  <r>
    <x v="8"/>
    <x v="20"/>
    <x v="38"/>
    <x v="4"/>
    <n v="450.59"/>
    <n v="41"/>
    <n v="196.39"/>
  </r>
  <r>
    <x v="8"/>
    <x v="21"/>
    <x v="17"/>
    <x v="4"/>
    <n v="597.08"/>
    <n v="92"/>
    <n v="302.68"/>
  </r>
  <r>
    <x v="8"/>
    <x v="22"/>
    <x v="25"/>
    <x v="6"/>
    <n v="426.55"/>
    <n v="95"/>
    <n v="179.55"/>
  </r>
  <r>
    <x v="8"/>
    <x v="23"/>
    <x v="5"/>
    <x v="6"/>
    <n v="164.44"/>
    <n v="56"/>
    <n v="58.04"/>
  </r>
  <r>
    <x v="8"/>
    <x v="24"/>
    <x v="33"/>
    <x v="6"/>
    <n v="109.56"/>
    <n v="44"/>
    <n v="52.36"/>
  </r>
  <r>
    <x v="8"/>
    <x v="25"/>
    <x v="41"/>
    <x v="6"/>
    <n v="179.55"/>
    <n v="45"/>
    <n v="76.05"/>
  </r>
  <r>
    <x v="8"/>
    <x v="26"/>
    <x v="39"/>
    <x v="6"/>
    <n v="95.8"/>
    <n v="20"/>
    <n v="37.8"/>
  </r>
  <r>
    <x v="8"/>
    <x v="27"/>
    <x v="45"/>
    <x v="6"/>
    <n v="136.29"/>
    <n v="21"/>
    <n v="52.29"/>
  </r>
  <r>
    <x v="8"/>
    <x v="28"/>
    <x v="15"/>
    <x v="6"/>
    <n v="637.4200000000001"/>
    <n v="58"/>
    <n v="161.82"/>
  </r>
  <r>
    <x v="8"/>
    <x v="29"/>
    <x v="9"/>
    <x v="6"/>
    <n v="419.65"/>
    <n v="35"/>
    <n v="153.65"/>
  </r>
  <r>
    <x v="8"/>
    <x v="30"/>
    <x v="47"/>
    <x v="8"/>
    <n v="359.6"/>
    <n v="40"/>
    <n v="123.6"/>
  </r>
  <r>
    <x v="8"/>
    <x v="31"/>
    <x v="14"/>
    <x v="8"/>
    <n v="109.78"/>
    <n v="22"/>
    <n v="45.98"/>
  </r>
  <r>
    <x v="8"/>
    <x v="32"/>
    <x v="34"/>
    <x v="8"/>
    <n v="119.92"/>
    <n v="8"/>
    <n v="75.92"/>
  </r>
  <r>
    <x v="8"/>
    <x v="33"/>
    <x v="12"/>
    <x v="1"/>
    <n v="620.73"/>
    <n v="27"/>
    <n v="207.63"/>
  </r>
  <r>
    <x v="8"/>
    <x v="34"/>
    <x v="40"/>
    <x v="1"/>
    <n v="447.72"/>
    <n v="28"/>
    <n v="162.12"/>
  </r>
  <r>
    <x v="8"/>
    <x v="35"/>
    <x v="37"/>
    <x v="1"/>
    <n v="449.75"/>
    <n v="25"/>
    <n v="152.25"/>
  </r>
  <r>
    <x v="8"/>
    <x v="36"/>
    <x v="35"/>
    <x v="1"/>
    <n v="219.89"/>
    <n v="11"/>
    <n v="79.09"/>
  </r>
  <r>
    <x v="8"/>
    <x v="37"/>
    <x v="29"/>
    <x v="3"/>
    <n v="1418.1"/>
    <n v="290"/>
    <n v="388.6"/>
  </r>
  <r>
    <x v="8"/>
    <x v="38"/>
    <x v="28"/>
    <x v="3"/>
    <n v="699.27"/>
    <n v="143"/>
    <n v="191.62"/>
  </r>
  <r>
    <x v="8"/>
    <x v="39"/>
    <x v="31"/>
    <x v="3"/>
    <n v="300.21"/>
    <n v="79"/>
    <n v="86.91"/>
  </r>
  <r>
    <x v="8"/>
    <x v="40"/>
    <x v="32"/>
    <x v="7"/>
    <n v="115.71"/>
    <n v="29"/>
    <n v="69.31"/>
  </r>
  <r>
    <x v="8"/>
    <x v="41"/>
    <x v="43"/>
    <x v="7"/>
    <n v="209.86"/>
    <n v="14"/>
    <n v="95.06"/>
  </r>
  <r>
    <x v="8"/>
    <x v="42"/>
    <x v="1"/>
    <x v="9"/>
    <n v="178.02"/>
    <n v="258"/>
    <n v="79.98"/>
  </r>
  <r>
    <x v="8"/>
    <x v="43"/>
    <x v="0"/>
    <x v="9"/>
    <n v="124.5"/>
    <n v="50"/>
    <n v="54.5"/>
  </r>
  <r>
    <x v="8"/>
    <x v="44"/>
    <x v="48"/>
    <x v="9"/>
    <n v="94.29000000000001"/>
    <n v="21"/>
    <n v="39.69"/>
  </r>
  <r>
    <x v="8"/>
    <x v="45"/>
    <x v="36"/>
    <x v="10"/>
    <n v="586.53"/>
    <n v="147"/>
    <n v="277.83"/>
  </r>
  <r>
    <x v="8"/>
    <x v="46"/>
    <x v="8"/>
    <x v="10"/>
    <n v="675.27"/>
    <n v="123"/>
    <n v="281.67"/>
  </r>
  <r>
    <x v="8"/>
    <x v="47"/>
    <x v="30"/>
    <x v="10"/>
    <n v="205.92"/>
    <n v="48"/>
    <n v="81.12"/>
  </r>
  <r>
    <x v="8"/>
    <x v="48"/>
    <x v="11"/>
    <x v="10"/>
    <n v="345.73"/>
    <n v="77"/>
    <n v="160.93"/>
  </r>
  <r>
    <x v="8"/>
    <x v="49"/>
    <x v="27"/>
    <x v="10"/>
    <n v="230.34"/>
    <n v="66"/>
    <n v="118.14"/>
  </r>
  <r>
    <x v="9"/>
    <x v="0"/>
    <x v="46"/>
    <x v="0"/>
    <n v="492.09"/>
    <n v="141"/>
    <n v="181.89"/>
  </r>
  <r>
    <x v="9"/>
    <x v="1"/>
    <x v="49"/>
    <x v="0"/>
    <n v="383.43"/>
    <n v="99"/>
    <n v="116.13"/>
  </r>
  <r>
    <x v="9"/>
    <x v="2"/>
    <x v="13"/>
    <x v="0"/>
    <n v="293.51"/>
    <n v="49"/>
    <n v="131.81"/>
  </r>
  <r>
    <x v="9"/>
    <x v="3"/>
    <x v="3"/>
    <x v="2"/>
    <n v="244.65"/>
    <n v="35"/>
    <n v="108.15"/>
  </r>
  <r>
    <x v="9"/>
    <x v="4"/>
    <x v="16"/>
    <x v="2"/>
    <n v="592.02"/>
    <n v="138"/>
    <n v="295.32"/>
  </r>
  <r>
    <x v="9"/>
    <x v="5"/>
    <x v="10"/>
    <x v="2"/>
    <n v="354.71"/>
    <n v="79"/>
    <n v="173.01"/>
  </r>
  <r>
    <x v="9"/>
    <x v="6"/>
    <x v="42"/>
    <x v="2"/>
    <n v="107.07"/>
    <n v="43"/>
    <n v="59.77"/>
  </r>
  <r>
    <x v="9"/>
    <x v="7"/>
    <x v="24"/>
    <x v="2"/>
    <n v="419.16"/>
    <n v="84"/>
    <n v="192.36"/>
  </r>
  <r>
    <x v="9"/>
    <x v="8"/>
    <x v="26"/>
    <x v="2"/>
    <n v="148.49"/>
    <n v="31"/>
    <n v="67.89"/>
  </r>
  <r>
    <x v="9"/>
    <x v="9"/>
    <x v="2"/>
    <x v="2"/>
    <n v="433.55"/>
    <n v="145"/>
    <n v="295.8"/>
  </r>
  <r>
    <x v="9"/>
    <x v="10"/>
    <x v="4"/>
    <x v="3"/>
    <n v="367.01"/>
    <n v="49"/>
    <n v="92.61"/>
  </r>
  <r>
    <x v="9"/>
    <x v="11"/>
    <x v="20"/>
    <x v="3"/>
    <n v="247.69"/>
    <n v="31"/>
    <n v="89.59"/>
  </r>
  <r>
    <x v="9"/>
    <x v="12"/>
    <x v="6"/>
    <x v="3"/>
    <n v="447.68"/>
    <n v="32"/>
    <n v="114.88"/>
  </r>
  <r>
    <x v="9"/>
    <x v="13"/>
    <x v="23"/>
    <x v="5"/>
    <n v="215.76"/>
    <n v="24"/>
    <n v="86.16"/>
  </r>
  <r>
    <x v="9"/>
    <x v="14"/>
    <x v="22"/>
    <x v="5"/>
    <n v="224.25"/>
    <n v="75"/>
    <n v="134.25"/>
  </r>
  <r>
    <x v="9"/>
    <x v="15"/>
    <x v="19"/>
    <x v="5"/>
    <n v="415.48"/>
    <n v="52"/>
    <n v="171.08"/>
  </r>
  <r>
    <x v="9"/>
    <x v="16"/>
    <x v="18"/>
    <x v="5"/>
    <n v="431.64"/>
    <n v="36"/>
    <n v="176.04"/>
  </r>
  <r>
    <x v="9"/>
    <x v="17"/>
    <x v="7"/>
    <x v="4"/>
    <n v="1033.45"/>
    <n v="155"/>
    <n v="428.95"/>
  </r>
  <r>
    <x v="9"/>
    <x v="18"/>
    <x v="44"/>
    <x v="4"/>
    <n v="599.4"/>
    <n v="60"/>
    <n v="263.4"/>
  </r>
  <r>
    <x v="9"/>
    <x v="19"/>
    <x v="21"/>
    <x v="4"/>
    <n v="669.78"/>
    <n v="122"/>
    <n v="376.98"/>
  </r>
  <r>
    <x v="9"/>
    <x v="20"/>
    <x v="38"/>
    <x v="4"/>
    <n v="417.62"/>
    <n v="38"/>
    <n v="182.02"/>
  </r>
  <r>
    <x v="9"/>
    <x v="21"/>
    <x v="17"/>
    <x v="4"/>
    <n v="512.71"/>
    <n v="79"/>
    <n v="259.91"/>
  </r>
  <r>
    <x v="9"/>
    <x v="22"/>
    <x v="25"/>
    <x v="6"/>
    <n v="440.02"/>
    <n v="98"/>
    <n v="185.22"/>
  </r>
  <r>
    <x v="9"/>
    <x v="23"/>
    <x v="5"/>
    <x v="6"/>
    <n v="148.05"/>
    <n v="45"/>
    <n v="62.55"/>
  </r>
  <r>
    <x v="9"/>
    <x v="24"/>
    <x v="33"/>
    <x v="6"/>
    <n v="114.54"/>
    <n v="46"/>
    <n v="54.74"/>
  </r>
  <r>
    <x v="9"/>
    <x v="25"/>
    <x v="41"/>
    <x v="6"/>
    <n v="115.71"/>
    <n v="29"/>
    <n v="49.01"/>
  </r>
  <r>
    <x v="9"/>
    <x v="26"/>
    <x v="39"/>
    <x v="6"/>
    <n v="86.22"/>
    <n v="18"/>
    <n v="34.02"/>
  </r>
  <r>
    <x v="9"/>
    <x v="27"/>
    <x v="45"/>
    <x v="6"/>
    <n v="116.82"/>
    <n v="18"/>
    <n v="44.82"/>
  </r>
  <r>
    <x v="9"/>
    <x v="28"/>
    <x v="15"/>
    <x v="6"/>
    <n v="736.33"/>
    <n v="67"/>
    <n v="186.93"/>
  </r>
  <r>
    <x v="9"/>
    <x v="29"/>
    <x v="9"/>
    <x v="6"/>
    <n v="143.88"/>
    <n v="12"/>
    <n v="52.68"/>
  </r>
  <r>
    <x v="9"/>
    <x v="30"/>
    <x v="47"/>
    <x v="8"/>
    <n v="260.71"/>
    <n v="29"/>
    <n v="89.61"/>
  </r>
  <r>
    <x v="9"/>
    <x v="31"/>
    <x v="14"/>
    <x v="8"/>
    <n v="74.85000000000001"/>
    <n v="15"/>
    <n v="31.35"/>
  </r>
  <r>
    <x v="9"/>
    <x v="32"/>
    <x v="34"/>
    <x v="8"/>
    <n v="44.97"/>
    <n v="3"/>
    <n v="28.47"/>
  </r>
  <r>
    <x v="9"/>
    <x v="33"/>
    <x v="12"/>
    <x v="1"/>
    <n v="574.75"/>
    <n v="25"/>
    <n v="192.25"/>
  </r>
  <r>
    <x v="9"/>
    <x v="34"/>
    <x v="40"/>
    <x v="1"/>
    <n v="479.7"/>
    <n v="30"/>
    <n v="173.7"/>
  </r>
  <r>
    <x v="9"/>
    <x v="35"/>
    <x v="37"/>
    <x v="1"/>
    <n v="611.66"/>
    <n v="34"/>
    <n v="207.06"/>
  </r>
  <r>
    <x v="9"/>
    <x v="36"/>
    <x v="35"/>
    <x v="1"/>
    <n v="399.77"/>
    <n v="23"/>
    <n v="105.37"/>
  </r>
  <r>
    <x v="9"/>
    <x v="37"/>
    <x v="29"/>
    <x v="3"/>
    <n v="1242.06"/>
    <n v="254"/>
    <n v="340.36"/>
  </r>
  <r>
    <x v="9"/>
    <x v="38"/>
    <x v="28"/>
    <x v="3"/>
    <n v="665.04"/>
    <n v="136"/>
    <n v="182.24"/>
  </r>
  <r>
    <x v="9"/>
    <x v="39"/>
    <x v="31"/>
    <x v="3"/>
    <n v="180.18"/>
    <n v="42"/>
    <n v="66.78"/>
  </r>
  <r>
    <x v="9"/>
    <x v="40"/>
    <x v="32"/>
    <x v="7"/>
    <n v="175.56"/>
    <n v="44"/>
    <n v="105.16"/>
  </r>
  <r>
    <x v="9"/>
    <x v="41"/>
    <x v="43"/>
    <x v="7"/>
    <n v="164.89"/>
    <n v="11"/>
    <n v="74.69"/>
  </r>
  <r>
    <x v="9"/>
    <x v="42"/>
    <x v="1"/>
    <x v="9"/>
    <n v="155.25"/>
    <n v="225"/>
    <n v="69.75"/>
  </r>
  <r>
    <x v="9"/>
    <x v="43"/>
    <x v="0"/>
    <x v="9"/>
    <n v="126.99"/>
    <n v="51"/>
    <n v="55.59"/>
  </r>
  <r>
    <x v="9"/>
    <x v="44"/>
    <x v="48"/>
    <x v="9"/>
    <n v="85.31"/>
    <n v="19"/>
    <n v="35.91"/>
  </r>
  <r>
    <x v="9"/>
    <x v="45"/>
    <x v="36"/>
    <x v="10"/>
    <n v="502.74"/>
    <n v="126"/>
    <n v="238.14"/>
  </r>
  <r>
    <x v="9"/>
    <x v="46"/>
    <x v="8"/>
    <x v="10"/>
    <n v="603.9"/>
    <n v="110"/>
    <n v="251.9"/>
  </r>
  <r>
    <x v="9"/>
    <x v="47"/>
    <x v="30"/>
    <x v="10"/>
    <n v="386.1"/>
    <n v="90"/>
    <n v="152.1"/>
  </r>
  <r>
    <x v="9"/>
    <x v="48"/>
    <x v="11"/>
    <x v="10"/>
    <n v="287.36"/>
    <n v="64"/>
    <n v="133.76"/>
  </r>
  <r>
    <x v="9"/>
    <x v="49"/>
    <x v="27"/>
    <x v="10"/>
    <n v="258.26"/>
    <n v="74"/>
    <n v="132.46"/>
  </r>
  <r>
    <x v="10"/>
    <x v="0"/>
    <x v="46"/>
    <x v="0"/>
    <n v="401.35"/>
    <n v="115"/>
    <n v="148.35"/>
  </r>
  <r>
    <x v="10"/>
    <x v="1"/>
    <x v="49"/>
    <x v="0"/>
    <n v="461.49"/>
    <n v="119"/>
    <n v="140.19"/>
  </r>
  <r>
    <x v="10"/>
    <x v="2"/>
    <x v="13"/>
    <x v="0"/>
    <n v="239.6"/>
    <n v="40"/>
    <n v="107.6"/>
  </r>
  <r>
    <x v="10"/>
    <x v="3"/>
    <x v="3"/>
    <x v="2"/>
    <n v="244.65"/>
    <n v="35"/>
    <n v="108.15"/>
  </r>
  <r>
    <x v="10"/>
    <x v="4"/>
    <x v="16"/>
    <x v="2"/>
    <n v="634.9200000000001"/>
    <n v="148"/>
    <n v="316.72"/>
  </r>
  <r>
    <x v="10"/>
    <x v="5"/>
    <x v="10"/>
    <x v="2"/>
    <n v="296.34"/>
    <n v="66"/>
    <n v="144.54"/>
  </r>
  <r>
    <x v="10"/>
    <x v="6"/>
    <x v="42"/>
    <x v="2"/>
    <n v="191.73"/>
    <n v="77"/>
    <n v="107.03"/>
  </r>
  <r>
    <x v="10"/>
    <x v="7"/>
    <x v="24"/>
    <x v="2"/>
    <n v="404.19"/>
    <n v="81"/>
    <n v="185.49"/>
  </r>
  <r>
    <x v="10"/>
    <x v="8"/>
    <x v="26"/>
    <x v="2"/>
    <n v="191.6"/>
    <n v="40"/>
    <n v="87.59999999999999"/>
  </r>
  <r>
    <x v="10"/>
    <x v="9"/>
    <x v="2"/>
    <x v="2"/>
    <n v="352.82"/>
    <n v="118"/>
    <n v="240.72"/>
  </r>
  <r>
    <x v="10"/>
    <x v="10"/>
    <x v="4"/>
    <x v="3"/>
    <n v="284.62"/>
    <n v="38"/>
    <n v="71.81999999999999"/>
  </r>
  <r>
    <x v="10"/>
    <x v="11"/>
    <x v="20"/>
    <x v="3"/>
    <n v="241.27"/>
    <n v="33"/>
    <n v="72.97"/>
  </r>
  <r>
    <x v="10"/>
    <x v="12"/>
    <x v="6"/>
    <x v="3"/>
    <n v="377.73"/>
    <n v="27"/>
    <n v="96.93000000000001"/>
  </r>
  <r>
    <x v="10"/>
    <x v="13"/>
    <x v="23"/>
    <x v="5"/>
    <n v="314.65"/>
    <n v="35"/>
    <n v="125.65"/>
  </r>
  <r>
    <x v="10"/>
    <x v="14"/>
    <x v="22"/>
    <x v="5"/>
    <n v="182.39"/>
    <n v="61"/>
    <n v="109.19"/>
  </r>
  <r>
    <x v="10"/>
    <x v="15"/>
    <x v="19"/>
    <x v="5"/>
    <n v="367.54"/>
    <n v="46"/>
    <n v="151.34"/>
  </r>
  <r>
    <x v="10"/>
    <x v="16"/>
    <x v="18"/>
    <x v="5"/>
    <n v="407.66"/>
    <n v="34"/>
    <n v="166.26"/>
  </r>
  <r>
    <x v="10"/>
    <x v="17"/>
    <x v="7"/>
    <x v="4"/>
    <n v="1033.62"/>
    <n v="138"/>
    <n v="495.42"/>
  </r>
  <r>
    <x v="10"/>
    <x v="18"/>
    <x v="44"/>
    <x v="4"/>
    <n v="1188.81"/>
    <n v="119"/>
    <n v="522.41"/>
  </r>
  <r>
    <x v="10"/>
    <x v="19"/>
    <x v="21"/>
    <x v="4"/>
    <n v="675.27"/>
    <n v="123"/>
    <n v="380.07"/>
  </r>
  <r>
    <x v="10"/>
    <x v="20"/>
    <x v="38"/>
    <x v="4"/>
    <n v="362.67"/>
    <n v="33"/>
    <n v="158.07"/>
  </r>
  <r>
    <x v="10"/>
    <x v="21"/>
    <x v="17"/>
    <x v="4"/>
    <n v="460.79"/>
    <n v="71"/>
    <n v="233.59"/>
  </r>
  <r>
    <x v="10"/>
    <x v="22"/>
    <x v="25"/>
    <x v="6"/>
    <n v="484.92"/>
    <n v="108"/>
    <n v="204.12"/>
  </r>
  <r>
    <x v="10"/>
    <x v="23"/>
    <x v="5"/>
    <x v="6"/>
    <n v="131.6"/>
    <n v="40"/>
    <n v="55.6"/>
  </r>
  <r>
    <x v="10"/>
    <x v="24"/>
    <x v="33"/>
    <x v="6"/>
    <n v="117.03"/>
    <n v="47"/>
    <n v="55.93"/>
  </r>
  <r>
    <x v="10"/>
    <x v="25"/>
    <x v="41"/>
    <x v="6"/>
    <n v="147.63"/>
    <n v="37"/>
    <n v="62.53"/>
  </r>
  <r>
    <x v="10"/>
    <x v="26"/>
    <x v="39"/>
    <x v="6"/>
    <n v="119.75"/>
    <n v="25"/>
    <n v="47.25"/>
  </r>
  <r>
    <x v="10"/>
    <x v="27"/>
    <x v="45"/>
    <x v="6"/>
    <n v="110.33"/>
    <n v="17"/>
    <n v="42.33"/>
  </r>
  <r>
    <x v="10"/>
    <x v="28"/>
    <x v="15"/>
    <x v="6"/>
    <n v="538.51"/>
    <n v="49"/>
    <n v="136.71"/>
  </r>
  <r>
    <x v="10"/>
    <x v="29"/>
    <x v="9"/>
    <x v="6"/>
    <n v="251.79"/>
    <n v="21"/>
    <n v="92.19"/>
  </r>
  <r>
    <x v="10"/>
    <x v="30"/>
    <x v="47"/>
    <x v="8"/>
    <n v="323.64"/>
    <n v="36"/>
    <n v="111.24"/>
  </r>
  <r>
    <x v="10"/>
    <x v="31"/>
    <x v="14"/>
    <x v="8"/>
    <n v="124.75"/>
    <n v="25"/>
    <n v="52.25"/>
  </r>
  <r>
    <x v="10"/>
    <x v="32"/>
    <x v="34"/>
    <x v="8"/>
    <n v="179.88"/>
    <n v="12"/>
    <n v="113.88"/>
  </r>
  <r>
    <x v="10"/>
    <x v="33"/>
    <x v="12"/>
    <x v="1"/>
    <n v="643.72"/>
    <n v="28"/>
    <n v="215.32"/>
  </r>
  <r>
    <x v="10"/>
    <x v="34"/>
    <x v="40"/>
    <x v="1"/>
    <n v="447.72"/>
    <n v="28"/>
    <n v="162.12"/>
  </r>
  <r>
    <x v="10"/>
    <x v="35"/>
    <x v="37"/>
    <x v="1"/>
    <n v="377.79"/>
    <n v="21"/>
    <n v="127.89"/>
  </r>
  <r>
    <x v="10"/>
    <x v="36"/>
    <x v="35"/>
    <x v="1"/>
    <n v="239.88"/>
    <n v="12"/>
    <n v="86.28"/>
  </r>
  <r>
    <x v="10"/>
    <x v="37"/>
    <x v="29"/>
    <x v="3"/>
    <n v="1271.4"/>
    <n v="260"/>
    <n v="348.4"/>
  </r>
  <r>
    <x v="10"/>
    <x v="38"/>
    <x v="28"/>
    <x v="3"/>
    <n v="547.6799999999999"/>
    <n v="112"/>
    <n v="150.08"/>
  </r>
  <r>
    <x v="10"/>
    <x v="39"/>
    <x v="31"/>
    <x v="3"/>
    <n v="197.34"/>
    <n v="46"/>
    <n v="73.14"/>
  </r>
  <r>
    <x v="10"/>
    <x v="40"/>
    <x v="32"/>
    <x v="7"/>
    <n v="155.61"/>
    <n v="39"/>
    <n v="93.20999999999999"/>
  </r>
  <r>
    <x v="10"/>
    <x v="41"/>
    <x v="43"/>
    <x v="7"/>
    <n v="104.93"/>
    <n v="7"/>
    <n v="47.53"/>
  </r>
  <r>
    <x v="10"/>
    <x v="42"/>
    <x v="1"/>
    <x v="9"/>
    <n v="157.32"/>
    <n v="228"/>
    <n v="70.68000000000001"/>
  </r>
  <r>
    <x v="10"/>
    <x v="43"/>
    <x v="0"/>
    <x v="9"/>
    <n v="109.56"/>
    <n v="44"/>
    <n v="47.96"/>
  </r>
  <r>
    <x v="10"/>
    <x v="44"/>
    <x v="48"/>
    <x v="9"/>
    <n v="80.82000000000001"/>
    <n v="18"/>
    <n v="34.02"/>
  </r>
  <r>
    <x v="10"/>
    <x v="45"/>
    <x v="36"/>
    <x v="10"/>
    <n v="706.23"/>
    <n v="177"/>
    <n v="334.53"/>
  </r>
  <r>
    <x v="10"/>
    <x v="46"/>
    <x v="8"/>
    <x v="10"/>
    <n v="664.29"/>
    <n v="121"/>
    <n v="277.09"/>
  </r>
  <r>
    <x v="10"/>
    <x v="47"/>
    <x v="30"/>
    <x v="10"/>
    <n v="265.98"/>
    <n v="62"/>
    <n v="104.78"/>
  </r>
  <r>
    <x v="10"/>
    <x v="48"/>
    <x v="11"/>
    <x v="10"/>
    <n v="242.46"/>
    <n v="54"/>
    <n v="112.86"/>
  </r>
  <r>
    <x v="10"/>
    <x v="49"/>
    <x v="27"/>
    <x v="10"/>
    <n v="268.66"/>
    <n v="84"/>
    <n v="125.86"/>
  </r>
  <r>
    <x v="11"/>
    <x v="0"/>
    <x v="46"/>
    <x v="0"/>
    <n v="495.58"/>
    <n v="142"/>
    <n v="183.18"/>
  </r>
  <r>
    <x v="11"/>
    <x v="1"/>
    <x v="49"/>
    <x v="0"/>
    <n v="386.1"/>
    <n v="90"/>
    <n v="143.1"/>
  </r>
  <r>
    <x v="11"/>
    <x v="2"/>
    <x v="13"/>
    <x v="0"/>
    <n v="245.59"/>
    <n v="41"/>
    <n v="110.29"/>
  </r>
  <r>
    <x v="11"/>
    <x v="3"/>
    <x v="3"/>
    <x v="2"/>
    <n v="223.68"/>
    <n v="32"/>
    <n v="98.88"/>
  </r>
  <r>
    <x v="11"/>
    <x v="4"/>
    <x v="16"/>
    <x v="2"/>
    <n v="660.66"/>
    <n v="154"/>
    <n v="329.56"/>
  </r>
  <r>
    <x v="11"/>
    <x v="5"/>
    <x v="10"/>
    <x v="2"/>
    <n v="359.2"/>
    <n v="80"/>
    <n v="175.2"/>
  </r>
  <r>
    <x v="11"/>
    <x v="6"/>
    <x v="42"/>
    <x v="2"/>
    <n v="191.73"/>
    <n v="77"/>
    <n v="107.03"/>
  </r>
  <r>
    <x v="11"/>
    <x v="7"/>
    <x v="24"/>
    <x v="2"/>
    <n v="429.14"/>
    <n v="86"/>
    <n v="196.94"/>
  </r>
  <r>
    <x v="11"/>
    <x v="8"/>
    <x v="26"/>
    <x v="2"/>
    <n v="148.49"/>
    <n v="31"/>
    <n v="67.89"/>
  </r>
  <r>
    <x v="11"/>
    <x v="9"/>
    <x v="2"/>
    <x v="2"/>
    <n v="340.86"/>
    <n v="114"/>
    <n v="232.56"/>
  </r>
  <r>
    <x v="11"/>
    <x v="10"/>
    <x v="4"/>
    <x v="3"/>
    <n v="307.09"/>
    <n v="41"/>
    <n v="77.48999999999999"/>
  </r>
  <r>
    <x v="11"/>
    <x v="11"/>
    <x v="20"/>
    <x v="3"/>
    <n v="287.64"/>
    <n v="36"/>
    <n v="104.04"/>
  </r>
  <r>
    <x v="11"/>
    <x v="12"/>
    <x v="6"/>
    <x v="3"/>
    <n v="349.75"/>
    <n v="25"/>
    <n v="89.75"/>
  </r>
  <r>
    <x v="11"/>
    <x v="13"/>
    <x v="23"/>
    <x v="5"/>
    <n v="287.68"/>
    <n v="32"/>
    <n v="114.88"/>
  </r>
  <r>
    <x v="11"/>
    <x v="14"/>
    <x v="22"/>
    <x v="5"/>
    <n v="191.36"/>
    <n v="64"/>
    <n v="114.56"/>
  </r>
  <r>
    <x v="11"/>
    <x v="15"/>
    <x v="19"/>
    <x v="5"/>
    <n v="375.53"/>
    <n v="47"/>
    <n v="154.63"/>
  </r>
  <r>
    <x v="11"/>
    <x v="16"/>
    <x v="18"/>
    <x v="5"/>
    <n v="347.71"/>
    <n v="29"/>
    <n v="141.81"/>
  </r>
  <r>
    <x v="11"/>
    <x v="17"/>
    <x v="7"/>
    <x v="4"/>
    <n v="936.25"/>
    <n v="125"/>
    <n v="448.75"/>
  </r>
  <r>
    <x v="11"/>
    <x v="18"/>
    <x v="44"/>
    <x v="4"/>
    <n v="659.34"/>
    <n v="66"/>
    <n v="289.74"/>
  </r>
  <r>
    <x v="11"/>
    <x v="19"/>
    <x v="21"/>
    <x v="4"/>
    <n v="867.42"/>
    <n v="158"/>
    <n v="488.22"/>
  </r>
  <r>
    <x v="11"/>
    <x v="20"/>
    <x v="38"/>
    <x v="4"/>
    <n v="340.69"/>
    <n v="31"/>
    <n v="148.49"/>
  </r>
  <r>
    <x v="11"/>
    <x v="21"/>
    <x v="17"/>
    <x v="4"/>
    <n v="535.97"/>
    <n v="93"/>
    <n v="238.37"/>
  </r>
  <r>
    <x v="11"/>
    <x v="22"/>
    <x v="25"/>
    <x v="6"/>
    <n v="395.12"/>
    <n v="88"/>
    <n v="166.32"/>
  </r>
  <r>
    <x v="11"/>
    <x v="23"/>
    <x v="5"/>
    <x v="6"/>
    <n v="190.82"/>
    <n v="58"/>
    <n v="80.62"/>
  </r>
  <r>
    <x v="11"/>
    <x v="24"/>
    <x v="33"/>
    <x v="6"/>
    <n v="122.01"/>
    <n v="49"/>
    <n v="58.31"/>
  </r>
  <r>
    <x v="11"/>
    <x v="25"/>
    <x v="41"/>
    <x v="6"/>
    <n v="171.57"/>
    <n v="43"/>
    <n v="72.67"/>
  </r>
  <r>
    <x v="11"/>
    <x v="26"/>
    <x v="39"/>
    <x v="6"/>
    <n v="76.64"/>
    <n v="16"/>
    <n v="30.24"/>
  </r>
  <r>
    <x v="11"/>
    <x v="27"/>
    <x v="45"/>
    <x v="6"/>
    <n v="149.27"/>
    <n v="23"/>
    <n v="57.27"/>
  </r>
  <r>
    <x v="11"/>
    <x v="28"/>
    <x v="15"/>
    <x v="6"/>
    <n v="780.29"/>
    <n v="71"/>
    <n v="198.09"/>
  </r>
  <r>
    <x v="11"/>
    <x v="29"/>
    <x v="9"/>
    <x v="6"/>
    <n v="215.82"/>
    <n v="18"/>
    <n v="79.02"/>
  </r>
  <r>
    <x v="11"/>
    <x v="30"/>
    <x v="47"/>
    <x v="8"/>
    <n v="305.66"/>
    <n v="34"/>
    <n v="105.06"/>
  </r>
  <r>
    <x v="11"/>
    <x v="31"/>
    <x v="14"/>
    <x v="8"/>
    <n v="89.82000000000001"/>
    <n v="18"/>
    <n v="37.62"/>
  </r>
  <r>
    <x v="11"/>
    <x v="32"/>
    <x v="34"/>
    <x v="8"/>
    <n v="134.91"/>
    <n v="9"/>
    <n v="85.41"/>
  </r>
  <r>
    <x v="11"/>
    <x v="33"/>
    <x v="12"/>
    <x v="1"/>
    <n v="551.76"/>
    <n v="24"/>
    <n v="184.56"/>
  </r>
  <r>
    <x v="11"/>
    <x v="34"/>
    <x v="40"/>
    <x v="1"/>
    <n v="383.76"/>
    <n v="24"/>
    <n v="138.96"/>
  </r>
  <r>
    <x v="11"/>
    <x v="35"/>
    <x v="37"/>
    <x v="1"/>
    <n v="233.87"/>
    <n v="13"/>
    <n v="79.17"/>
  </r>
  <r>
    <x v="11"/>
    <x v="36"/>
    <x v="35"/>
    <x v="1"/>
    <n v="359.82"/>
    <n v="18"/>
    <n v="129.42"/>
  </r>
  <r>
    <x v="11"/>
    <x v="37"/>
    <x v="29"/>
    <x v="3"/>
    <n v="1422.99"/>
    <n v="291"/>
    <n v="389.94"/>
  </r>
  <r>
    <x v="11"/>
    <x v="38"/>
    <x v="28"/>
    <x v="3"/>
    <n v="650.37"/>
    <n v="133"/>
    <n v="178.22"/>
  </r>
  <r>
    <x v="11"/>
    <x v="39"/>
    <x v="31"/>
    <x v="3"/>
    <n v="253.11"/>
    <n v="59"/>
    <n v="93.81"/>
  </r>
  <r>
    <x v="11"/>
    <x v="40"/>
    <x v="32"/>
    <x v="7"/>
    <n v="171.57"/>
    <n v="43"/>
    <n v="102.77"/>
  </r>
  <r>
    <x v="11"/>
    <x v="41"/>
    <x v="43"/>
    <x v="7"/>
    <n v="149.9"/>
    <n v="10"/>
    <n v="67.90000000000001"/>
  </r>
  <r>
    <x v="11"/>
    <x v="42"/>
    <x v="1"/>
    <x v="9"/>
    <n v="144.9"/>
    <n v="210"/>
    <n v="65.09999999999999"/>
  </r>
  <r>
    <x v="11"/>
    <x v="43"/>
    <x v="0"/>
    <x v="9"/>
    <n v="126.99"/>
    <n v="51"/>
    <n v="55.59"/>
  </r>
  <r>
    <x v="11"/>
    <x v="44"/>
    <x v="48"/>
    <x v="9"/>
    <n v="112.25"/>
    <n v="25"/>
    <n v="47.25"/>
  </r>
  <r>
    <x v="11"/>
    <x v="45"/>
    <x v="36"/>
    <x v="10"/>
    <n v="626.4299999999999"/>
    <n v="157"/>
    <n v="296.73"/>
  </r>
  <r>
    <x v="11"/>
    <x v="46"/>
    <x v="8"/>
    <x v="10"/>
    <n v="620.37"/>
    <n v="113"/>
    <n v="258.77"/>
  </r>
  <r>
    <x v="11"/>
    <x v="47"/>
    <x v="30"/>
    <x v="10"/>
    <n v="248.82"/>
    <n v="58"/>
    <n v="98.02"/>
  </r>
  <r>
    <x v="11"/>
    <x v="48"/>
    <x v="11"/>
    <x v="10"/>
    <n v="296.34"/>
    <n v="66"/>
    <n v="137.94"/>
  </r>
  <r>
    <x v="11"/>
    <x v="49"/>
    <x v="27"/>
    <x v="10"/>
    <n v="216.38"/>
    <n v="62"/>
    <n v="110.98"/>
  </r>
  <r>
    <x v="12"/>
    <x v="0"/>
    <x v="46"/>
    <x v="0"/>
    <n v="478.13"/>
    <n v="137"/>
    <n v="176.73"/>
  </r>
  <r>
    <x v="12"/>
    <x v="1"/>
    <x v="49"/>
    <x v="0"/>
    <n v="450.45"/>
    <n v="105"/>
    <n v="166.95"/>
  </r>
  <r>
    <x v="12"/>
    <x v="2"/>
    <x v="13"/>
    <x v="0"/>
    <n v="281.53"/>
    <n v="47"/>
    <n v="126.43"/>
  </r>
  <r>
    <x v="12"/>
    <x v="3"/>
    <x v="3"/>
    <x v="2"/>
    <n v="223.68"/>
    <n v="32"/>
    <n v="98.88"/>
  </r>
  <r>
    <x v="12"/>
    <x v="4"/>
    <x v="16"/>
    <x v="2"/>
    <n v="583.4400000000001"/>
    <n v="136"/>
    <n v="291.04"/>
  </r>
  <r>
    <x v="12"/>
    <x v="5"/>
    <x v="10"/>
    <x v="2"/>
    <n v="354.71"/>
    <n v="79"/>
    <n v="173.01"/>
  </r>
  <r>
    <x v="12"/>
    <x v="6"/>
    <x v="42"/>
    <x v="2"/>
    <n v="131.97"/>
    <n v="53"/>
    <n v="73.67"/>
  </r>
  <r>
    <x v="12"/>
    <x v="7"/>
    <x v="24"/>
    <x v="2"/>
    <n v="419.16"/>
    <n v="84"/>
    <n v="192.36"/>
  </r>
  <r>
    <x v="12"/>
    <x v="8"/>
    <x v="26"/>
    <x v="2"/>
    <n v="148.49"/>
    <n v="31"/>
    <n v="67.89"/>
  </r>
  <r>
    <x v="12"/>
    <x v="9"/>
    <x v="2"/>
    <x v="2"/>
    <n v="340.86"/>
    <n v="114"/>
    <n v="232.56"/>
  </r>
  <r>
    <x v="12"/>
    <x v="10"/>
    <x v="4"/>
    <x v="3"/>
    <n v="396.97"/>
    <n v="53"/>
    <n v="100.17"/>
  </r>
  <r>
    <x v="12"/>
    <x v="11"/>
    <x v="20"/>
    <x v="3"/>
    <n v="287.64"/>
    <n v="36"/>
    <n v="104.04"/>
  </r>
  <r>
    <x v="12"/>
    <x v="12"/>
    <x v="6"/>
    <x v="3"/>
    <n v="251.82"/>
    <n v="18"/>
    <n v="64.62"/>
  </r>
  <r>
    <x v="12"/>
    <x v="13"/>
    <x v="23"/>
    <x v="5"/>
    <n v="332.63"/>
    <n v="37"/>
    <n v="132.83"/>
  </r>
  <r>
    <x v="12"/>
    <x v="14"/>
    <x v="22"/>
    <x v="5"/>
    <n v="164.38"/>
    <n v="62"/>
    <n v="89.98"/>
  </r>
  <r>
    <x v="12"/>
    <x v="15"/>
    <x v="19"/>
    <x v="5"/>
    <n v="279.65"/>
    <n v="35"/>
    <n v="115.15"/>
  </r>
  <r>
    <x v="12"/>
    <x v="16"/>
    <x v="18"/>
    <x v="5"/>
    <n v="443.63"/>
    <n v="37"/>
    <n v="180.93"/>
  </r>
  <r>
    <x v="12"/>
    <x v="17"/>
    <x v="7"/>
    <x v="4"/>
    <n v="973.6999999999999"/>
    <n v="130"/>
    <n v="466.7"/>
  </r>
  <r>
    <x v="12"/>
    <x v="18"/>
    <x v="44"/>
    <x v="4"/>
    <n v="609.39"/>
    <n v="61"/>
    <n v="267.79"/>
  </r>
  <r>
    <x v="12"/>
    <x v="19"/>
    <x v="21"/>
    <x v="4"/>
    <n v="839.97"/>
    <n v="153"/>
    <n v="472.77"/>
  </r>
  <r>
    <x v="12"/>
    <x v="20"/>
    <x v="38"/>
    <x v="4"/>
    <n v="373.66"/>
    <n v="34"/>
    <n v="162.86"/>
  </r>
  <r>
    <x v="12"/>
    <x v="21"/>
    <x v="17"/>
    <x v="4"/>
    <n v="395.89"/>
    <n v="61"/>
    <n v="200.69"/>
  </r>
  <r>
    <x v="12"/>
    <x v="22"/>
    <x v="25"/>
    <x v="6"/>
    <n v="462.47"/>
    <n v="103"/>
    <n v="194.67"/>
  </r>
  <r>
    <x v="12"/>
    <x v="23"/>
    <x v="5"/>
    <x v="6"/>
    <n v="157.92"/>
    <n v="48"/>
    <n v="66.72"/>
  </r>
  <r>
    <x v="12"/>
    <x v="24"/>
    <x v="33"/>
    <x v="6"/>
    <n v="89.64"/>
    <n v="36"/>
    <n v="42.84"/>
  </r>
  <r>
    <x v="12"/>
    <x v="25"/>
    <x v="41"/>
    <x v="6"/>
    <n v="115.71"/>
    <n v="29"/>
    <n v="49.01"/>
  </r>
  <r>
    <x v="12"/>
    <x v="26"/>
    <x v="39"/>
    <x v="6"/>
    <n v="81.43000000000001"/>
    <n v="17"/>
    <n v="32.13"/>
  </r>
  <r>
    <x v="12"/>
    <x v="27"/>
    <x v="45"/>
    <x v="6"/>
    <n v="181.72"/>
    <n v="28"/>
    <n v="69.72"/>
  </r>
  <r>
    <x v="12"/>
    <x v="28"/>
    <x v="15"/>
    <x v="6"/>
    <n v="670.39"/>
    <n v="61"/>
    <n v="170.19"/>
  </r>
  <r>
    <x v="12"/>
    <x v="29"/>
    <x v="9"/>
    <x v="6"/>
    <n v="299.75"/>
    <n v="25"/>
    <n v="109.75"/>
  </r>
  <r>
    <x v="12"/>
    <x v="30"/>
    <x v="47"/>
    <x v="8"/>
    <n v="287.68"/>
    <n v="32"/>
    <n v="98.88"/>
  </r>
  <r>
    <x v="12"/>
    <x v="31"/>
    <x v="14"/>
    <x v="8"/>
    <n v="94.81"/>
    <n v="19"/>
    <n v="39.71"/>
  </r>
  <r>
    <x v="12"/>
    <x v="32"/>
    <x v="34"/>
    <x v="8"/>
    <n v="149.9"/>
    <n v="10"/>
    <n v="94.90000000000001"/>
  </r>
  <r>
    <x v="12"/>
    <x v="33"/>
    <x v="12"/>
    <x v="1"/>
    <n v="735.6799999999999"/>
    <n v="32"/>
    <n v="246.08"/>
  </r>
  <r>
    <x v="12"/>
    <x v="34"/>
    <x v="40"/>
    <x v="1"/>
    <n v="383.76"/>
    <n v="24"/>
    <n v="138.96"/>
  </r>
  <r>
    <x v="12"/>
    <x v="35"/>
    <x v="37"/>
    <x v="1"/>
    <n v="377.79"/>
    <n v="21"/>
    <n v="127.89"/>
  </r>
  <r>
    <x v="12"/>
    <x v="36"/>
    <x v="35"/>
    <x v="1"/>
    <n v="439.78"/>
    <n v="22"/>
    <n v="158.18"/>
  </r>
  <r>
    <x v="12"/>
    <x v="37"/>
    <x v="29"/>
    <x v="3"/>
    <n v="1334.97"/>
    <n v="273"/>
    <n v="365.82"/>
  </r>
  <r>
    <x v="12"/>
    <x v="38"/>
    <x v="28"/>
    <x v="3"/>
    <n v="547.6799999999999"/>
    <n v="112"/>
    <n v="150.08"/>
  </r>
  <r>
    <x v="12"/>
    <x v="39"/>
    <x v="31"/>
    <x v="3"/>
    <n v="184.47"/>
    <n v="43"/>
    <n v="68.37"/>
  </r>
  <r>
    <x v="12"/>
    <x v="40"/>
    <x v="32"/>
    <x v="7"/>
    <n v="103.74"/>
    <n v="26"/>
    <n v="62.14"/>
  </r>
  <r>
    <x v="12"/>
    <x v="41"/>
    <x v="43"/>
    <x v="7"/>
    <n v="104.93"/>
    <n v="7"/>
    <n v="47.53"/>
  </r>
  <r>
    <x v="12"/>
    <x v="42"/>
    <x v="1"/>
    <x v="9"/>
    <n v="150.42"/>
    <n v="218"/>
    <n v="67.58"/>
  </r>
  <r>
    <x v="12"/>
    <x v="43"/>
    <x v="0"/>
    <x v="9"/>
    <n v="124.5"/>
    <n v="50"/>
    <n v="54.5"/>
  </r>
  <r>
    <x v="12"/>
    <x v="44"/>
    <x v="48"/>
    <x v="9"/>
    <n v="166.13"/>
    <n v="37"/>
    <n v="69.93000000000001"/>
  </r>
  <r>
    <x v="12"/>
    <x v="45"/>
    <x v="36"/>
    <x v="10"/>
    <n v="570.5700000000001"/>
    <n v="143"/>
    <n v="270.27"/>
  </r>
  <r>
    <x v="12"/>
    <x v="46"/>
    <x v="8"/>
    <x v="10"/>
    <n v="488.61"/>
    <n v="89"/>
    <n v="203.81"/>
  </r>
  <r>
    <x v="12"/>
    <x v="47"/>
    <x v="30"/>
    <x v="10"/>
    <n v="283.91"/>
    <n v="75"/>
    <n v="88.91"/>
  </r>
  <r>
    <x v="12"/>
    <x v="48"/>
    <x v="11"/>
    <x v="10"/>
    <n v="233.48"/>
    <n v="52"/>
    <n v="108.68"/>
  </r>
  <r>
    <x v="12"/>
    <x v="49"/>
    <x v="27"/>
    <x v="10"/>
    <n v="191.95"/>
    <n v="55"/>
    <n v="98.45"/>
  </r>
  <r>
    <x v="13"/>
    <x v="0"/>
    <x v="46"/>
    <x v="0"/>
    <n v="537.46"/>
    <n v="154"/>
    <n v="198.66"/>
  </r>
  <r>
    <x v="13"/>
    <x v="1"/>
    <x v="49"/>
    <x v="0"/>
    <n v="377.52"/>
    <n v="88"/>
    <n v="139.92"/>
  </r>
  <r>
    <x v="13"/>
    <x v="2"/>
    <x v="13"/>
    <x v="0"/>
    <n v="335.44"/>
    <n v="56"/>
    <n v="150.64"/>
  </r>
  <r>
    <x v="13"/>
    <x v="3"/>
    <x v="3"/>
    <x v="2"/>
    <n v="209.7"/>
    <n v="30"/>
    <n v="92.7"/>
  </r>
  <r>
    <x v="13"/>
    <x v="4"/>
    <x v="16"/>
    <x v="2"/>
    <n v="626.34"/>
    <n v="146"/>
    <n v="312.44"/>
  </r>
  <r>
    <x v="13"/>
    <x v="5"/>
    <x v="10"/>
    <x v="2"/>
    <n v="287.36"/>
    <n v="64"/>
    <n v="140.16"/>
  </r>
  <r>
    <x v="13"/>
    <x v="6"/>
    <x v="42"/>
    <x v="2"/>
    <n v="159.36"/>
    <n v="64"/>
    <n v="88.95999999999999"/>
  </r>
  <r>
    <x v="13"/>
    <x v="7"/>
    <x v="24"/>
    <x v="2"/>
    <n v="334.33"/>
    <n v="67"/>
    <n v="153.43"/>
  </r>
  <r>
    <x v="13"/>
    <x v="8"/>
    <x v="26"/>
    <x v="2"/>
    <n v="186.81"/>
    <n v="39"/>
    <n v="85.41"/>
  </r>
  <r>
    <x v="13"/>
    <x v="9"/>
    <x v="2"/>
    <x v="2"/>
    <n v="370.76"/>
    <n v="124"/>
    <n v="252.96"/>
  </r>
  <r>
    <x v="13"/>
    <x v="10"/>
    <x v="4"/>
    <x v="3"/>
    <n v="299.6"/>
    <n v="40"/>
    <n v="75.59999999999999"/>
  </r>
  <r>
    <x v="13"/>
    <x v="11"/>
    <x v="20"/>
    <x v="3"/>
    <n v="215.73"/>
    <n v="27"/>
    <n v="78.03"/>
  </r>
  <r>
    <x v="13"/>
    <x v="12"/>
    <x v="6"/>
    <x v="3"/>
    <n v="405.71"/>
    <n v="29"/>
    <n v="104.11"/>
  </r>
  <r>
    <x v="13"/>
    <x v="13"/>
    <x v="23"/>
    <x v="5"/>
    <n v="368.59"/>
    <n v="41"/>
    <n v="147.19"/>
  </r>
  <r>
    <x v="13"/>
    <x v="14"/>
    <x v="22"/>
    <x v="5"/>
    <n v="182.39"/>
    <n v="61"/>
    <n v="109.19"/>
  </r>
  <r>
    <x v="13"/>
    <x v="15"/>
    <x v="19"/>
    <x v="5"/>
    <n v="375.53"/>
    <n v="47"/>
    <n v="154.63"/>
  </r>
  <r>
    <x v="13"/>
    <x v="16"/>
    <x v="18"/>
    <x v="5"/>
    <n v="539.5500000000001"/>
    <n v="45"/>
    <n v="220.05"/>
  </r>
  <r>
    <x v="13"/>
    <x v="17"/>
    <x v="7"/>
    <x v="4"/>
    <n v="1071.07"/>
    <n v="143"/>
    <n v="513.37"/>
  </r>
  <r>
    <x v="13"/>
    <x v="18"/>
    <x v="44"/>
    <x v="4"/>
    <n v="739.26"/>
    <n v="74"/>
    <n v="324.86"/>
  </r>
  <r>
    <x v="13"/>
    <x v="19"/>
    <x v="21"/>
    <x v="4"/>
    <n v="752.13"/>
    <n v="137"/>
    <n v="423.33"/>
  </r>
  <r>
    <x v="13"/>
    <x v="20"/>
    <x v="38"/>
    <x v="4"/>
    <n v="406.63"/>
    <n v="37"/>
    <n v="177.23"/>
  </r>
  <r>
    <x v="13"/>
    <x v="21"/>
    <x v="17"/>
    <x v="4"/>
    <n v="421.85"/>
    <n v="65"/>
    <n v="213.85"/>
  </r>
  <r>
    <x v="13"/>
    <x v="22"/>
    <x v="25"/>
    <x v="6"/>
    <n v="489.41"/>
    <n v="109"/>
    <n v="206.01"/>
  </r>
  <r>
    <x v="13"/>
    <x v="23"/>
    <x v="5"/>
    <x v="6"/>
    <n v="190.82"/>
    <n v="58"/>
    <n v="80.62"/>
  </r>
  <r>
    <x v="13"/>
    <x v="24"/>
    <x v="33"/>
    <x v="6"/>
    <n v="129.48"/>
    <n v="52"/>
    <n v="61.88"/>
  </r>
  <r>
    <x v="13"/>
    <x v="25"/>
    <x v="41"/>
    <x v="6"/>
    <n v="175.56"/>
    <n v="44"/>
    <n v="74.36"/>
  </r>
  <r>
    <x v="13"/>
    <x v="26"/>
    <x v="39"/>
    <x v="6"/>
    <n v="86.22"/>
    <n v="18"/>
    <n v="34.02"/>
  </r>
  <r>
    <x v="13"/>
    <x v="27"/>
    <x v="45"/>
    <x v="6"/>
    <n v="116.82"/>
    <n v="18"/>
    <n v="44.82"/>
  </r>
  <r>
    <x v="13"/>
    <x v="28"/>
    <x v="15"/>
    <x v="6"/>
    <n v="747.3199999999999"/>
    <n v="68"/>
    <n v="189.72"/>
  </r>
  <r>
    <x v="13"/>
    <x v="29"/>
    <x v="9"/>
    <x v="6"/>
    <n v="302.12"/>
    <n v="28"/>
    <n v="89.31999999999999"/>
  </r>
  <r>
    <x v="13"/>
    <x v="30"/>
    <x v="47"/>
    <x v="8"/>
    <n v="296.67"/>
    <n v="33"/>
    <n v="101.97"/>
  </r>
  <r>
    <x v="13"/>
    <x v="31"/>
    <x v="14"/>
    <x v="8"/>
    <n v="64.87"/>
    <n v="13"/>
    <n v="27.17"/>
  </r>
  <r>
    <x v="13"/>
    <x v="32"/>
    <x v="34"/>
    <x v="8"/>
    <n v="164.89"/>
    <n v="11"/>
    <n v="104.39"/>
  </r>
  <r>
    <x v="13"/>
    <x v="33"/>
    <x v="12"/>
    <x v="1"/>
    <n v="896.6099999999999"/>
    <n v="39"/>
    <n v="299.91"/>
  </r>
  <r>
    <x v="13"/>
    <x v="34"/>
    <x v="40"/>
    <x v="1"/>
    <n v="463.71"/>
    <n v="29"/>
    <n v="167.91"/>
  </r>
  <r>
    <x v="13"/>
    <x v="35"/>
    <x v="37"/>
    <x v="1"/>
    <n v="539.7"/>
    <n v="30"/>
    <n v="182.7"/>
  </r>
  <r>
    <x v="13"/>
    <x v="36"/>
    <x v="35"/>
    <x v="1"/>
    <n v="259.8699999999999"/>
    <n v="13"/>
    <n v="93.47"/>
  </r>
  <r>
    <x v="13"/>
    <x v="37"/>
    <x v="29"/>
    <x v="3"/>
    <n v="1237.17"/>
    <n v="253"/>
    <n v="339.02"/>
  </r>
  <r>
    <x v="13"/>
    <x v="38"/>
    <x v="28"/>
    <x v="3"/>
    <n v="616.14"/>
    <n v="126"/>
    <n v="168.84"/>
  </r>
  <r>
    <x v="13"/>
    <x v="39"/>
    <x v="31"/>
    <x v="3"/>
    <n v="240.24"/>
    <n v="56"/>
    <n v="89.04000000000001"/>
  </r>
  <r>
    <x v="13"/>
    <x v="40"/>
    <x v="32"/>
    <x v="7"/>
    <n v="175.56"/>
    <n v="44"/>
    <n v="105.16"/>
  </r>
  <r>
    <x v="13"/>
    <x v="41"/>
    <x v="43"/>
    <x v="7"/>
    <n v="254.83"/>
    <n v="17"/>
    <n v="115.43"/>
  </r>
  <r>
    <x v="13"/>
    <x v="42"/>
    <x v="1"/>
    <x v="9"/>
    <n v="138"/>
    <n v="200"/>
    <n v="62"/>
  </r>
  <r>
    <x v="13"/>
    <x v="43"/>
    <x v="0"/>
    <x v="9"/>
    <n v="107.07"/>
    <n v="43"/>
    <n v="46.87"/>
  </r>
  <r>
    <x v="13"/>
    <x v="44"/>
    <x v="48"/>
    <x v="9"/>
    <n v="112.22"/>
    <n v="28"/>
    <n v="39.42"/>
  </r>
  <r>
    <x v="13"/>
    <x v="45"/>
    <x v="36"/>
    <x v="10"/>
    <n v="626.4300000000001"/>
    <n v="157"/>
    <n v="296.73"/>
  </r>
  <r>
    <x v="13"/>
    <x v="46"/>
    <x v="8"/>
    <x v="10"/>
    <n v="538.02"/>
    <n v="98"/>
    <n v="224.42"/>
  </r>
  <r>
    <x v="13"/>
    <x v="47"/>
    <x v="30"/>
    <x v="10"/>
    <n v="274.56"/>
    <n v="64"/>
    <n v="108.16"/>
  </r>
  <r>
    <x v="13"/>
    <x v="48"/>
    <x v="11"/>
    <x v="10"/>
    <n v="202.05"/>
    <n v="45"/>
    <n v="94.05"/>
  </r>
  <r>
    <x v="13"/>
    <x v="49"/>
    <x v="27"/>
    <x v="10"/>
    <n v="293.16"/>
    <n v="84"/>
    <n v="150.36"/>
  </r>
  <r>
    <x v="14"/>
    <x v="0"/>
    <x v="46"/>
    <x v="0"/>
    <n v="502.56"/>
    <n v="144"/>
    <n v="185.76"/>
  </r>
  <r>
    <x v="14"/>
    <x v="1"/>
    <x v="49"/>
    <x v="0"/>
    <n v="356.07"/>
    <n v="83"/>
    <n v="131.97"/>
  </r>
  <r>
    <x v="14"/>
    <x v="2"/>
    <x v="13"/>
    <x v="0"/>
    <n v="263.56"/>
    <n v="44"/>
    <n v="118.36"/>
  </r>
  <r>
    <x v="14"/>
    <x v="3"/>
    <x v="3"/>
    <x v="2"/>
    <n v="230.67"/>
    <n v="33"/>
    <n v="101.97"/>
  </r>
  <r>
    <x v="14"/>
    <x v="4"/>
    <x v="16"/>
    <x v="2"/>
    <n v="604.89"/>
    <n v="141"/>
    <n v="301.74"/>
  </r>
  <r>
    <x v="14"/>
    <x v="5"/>
    <x v="10"/>
    <x v="2"/>
    <n v="300.83"/>
    <n v="67"/>
    <n v="146.73"/>
  </r>
  <r>
    <x v="14"/>
    <x v="6"/>
    <x v="42"/>
    <x v="2"/>
    <n v="176.79"/>
    <n v="71"/>
    <n v="98.69"/>
  </r>
  <r>
    <x v="14"/>
    <x v="7"/>
    <x v="24"/>
    <x v="2"/>
    <n v="299.4"/>
    <n v="60"/>
    <n v="137.4"/>
  </r>
  <r>
    <x v="14"/>
    <x v="8"/>
    <x v="26"/>
    <x v="2"/>
    <n v="158.07"/>
    <n v="33"/>
    <n v="72.27"/>
  </r>
  <r>
    <x v="14"/>
    <x v="9"/>
    <x v="2"/>
    <x v="2"/>
    <n v="397.67"/>
    <n v="133"/>
    <n v="271.32"/>
  </r>
  <r>
    <x v="14"/>
    <x v="10"/>
    <x v="4"/>
    <x v="3"/>
    <n v="277.13"/>
    <n v="37"/>
    <n v="69.93000000000001"/>
  </r>
  <r>
    <x v="14"/>
    <x v="11"/>
    <x v="20"/>
    <x v="3"/>
    <n v="239.7"/>
    <n v="30"/>
    <n v="86.7"/>
  </r>
  <r>
    <x v="14"/>
    <x v="12"/>
    <x v="6"/>
    <x v="3"/>
    <n v="657.53"/>
    <n v="47"/>
    <n v="168.73"/>
  </r>
  <r>
    <x v="14"/>
    <x v="13"/>
    <x v="23"/>
    <x v="5"/>
    <n v="413.54"/>
    <n v="46"/>
    <n v="165.14"/>
  </r>
  <r>
    <x v="14"/>
    <x v="14"/>
    <x v="22"/>
    <x v="5"/>
    <n v="200.33"/>
    <n v="67"/>
    <n v="119.93"/>
  </r>
  <r>
    <x v="14"/>
    <x v="15"/>
    <x v="19"/>
    <x v="5"/>
    <n v="375.53"/>
    <n v="47"/>
    <n v="154.63"/>
  </r>
  <r>
    <x v="14"/>
    <x v="16"/>
    <x v="18"/>
    <x v="5"/>
    <n v="479.6"/>
    <n v="40"/>
    <n v="195.6"/>
  </r>
  <r>
    <x v="14"/>
    <x v="17"/>
    <x v="7"/>
    <x v="4"/>
    <n v="1018.64"/>
    <n v="136"/>
    <n v="488.24"/>
  </r>
  <r>
    <x v="14"/>
    <x v="18"/>
    <x v="44"/>
    <x v="4"/>
    <n v="639.36"/>
    <n v="64"/>
    <n v="280.96"/>
  </r>
  <r>
    <x v="14"/>
    <x v="19"/>
    <x v="21"/>
    <x v="4"/>
    <n v="836.49"/>
    <n v="171"/>
    <n v="426.09"/>
  </r>
  <r>
    <x v="14"/>
    <x v="20"/>
    <x v="38"/>
    <x v="4"/>
    <n v="384.65"/>
    <n v="35"/>
    <n v="167.65"/>
  </r>
  <r>
    <x v="14"/>
    <x v="21"/>
    <x v="17"/>
    <x v="4"/>
    <n v="499.73"/>
    <n v="77"/>
    <n v="253.33"/>
  </r>
  <r>
    <x v="14"/>
    <x v="22"/>
    <x v="25"/>
    <x v="6"/>
    <n v="426.55"/>
    <n v="95"/>
    <n v="179.55"/>
  </r>
  <r>
    <x v="14"/>
    <x v="23"/>
    <x v="5"/>
    <x v="6"/>
    <n v="161.21"/>
    <n v="49"/>
    <n v="68.11"/>
  </r>
  <r>
    <x v="14"/>
    <x v="24"/>
    <x v="33"/>
    <x v="6"/>
    <n v="114.54"/>
    <n v="46"/>
    <n v="54.74"/>
  </r>
  <r>
    <x v="14"/>
    <x v="25"/>
    <x v="41"/>
    <x v="6"/>
    <n v="141.21"/>
    <n v="39"/>
    <n v="51.51"/>
  </r>
  <r>
    <x v="14"/>
    <x v="26"/>
    <x v="39"/>
    <x v="6"/>
    <n v="71.84999999999999"/>
    <n v="15"/>
    <n v="28.35"/>
  </r>
  <r>
    <x v="14"/>
    <x v="27"/>
    <x v="45"/>
    <x v="6"/>
    <n v="136.29"/>
    <n v="21"/>
    <n v="52.29"/>
  </r>
  <r>
    <x v="14"/>
    <x v="28"/>
    <x v="15"/>
    <x v="6"/>
    <n v="791.28"/>
    <n v="72"/>
    <n v="200.88"/>
  </r>
  <r>
    <x v="14"/>
    <x v="29"/>
    <x v="9"/>
    <x v="6"/>
    <n v="191.84"/>
    <n v="16"/>
    <n v="70.23999999999999"/>
  </r>
  <r>
    <x v="14"/>
    <x v="30"/>
    <x v="47"/>
    <x v="8"/>
    <n v="404.55"/>
    <n v="45"/>
    <n v="139.05"/>
  </r>
  <r>
    <x v="14"/>
    <x v="31"/>
    <x v="14"/>
    <x v="8"/>
    <n v="59.88"/>
    <n v="12"/>
    <n v="25.08"/>
  </r>
  <r>
    <x v="14"/>
    <x v="32"/>
    <x v="34"/>
    <x v="8"/>
    <n v="89.94"/>
    <n v="6"/>
    <n v="56.94"/>
  </r>
  <r>
    <x v="14"/>
    <x v="33"/>
    <x v="12"/>
    <x v="1"/>
    <n v="758.6700000000001"/>
    <n v="33"/>
    <n v="253.77"/>
  </r>
  <r>
    <x v="14"/>
    <x v="34"/>
    <x v="40"/>
    <x v="1"/>
    <n v="351.78"/>
    <n v="22"/>
    <n v="127.38"/>
  </r>
  <r>
    <x v="14"/>
    <x v="35"/>
    <x v="37"/>
    <x v="1"/>
    <n v="539.6999999999999"/>
    <n v="30"/>
    <n v="182.7"/>
  </r>
  <r>
    <x v="14"/>
    <x v="36"/>
    <x v="35"/>
    <x v="1"/>
    <n v="199.9"/>
    <n v="10"/>
    <n v="71.90000000000001"/>
  </r>
  <r>
    <x v="14"/>
    <x v="37"/>
    <x v="29"/>
    <x v="3"/>
    <n v="1432.77"/>
    <n v="293"/>
    <n v="392.62"/>
  </r>
  <r>
    <x v="14"/>
    <x v="38"/>
    <x v="28"/>
    <x v="3"/>
    <n v="620.87"/>
    <n v="143"/>
    <n v="113.22"/>
  </r>
  <r>
    <x v="14"/>
    <x v="39"/>
    <x v="31"/>
    <x v="3"/>
    <n v="235.95"/>
    <n v="55"/>
    <n v="87.45"/>
  </r>
  <r>
    <x v="14"/>
    <x v="40"/>
    <x v="32"/>
    <x v="7"/>
    <n v="139.65"/>
    <n v="35"/>
    <n v="83.65000000000001"/>
  </r>
  <r>
    <x v="14"/>
    <x v="41"/>
    <x v="43"/>
    <x v="7"/>
    <n v="134.91"/>
    <n v="9"/>
    <n v="61.11"/>
  </r>
  <r>
    <x v="14"/>
    <x v="42"/>
    <x v="1"/>
    <x v="9"/>
    <n v="141.45"/>
    <n v="205"/>
    <n v="63.55"/>
  </r>
  <r>
    <x v="14"/>
    <x v="43"/>
    <x v="0"/>
    <x v="9"/>
    <n v="99.59999999999999"/>
    <n v="40"/>
    <n v="43.6"/>
  </r>
  <r>
    <x v="14"/>
    <x v="44"/>
    <x v="48"/>
    <x v="9"/>
    <n v="103.27"/>
    <n v="23"/>
    <n v="43.47"/>
  </r>
  <r>
    <x v="14"/>
    <x v="45"/>
    <x v="36"/>
    <x v="10"/>
    <n v="570.5700000000001"/>
    <n v="143"/>
    <n v="270.27"/>
  </r>
  <r>
    <x v="14"/>
    <x v="46"/>
    <x v="8"/>
    <x v="10"/>
    <n v="565.47"/>
    <n v="103"/>
    <n v="235.87"/>
  </r>
  <r>
    <x v="14"/>
    <x v="47"/>
    <x v="30"/>
    <x v="10"/>
    <n v="253.11"/>
    <n v="59"/>
    <n v="99.70999999999999"/>
  </r>
  <r>
    <x v="14"/>
    <x v="48"/>
    <x v="11"/>
    <x v="10"/>
    <n v="305.32"/>
    <n v="68"/>
    <n v="142.12"/>
  </r>
  <r>
    <x v="14"/>
    <x v="49"/>
    <x v="27"/>
    <x v="10"/>
    <n v="209.4"/>
    <n v="60"/>
    <n v="107.4"/>
  </r>
  <r>
    <x v="15"/>
    <x v="0"/>
    <x v="46"/>
    <x v="0"/>
    <n v="565.38"/>
    <n v="162"/>
    <n v="208.98"/>
  </r>
  <r>
    <x v="15"/>
    <x v="1"/>
    <x v="49"/>
    <x v="0"/>
    <n v="338.91"/>
    <n v="79"/>
    <n v="125.61"/>
  </r>
  <r>
    <x v="15"/>
    <x v="2"/>
    <x v="13"/>
    <x v="0"/>
    <n v="304.24"/>
    <n v="56"/>
    <n v="119.44"/>
  </r>
  <r>
    <x v="15"/>
    <x v="3"/>
    <x v="3"/>
    <x v="2"/>
    <n v="195.72"/>
    <n v="28"/>
    <n v="86.52"/>
  </r>
  <r>
    <x v="15"/>
    <x v="4"/>
    <x v="16"/>
    <x v="2"/>
    <n v="712.14"/>
    <n v="166"/>
    <n v="355.24"/>
  </r>
  <r>
    <x v="15"/>
    <x v="5"/>
    <x v="10"/>
    <x v="2"/>
    <n v="440.02"/>
    <n v="98"/>
    <n v="214.62"/>
  </r>
  <r>
    <x v="15"/>
    <x v="6"/>
    <x v="42"/>
    <x v="2"/>
    <n v="151.89"/>
    <n v="61"/>
    <n v="84.79000000000001"/>
  </r>
  <r>
    <x v="15"/>
    <x v="7"/>
    <x v="24"/>
    <x v="2"/>
    <n v="339.32"/>
    <n v="68"/>
    <n v="155.72"/>
  </r>
  <r>
    <x v="15"/>
    <x v="8"/>
    <x v="26"/>
    <x v="2"/>
    <n v="143.7"/>
    <n v="30"/>
    <n v="65.7"/>
  </r>
  <r>
    <x v="15"/>
    <x v="9"/>
    <x v="2"/>
    <x v="2"/>
    <n v="328.9"/>
    <n v="110"/>
    <n v="224.4"/>
  </r>
  <r>
    <x v="15"/>
    <x v="10"/>
    <x v="4"/>
    <x v="3"/>
    <n v="381.99"/>
    <n v="51"/>
    <n v="96.39"/>
  </r>
  <r>
    <x v="15"/>
    <x v="11"/>
    <x v="20"/>
    <x v="3"/>
    <n v="199.75"/>
    <n v="25"/>
    <n v="72.25"/>
  </r>
  <r>
    <x v="15"/>
    <x v="12"/>
    <x v="6"/>
    <x v="3"/>
    <n v="447.68"/>
    <n v="32"/>
    <n v="114.88"/>
  </r>
  <r>
    <x v="15"/>
    <x v="13"/>
    <x v="23"/>
    <x v="5"/>
    <n v="242.73"/>
    <n v="27"/>
    <n v="96.93000000000001"/>
  </r>
  <r>
    <x v="15"/>
    <x v="14"/>
    <x v="22"/>
    <x v="5"/>
    <n v="209.21"/>
    <n v="79"/>
    <n v="114.41"/>
  </r>
  <r>
    <x v="15"/>
    <x v="15"/>
    <x v="19"/>
    <x v="5"/>
    <n v="471.41"/>
    <n v="59"/>
    <n v="194.11"/>
  </r>
  <r>
    <x v="15"/>
    <x v="16"/>
    <x v="18"/>
    <x v="5"/>
    <n v="383.68"/>
    <n v="32"/>
    <n v="156.48"/>
  </r>
  <r>
    <x v="15"/>
    <x v="17"/>
    <x v="7"/>
    <x v="4"/>
    <n v="973.7"/>
    <n v="130"/>
    <n v="466.7"/>
  </r>
  <r>
    <x v="15"/>
    <x v="18"/>
    <x v="44"/>
    <x v="4"/>
    <n v="529.47"/>
    <n v="53"/>
    <n v="232.67"/>
  </r>
  <r>
    <x v="15"/>
    <x v="19"/>
    <x v="21"/>
    <x v="4"/>
    <n v="922.3199999999999"/>
    <n v="168"/>
    <n v="519.12"/>
  </r>
  <r>
    <x v="15"/>
    <x v="20"/>
    <x v="38"/>
    <x v="4"/>
    <n v="351.64"/>
    <n v="36"/>
    <n v="128.44"/>
  </r>
  <r>
    <x v="15"/>
    <x v="21"/>
    <x v="17"/>
    <x v="4"/>
    <n v="519.2"/>
    <n v="80"/>
    <n v="263.2"/>
  </r>
  <r>
    <x v="15"/>
    <x v="22"/>
    <x v="25"/>
    <x v="6"/>
    <n v="498.39"/>
    <n v="111"/>
    <n v="209.79"/>
  </r>
  <r>
    <x v="15"/>
    <x v="23"/>
    <x v="5"/>
    <x v="6"/>
    <n v="177.66"/>
    <n v="54"/>
    <n v="75.06"/>
  </r>
  <r>
    <x v="15"/>
    <x v="24"/>
    <x v="33"/>
    <x v="6"/>
    <n v="84.66000000000001"/>
    <n v="34"/>
    <n v="40.46"/>
  </r>
  <r>
    <x v="15"/>
    <x v="25"/>
    <x v="41"/>
    <x v="6"/>
    <n v="131.67"/>
    <n v="33"/>
    <n v="55.77"/>
  </r>
  <r>
    <x v="15"/>
    <x v="26"/>
    <x v="39"/>
    <x v="6"/>
    <n v="86.22"/>
    <n v="18"/>
    <n v="34.02"/>
  </r>
  <r>
    <x v="15"/>
    <x v="27"/>
    <x v="45"/>
    <x v="6"/>
    <n v="84.36999999999999"/>
    <n v="13"/>
    <n v="32.37"/>
  </r>
  <r>
    <x v="15"/>
    <x v="28"/>
    <x v="15"/>
    <x v="6"/>
    <n v="714.35"/>
    <n v="65"/>
    <n v="181.35"/>
  </r>
  <r>
    <x v="15"/>
    <x v="29"/>
    <x v="9"/>
    <x v="6"/>
    <n v="179.85"/>
    <n v="15"/>
    <n v="65.84999999999999"/>
  </r>
  <r>
    <x v="15"/>
    <x v="30"/>
    <x v="47"/>
    <x v="8"/>
    <n v="314.65"/>
    <n v="35"/>
    <n v="108.15"/>
  </r>
  <r>
    <x v="15"/>
    <x v="31"/>
    <x v="14"/>
    <x v="8"/>
    <n v="64.87"/>
    <n v="13"/>
    <n v="27.17"/>
  </r>
  <r>
    <x v="15"/>
    <x v="32"/>
    <x v="34"/>
    <x v="8"/>
    <n v="29.98"/>
    <n v="2"/>
    <n v="18.98"/>
  </r>
  <r>
    <x v="15"/>
    <x v="33"/>
    <x v="12"/>
    <x v="1"/>
    <n v="735.6800000000001"/>
    <n v="32"/>
    <n v="246.08"/>
  </r>
  <r>
    <x v="15"/>
    <x v="34"/>
    <x v="40"/>
    <x v="1"/>
    <n v="354.96"/>
    <n v="24"/>
    <n v="110.16"/>
  </r>
  <r>
    <x v="15"/>
    <x v="35"/>
    <x v="37"/>
    <x v="1"/>
    <n v="467.74"/>
    <n v="26"/>
    <n v="158.34"/>
  </r>
  <r>
    <x v="15"/>
    <x v="36"/>
    <x v="35"/>
    <x v="1"/>
    <n v="439.78"/>
    <n v="22"/>
    <n v="158.18"/>
  </r>
  <r>
    <x v="15"/>
    <x v="37"/>
    <x v="29"/>
    <x v="3"/>
    <n v="1501.23"/>
    <n v="307"/>
    <n v="411.38"/>
  </r>
  <r>
    <x v="15"/>
    <x v="38"/>
    <x v="28"/>
    <x v="3"/>
    <n v="606.36"/>
    <n v="124"/>
    <n v="166.16"/>
  </r>
  <r>
    <x v="15"/>
    <x v="39"/>
    <x v="31"/>
    <x v="3"/>
    <n v="197.34"/>
    <n v="46"/>
    <n v="73.14"/>
  </r>
  <r>
    <x v="15"/>
    <x v="40"/>
    <x v="32"/>
    <x v="7"/>
    <n v="107.73"/>
    <n v="27"/>
    <n v="64.53"/>
  </r>
  <r>
    <x v="15"/>
    <x v="41"/>
    <x v="43"/>
    <x v="7"/>
    <n v="239.84"/>
    <n v="16"/>
    <n v="108.64"/>
  </r>
  <r>
    <x v="15"/>
    <x v="42"/>
    <x v="1"/>
    <x v="9"/>
    <n v="164.45"/>
    <n v="271"/>
    <n v="61.47"/>
  </r>
  <r>
    <x v="15"/>
    <x v="43"/>
    <x v="0"/>
    <x v="9"/>
    <n v="97.11"/>
    <n v="39"/>
    <n v="42.51"/>
  </r>
  <r>
    <x v="15"/>
    <x v="44"/>
    <x v="48"/>
    <x v="9"/>
    <n v="161.64"/>
    <n v="36"/>
    <n v="68.04000000000001"/>
  </r>
  <r>
    <x v="15"/>
    <x v="45"/>
    <x v="36"/>
    <x v="10"/>
    <n v="635.01"/>
    <n v="179"/>
    <n v="259.11"/>
  </r>
  <r>
    <x v="15"/>
    <x v="46"/>
    <x v="8"/>
    <x v="10"/>
    <n v="779.58"/>
    <n v="142"/>
    <n v="325.18"/>
  </r>
  <r>
    <x v="15"/>
    <x v="47"/>
    <x v="30"/>
    <x v="10"/>
    <n v="296.01"/>
    <n v="69"/>
    <n v="116.61"/>
  </r>
  <r>
    <x v="15"/>
    <x v="48"/>
    <x v="11"/>
    <x v="10"/>
    <n v="282.87"/>
    <n v="63"/>
    <n v="131.67"/>
  </r>
  <r>
    <x v="15"/>
    <x v="49"/>
    <x v="27"/>
    <x v="10"/>
    <n v="212.89"/>
    <n v="61"/>
    <n v="109.19"/>
  </r>
  <r>
    <x v="16"/>
    <x v="0"/>
    <x v="46"/>
    <x v="0"/>
    <n v="506.05"/>
    <n v="145"/>
    <n v="187.05"/>
  </r>
  <r>
    <x v="16"/>
    <x v="1"/>
    <x v="49"/>
    <x v="0"/>
    <n v="377.52"/>
    <n v="88"/>
    <n v="139.92"/>
  </r>
  <r>
    <x v="16"/>
    <x v="2"/>
    <x v="13"/>
    <x v="0"/>
    <n v="263.56"/>
    <n v="44"/>
    <n v="118.36"/>
  </r>
  <r>
    <x v="16"/>
    <x v="3"/>
    <x v="3"/>
    <x v="2"/>
    <n v="223.68"/>
    <n v="32"/>
    <n v="98.88"/>
  </r>
  <r>
    <x v="16"/>
    <x v="4"/>
    <x v="16"/>
    <x v="2"/>
    <n v="660.66"/>
    <n v="154"/>
    <n v="329.56"/>
  </r>
  <r>
    <x v="16"/>
    <x v="5"/>
    <x v="10"/>
    <x v="2"/>
    <n v="386.14"/>
    <n v="86"/>
    <n v="188.34"/>
  </r>
  <r>
    <x v="16"/>
    <x v="6"/>
    <x v="42"/>
    <x v="2"/>
    <n v="171.81"/>
    <n v="69"/>
    <n v="95.91"/>
  </r>
  <r>
    <x v="16"/>
    <x v="7"/>
    <x v="24"/>
    <x v="2"/>
    <n v="409.18"/>
    <n v="82"/>
    <n v="187.78"/>
  </r>
  <r>
    <x v="16"/>
    <x v="8"/>
    <x v="26"/>
    <x v="2"/>
    <n v="143.7"/>
    <n v="30"/>
    <n v="65.7"/>
  </r>
  <r>
    <x v="16"/>
    <x v="9"/>
    <x v="2"/>
    <x v="2"/>
    <n v="281.06"/>
    <n v="94"/>
    <n v="191.76"/>
  </r>
  <r>
    <x v="16"/>
    <x v="10"/>
    <x v="4"/>
    <x v="3"/>
    <n v="314.58"/>
    <n v="42"/>
    <n v="79.38"/>
  </r>
  <r>
    <x v="16"/>
    <x v="11"/>
    <x v="20"/>
    <x v="3"/>
    <n v="295.63"/>
    <n v="37"/>
    <n v="106.93"/>
  </r>
  <r>
    <x v="16"/>
    <x v="12"/>
    <x v="6"/>
    <x v="3"/>
    <n v="377.73"/>
    <n v="27"/>
    <n v="96.93000000000001"/>
  </r>
  <r>
    <x v="16"/>
    <x v="13"/>
    <x v="23"/>
    <x v="5"/>
    <n v="476.47"/>
    <n v="53"/>
    <n v="190.27"/>
  </r>
  <r>
    <x v="16"/>
    <x v="14"/>
    <x v="22"/>
    <x v="5"/>
    <n v="125.58"/>
    <n v="42"/>
    <n v="75.18000000000001"/>
  </r>
  <r>
    <x v="16"/>
    <x v="15"/>
    <x v="19"/>
    <x v="5"/>
    <n v="375.53"/>
    <n v="47"/>
    <n v="154.63"/>
  </r>
  <r>
    <x v="16"/>
    <x v="16"/>
    <x v="18"/>
    <x v="5"/>
    <n v="407.66"/>
    <n v="34"/>
    <n v="166.26"/>
  </r>
  <r>
    <x v="16"/>
    <x v="17"/>
    <x v="7"/>
    <x v="4"/>
    <n v="966.21"/>
    <n v="129"/>
    <n v="463.11"/>
  </r>
  <r>
    <x v="16"/>
    <x v="18"/>
    <x v="44"/>
    <x v="4"/>
    <n v="709.29"/>
    <n v="71"/>
    <n v="311.69"/>
  </r>
  <r>
    <x v="16"/>
    <x v="19"/>
    <x v="21"/>
    <x v="4"/>
    <n v="807.03"/>
    <n v="147"/>
    <n v="454.23"/>
  </r>
  <r>
    <x v="16"/>
    <x v="20"/>
    <x v="38"/>
    <x v="4"/>
    <n v="395.64"/>
    <n v="36"/>
    <n v="172.44"/>
  </r>
  <r>
    <x v="16"/>
    <x v="21"/>
    <x v="17"/>
    <x v="4"/>
    <n v="623.0400000000001"/>
    <n v="96"/>
    <n v="315.84"/>
  </r>
  <r>
    <x v="16"/>
    <x v="22"/>
    <x v="25"/>
    <x v="6"/>
    <n v="475.94"/>
    <n v="106"/>
    <n v="200.34"/>
  </r>
  <r>
    <x v="16"/>
    <x v="23"/>
    <x v="5"/>
    <x v="6"/>
    <n v="164.5"/>
    <n v="50"/>
    <n v="69.5"/>
  </r>
  <r>
    <x v="16"/>
    <x v="24"/>
    <x v="33"/>
    <x v="6"/>
    <n v="104.58"/>
    <n v="42"/>
    <n v="49.98"/>
  </r>
  <r>
    <x v="16"/>
    <x v="25"/>
    <x v="41"/>
    <x v="6"/>
    <n v="171.57"/>
    <n v="43"/>
    <n v="72.67"/>
  </r>
  <r>
    <x v="16"/>
    <x v="26"/>
    <x v="39"/>
    <x v="6"/>
    <n v="86.22"/>
    <n v="18"/>
    <n v="34.02"/>
  </r>
  <r>
    <x v="16"/>
    <x v="27"/>
    <x v="45"/>
    <x v="6"/>
    <n v="103.84"/>
    <n v="16"/>
    <n v="39.84"/>
  </r>
  <r>
    <x v="16"/>
    <x v="28"/>
    <x v="15"/>
    <x v="6"/>
    <n v="692.37"/>
    <n v="63"/>
    <n v="175.77"/>
  </r>
  <r>
    <x v="16"/>
    <x v="29"/>
    <x v="9"/>
    <x v="6"/>
    <n v="299.75"/>
    <n v="25"/>
    <n v="109.75"/>
  </r>
  <r>
    <x v="16"/>
    <x v="30"/>
    <x v="47"/>
    <x v="8"/>
    <n v="287.68"/>
    <n v="32"/>
    <n v="98.88"/>
  </r>
  <r>
    <x v="16"/>
    <x v="31"/>
    <x v="14"/>
    <x v="8"/>
    <n v="109.78"/>
    <n v="22"/>
    <n v="45.98"/>
  </r>
  <r>
    <x v="16"/>
    <x v="32"/>
    <x v="34"/>
    <x v="8"/>
    <n v="44.97"/>
    <n v="3"/>
    <n v="28.47"/>
  </r>
  <r>
    <x v="16"/>
    <x v="33"/>
    <x v="12"/>
    <x v="1"/>
    <n v="873.62"/>
    <n v="38"/>
    <n v="292.22"/>
  </r>
  <r>
    <x v="16"/>
    <x v="34"/>
    <x v="40"/>
    <x v="1"/>
    <n v="479.7"/>
    <n v="30"/>
    <n v="173.7"/>
  </r>
  <r>
    <x v="16"/>
    <x v="35"/>
    <x v="37"/>
    <x v="1"/>
    <n v="395.78"/>
    <n v="22"/>
    <n v="133.98"/>
  </r>
  <r>
    <x v="16"/>
    <x v="36"/>
    <x v="35"/>
    <x v="1"/>
    <n v="439.78"/>
    <n v="22"/>
    <n v="158.18"/>
  </r>
  <r>
    <x v="16"/>
    <x v="37"/>
    <x v="29"/>
    <x v="3"/>
    <n v="1388.76"/>
    <n v="284"/>
    <n v="380.56"/>
  </r>
  <r>
    <x v="16"/>
    <x v="38"/>
    <x v="28"/>
    <x v="3"/>
    <n v="586.8"/>
    <n v="120"/>
    <n v="160.8"/>
  </r>
  <r>
    <x v="16"/>
    <x v="39"/>
    <x v="31"/>
    <x v="3"/>
    <n v="235.95"/>
    <n v="55"/>
    <n v="87.45"/>
  </r>
  <r>
    <x v="16"/>
    <x v="40"/>
    <x v="32"/>
    <x v="7"/>
    <n v="167.58"/>
    <n v="42"/>
    <n v="100.38"/>
  </r>
  <r>
    <x v="16"/>
    <x v="41"/>
    <x v="43"/>
    <x v="7"/>
    <n v="104.93"/>
    <n v="7"/>
    <n v="47.53"/>
  </r>
  <r>
    <x v="16"/>
    <x v="42"/>
    <x v="1"/>
    <x v="9"/>
    <n v="137.31"/>
    <n v="199"/>
    <n v="61.69"/>
  </r>
  <r>
    <x v="16"/>
    <x v="43"/>
    <x v="0"/>
    <x v="9"/>
    <n v="138.88"/>
    <n v="62"/>
    <n v="52.08"/>
  </r>
  <r>
    <x v="16"/>
    <x v="44"/>
    <x v="48"/>
    <x v="9"/>
    <n v="58.37"/>
    <n v="13"/>
    <n v="24.57"/>
  </r>
  <r>
    <x v="16"/>
    <x v="45"/>
    <x v="36"/>
    <x v="10"/>
    <n v="594.51"/>
    <n v="149"/>
    <n v="281.61"/>
  </r>
  <r>
    <x v="16"/>
    <x v="46"/>
    <x v="8"/>
    <x v="10"/>
    <n v="675.27"/>
    <n v="123"/>
    <n v="281.67"/>
  </r>
  <r>
    <x v="16"/>
    <x v="47"/>
    <x v="30"/>
    <x v="10"/>
    <n v="261.69"/>
    <n v="61"/>
    <n v="103.09"/>
  </r>
  <r>
    <x v="16"/>
    <x v="48"/>
    <x v="11"/>
    <x v="10"/>
    <n v="300.83"/>
    <n v="67"/>
    <n v="140.03"/>
  </r>
  <r>
    <x v="16"/>
    <x v="49"/>
    <x v="27"/>
    <x v="10"/>
    <n v="212.89"/>
    <n v="61"/>
    <n v="109.19"/>
  </r>
  <r>
    <x v="17"/>
    <x v="0"/>
    <x v="46"/>
    <x v="0"/>
    <n v="425.78"/>
    <n v="122"/>
    <n v="157.38"/>
  </r>
  <r>
    <x v="17"/>
    <x v="1"/>
    <x v="49"/>
    <x v="0"/>
    <n v="291.72"/>
    <n v="68"/>
    <n v="108.12"/>
  </r>
  <r>
    <x v="17"/>
    <x v="2"/>
    <x v="13"/>
    <x v="0"/>
    <n v="273.08"/>
    <n v="52"/>
    <n v="101.48"/>
  </r>
  <r>
    <x v="17"/>
    <x v="3"/>
    <x v="3"/>
    <x v="2"/>
    <n v="195.72"/>
    <n v="28"/>
    <n v="86.52"/>
  </r>
  <r>
    <x v="17"/>
    <x v="4"/>
    <x v="16"/>
    <x v="2"/>
    <n v="805.4300000000001"/>
    <n v="211"/>
    <n v="351.78"/>
  </r>
  <r>
    <x v="17"/>
    <x v="5"/>
    <x v="10"/>
    <x v="2"/>
    <n v="368.18"/>
    <n v="82"/>
    <n v="179.58"/>
  </r>
  <r>
    <x v="17"/>
    <x v="6"/>
    <x v="42"/>
    <x v="2"/>
    <n v="176.79"/>
    <n v="71"/>
    <n v="98.69"/>
  </r>
  <r>
    <x v="17"/>
    <x v="7"/>
    <x v="24"/>
    <x v="2"/>
    <n v="309.38"/>
    <n v="62"/>
    <n v="141.98"/>
  </r>
  <r>
    <x v="17"/>
    <x v="8"/>
    <x v="26"/>
    <x v="2"/>
    <n v="196.39"/>
    <n v="41"/>
    <n v="89.79000000000001"/>
  </r>
  <r>
    <x v="17"/>
    <x v="9"/>
    <x v="2"/>
    <x v="2"/>
    <n v="364.78"/>
    <n v="122"/>
    <n v="248.88"/>
  </r>
  <r>
    <x v="17"/>
    <x v="10"/>
    <x v="4"/>
    <x v="3"/>
    <n v="307.09"/>
    <n v="41"/>
    <n v="77.48999999999999"/>
  </r>
  <r>
    <x v="17"/>
    <x v="11"/>
    <x v="20"/>
    <x v="3"/>
    <n v="231.71"/>
    <n v="29"/>
    <n v="83.81"/>
  </r>
  <r>
    <x v="17"/>
    <x v="12"/>
    <x v="6"/>
    <x v="3"/>
    <n v="531.62"/>
    <n v="38"/>
    <n v="136.42"/>
  </r>
  <r>
    <x v="17"/>
    <x v="13"/>
    <x v="23"/>
    <x v="5"/>
    <n v="341.62"/>
    <n v="38"/>
    <n v="136.42"/>
  </r>
  <r>
    <x v="17"/>
    <x v="14"/>
    <x v="22"/>
    <x v="5"/>
    <n v="173.42"/>
    <n v="58"/>
    <n v="103.82"/>
  </r>
  <r>
    <x v="17"/>
    <x v="15"/>
    <x v="19"/>
    <x v="5"/>
    <n v="383.52"/>
    <n v="48"/>
    <n v="157.92"/>
  </r>
  <r>
    <x v="17"/>
    <x v="16"/>
    <x v="18"/>
    <x v="5"/>
    <n v="503.58"/>
    <n v="42"/>
    <n v="205.38"/>
  </r>
  <r>
    <x v="17"/>
    <x v="17"/>
    <x v="7"/>
    <x v="4"/>
    <n v="1033.62"/>
    <n v="138"/>
    <n v="495.42"/>
  </r>
  <r>
    <x v="17"/>
    <x v="18"/>
    <x v="44"/>
    <x v="4"/>
    <n v="949.0500000000001"/>
    <n v="95"/>
    <n v="417.05"/>
  </r>
  <r>
    <x v="17"/>
    <x v="19"/>
    <x v="21"/>
    <x v="4"/>
    <n v="878.4"/>
    <n v="160"/>
    <n v="494.4"/>
  </r>
  <r>
    <x v="17"/>
    <x v="20"/>
    <x v="38"/>
    <x v="4"/>
    <n v="395.64"/>
    <n v="36"/>
    <n v="172.44"/>
  </r>
  <r>
    <x v="17"/>
    <x v="21"/>
    <x v="17"/>
    <x v="4"/>
    <n v="577.61"/>
    <n v="89"/>
    <n v="292.81"/>
  </r>
  <r>
    <x v="17"/>
    <x v="22"/>
    <x v="25"/>
    <x v="6"/>
    <n v="404.1"/>
    <n v="90"/>
    <n v="170.1"/>
  </r>
  <r>
    <x v="17"/>
    <x v="23"/>
    <x v="5"/>
    <x v="6"/>
    <n v="131.6"/>
    <n v="40"/>
    <n v="55.6"/>
  </r>
  <r>
    <x v="17"/>
    <x v="24"/>
    <x v="33"/>
    <x v="6"/>
    <n v="87.15000000000001"/>
    <n v="35"/>
    <n v="41.65"/>
  </r>
  <r>
    <x v="17"/>
    <x v="25"/>
    <x v="41"/>
    <x v="6"/>
    <n v="123.69"/>
    <n v="31"/>
    <n v="52.39"/>
  </r>
  <r>
    <x v="17"/>
    <x v="26"/>
    <x v="39"/>
    <x v="6"/>
    <n v="95.80000000000001"/>
    <n v="20"/>
    <n v="37.8"/>
  </r>
  <r>
    <x v="17"/>
    <x v="27"/>
    <x v="45"/>
    <x v="6"/>
    <n v="129.8"/>
    <n v="20"/>
    <n v="49.8"/>
  </r>
  <r>
    <x v="17"/>
    <x v="28"/>
    <x v="15"/>
    <x v="6"/>
    <n v="687.91"/>
    <n v="69"/>
    <n v="122.11"/>
  </r>
  <r>
    <x v="17"/>
    <x v="29"/>
    <x v="9"/>
    <x v="6"/>
    <n v="347.71"/>
    <n v="29"/>
    <n v="127.31"/>
  </r>
  <r>
    <x v="17"/>
    <x v="30"/>
    <x v="47"/>
    <x v="8"/>
    <n v="350.61"/>
    <n v="39"/>
    <n v="120.51"/>
  </r>
  <r>
    <x v="17"/>
    <x v="31"/>
    <x v="14"/>
    <x v="8"/>
    <n v="119.76"/>
    <n v="24"/>
    <n v="50.16"/>
  </r>
  <r>
    <x v="17"/>
    <x v="32"/>
    <x v="34"/>
    <x v="8"/>
    <n v="134.91"/>
    <n v="9"/>
    <n v="85.41"/>
  </r>
  <r>
    <x v="17"/>
    <x v="33"/>
    <x v="12"/>
    <x v="1"/>
    <n v="781.66"/>
    <n v="34"/>
    <n v="261.46"/>
  </r>
  <r>
    <x v="17"/>
    <x v="34"/>
    <x v="40"/>
    <x v="1"/>
    <n v="351.78"/>
    <n v="22"/>
    <n v="127.38"/>
  </r>
  <r>
    <x v="17"/>
    <x v="35"/>
    <x v="37"/>
    <x v="1"/>
    <n v="449.75"/>
    <n v="25"/>
    <n v="152.25"/>
  </r>
  <r>
    <x v="17"/>
    <x v="36"/>
    <x v="35"/>
    <x v="1"/>
    <n v="399.8"/>
    <n v="20"/>
    <n v="143.8"/>
  </r>
  <r>
    <x v="17"/>
    <x v="37"/>
    <x v="29"/>
    <x v="3"/>
    <n v="1378.98"/>
    <n v="282"/>
    <n v="377.88"/>
  </r>
  <r>
    <x v="17"/>
    <x v="38"/>
    <x v="28"/>
    <x v="3"/>
    <n v="616.14"/>
    <n v="126"/>
    <n v="168.84"/>
  </r>
  <r>
    <x v="17"/>
    <x v="39"/>
    <x v="31"/>
    <x v="3"/>
    <n v="163.02"/>
    <n v="38"/>
    <n v="60.42"/>
  </r>
  <r>
    <x v="17"/>
    <x v="40"/>
    <x v="32"/>
    <x v="7"/>
    <n v="147.63"/>
    <n v="37"/>
    <n v="88.43000000000001"/>
  </r>
  <r>
    <x v="17"/>
    <x v="41"/>
    <x v="43"/>
    <x v="7"/>
    <n v="224.85"/>
    <n v="15"/>
    <n v="101.85"/>
  </r>
  <r>
    <x v="17"/>
    <x v="42"/>
    <x v="1"/>
    <x v="9"/>
    <n v="153.87"/>
    <n v="223"/>
    <n v="69.13"/>
  </r>
  <r>
    <x v="17"/>
    <x v="43"/>
    <x v="0"/>
    <x v="9"/>
    <n v="114.54"/>
    <n v="46"/>
    <n v="50.14"/>
  </r>
  <r>
    <x v="17"/>
    <x v="44"/>
    <x v="48"/>
    <x v="9"/>
    <n v="121.23"/>
    <n v="27"/>
    <n v="51.03"/>
  </r>
  <r>
    <x v="17"/>
    <x v="45"/>
    <x v="36"/>
    <x v="10"/>
    <n v="522.6900000000001"/>
    <n v="131"/>
    <n v="247.59"/>
  </r>
  <r>
    <x v="17"/>
    <x v="46"/>
    <x v="8"/>
    <x v="10"/>
    <n v="760.75"/>
    <n v="155"/>
    <n v="264.75"/>
  </r>
  <r>
    <x v="17"/>
    <x v="47"/>
    <x v="30"/>
    <x v="10"/>
    <n v="184.47"/>
    <n v="43"/>
    <n v="72.67"/>
  </r>
  <r>
    <x v="17"/>
    <x v="48"/>
    <x v="11"/>
    <x v="10"/>
    <n v="296.34"/>
    <n v="66"/>
    <n v="137.94"/>
  </r>
  <r>
    <x v="17"/>
    <x v="49"/>
    <x v="27"/>
    <x v="10"/>
    <n v="240.81"/>
    <n v="69"/>
    <n v="123.51"/>
  </r>
  <r>
    <x v="18"/>
    <x v="0"/>
    <x v="46"/>
    <x v="0"/>
    <n v="446.72"/>
    <n v="128"/>
    <n v="165.12"/>
  </r>
  <r>
    <x v="18"/>
    <x v="1"/>
    <x v="49"/>
    <x v="0"/>
    <n v="304.59"/>
    <n v="71"/>
    <n v="112.89"/>
  </r>
  <r>
    <x v="18"/>
    <x v="2"/>
    <x v="13"/>
    <x v="0"/>
    <n v="227.62"/>
    <n v="38"/>
    <n v="102.22"/>
  </r>
  <r>
    <x v="18"/>
    <x v="3"/>
    <x v="3"/>
    <x v="2"/>
    <n v="181.74"/>
    <n v="26"/>
    <n v="80.34"/>
  </r>
  <r>
    <x v="18"/>
    <x v="4"/>
    <x v="16"/>
    <x v="2"/>
    <n v="763.62"/>
    <n v="178"/>
    <n v="380.92"/>
  </r>
  <r>
    <x v="18"/>
    <x v="5"/>
    <x v="10"/>
    <x v="2"/>
    <n v="475.94"/>
    <n v="106"/>
    <n v="232.14"/>
  </r>
  <r>
    <x v="18"/>
    <x v="6"/>
    <x v="42"/>
    <x v="2"/>
    <n v="196.71"/>
    <n v="79"/>
    <n v="109.81"/>
  </r>
  <r>
    <x v="18"/>
    <x v="7"/>
    <x v="24"/>
    <x v="2"/>
    <n v="369.26"/>
    <n v="74"/>
    <n v="169.46"/>
  </r>
  <r>
    <x v="18"/>
    <x v="8"/>
    <x v="26"/>
    <x v="2"/>
    <n v="148.49"/>
    <n v="31"/>
    <n v="67.89"/>
  </r>
  <r>
    <x v="18"/>
    <x v="9"/>
    <x v="2"/>
    <x v="2"/>
    <n v="361.79"/>
    <n v="121"/>
    <n v="246.84"/>
  </r>
  <r>
    <x v="18"/>
    <x v="10"/>
    <x v="4"/>
    <x v="3"/>
    <n v="344.54"/>
    <n v="46"/>
    <n v="86.94"/>
  </r>
  <r>
    <x v="18"/>
    <x v="11"/>
    <x v="20"/>
    <x v="3"/>
    <n v="135.83"/>
    <n v="17"/>
    <n v="49.13"/>
  </r>
  <r>
    <x v="18"/>
    <x v="12"/>
    <x v="6"/>
    <x v="3"/>
    <n v="769.45"/>
    <n v="55"/>
    <n v="197.45"/>
  </r>
  <r>
    <x v="18"/>
    <x v="13"/>
    <x v="23"/>
    <x v="5"/>
    <n v="449.5"/>
    <n v="50"/>
    <n v="179.5"/>
  </r>
  <r>
    <x v="18"/>
    <x v="14"/>
    <x v="22"/>
    <x v="5"/>
    <n v="212.29"/>
    <n v="71"/>
    <n v="127.09"/>
  </r>
  <r>
    <x v="18"/>
    <x v="15"/>
    <x v="19"/>
    <x v="5"/>
    <n v="519.35"/>
    <n v="65"/>
    <n v="213.85"/>
  </r>
  <r>
    <x v="18"/>
    <x v="16"/>
    <x v="18"/>
    <x v="5"/>
    <n v="419.65"/>
    <n v="35"/>
    <n v="171.15"/>
  </r>
  <r>
    <x v="18"/>
    <x v="17"/>
    <x v="7"/>
    <x v="4"/>
    <n v="1033.62"/>
    <n v="138"/>
    <n v="495.42"/>
  </r>
  <r>
    <x v="18"/>
    <x v="18"/>
    <x v="44"/>
    <x v="4"/>
    <n v="745.15"/>
    <n v="85"/>
    <n v="269.15"/>
  </r>
  <r>
    <x v="18"/>
    <x v="19"/>
    <x v="21"/>
    <x v="4"/>
    <n v="828.99"/>
    <n v="151"/>
    <n v="466.59"/>
  </r>
  <r>
    <x v="18"/>
    <x v="20"/>
    <x v="38"/>
    <x v="4"/>
    <n v="373.66"/>
    <n v="34"/>
    <n v="162.86"/>
  </r>
  <r>
    <x v="18"/>
    <x v="21"/>
    <x v="17"/>
    <x v="4"/>
    <n v="558.14"/>
    <n v="86"/>
    <n v="282.94"/>
  </r>
  <r>
    <x v="18"/>
    <x v="22"/>
    <x v="25"/>
    <x v="6"/>
    <n v="426.55"/>
    <n v="95"/>
    <n v="179.55"/>
  </r>
  <r>
    <x v="18"/>
    <x v="23"/>
    <x v="5"/>
    <x v="6"/>
    <n v="164.5"/>
    <n v="50"/>
    <n v="69.5"/>
  </r>
  <r>
    <x v="18"/>
    <x v="24"/>
    <x v="33"/>
    <x v="6"/>
    <n v="124.5"/>
    <n v="50"/>
    <n v="59.5"/>
  </r>
  <r>
    <x v="18"/>
    <x v="25"/>
    <x v="41"/>
    <x v="6"/>
    <n v="163.59"/>
    <n v="41"/>
    <n v="69.29000000000001"/>
  </r>
  <r>
    <x v="18"/>
    <x v="26"/>
    <x v="39"/>
    <x v="6"/>
    <n v="91.00999999999999"/>
    <n v="19"/>
    <n v="35.91"/>
  </r>
  <r>
    <x v="18"/>
    <x v="27"/>
    <x v="45"/>
    <x v="6"/>
    <n v="175.23"/>
    <n v="27"/>
    <n v="67.23"/>
  </r>
  <r>
    <x v="18"/>
    <x v="28"/>
    <x v="15"/>
    <x v="6"/>
    <n v="725.34"/>
    <n v="66"/>
    <n v="184.14"/>
  </r>
  <r>
    <x v="18"/>
    <x v="29"/>
    <x v="9"/>
    <x v="6"/>
    <n v="383.6799999999999"/>
    <n v="32"/>
    <n v="140.48"/>
  </r>
  <r>
    <x v="18"/>
    <x v="30"/>
    <x v="47"/>
    <x v="8"/>
    <n v="296.67"/>
    <n v="33"/>
    <n v="101.97"/>
  </r>
  <r>
    <x v="18"/>
    <x v="31"/>
    <x v="14"/>
    <x v="8"/>
    <n v="124.75"/>
    <n v="25"/>
    <n v="52.25"/>
  </r>
  <r>
    <x v="18"/>
    <x v="32"/>
    <x v="34"/>
    <x v="8"/>
    <n v="74.95"/>
    <n v="5"/>
    <n v="47.45"/>
  </r>
  <r>
    <x v="18"/>
    <x v="33"/>
    <x v="12"/>
    <x v="1"/>
    <n v="827.64"/>
    <n v="36"/>
    <n v="276.84"/>
  </r>
  <r>
    <x v="18"/>
    <x v="34"/>
    <x v="40"/>
    <x v="1"/>
    <n v="463.71"/>
    <n v="29"/>
    <n v="167.91"/>
  </r>
  <r>
    <x v="18"/>
    <x v="35"/>
    <x v="37"/>
    <x v="1"/>
    <n v="503.72"/>
    <n v="28"/>
    <n v="170.52"/>
  </r>
  <r>
    <x v="18"/>
    <x v="36"/>
    <x v="35"/>
    <x v="1"/>
    <n v="259.87"/>
    <n v="13"/>
    <n v="93.47"/>
  </r>
  <r>
    <x v="18"/>
    <x v="37"/>
    <x v="29"/>
    <x v="3"/>
    <n v="1261.62"/>
    <n v="258"/>
    <n v="345.72"/>
  </r>
  <r>
    <x v="18"/>
    <x v="38"/>
    <x v="28"/>
    <x v="3"/>
    <n v="528.12"/>
    <n v="108"/>
    <n v="144.72"/>
  </r>
  <r>
    <x v="18"/>
    <x v="39"/>
    <x v="31"/>
    <x v="3"/>
    <n v="188.76"/>
    <n v="44"/>
    <n v="69.95999999999999"/>
  </r>
  <r>
    <x v="18"/>
    <x v="40"/>
    <x v="32"/>
    <x v="7"/>
    <n v="119.7"/>
    <n v="30"/>
    <n v="71.7"/>
  </r>
  <r>
    <x v="18"/>
    <x v="41"/>
    <x v="43"/>
    <x v="7"/>
    <n v="119.92"/>
    <n v="8"/>
    <n v="54.32"/>
  </r>
  <r>
    <x v="18"/>
    <x v="42"/>
    <x v="1"/>
    <x v="9"/>
    <n v="146.97"/>
    <n v="213"/>
    <n v="66.03"/>
  </r>
  <r>
    <x v="18"/>
    <x v="43"/>
    <x v="0"/>
    <x v="9"/>
    <n v="104.58"/>
    <n v="42"/>
    <n v="45.78"/>
  </r>
  <r>
    <x v="18"/>
    <x v="44"/>
    <x v="48"/>
    <x v="9"/>
    <n v="175.11"/>
    <n v="39"/>
    <n v="73.70999999999999"/>
  </r>
  <r>
    <x v="18"/>
    <x v="45"/>
    <x v="36"/>
    <x v="10"/>
    <n v="578.55"/>
    <n v="145"/>
    <n v="274.05"/>
  </r>
  <r>
    <x v="18"/>
    <x v="46"/>
    <x v="8"/>
    <x v="10"/>
    <n v="675.27"/>
    <n v="123"/>
    <n v="281.67"/>
  </r>
  <r>
    <x v="18"/>
    <x v="47"/>
    <x v="30"/>
    <x v="10"/>
    <n v="227.37"/>
    <n v="53"/>
    <n v="89.56999999999999"/>
  </r>
  <r>
    <x v="18"/>
    <x v="48"/>
    <x v="11"/>
    <x v="10"/>
    <n v="224.5"/>
    <n v="50"/>
    <n v="104.5"/>
  </r>
  <r>
    <x v="18"/>
    <x v="49"/>
    <x v="27"/>
    <x v="10"/>
    <n v="233.83"/>
    <n v="67"/>
    <n v="119.93"/>
  </r>
  <r>
    <x v="19"/>
    <x v="0"/>
    <x v="46"/>
    <x v="0"/>
    <n v="471.15"/>
    <n v="135"/>
    <n v="174.15"/>
  </r>
  <r>
    <x v="19"/>
    <x v="1"/>
    <x v="49"/>
    <x v="0"/>
    <n v="343.2"/>
    <n v="80"/>
    <n v="127.2"/>
  </r>
  <r>
    <x v="19"/>
    <x v="2"/>
    <x v="13"/>
    <x v="0"/>
    <n v="317.47"/>
    <n v="53"/>
    <n v="142.57"/>
  </r>
  <r>
    <x v="19"/>
    <x v="3"/>
    <x v="3"/>
    <x v="2"/>
    <n v="174.75"/>
    <n v="25"/>
    <n v="77.25"/>
  </r>
  <r>
    <x v="19"/>
    <x v="4"/>
    <x v="16"/>
    <x v="2"/>
    <n v="626.34"/>
    <n v="146"/>
    <n v="312.44"/>
  </r>
  <r>
    <x v="19"/>
    <x v="5"/>
    <x v="10"/>
    <x v="2"/>
    <n v="408.59"/>
    <n v="91"/>
    <n v="199.29"/>
  </r>
  <r>
    <x v="19"/>
    <x v="6"/>
    <x v="42"/>
    <x v="2"/>
    <n v="194.22"/>
    <n v="78"/>
    <n v="108.42"/>
  </r>
  <r>
    <x v="19"/>
    <x v="7"/>
    <x v="24"/>
    <x v="2"/>
    <n v="384.23"/>
    <n v="77"/>
    <n v="176.33"/>
  </r>
  <r>
    <x v="19"/>
    <x v="8"/>
    <x v="26"/>
    <x v="2"/>
    <n v="172.39"/>
    <n v="41"/>
    <n v="65.79000000000001"/>
  </r>
  <r>
    <x v="19"/>
    <x v="9"/>
    <x v="2"/>
    <x v="2"/>
    <n v="454.48"/>
    <n v="152"/>
    <n v="310.08"/>
  </r>
  <r>
    <x v="19"/>
    <x v="10"/>
    <x v="4"/>
    <x v="3"/>
    <n v="284.62"/>
    <n v="38"/>
    <n v="71.81999999999999"/>
  </r>
  <r>
    <x v="19"/>
    <x v="11"/>
    <x v="20"/>
    <x v="3"/>
    <n v="247.69"/>
    <n v="31"/>
    <n v="89.59"/>
  </r>
  <r>
    <x v="19"/>
    <x v="12"/>
    <x v="6"/>
    <x v="3"/>
    <n v="391.72"/>
    <n v="28"/>
    <n v="100.52"/>
  </r>
  <r>
    <x v="19"/>
    <x v="13"/>
    <x v="23"/>
    <x v="5"/>
    <n v="359.6"/>
    <n v="40"/>
    <n v="143.6"/>
  </r>
  <r>
    <x v="19"/>
    <x v="14"/>
    <x v="22"/>
    <x v="5"/>
    <n v="257.14"/>
    <n v="86"/>
    <n v="153.94"/>
  </r>
  <r>
    <x v="19"/>
    <x v="15"/>
    <x v="19"/>
    <x v="5"/>
    <n v="311.61"/>
    <n v="39"/>
    <n v="128.31"/>
  </r>
  <r>
    <x v="19"/>
    <x v="16"/>
    <x v="18"/>
    <x v="5"/>
    <n v="335.72"/>
    <n v="28"/>
    <n v="136.92"/>
  </r>
  <r>
    <x v="19"/>
    <x v="17"/>
    <x v="7"/>
    <x v="4"/>
    <n v="816.41"/>
    <n v="109"/>
    <n v="391.31"/>
  </r>
  <r>
    <x v="19"/>
    <x v="18"/>
    <x v="44"/>
    <x v="4"/>
    <n v="779.22"/>
    <n v="78"/>
    <n v="342.42"/>
  </r>
  <r>
    <x v="19"/>
    <x v="19"/>
    <x v="21"/>
    <x v="4"/>
    <n v="796.0500000000001"/>
    <n v="145"/>
    <n v="448.05"/>
  </r>
  <r>
    <x v="19"/>
    <x v="20"/>
    <x v="38"/>
    <x v="4"/>
    <n v="329.7"/>
    <n v="30"/>
    <n v="143.7"/>
  </r>
  <r>
    <x v="19"/>
    <x v="21"/>
    <x v="17"/>
    <x v="4"/>
    <n v="506.22"/>
    <n v="78"/>
    <n v="256.62"/>
  </r>
  <r>
    <x v="19"/>
    <x v="22"/>
    <x v="25"/>
    <x v="6"/>
    <n v="399.61"/>
    <n v="89"/>
    <n v="168.21"/>
  </r>
  <r>
    <x v="19"/>
    <x v="23"/>
    <x v="5"/>
    <x v="6"/>
    <n v="148.05"/>
    <n v="45"/>
    <n v="62.55"/>
  </r>
  <r>
    <x v="19"/>
    <x v="24"/>
    <x v="33"/>
    <x v="6"/>
    <n v="117.03"/>
    <n v="47"/>
    <n v="55.93"/>
  </r>
  <r>
    <x v="19"/>
    <x v="25"/>
    <x v="41"/>
    <x v="6"/>
    <n v="167.58"/>
    <n v="42"/>
    <n v="70.98"/>
  </r>
  <r>
    <x v="19"/>
    <x v="26"/>
    <x v="39"/>
    <x v="6"/>
    <n v="110.17"/>
    <n v="23"/>
    <n v="43.47"/>
  </r>
  <r>
    <x v="19"/>
    <x v="27"/>
    <x v="45"/>
    <x v="6"/>
    <n v="168.74"/>
    <n v="26"/>
    <n v="64.73999999999999"/>
  </r>
  <r>
    <x v="19"/>
    <x v="28"/>
    <x v="15"/>
    <x v="6"/>
    <n v="736.33"/>
    <n v="67"/>
    <n v="186.93"/>
  </r>
  <r>
    <x v="19"/>
    <x v="29"/>
    <x v="9"/>
    <x v="6"/>
    <n v="311.74"/>
    <n v="26"/>
    <n v="114.14"/>
  </r>
  <r>
    <x v="19"/>
    <x v="30"/>
    <x v="47"/>
    <x v="8"/>
    <n v="377.58"/>
    <n v="42"/>
    <n v="129.78"/>
  </r>
  <r>
    <x v="19"/>
    <x v="31"/>
    <x v="14"/>
    <x v="8"/>
    <n v="109.78"/>
    <n v="22"/>
    <n v="45.98"/>
  </r>
  <r>
    <x v="19"/>
    <x v="32"/>
    <x v="34"/>
    <x v="8"/>
    <n v="119.92"/>
    <n v="8"/>
    <n v="75.92"/>
  </r>
  <r>
    <x v="19"/>
    <x v="33"/>
    <x v="12"/>
    <x v="1"/>
    <n v="827.64"/>
    <n v="36"/>
    <n v="276.84"/>
  </r>
  <r>
    <x v="19"/>
    <x v="34"/>
    <x v="40"/>
    <x v="1"/>
    <n v="559.65"/>
    <n v="35"/>
    <n v="202.65"/>
  </r>
  <r>
    <x v="19"/>
    <x v="35"/>
    <x v="37"/>
    <x v="1"/>
    <n v="413.77"/>
    <n v="23"/>
    <n v="140.07"/>
  </r>
  <r>
    <x v="19"/>
    <x v="36"/>
    <x v="35"/>
    <x v="1"/>
    <n v="159.92"/>
    <n v="8"/>
    <n v="57.52"/>
  </r>
  <r>
    <x v="19"/>
    <x v="37"/>
    <x v="29"/>
    <x v="3"/>
    <n v="1398.54"/>
    <n v="286"/>
    <n v="383.24"/>
  </r>
  <r>
    <x v="19"/>
    <x v="38"/>
    <x v="28"/>
    <x v="3"/>
    <n v="528.12"/>
    <n v="108"/>
    <n v="144.72"/>
  </r>
  <r>
    <x v="19"/>
    <x v="39"/>
    <x v="31"/>
    <x v="3"/>
    <n v="244.53"/>
    <n v="57"/>
    <n v="90.63"/>
  </r>
  <r>
    <x v="19"/>
    <x v="40"/>
    <x v="32"/>
    <x v="7"/>
    <n v="123.69"/>
    <n v="31"/>
    <n v="74.09"/>
  </r>
  <r>
    <x v="19"/>
    <x v="41"/>
    <x v="43"/>
    <x v="7"/>
    <n v="170.87"/>
    <n v="13"/>
    <n v="64.27"/>
  </r>
  <r>
    <x v="19"/>
    <x v="42"/>
    <x v="1"/>
    <x v="9"/>
    <n v="150.42"/>
    <n v="218"/>
    <n v="67.58"/>
  </r>
  <r>
    <x v="19"/>
    <x v="43"/>
    <x v="0"/>
    <x v="9"/>
    <n v="129.48"/>
    <n v="52"/>
    <n v="56.68"/>
  </r>
  <r>
    <x v="19"/>
    <x v="44"/>
    <x v="48"/>
    <x v="9"/>
    <n v="152.66"/>
    <n v="34"/>
    <n v="64.26000000000001"/>
  </r>
  <r>
    <x v="19"/>
    <x v="45"/>
    <x v="36"/>
    <x v="10"/>
    <n v="518.6999999999999"/>
    <n v="130"/>
    <n v="245.7"/>
  </r>
  <r>
    <x v="19"/>
    <x v="46"/>
    <x v="8"/>
    <x v="10"/>
    <n v="735.66"/>
    <n v="134"/>
    <n v="306.86"/>
  </r>
  <r>
    <x v="19"/>
    <x v="47"/>
    <x v="30"/>
    <x v="10"/>
    <n v="321.75"/>
    <n v="75"/>
    <n v="126.75"/>
  </r>
  <r>
    <x v="19"/>
    <x v="48"/>
    <x v="11"/>
    <x v="10"/>
    <n v="305.32"/>
    <n v="68"/>
    <n v="142.12"/>
  </r>
  <r>
    <x v="19"/>
    <x v="49"/>
    <x v="27"/>
    <x v="10"/>
    <n v="233.83"/>
    <n v="67"/>
    <n v="119.93"/>
  </r>
  <r>
    <x v="20"/>
    <x v="0"/>
    <x v="46"/>
    <x v="0"/>
    <n v="586.3200000000001"/>
    <n v="168"/>
    <n v="216.72"/>
  </r>
  <r>
    <x v="20"/>
    <x v="1"/>
    <x v="49"/>
    <x v="0"/>
    <n v="326.04"/>
    <n v="76"/>
    <n v="120.84"/>
  </r>
  <r>
    <x v="20"/>
    <x v="2"/>
    <x v="13"/>
    <x v="0"/>
    <n v="287.52"/>
    <n v="48"/>
    <n v="129.12"/>
  </r>
  <r>
    <x v="20"/>
    <x v="3"/>
    <x v="3"/>
    <x v="2"/>
    <n v="237.66"/>
    <n v="34"/>
    <n v="105.06"/>
  </r>
  <r>
    <x v="20"/>
    <x v="4"/>
    <x v="16"/>
    <x v="2"/>
    <n v="699.27"/>
    <n v="163"/>
    <n v="348.82"/>
  </r>
  <r>
    <x v="20"/>
    <x v="5"/>
    <x v="10"/>
    <x v="2"/>
    <n v="350.22"/>
    <n v="78"/>
    <n v="170.82"/>
  </r>
  <r>
    <x v="20"/>
    <x v="6"/>
    <x v="42"/>
    <x v="2"/>
    <n v="176.79"/>
    <n v="71"/>
    <n v="98.69"/>
  </r>
  <r>
    <x v="20"/>
    <x v="7"/>
    <x v="24"/>
    <x v="2"/>
    <n v="424.15"/>
    <n v="85"/>
    <n v="194.65"/>
  </r>
  <r>
    <x v="20"/>
    <x v="8"/>
    <x v="26"/>
    <x v="2"/>
    <n v="201.18"/>
    <n v="42"/>
    <n v="91.98"/>
  </r>
  <r>
    <x v="20"/>
    <x v="9"/>
    <x v="2"/>
    <x v="2"/>
    <n v="376.74"/>
    <n v="126"/>
    <n v="257.04"/>
  </r>
  <r>
    <x v="20"/>
    <x v="10"/>
    <x v="4"/>
    <x v="3"/>
    <n v="292.11"/>
    <n v="39"/>
    <n v="73.70999999999999"/>
  </r>
  <r>
    <x v="20"/>
    <x v="11"/>
    <x v="20"/>
    <x v="3"/>
    <n v="175.78"/>
    <n v="22"/>
    <n v="63.58"/>
  </r>
  <r>
    <x v="20"/>
    <x v="12"/>
    <x v="6"/>
    <x v="3"/>
    <n v="489.65"/>
    <n v="35"/>
    <n v="125.65"/>
  </r>
  <r>
    <x v="20"/>
    <x v="13"/>
    <x v="23"/>
    <x v="5"/>
    <n v="539.4"/>
    <n v="60"/>
    <n v="215.4"/>
  </r>
  <r>
    <x v="20"/>
    <x v="14"/>
    <x v="22"/>
    <x v="5"/>
    <n v="185.38"/>
    <n v="62"/>
    <n v="110.98"/>
  </r>
  <r>
    <x v="20"/>
    <x v="15"/>
    <x v="19"/>
    <x v="5"/>
    <n v="423.47"/>
    <n v="53"/>
    <n v="174.37"/>
  </r>
  <r>
    <x v="20"/>
    <x v="16"/>
    <x v="18"/>
    <x v="5"/>
    <n v="227.81"/>
    <n v="19"/>
    <n v="92.91"/>
  </r>
  <r>
    <x v="20"/>
    <x v="17"/>
    <x v="7"/>
    <x v="4"/>
    <n v="808.9200000000001"/>
    <n v="108"/>
    <n v="387.72"/>
  </r>
  <r>
    <x v="20"/>
    <x v="18"/>
    <x v="44"/>
    <x v="4"/>
    <n v="699.3000000000001"/>
    <n v="70"/>
    <n v="307.3"/>
  </r>
  <r>
    <x v="20"/>
    <x v="19"/>
    <x v="21"/>
    <x v="4"/>
    <n v="752.13"/>
    <n v="137"/>
    <n v="423.33"/>
  </r>
  <r>
    <x v="20"/>
    <x v="20"/>
    <x v="38"/>
    <x v="4"/>
    <n v="351.68"/>
    <n v="32"/>
    <n v="153.28"/>
  </r>
  <r>
    <x v="20"/>
    <x v="21"/>
    <x v="17"/>
    <x v="4"/>
    <n v="434.83"/>
    <n v="67"/>
    <n v="220.43"/>
  </r>
  <r>
    <x v="20"/>
    <x v="22"/>
    <x v="25"/>
    <x v="6"/>
    <n v="404.1"/>
    <n v="90"/>
    <n v="170.1"/>
  </r>
  <r>
    <x v="20"/>
    <x v="23"/>
    <x v="5"/>
    <x v="6"/>
    <n v="171.08"/>
    <n v="52"/>
    <n v="72.28"/>
  </r>
  <r>
    <x v="20"/>
    <x v="24"/>
    <x v="33"/>
    <x v="6"/>
    <n v="112.05"/>
    <n v="45"/>
    <n v="53.55"/>
  </r>
  <r>
    <x v="20"/>
    <x v="25"/>
    <x v="41"/>
    <x v="6"/>
    <n v="67.83"/>
    <n v="17"/>
    <n v="28.73"/>
  </r>
  <r>
    <x v="20"/>
    <x v="26"/>
    <x v="39"/>
    <x v="6"/>
    <n v="92.90000000000001"/>
    <n v="22"/>
    <n v="29.1"/>
  </r>
  <r>
    <x v="20"/>
    <x v="27"/>
    <x v="45"/>
    <x v="6"/>
    <n v="142.78"/>
    <n v="22"/>
    <n v="54.78"/>
  </r>
  <r>
    <x v="20"/>
    <x v="28"/>
    <x v="15"/>
    <x v="6"/>
    <n v="747.3200000000001"/>
    <n v="68"/>
    <n v="189.72"/>
  </r>
  <r>
    <x v="20"/>
    <x v="29"/>
    <x v="9"/>
    <x v="6"/>
    <n v="239.8"/>
    <n v="20"/>
    <n v="87.8"/>
  </r>
  <r>
    <x v="20"/>
    <x v="30"/>
    <x v="47"/>
    <x v="8"/>
    <n v="296.67"/>
    <n v="33"/>
    <n v="101.97"/>
  </r>
  <r>
    <x v="20"/>
    <x v="31"/>
    <x v="14"/>
    <x v="8"/>
    <n v="104.79"/>
    <n v="21"/>
    <n v="43.89"/>
  </r>
  <r>
    <x v="20"/>
    <x v="32"/>
    <x v="34"/>
    <x v="8"/>
    <n v="194.87"/>
    <n v="13"/>
    <n v="123.37"/>
  </r>
  <r>
    <x v="20"/>
    <x v="33"/>
    <x v="12"/>
    <x v="1"/>
    <n v="965.5799999999999"/>
    <n v="42"/>
    <n v="322.98"/>
  </r>
  <r>
    <x v="20"/>
    <x v="34"/>
    <x v="40"/>
    <x v="1"/>
    <n v="655.59"/>
    <n v="41"/>
    <n v="237.39"/>
  </r>
  <r>
    <x v="20"/>
    <x v="35"/>
    <x v="37"/>
    <x v="1"/>
    <n v="413.77"/>
    <n v="23"/>
    <n v="140.07"/>
  </r>
  <r>
    <x v="20"/>
    <x v="36"/>
    <x v="35"/>
    <x v="1"/>
    <n v="299.85"/>
    <n v="15"/>
    <n v="107.85"/>
  </r>
  <r>
    <x v="20"/>
    <x v="37"/>
    <x v="29"/>
    <x v="3"/>
    <n v="1344.75"/>
    <n v="275"/>
    <n v="368.5"/>
  </r>
  <r>
    <x v="20"/>
    <x v="38"/>
    <x v="28"/>
    <x v="3"/>
    <n v="444.99"/>
    <n v="91"/>
    <n v="121.94"/>
  </r>
  <r>
    <x v="20"/>
    <x v="39"/>
    <x v="31"/>
    <x v="3"/>
    <n v="315.65"/>
    <n v="83"/>
    <n v="91.55"/>
  </r>
  <r>
    <x v="20"/>
    <x v="40"/>
    <x v="32"/>
    <x v="7"/>
    <n v="155.61"/>
    <n v="39"/>
    <n v="93.20999999999999"/>
  </r>
  <r>
    <x v="20"/>
    <x v="41"/>
    <x v="43"/>
    <x v="7"/>
    <n v="224.85"/>
    <n v="15"/>
    <n v="101.85"/>
  </r>
  <r>
    <x v="20"/>
    <x v="42"/>
    <x v="1"/>
    <x v="9"/>
    <n v="164.22"/>
    <n v="238"/>
    <n v="73.78"/>
  </r>
  <r>
    <x v="20"/>
    <x v="43"/>
    <x v="0"/>
    <x v="9"/>
    <n v="154.38"/>
    <n v="62"/>
    <n v="67.58"/>
  </r>
  <r>
    <x v="20"/>
    <x v="44"/>
    <x v="48"/>
    <x v="9"/>
    <n v="130.21"/>
    <n v="29"/>
    <n v="54.81"/>
  </r>
  <r>
    <x v="20"/>
    <x v="45"/>
    <x v="36"/>
    <x v="10"/>
    <n v="593.55"/>
    <n v="165"/>
    <n v="247.05"/>
  </r>
  <r>
    <x v="20"/>
    <x v="46"/>
    <x v="8"/>
    <x v="10"/>
    <n v="592.9200000000001"/>
    <n v="108"/>
    <n v="247.32"/>
  </r>
  <r>
    <x v="20"/>
    <x v="47"/>
    <x v="30"/>
    <x v="10"/>
    <n v="214.5"/>
    <n v="50"/>
    <n v="84.5"/>
  </r>
  <r>
    <x v="20"/>
    <x v="48"/>
    <x v="11"/>
    <x v="10"/>
    <n v="291.85"/>
    <n v="65"/>
    <n v="135.85"/>
  </r>
  <r>
    <x v="20"/>
    <x v="49"/>
    <x v="27"/>
    <x v="10"/>
    <n v="237.32"/>
    <n v="68"/>
    <n v="121.72"/>
  </r>
  <r>
    <x v="21"/>
    <x v="0"/>
    <x v="46"/>
    <x v="0"/>
    <n v="558.4"/>
    <n v="160"/>
    <n v="206.4"/>
  </r>
  <r>
    <x v="21"/>
    <x v="1"/>
    <x v="49"/>
    <x v="0"/>
    <n v="338.91"/>
    <n v="79"/>
    <n v="125.61"/>
  </r>
  <r>
    <x v="21"/>
    <x v="2"/>
    <x v="13"/>
    <x v="0"/>
    <n v="179.7"/>
    <n v="30"/>
    <n v="80.7"/>
  </r>
  <r>
    <x v="21"/>
    <x v="3"/>
    <x v="3"/>
    <x v="2"/>
    <n v="174.75"/>
    <n v="25"/>
    <n v="77.25"/>
  </r>
  <r>
    <x v="21"/>
    <x v="4"/>
    <x v="16"/>
    <x v="2"/>
    <n v="789.36"/>
    <n v="184"/>
    <n v="393.76"/>
  </r>
  <r>
    <x v="21"/>
    <x v="5"/>
    <x v="10"/>
    <x v="2"/>
    <n v="408.59"/>
    <n v="91"/>
    <n v="199.29"/>
  </r>
  <r>
    <x v="21"/>
    <x v="6"/>
    <x v="42"/>
    <x v="2"/>
    <n v="217.49"/>
    <n v="101"/>
    <n v="106.39"/>
  </r>
  <r>
    <x v="21"/>
    <x v="7"/>
    <x v="24"/>
    <x v="2"/>
    <n v="389.22"/>
    <n v="78"/>
    <n v="178.62"/>
  </r>
  <r>
    <x v="21"/>
    <x v="8"/>
    <x v="26"/>
    <x v="2"/>
    <n v="148.49"/>
    <n v="31"/>
    <n v="67.89"/>
  </r>
  <r>
    <x v="21"/>
    <x v="9"/>
    <x v="2"/>
    <x v="2"/>
    <n v="358.8"/>
    <n v="120"/>
    <n v="244.8"/>
  </r>
  <r>
    <x v="21"/>
    <x v="10"/>
    <x v="4"/>
    <x v="3"/>
    <n v="272.56"/>
    <n v="44"/>
    <n v="26.16"/>
  </r>
  <r>
    <x v="21"/>
    <x v="11"/>
    <x v="20"/>
    <x v="3"/>
    <n v="215.73"/>
    <n v="27"/>
    <n v="78.03"/>
  </r>
  <r>
    <x v="21"/>
    <x v="12"/>
    <x v="6"/>
    <x v="3"/>
    <n v="433.69"/>
    <n v="31"/>
    <n v="111.29"/>
  </r>
  <r>
    <x v="21"/>
    <x v="13"/>
    <x v="23"/>
    <x v="5"/>
    <n v="363.15"/>
    <n v="45"/>
    <n v="120.15"/>
  </r>
  <r>
    <x v="21"/>
    <x v="14"/>
    <x v="22"/>
    <x v="5"/>
    <n v="227.24"/>
    <n v="76"/>
    <n v="136.04"/>
  </r>
  <r>
    <x v="21"/>
    <x v="15"/>
    <x v="19"/>
    <x v="5"/>
    <n v="335.58"/>
    <n v="42"/>
    <n v="138.18"/>
  </r>
  <r>
    <x v="21"/>
    <x v="16"/>
    <x v="18"/>
    <x v="5"/>
    <n v="479.6"/>
    <n v="40"/>
    <n v="195.6"/>
  </r>
  <r>
    <x v="21"/>
    <x v="17"/>
    <x v="7"/>
    <x v="4"/>
    <n v="951.23"/>
    <n v="127"/>
    <n v="455.93"/>
  </r>
  <r>
    <x v="21"/>
    <x v="18"/>
    <x v="44"/>
    <x v="4"/>
    <n v="829.17"/>
    <n v="83"/>
    <n v="364.37"/>
  </r>
  <r>
    <x v="21"/>
    <x v="19"/>
    <x v="21"/>
    <x v="4"/>
    <n v="752.13"/>
    <n v="137"/>
    <n v="423.33"/>
  </r>
  <r>
    <x v="21"/>
    <x v="20"/>
    <x v="38"/>
    <x v="4"/>
    <n v="450.59"/>
    <n v="41"/>
    <n v="196.39"/>
  </r>
  <r>
    <x v="21"/>
    <x v="21"/>
    <x v="17"/>
    <x v="4"/>
    <n v="616.55"/>
    <n v="95"/>
    <n v="312.55"/>
  </r>
  <r>
    <x v="21"/>
    <x v="22"/>
    <x v="25"/>
    <x v="6"/>
    <n v="435.53"/>
    <n v="97"/>
    <n v="183.33"/>
  </r>
  <r>
    <x v="21"/>
    <x v="23"/>
    <x v="5"/>
    <x v="6"/>
    <n v="134.89"/>
    <n v="41"/>
    <n v="56.99"/>
  </r>
  <r>
    <x v="21"/>
    <x v="24"/>
    <x v="33"/>
    <x v="6"/>
    <n v="99.59999999999999"/>
    <n v="40"/>
    <n v="47.6"/>
  </r>
  <r>
    <x v="21"/>
    <x v="25"/>
    <x v="41"/>
    <x v="6"/>
    <n v="147.63"/>
    <n v="37"/>
    <n v="62.53"/>
  </r>
  <r>
    <x v="21"/>
    <x v="26"/>
    <x v="39"/>
    <x v="6"/>
    <n v="113.01"/>
    <n v="27"/>
    <n v="34.71"/>
  </r>
  <r>
    <x v="21"/>
    <x v="27"/>
    <x v="45"/>
    <x v="6"/>
    <n v="201.19"/>
    <n v="31"/>
    <n v="77.19"/>
  </r>
  <r>
    <x v="21"/>
    <x v="28"/>
    <x v="15"/>
    <x v="6"/>
    <n v="736.33"/>
    <n v="67"/>
    <n v="186.93"/>
  </r>
  <r>
    <x v="21"/>
    <x v="29"/>
    <x v="9"/>
    <x v="6"/>
    <n v="347.71"/>
    <n v="29"/>
    <n v="127.31"/>
  </r>
  <r>
    <x v="21"/>
    <x v="30"/>
    <x v="47"/>
    <x v="8"/>
    <n v="413.54"/>
    <n v="46"/>
    <n v="142.14"/>
  </r>
  <r>
    <x v="21"/>
    <x v="31"/>
    <x v="14"/>
    <x v="8"/>
    <n v="64.87"/>
    <n v="13"/>
    <n v="27.17"/>
  </r>
  <r>
    <x v="21"/>
    <x v="32"/>
    <x v="34"/>
    <x v="8"/>
    <n v="74.95"/>
    <n v="5"/>
    <n v="47.45"/>
  </r>
  <r>
    <x v="21"/>
    <x v="33"/>
    <x v="12"/>
    <x v="1"/>
    <n v="758.67"/>
    <n v="33"/>
    <n v="253.77"/>
  </r>
  <r>
    <x v="21"/>
    <x v="34"/>
    <x v="40"/>
    <x v="1"/>
    <n v="463.71"/>
    <n v="29"/>
    <n v="167.91"/>
  </r>
  <r>
    <x v="21"/>
    <x v="35"/>
    <x v="37"/>
    <x v="1"/>
    <n v="485.73"/>
    <n v="27"/>
    <n v="164.43"/>
  </r>
  <r>
    <x v="21"/>
    <x v="36"/>
    <x v="35"/>
    <x v="1"/>
    <n v="259.87"/>
    <n v="13"/>
    <n v="93.47"/>
  </r>
  <r>
    <x v="21"/>
    <x v="37"/>
    <x v="29"/>
    <x v="3"/>
    <n v="1447.44"/>
    <n v="296"/>
    <n v="396.64"/>
  </r>
  <r>
    <x v="21"/>
    <x v="38"/>
    <x v="28"/>
    <x v="3"/>
    <n v="464.55"/>
    <n v="95"/>
    <n v="127.3"/>
  </r>
  <r>
    <x v="21"/>
    <x v="39"/>
    <x v="31"/>
    <x v="3"/>
    <n v="261.69"/>
    <n v="61"/>
    <n v="96.98999999999999"/>
  </r>
  <r>
    <x v="21"/>
    <x v="40"/>
    <x v="32"/>
    <x v="7"/>
    <n v="151.62"/>
    <n v="38"/>
    <n v="90.81999999999999"/>
  </r>
  <r>
    <x v="21"/>
    <x v="41"/>
    <x v="43"/>
    <x v="7"/>
    <n v="284.81"/>
    <n v="19"/>
    <n v="129.01"/>
  </r>
  <r>
    <x v="21"/>
    <x v="42"/>
    <x v="1"/>
    <x v="9"/>
    <n v="147.66"/>
    <n v="214"/>
    <n v="66.34"/>
  </r>
  <r>
    <x v="21"/>
    <x v="43"/>
    <x v="0"/>
    <x v="9"/>
    <n v="139.44"/>
    <n v="56"/>
    <n v="61.04"/>
  </r>
  <r>
    <x v="21"/>
    <x v="44"/>
    <x v="48"/>
    <x v="9"/>
    <n v="139.19"/>
    <n v="31"/>
    <n v="58.59"/>
  </r>
  <r>
    <x v="21"/>
    <x v="45"/>
    <x v="36"/>
    <x v="10"/>
    <n v="690.27"/>
    <n v="173"/>
    <n v="326.97"/>
  </r>
  <r>
    <x v="21"/>
    <x v="46"/>
    <x v="8"/>
    <x v="10"/>
    <n v="636.84"/>
    <n v="116"/>
    <n v="265.64"/>
  </r>
  <r>
    <x v="21"/>
    <x v="47"/>
    <x v="30"/>
    <x v="10"/>
    <n v="231.66"/>
    <n v="54"/>
    <n v="91.26000000000001"/>
  </r>
  <r>
    <x v="21"/>
    <x v="48"/>
    <x v="11"/>
    <x v="10"/>
    <n v="264.91"/>
    <n v="59"/>
    <n v="123.31"/>
  </r>
  <r>
    <x v="21"/>
    <x v="49"/>
    <x v="27"/>
    <x v="10"/>
    <n v="254.77"/>
    <n v="73"/>
    <n v="130.67"/>
  </r>
  <r>
    <x v="22"/>
    <x v="0"/>
    <x v="46"/>
    <x v="0"/>
    <n v="530.48"/>
    <n v="152"/>
    <n v="196.08"/>
  </r>
  <r>
    <x v="22"/>
    <x v="1"/>
    <x v="49"/>
    <x v="0"/>
    <n v="373.23"/>
    <n v="87"/>
    <n v="138.33"/>
  </r>
  <r>
    <x v="22"/>
    <x v="2"/>
    <x v="13"/>
    <x v="0"/>
    <n v="311.48"/>
    <n v="52"/>
    <n v="139.88"/>
  </r>
  <r>
    <x v="22"/>
    <x v="3"/>
    <x v="3"/>
    <x v="2"/>
    <n v="223.68"/>
    <n v="32"/>
    <n v="98.88"/>
  </r>
  <r>
    <x v="22"/>
    <x v="4"/>
    <x v="16"/>
    <x v="2"/>
    <n v="763.62"/>
    <n v="178"/>
    <n v="380.92"/>
  </r>
  <r>
    <x v="22"/>
    <x v="5"/>
    <x v="10"/>
    <x v="2"/>
    <n v="489.41"/>
    <n v="109"/>
    <n v="238.71"/>
  </r>
  <r>
    <x v="22"/>
    <x v="6"/>
    <x v="42"/>
    <x v="2"/>
    <n v="219.12"/>
    <n v="88"/>
    <n v="122.32"/>
  </r>
  <r>
    <x v="22"/>
    <x v="7"/>
    <x v="24"/>
    <x v="2"/>
    <n v="469.06"/>
    <n v="94"/>
    <n v="215.26"/>
  </r>
  <r>
    <x v="22"/>
    <x v="8"/>
    <x v="26"/>
    <x v="2"/>
    <n v="167.65"/>
    <n v="35"/>
    <n v="76.65000000000001"/>
  </r>
  <r>
    <x v="22"/>
    <x v="9"/>
    <x v="2"/>
    <x v="2"/>
    <n v="355.81"/>
    <n v="119"/>
    <n v="242.76"/>
  </r>
  <r>
    <x v="22"/>
    <x v="10"/>
    <x v="4"/>
    <x v="3"/>
    <n v="401.39"/>
    <n v="61"/>
    <n v="59.79"/>
  </r>
  <r>
    <x v="22"/>
    <x v="11"/>
    <x v="20"/>
    <x v="3"/>
    <n v="183.77"/>
    <n v="23"/>
    <n v="66.47"/>
  </r>
  <r>
    <x v="22"/>
    <x v="12"/>
    <x v="6"/>
    <x v="3"/>
    <n v="475.66"/>
    <n v="34"/>
    <n v="122.06"/>
  </r>
  <r>
    <x v="22"/>
    <x v="13"/>
    <x v="23"/>
    <x v="5"/>
    <n v="512.4299999999999"/>
    <n v="57"/>
    <n v="204.63"/>
  </r>
  <r>
    <x v="22"/>
    <x v="14"/>
    <x v="22"/>
    <x v="5"/>
    <n v="170.43"/>
    <n v="57"/>
    <n v="102.03"/>
  </r>
  <r>
    <x v="22"/>
    <x v="15"/>
    <x v="19"/>
    <x v="5"/>
    <n v="394.64"/>
    <n v="56"/>
    <n v="131.44"/>
  </r>
  <r>
    <x v="22"/>
    <x v="16"/>
    <x v="18"/>
    <x v="5"/>
    <n v="474.74"/>
    <n v="46"/>
    <n v="148.14"/>
  </r>
  <r>
    <x v="22"/>
    <x v="17"/>
    <x v="7"/>
    <x v="4"/>
    <n v="1213.38"/>
    <n v="162"/>
    <n v="581.58"/>
  </r>
  <r>
    <x v="22"/>
    <x v="18"/>
    <x v="44"/>
    <x v="4"/>
    <n v="999"/>
    <n v="100"/>
    <n v="439"/>
  </r>
  <r>
    <x v="22"/>
    <x v="19"/>
    <x v="21"/>
    <x v="4"/>
    <n v="790.5599999999999"/>
    <n v="144"/>
    <n v="444.96"/>
  </r>
  <r>
    <x v="22"/>
    <x v="20"/>
    <x v="38"/>
    <x v="4"/>
    <n v="406.63"/>
    <n v="37"/>
    <n v="177.23"/>
  </r>
  <r>
    <x v="22"/>
    <x v="21"/>
    <x v="17"/>
    <x v="4"/>
    <n v="499.73"/>
    <n v="77"/>
    <n v="253.33"/>
  </r>
  <r>
    <x v="22"/>
    <x v="22"/>
    <x v="25"/>
    <x v="6"/>
    <n v="520.84"/>
    <n v="116"/>
    <n v="219.24"/>
  </r>
  <r>
    <x v="22"/>
    <x v="23"/>
    <x v="5"/>
    <x v="6"/>
    <n v="131.6"/>
    <n v="40"/>
    <n v="55.6"/>
  </r>
  <r>
    <x v="22"/>
    <x v="24"/>
    <x v="33"/>
    <x v="6"/>
    <n v="104.58"/>
    <n v="42"/>
    <n v="49.98"/>
  </r>
  <r>
    <x v="22"/>
    <x v="25"/>
    <x v="41"/>
    <x v="6"/>
    <n v="163.59"/>
    <n v="41"/>
    <n v="69.29000000000001"/>
  </r>
  <r>
    <x v="22"/>
    <x v="26"/>
    <x v="39"/>
    <x v="6"/>
    <n v="119.75"/>
    <n v="25"/>
    <n v="47.25"/>
  </r>
  <r>
    <x v="22"/>
    <x v="27"/>
    <x v="45"/>
    <x v="6"/>
    <n v="162.25"/>
    <n v="25"/>
    <n v="62.25"/>
  </r>
  <r>
    <x v="22"/>
    <x v="28"/>
    <x v="15"/>
    <x v="6"/>
    <n v="967.12"/>
    <n v="88"/>
    <n v="245.52"/>
  </r>
  <r>
    <x v="22"/>
    <x v="29"/>
    <x v="9"/>
    <x v="6"/>
    <n v="263.78"/>
    <n v="22"/>
    <n v="96.58"/>
  </r>
  <r>
    <x v="22"/>
    <x v="30"/>
    <x v="47"/>
    <x v="8"/>
    <n v="287.68"/>
    <n v="32"/>
    <n v="98.88"/>
  </r>
  <r>
    <x v="22"/>
    <x v="31"/>
    <x v="14"/>
    <x v="8"/>
    <n v="134.73"/>
    <n v="27"/>
    <n v="56.43"/>
  </r>
  <r>
    <x v="22"/>
    <x v="32"/>
    <x v="34"/>
    <x v="8"/>
    <n v="194.87"/>
    <n v="13"/>
    <n v="123.37"/>
  </r>
  <r>
    <x v="22"/>
    <x v="33"/>
    <x v="12"/>
    <x v="1"/>
    <n v="1108.05"/>
    <n v="55"/>
    <n v="266.55"/>
  </r>
  <r>
    <x v="22"/>
    <x v="34"/>
    <x v="40"/>
    <x v="1"/>
    <n v="495.69"/>
    <n v="31"/>
    <n v="179.49"/>
  </r>
  <r>
    <x v="22"/>
    <x v="35"/>
    <x v="37"/>
    <x v="1"/>
    <n v="323.82"/>
    <n v="18"/>
    <n v="109.62"/>
  </r>
  <r>
    <x v="22"/>
    <x v="36"/>
    <x v="35"/>
    <x v="1"/>
    <n v="439.78"/>
    <n v="22"/>
    <n v="158.18"/>
  </r>
  <r>
    <x v="22"/>
    <x v="37"/>
    <x v="29"/>
    <x v="3"/>
    <n v="1183.38"/>
    <n v="242"/>
    <n v="324.28"/>
  </r>
  <r>
    <x v="22"/>
    <x v="38"/>
    <x v="28"/>
    <x v="3"/>
    <n v="547.6799999999999"/>
    <n v="112"/>
    <n v="150.08"/>
  </r>
  <r>
    <x v="22"/>
    <x v="39"/>
    <x v="31"/>
    <x v="3"/>
    <n v="167.31"/>
    <n v="39"/>
    <n v="62.01"/>
  </r>
  <r>
    <x v="22"/>
    <x v="40"/>
    <x v="32"/>
    <x v="7"/>
    <n v="131.67"/>
    <n v="33"/>
    <n v="78.87"/>
  </r>
  <r>
    <x v="22"/>
    <x v="41"/>
    <x v="43"/>
    <x v="7"/>
    <n v="239.84"/>
    <n v="16"/>
    <n v="108.64"/>
  </r>
  <r>
    <x v="22"/>
    <x v="42"/>
    <x v="1"/>
    <x v="9"/>
    <n v="147.66"/>
    <n v="214"/>
    <n v="66.34"/>
  </r>
  <r>
    <x v="22"/>
    <x v="43"/>
    <x v="0"/>
    <x v="9"/>
    <n v="126.99"/>
    <n v="51"/>
    <n v="55.59"/>
  </r>
  <r>
    <x v="22"/>
    <x v="44"/>
    <x v="48"/>
    <x v="9"/>
    <n v="134.7"/>
    <n v="30"/>
    <n v="56.7"/>
  </r>
  <r>
    <x v="22"/>
    <x v="45"/>
    <x v="36"/>
    <x v="10"/>
    <n v="630.42"/>
    <n v="158"/>
    <n v="298.62"/>
  </r>
  <r>
    <x v="22"/>
    <x v="46"/>
    <x v="8"/>
    <x v="10"/>
    <n v="658.8"/>
    <n v="120"/>
    <n v="274.8"/>
  </r>
  <r>
    <x v="22"/>
    <x v="47"/>
    <x v="30"/>
    <x v="10"/>
    <n v="356.07"/>
    <n v="83"/>
    <n v="140.27"/>
  </r>
  <r>
    <x v="22"/>
    <x v="48"/>
    <x v="11"/>
    <x v="10"/>
    <n v="323.28"/>
    <n v="72"/>
    <n v="150.48"/>
  </r>
  <r>
    <x v="22"/>
    <x v="49"/>
    <x v="27"/>
    <x v="10"/>
    <n v="247.79"/>
    <n v="71"/>
    <n v="127.09"/>
  </r>
  <r>
    <x v="23"/>
    <x v="0"/>
    <x v="46"/>
    <x v="0"/>
    <n v="502.56"/>
    <n v="144"/>
    <n v="185.76"/>
  </r>
  <r>
    <x v="23"/>
    <x v="1"/>
    <x v="49"/>
    <x v="0"/>
    <n v="317.46"/>
    <n v="74"/>
    <n v="117.66"/>
  </r>
  <r>
    <x v="23"/>
    <x v="2"/>
    <x v="13"/>
    <x v="0"/>
    <n v="275.54"/>
    <n v="46"/>
    <n v="123.74"/>
  </r>
  <r>
    <x v="23"/>
    <x v="3"/>
    <x v="3"/>
    <x v="2"/>
    <n v="244.65"/>
    <n v="35"/>
    <n v="108.15"/>
  </r>
  <r>
    <x v="23"/>
    <x v="4"/>
    <x v="16"/>
    <x v="2"/>
    <n v="767.91"/>
    <n v="179"/>
    <n v="383.06"/>
  </r>
  <r>
    <x v="23"/>
    <x v="5"/>
    <x v="10"/>
    <x v="2"/>
    <n v="431.04"/>
    <n v="96"/>
    <n v="210.24"/>
  </r>
  <r>
    <x v="23"/>
    <x v="6"/>
    <x v="42"/>
    <x v="2"/>
    <n v="186.75"/>
    <n v="75"/>
    <n v="104.25"/>
  </r>
  <r>
    <x v="23"/>
    <x v="7"/>
    <x v="24"/>
    <x v="2"/>
    <n v="469.06"/>
    <n v="94"/>
    <n v="215.26"/>
  </r>
  <r>
    <x v="23"/>
    <x v="8"/>
    <x v="26"/>
    <x v="2"/>
    <n v="158.07"/>
    <n v="33"/>
    <n v="72.27"/>
  </r>
  <r>
    <x v="23"/>
    <x v="9"/>
    <x v="2"/>
    <x v="2"/>
    <n v="400.66"/>
    <n v="134"/>
    <n v="273.36"/>
  </r>
  <r>
    <x v="23"/>
    <x v="10"/>
    <x v="4"/>
    <x v="3"/>
    <n v="329.56"/>
    <n v="44"/>
    <n v="83.16"/>
  </r>
  <r>
    <x v="23"/>
    <x v="11"/>
    <x v="20"/>
    <x v="3"/>
    <n v="215.73"/>
    <n v="27"/>
    <n v="78.03"/>
  </r>
  <r>
    <x v="23"/>
    <x v="12"/>
    <x v="6"/>
    <x v="3"/>
    <n v="601.5700000000001"/>
    <n v="43"/>
    <n v="154.37"/>
  </r>
  <r>
    <x v="23"/>
    <x v="13"/>
    <x v="23"/>
    <x v="5"/>
    <n v="359.6"/>
    <n v="40"/>
    <n v="143.6"/>
  </r>
  <r>
    <x v="23"/>
    <x v="14"/>
    <x v="22"/>
    <x v="5"/>
    <n v="233.22"/>
    <n v="78"/>
    <n v="139.62"/>
  </r>
  <r>
    <x v="23"/>
    <x v="15"/>
    <x v="19"/>
    <x v="5"/>
    <n v="351.56"/>
    <n v="44"/>
    <n v="144.76"/>
  </r>
  <r>
    <x v="23"/>
    <x v="16"/>
    <x v="18"/>
    <x v="5"/>
    <n v="371.69"/>
    <n v="31"/>
    <n v="151.59"/>
  </r>
  <r>
    <x v="23"/>
    <x v="17"/>
    <x v="7"/>
    <x v="4"/>
    <n v="898.8000000000001"/>
    <n v="120"/>
    <n v="430.8"/>
  </r>
  <r>
    <x v="23"/>
    <x v="18"/>
    <x v="44"/>
    <x v="4"/>
    <n v="929.0700000000001"/>
    <n v="93"/>
    <n v="408.27"/>
  </r>
  <r>
    <x v="23"/>
    <x v="19"/>
    <x v="21"/>
    <x v="4"/>
    <n v="620.37"/>
    <n v="113"/>
    <n v="349.17"/>
  </r>
  <r>
    <x v="23"/>
    <x v="20"/>
    <x v="38"/>
    <x v="4"/>
    <n v="406.63"/>
    <n v="37"/>
    <n v="177.23"/>
  </r>
  <r>
    <x v="23"/>
    <x v="21"/>
    <x v="17"/>
    <x v="4"/>
    <n v="428.34"/>
    <n v="66"/>
    <n v="217.14"/>
  </r>
  <r>
    <x v="23"/>
    <x v="22"/>
    <x v="25"/>
    <x v="6"/>
    <n v="484.92"/>
    <n v="108"/>
    <n v="204.12"/>
  </r>
  <r>
    <x v="23"/>
    <x v="23"/>
    <x v="5"/>
    <x v="6"/>
    <n v="144.76"/>
    <n v="44"/>
    <n v="61.16"/>
  </r>
  <r>
    <x v="23"/>
    <x v="24"/>
    <x v="33"/>
    <x v="6"/>
    <n v="117.03"/>
    <n v="47"/>
    <n v="55.93"/>
  </r>
  <r>
    <x v="23"/>
    <x v="25"/>
    <x v="41"/>
    <x v="6"/>
    <n v="119.7"/>
    <n v="30"/>
    <n v="50.7"/>
  </r>
  <r>
    <x v="23"/>
    <x v="26"/>
    <x v="39"/>
    <x v="6"/>
    <n v="119.75"/>
    <n v="25"/>
    <n v="47.25"/>
  </r>
  <r>
    <x v="23"/>
    <x v="27"/>
    <x v="45"/>
    <x v="6"/>
    <n v="145.34"/>
    <n v="26"/>
    <n v="41.34"/>
  </r>
  <r>
    <x v="23"/>
    <x v="28"/>
    <x v="15"/>
    <x v="6"/>
    <n v="626.4299999999999"/>
    <n v="57"/>
    <n v="159.03"/>
  </r>
  <r>
    <x v="23"/>
    <x v="29"/>
    <x v="9"/>
    <x v="6"/>
    <n v="311.74"/>
    <n v="26"/>
    <n v="114.14"/>
  </r>
  <r>
    <x v="23"/>
    <x v="30"/>
    <x v="47"/>
    <x v="8"/>
    <n v="206.77"/>
    <n v="23"/>
    <n v="71.06999999999999"/>
  </r>
  <r>
    <x v="23"/>
    <x v="31"/>
    <x v="14"/>
    <x v="8"/>
    <n v="159.68"/>
    <n v="32"/>
    <n v="66.88"/>
  </r>
  <r>
    <x v="23"/>
    <x v="32"/>
    <x v="34"/>
    <x v="8"/>
    <n v="74.95"/>
    <n v="5"/>
    <n v="47.45"/>
  </r>
  <r>
    <x v="23"/>
    <x v="33"/>
    <x v="12"/>
    <x v="1"/>
    <n v="735.6800000000001"/>
    <n v="32"/>
    <n v="246.08"/>
  </r>
  <r>
    <x v="23"/>
    <x v="34"/>
    <x v="40"/>
    <x v="1"/>
    <n v="559.65"/>
    <n v="35"/>
    <n v="202.65"/>
  </r>
  <r>
    <x v="23"/>
    <x v="35"/>
    <x v="37"/>
    <x v="1"/>
    <n v="539.6999999999999"/>
    <n v="30"/>
    <n v="182.7"/>
  </r>
  <r>
    <x v="23"/>
    <x v="36"/>
    <x v="35"/>
    <x v="1"/>
    <n v="319.84"/>
    <n v="16"/>
    <n v="115.04"/>
  </r>
  <r>
    <x v="23"/>
    <x v="37"/>
    <x v="29"/>
    <x v="3"/>
    <n v="1403.43"/>
    <n v="287"/>
    <n v="384.58"/>
  </r>
  <r>
    <x v="23"/>
    <x v="38"/>
    <x v="28"/>
    <x v="3"/>
    <n v="489"/>
    <n v="100"/>
    <n v="134"/>
  </r>
  <r>
    <x v="23"/>
    <x v="39"/>
    <x v="31"/>
    <x v="3"/>
    <n v="227.37"/>
    <n v="53"/>
    <n v="84.27"/>
  </r>
  <r>
    <x v="23"/>
    <x v="40"/>
    <x v="32"/>
    <x v="7"/>
    <n v="103.74"/>
    <n v="26"/>
    <n v="62.14"/>
  </r>
  <r>
    <x v="23"/>
    <x v="41"/>
    <x v="43"/>
    <x v="7"/>
    <n v="164.89"/>
    <n v="11"/>
    <n v="74.69"/>
  </r>
  <r>
    <x v="23"/>
    <x v="42"/>
    <x v="1"/>
    <x v="9"/>
    <n v="161.46"/>
    <n v="234"/>
    <n v="72.54000000000001"/>
  </r>
  <r>
    <x v="23"/>
    <x v="43"/>
    <x v="0"/>
    <x v="9"/>
    <n v="109.56"/>
    <n v="44"/>
    <n v="47.96"/>
  </r>
  <r>
    <x v="23"/>
    <x v="44"/>
    <x v="48"/>
    <x v="9"/>
    <n v="107.76"/>
    <n v="24"/>
    <n v="45.36"/>
  </r>
  <r>
    <x v="23"/>
    <x v="45"/>
    <x v="36"/>
    <x v="10"/>
    <n v="578.55"/>
    <n v="145"/>
    <n v="274.05"/>
  </r>
  <r>
    <x v="23"/>
    <x v="46"/>
    <x v="8"/>
    <x v="10"/>
    <n v="686.25"/>
    <n v="125"/>
    <n v="286.25"/>
  </r>
  <r>
    <x v="23"/>
    <x v="47"/>
    <x v="30"/>
    <x v="10"/>
    <n v="223.88"/>
    <n v="58"/>
    <n v="73.08"/>
  </r>
  <r>
    <x v="23"/>
    <x v="48"/>
    <x v="11"/>
    <x v="10"/>
    <n v="327.77"/>
    <n v="73"/>
    <n v="152.57"/>
  </r>
  <r>
    <x v="23"/>
    <x v="49"/>
    <x v="27"/>
    <x v="10"/>
    <n v="265.24"/>
    <n v="76"/>
    <n v="136.04"/>
  </r>
  <r>
    <x v="24"/>
    <x v="0"/>
    <x v="46"/>
    <x v="0"/>
    <n v="436.25"/>
    <n v="125"/>
    <n v="161.25"/>
  </r>
  <r>
    <x v="24"/>
    <x v="1"/>
    <x v="49"/>
    <x v="0"/>
    <n v="364.65"/>
    <n v="85"/>
    <n v="135.15"/>
  </r>
  <r>
    <x v="24"/>
    <x v="2"/>
    <x v="13"/>
    <x v="0"/>
    <n v="293.45"/>
    <n v="55"/>
    <n v="111.95"/>
  </r>
  <r>
    <x v="24"/>
    <x v="3"/>
    <x v="3"/>
    <x v="2"/>
    <n v="174.75"/>
    <n v="25"/>
    <n v="77.25"/>
  </r>
  <r>
    <x v="24"/>
    <x v="4"/>
    <x v="16"/>
    <x v="2"/>
    <n v="840.84"/>
    <n v="196"/>
    <n v="419.44"/>
  </r>
  <r>
    <x v="24"/>
    <x v="5"/>
    <x v="10"/>
    <x v="2"/>
    <n v="431.04"/>
    <n v="96"/>
    <n v="210.24"/>
  </r>
  <r>
    <x v="24"/>
    <x v="6"/>
    <x v="42"/>
    <x v="2"/>
    <n v="256.47"/>
    <n v="103"/>
    <n v="143.17"/>
  </r>
  <r>
    <x v="24"/>
    <x v="7"/>
    <x v="24"/>
    <x v="2"/>
    <n v="464.07"/>
    <n v="93"/>
    <n v="212.97"/>
  </r>
  <r>
    <x v="24"/>
    <x v="8"/>
    <x v="26"/>
    <x v="2"/>
    <n v="177.23"/>
    <n v="37"/>
    <n v="81.03"/>
  </r>
  <r>
    <x v="24"/>
    <x v="9"/>
    <x v="2"/>
    <x v="2"/>
    <n v="397.67"/>
    <n v="133"/>
    <n v="271.32"/>
  </r>
  <r>
    <x v="24"/>
    <x v="10"/>
    <x v="4"/>
    <x v="3"/>
    <n v="262.15"/>
    <n v="35"/>
    <n v="66.15000000000001"/>
  </r>
  <r>
    <x v="24"/>
    <x v="11"/>
    <x v="20"/>
    <x v="3"/>
    <n v="215.73"/>
    <n v="27"/>
    <n v="78.03"/>
  </r>
  <r>
    <x v="24"/>
    <x v="12"/>
    <x v="6"/>
    <x v="3"/>
    <n v="699.5"/>
    <n v="50"/>
    <n v="179.5"/>
  </r>
  <r>
    <x v="24"/>
    <x v="13"/>
    <x v="23"/>
    <x v="5"/>
    <n v="431.52"/>
    <n v="48"/>
    <n v="172.32"/>
  </r>
  <r>
    <x v="24"/>
    <x v="14"/>
    <x v="22"/>
    <x v="5"/>
    <n v="236.21"/>
    <n v="79"/>
    <n v="141.41"/>
  </r>
  <r>
    <x v="24"/>
    <x v="15"/>
    <x v="19"/>
    <x v="5"/>
    <n v="367.54"/>
    <n v="46"/>
    <n v="151.34"/>
  </r>
  <r>
    <x v="24"/>
    <x v="16"/>
    <x v="18"/>
    <x v="5"/>
    <n v="407.66"/>
    <n v="34"/>
    <n v="166.26"/>
  </r>
  <r>
    <x v="24"/>
    <x v="17"/>
    <x v="7"/>
    <x v="4"/>
    <n v="1116.01"/>
    <n v="149"/>
    <n v="534.91"/>
  </r>
  <r>
    <x v="24"/>
    <x v="18"/>
    <x v="44"/>
    <x v="4"/>
    <n v="799.2"/>
    <n v="80"/>
    <n v="351.2"/>
  </r>
  <r>
    <x v="24"/>
    <x v="19"/>
    <x v="21"/>
    <x v="4"/>
    <n v="680.76"/>
    <n v="124"/>
    <n v="383.16"/>
  </r>
  <r>
    <x v="24"/>
    <x v="20"/>
    <x v="38"/>
    <x v="4"/>
    <n v="406.63"/>
    <n v="37"/>
    <n v="177.23"/>
  </r>
  <r>
    <x v="24"/>
    <x v="21"/>
    <x v="17"/>
    <x v="4"/>
    <n v="525.6900000000001"/>
    <n v="81"/>
    <n v="266.49"/>
  </r>
  <r>
    <x v="24"/>
    <x v="22"/>
    <x v="25"/>
    <x v="6"/>
    <n v="449"/>
    <n v="100"/>
    <n v="189"/>
  </r>
  <r>
    <x v="24"/>
    <x v="23"/>
    <x v="5"/>
    <x v="6"/>
    <n v="121.73"/>
    <n v="37"/>
    <n v="51.43"/>
  </r>
  <r>
    <x v="24"/>
    <x v="24"/>
    <x v="33"/>
    <x v="6"/>
    <n v="107.07"/>
    <n v="43"/>
    <n v="51.17"/>
  </r>
  <r>
    <x v="24"/>
    <x v="25"/>
    <x v="41"/>
    <x v="6"/>
    <n v="179.55"/>
    <n v="45"/>
    <n v="76.05"/>
  </r>
  <r>
    <x v="24"/>
    <x v="26"/>
    <x v="39"/>
    <x v="6"/>
    <n v="91.01000000000001"/>
    <n v="19"/>
    <n v="35.91"/>
  </r>
  <r>
    <x v="24"/>
    <x v="27"/>
    <x v="45"/>
    <x v="6"/>
    <n v="168.74"/>
    <n v="26"/>
    <n v="64.73999999999999"/>
  </r>
  <r>
    <x v="24"/>
    <x v="28"/>
    <x v="15"/>
    <x v="6"/>
    <n v="802.27"/>
    <n v="73"/>
    <n v="203.67"/>
  </r>
  <r>
    <x v="24"/>
    <x v="29"/>
    <x v="9"/>
    <x v="6"/>
    <n v="251.79"/>
    <n v="21"/>
    <n v="92.19"/>
  </r>
  <r>
    <x v="24"/>
    <x v="30"/>
    <x v="47"/>
    <x v="8"/>
    <n v="287.68"/>
    <n v="32"/>
    <n v="98.88"/>
  </r>
  <r>
    <x v="24"/>
    <x v="31"/>
    <x v="14"/>
    <x v="8"/>
    <n v="94.81"/>
    <n v="19"/>
    <n v="39.71"/>
  </r>
  <r>
    <x v="24"/>
    <x v="32"/>
    <x v="34"/>
    <x v="8"/>
    <n v="89.94"/>
    <n v="6"/>
    <n v="56.94"/>
  </r>
  <r>
    <x v="24"/>
    <x v="33"/>
    <x v="12"/>
    <x v="1"/>
    <n v="873.62"/>
    <n v="38"/>
    <n v="292.22"/>
  </r>
  <r>
    <x v="24"/>
    <x v="34"/>
    <x v="40"/>
    <x v="1"/>
    <n v="479.7"/>
    <n v="30"/>
    <n v="173.7"/>
  </r>
  <r>
    <x v="24"/>
    <x v="35"/>
    <x v="37"/>
    <x v="1"/>
    <n v="719.6"/>
    <n v="40"/>
    <n v="243.6"/>
  </r>
  <r>
    <x v="24"/>
    <x v="36"/>
    <x v="35"/>
    <x v="1"/>
    <n v="207.88"/>
    <n v="12"/>
    <n v="54.28"/>
  </r>
  <r>
    <x v="24"/>
    <x v="37"/>
    <x v="29"/>
    <x v="3"/>
    <n v="987.78"/>
    <n v="202"/>
    <n v="270.68"/>
  </r>
  <r>
    <x v="24"/>
    <x v="38"/>
    <x v="28"/>
    <x v="3"/>
    <n v="611.25"/>
    <n v="125"/>
    <n v="167.5"/>
  </r>
  <r>
    <x v="24"/>
    <x v="39"/>
    <x v="31"/>
    <x v="3"/>
    <n v="227.37"/>
    <n v="53"/>
    <n v="84.27"/>
  </r>
  <r>
    <x v="24"/>
    <x v="40"/>
    <x v="32"/>
    <x v="7"/>
    <n v="91.77"/>
    <n v="23"/>
    <n v="54.97"/>
  </r>
  <r>
    <x v="24"/>
    <x v="41"/>
    <x v="43"/>
    <x v="7"/>
    <n v="194.87"/>
    <n v="13"/>
    <n v="88.27"/>
  </r>
  <r>
    <x v="24"/>
    <x v="42"/>
    <x v="1"/>
    <x v="9"/>
    <n v="158.7"/>
    <n v="230"/>
    <n v="71.3"/>
  </r>
  <r>
    <x v="24"/>
    <x v="43"/>
    <x v="0"/>
    <x v="9"/>
    <n v="131.97"/>
    <n v="53"/>
    <n v="57.77"/>
  </r>
  <r>
    <x v="24"/>
    <x v="44"/>
    <x v="48"/>
    <x v="9"/>
    <n v="125.72"/>
    <n v="28"/>
    <n v="52.92"/>
  </r>
  <r>
    <x v="24"/>
    <x v="45"/>
    <x v="36"/>
    <x v="10"/>
    <n v="674.3099999999999"/>
    <n v="169"/>
    <n v="319.41"/>
  </r>
  <r>
    <x v="24"/>
    <x v="46"/>
    <x v="8"/>
    <x v="10"/>
    <n v="774.09"/>
    <n v="141"/>
    <n v="322.89"/>
  </r>
  <r>
    <x v="24"/>
    <x v="47"/>
    <x v="30"/>
    <x v="10"/>
    <n v="244.53"/>
    <n v="57"/>
    <n v="96.33"/>
  </r>
  <r>
    <x v="24"/>
    <x v="48"/>
    <x v="11"/>
    <x v="10"/>
    <n v="255.93"/>
    <n v="57"/>
    <n v="119.13"/>
  </r>
  <r>
    <x v="24"/>
    <x v="49"/>
    <x v="27"/>
    <x v="10"/>
    <n v="240.81"/>
    <n v="69"/>
    <n v="123.51"/>
  </r>
  <r>
    <x v="25"/>
    <x v="0"/>
    <x v="46"/>
    <x v="0"/>
    <n v="523.5"/>
    <n v="150"/>
    <n v="193.5"/>
  </r>
  <r>
    <x v="25"/>
    <x v="1"/>
    <x v="49"/>
    <x v="0"/>
    <n v="373.23"/>
    <n v="87"/>
    <n v="138.33"/>
  </r>
  <r>
    <x v="25"/>
    <x v="2"/>
    <x v="13"/>
    <x v="0"/>
    <n v="245.59"/>
    <n v="41"/>
    <n v="110.29"/>
  </r>
  <r>
    <x v="25"/>
    <x v="3"/>
    <x v="3"/>
    <x v="2"/>
    <n v="356.49"/>
    <n v="51"/>
    <n v="157.59"/>
  </r>
  <r>
    <x v="25"/>
    <x v="4"/>
    <x v="16"/>
    <x v="2"/>
    <n v="1389.96"/>
    <n v="324"/>
    <n v="693.36"/>
  </r>
  <r>
    <x v="25"/>
    <x v="5"/>
    <x v="10"/>
    <x v="2"/>
    <n v="417.57"/>
    <n v="93"/>
    <n v="203.67"/>
  </r>
  <r>
    <x v="25"/>
    <x v="6"/>
    <x v="42"/>
    <x v="2"/>
    <n v="171.81"/>
    <n v="69"/>
    <n v="95.91"/>
  </r>
  <r>
    <x v="25"/>
    <x v="7"/>
    <x v="24"/>
    <x v="2"/>
    <n v="404.19"/>
    <n v="81"/>
    <n v="185.49"/>
  </r>
  <r>
    <x v="25"/>
    <x v="8"/>
    <x v="26"/>
    <x v="2"/>
    <n v="148.49"/>
    <n v="31"/>
    <n v="67.89"/>
  </r>
  <r>
    <x v="25"/>
    <x v="9"/>
    <x v="2"/>
    <x v="2"/>
    <n v="358.8"/>
    <n v="120"/>
    <n v="244.8"/>
  </r>
  <r>
    <x v="25"/>
    <x v="10"/>
    <x v="4"/>
    <x v="3"/>
    <n v="359.52"/>
    <n v="48"/>
    <n v="90.72"/>
  </r>
  <r>
    <x v="25"/>
    <x v="11"/>
    <x v="20"/>
    <x v="3"/>
    <n v="319.6"/>
    <n v="40"/>
    <n v="115.6"/>
  </r>
  <r>
    <x v="25"/>
    <x v="12"/>
    <x v="6"/>
    <x v="3"/>
    <n v="573.59"/>
    <n v="41"/>
    <n v="147.19"/>
  </r>
  <r>
    <x v="25"/>
    <x v="13"/>
    <x v="23"/>
    <x v="5"/>
    <n v="341.62"/>
    <n v="38"/>
    <n v="136.42"/>
  </r>
  <r>
    <x v="25"/>
    <x v="14"/>
    <x v="22"/>
    <x v="5"/>
    <n v="313.95"/>
    <n v="105"/>
    <n v="187.95"/>
  </r>
  <r>
    <x v="25"/>
    <x v="15"/>
    <x v="19"/>
    <x v="5"/>
    <n v="231.71"/>
    <n v="29"/>
    <n v="95.41"/>
  </r>
  <r>
    <x v="25"/>
    <x v="16"/>
    <x v="18"/>
    <x v="5"/>
    <n v="275.77"/>
    <n v="23"/>
    <n v="112.47"/>
  </r>
  <r>
    <x v="25"/>
    <x v="17"/>
    <x v="7"/>
    <x v="4"/>
    <n v="1041.11"/>
    <n v="139"/>
    <n v="499.01"/>
  </r>
  <r>
    <x v="25"/>
    <x v="18"/>
    <x v="44"/>
    <x v="4"/>
    <n v="559.4400000000001"/>
    <n v="56"/>
    <n v="245.84"/>
  </r>
  <r>
    <x v="25"/>
    <x v="19"/>
    <x v="21"/>
    <x v="4"/>
    <n v="483.12"/>
    <n v="88"/>
    <n v="271.92"/>
  </r>
  <r>
    <x v="25"/>
    <x v="20"/>
    <x v="38"/>
    <x v="4"/>
    <n v="461.58"/>
    <n v="42"/>
    <n v="201.18"/>
  </r>
  <r>
    <x v="25"/>
    <x v="21"/>
    <x v="17"/>
    <x v="4"/>
    <n v="460.79"/>
    <n v="71"/>
    <n v="233.59"/>
  </r>
  <r>
    <x v="25"/>
    <x v="22"/>
    <x v="25"/>
    <x v="6"/>
    <n v="354.71"/>
    <n v="79"/>
    <n v="149.31"/>
  </r>
  <r>
    <x v="25"/>
    <x v="23"/>
    <x v="5"/>
    <x v="6"/>
    <n v="131.6"/>
    <n v="40"/>
    <n v="55.6"/>
  </r>
  <r>
    <x v="25"/>
    <x v="24"/>
    <x v="33"/>
    <x v="6"/>
    <n v="84.66"/>
    <n v="34"/>
    <n v="40.46"/>
  </r>
  <r>
    <x v="25"/>
    <x v="25"/>
    <x v="41"/>
    <x v="6"/>
    <n v="131.67"/>
    <n v="33"/>
    <n v="55.77"/>
  </r>
  <r>
    <x v="25"/>
    <x v="26"/>
    <x v="39"/>
    <x v="6"/>
    <n v="118.77"/>
    <n v="27"/>
    <n v="40.47"/>
  </r>
  <r>
    <x v="25"/>
    <x v="27"/>
    <x v="45"/>
    <x v="6"/>
    <n v="142.78"/>
    <n v="22"/>
    <n v="54.78"/>
  </r>
  <r>
    <x v="25"/>
    <x v="28"/>
    <x v="15"/>
    <x v="6"/>
    <n v="648.41"/>
    <n v="59"/>
    <n v="164.61"/>
  </r>
  <r>
    <x v="25"/>
    <x v="29"/>
    <x v="9"/>
    <x v="6"/>
    <n v="179.85"/>
    <n v="15"/>
    <n v="65.84999999999999"/>
  </r>
  <r>
    <x v="25"/>
    <x v="30"/>
    <x v="47"/>
    <x v="8"/>
    <n v="314.65"/>
    <n v="35"/>
    <n v="108.15"/>
  </r>
  <r>
    <x v="25"/>
    <x v="31"/>
    <x v="14"/>
    <x v="8"/>
    <n v="104.79"/>
    <n v="21"/>
    <n v="43.89"/>
  </r>
  <r>
    <x v="25"/>
    <x v="32"/>
    <x v="34"/>
    <x v="8"/>
    <n v="119.92"/>
    <n v="8"/>
    <n v="75.92"/>
  </r>
  <r>
    <x v="25"/>
    <x v="33"/>
    <x v="12"/>
    <x v="1"/>
    <n v="758.67"/>
    <n v="33"/>
    <n v="253.77"/>
  </r>
  <r>
    <x v="25"/>
    <x v="34"/>
    <x v="40"/>
    <x v="1"/>
    <n v="383.76"/>
    <n v="24"/>
    <n v="138.96"/>
  </r>
  <r>
    <x v="25"/>
    <x v="35"/>
    <x v="37"/>
    <x v="1"/>
    <n v="629.65"/>
    <n v="35"/>
    <n v="213.15"/>
  </r>
  <r>
    <x v="25"/>
    <x v="36"/>
    <x v="35"/>
    <x v="1"/>
    <n v="299.85"/>
    <n v="15"/>
    <n v="107.85"/>
  </r>
  <r>
    <x v="25"/>
    <x v="37"/>
    <x v="29"/>
    <x v="3"/>
    <n v="1134.48"/>
    <n v="232"/>
    <n v="310.88"/>
  </r>
  <r>
    <x v="25"/>
    <x v="38"/>
    <x v="28"/>
    <x v="3"/>
    <n v="557.46"/>
    <n v="114"/>
    <n v="152.76"/>
  </r>
  <r>
    <x v="25"/>
    <x v="39"/>
    <x v="31"/>
    <x v="3"/>
    <n v="180.18"/>
    <n v="42"/>
    <n v="66.78"/>
  </r>
  <r>
    <x v="25"/>
    <x v="40"/>
    <x v="32"/>
    <x v="7"/>
    <n v="111.72"/>
    <n v="28"/>
    <n v="66.92"/>
  </r>
  <r>
    <x v="25"/>
    <x v="41"/>
    <x v="43"/>
    <x v="7"/>
    <n v="221.83"/>
    <n v="17"/>
    <n v="82.43000000000001"/>
  </r>
  <r>
    <x v="25"/>
    <x v="42"/>
    <x v="1"/>
    <x v="9"/>
    <n v="132.48"/>
    <n v="192"/>
    <n v="59.52"/>
  </r>
  <r>
    <x v="25"/>
    <x v="43"/>
    <x v="0"/>
    <x v="9"/>
    <n v="155.31"/>
    <n v="69"/>
    <n v="58.71"/>
  </r>
  <r>
    <x v="25"/>
    <x v="44"/>
    <x v="48"/>
    <x v="9"/>
    <n v="193.07"/>
    <n v="43"/>
    <n v="81.27"/>
  </r>
  <r>
    <x v="25"/>
    <x v="45"/>
    <x v="36"/>
    <x v="10"/>
    <n v="586.34"/>
    <n v="166"/>
    <n v="237.74"/>
  </r>
  <r>
    <x v="25"/>
    <x v="46"/>
    <x v="8"/>
    <x v="10"/>
    <n v="559.98"/>
    <n v="102"/>
    <n v="233.58"/>
  </r>
  <r>
    <x v="25"/>
    <x v="47"/>
    <x v="30"/>
    <x v="10"/>
    <n v="253.11"/>
    <n v="59"/>
    <n v="99.70999999999999"/>
  </r>
  <r>
    <x v="25"/>
    <x v="48"/>
    <x v="11"/>
    <x v="10"/>
    <n v="273.89"/>
    <n v="61"/>
    <n v="127.49"/>
  </r>
  <r>
    <x v="25"/>
    <x v="49"/>
    <x v="27"/>
    <x v="10"/>
    <n v="191.95"/>
    <n v="55"/>
    <n v="98.4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1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8:B59" firstHeaderRow="1" firstDataRow="1" firstDataCol="1" rowPageCount="1" colPageCount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5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grand" r="0" i="0">
      <x v="0"/>
    </i>
  </rowItems>
  <colItems count="1">
    <i t="data" r="0" i="0"/>
  </colItems>
  <pageFields count="1">
    <pageField fld="3" hier="-1"/>
  </pageFields>
  <dataFields count="1">
    <dataField name="Sales" fld="4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4:M92" firstHeaderRow="1" firstDataRow="2" firstDataCol="1"/>
  <pivotFields count="7">
    <pivotField axis="axisRow" showDropDowns="1" compact="1" outline="1" subtotalTop="1" dragToRow="1" dragToCol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2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grand" r="0" i="0">
      <x v="0"/>
    </i>
  </rowItems>
  <colFields count="1">
    <field x="3"/>
  </colFields>
  <col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colItems>
  <dataFields count="1">
    <dataField name="Sales" fld="4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awData" displayName="RawData" ref="A1:G1301" headerRowCount="1">
  <autoFilter ref="A1:G1301"/>
  <tableColumns count="7">
    <tableColumn id="1" name="Week ending"/>
    <tableColumn id="2" name="SKU"/>
    <tableColumn id="3" name="Product"/>
    <tableColumn id="4" name="Category"/>
    <tableColumn id="5" name="Sales"/>
    <tableColumn id="6" name="Units"/>
    <tableColumn id="7" name="Gross margi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A8FB8"/>
    <outlinePr summaryBelow="1" summaryRight="1"/>
    <pageSetUpPr fitToPage="1"/>
  </sheetPr>
  <dimension ref="A1:N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3" t="inlineStr">
        <is>
          <t>Category review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Demo Neighbourhood Store (Eden Terrace format) · 13 weeks to 11 Oct 2026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5" t="inlineStr">
        <is>
          <t>Category</t>
        </is>
      </c>
    </row>
    <row r="6">
      <c r="B6" s="6" t="inlineStr">
        <is>
          <t>All</t>
        </is>
      </c>
    </row>
    <row r="7">
      <c r="B7" s="7" t="inlineStr">
        <is>
          <t>Change the blue cell to filter the whole workbook.</t>
        </is>
      </c>
    </row>
    <row r="9">
      <c r="B9" s="8" t="inlineStr">
        <is>
          <t>13-WEEK SALES</t>
        </is>
      </c>
      <c r="D9" s="9" t="n"/>
      <c r="E9" s="8" t="inlineStr">
        <is>
          <t>VS PRIOR 13 WEEKS</t>
        </is>
      </c>
      <c r="G9" s="9" t="n"/>
      <c r="H9" s="8" t="inlineStr">
        <is>
          <t>GROSS MARGIN %</t>
        </is>
      </c>
      <c r="J9" s="9" t="n"/>
      <c r="K9" s="8" t="inlineStr">
        <is>
          <t>PRODUCTS IN SELECTION</t>
        </is>
      </c>
      <c r="M9" s="9" t="n"/>
    </row>
    <row r="10">
      <c r="B10" s="10">
        <f>SUMIFS(Raw!$E$2:$E$1301,Raw!$D$2:$D$1301,CatCrit,Raw!$A$2:$A$1301,"&gt;"&amp;(Assumptions!$C$6-91),Raw!$A$2:$A$1301,"&lt;="&amp;Assumptions!$C$6)</f>
        <v>248707.06</v>
      </c>
      <c r="D10" s="9" t="n"/>
      <c r="E10" s="11">
        <f>IFERROR(SUMIFS(Raw!$E$2:$E$1301,Raw!$D$2:$D$1301,CatCrit,Raw!$A$2:$A$1301,"&gt;"&amp;(Assumptions!$C$6-91),Raw!$A$2:$A$1301,"&lt;="&amp;Assumptions!$C$6)/SUMIFS(Raw!$E$2:$E$1301,Raw!$D$2:$D$1301,CatCrit,Raw!$A$2:$A$1301,"&gt;"&amp;(Assumptions!$C$6-182),Raw!$A$2:$A$1301,"&lt;="&amp;(Assumptions!$C$6-91))-1,0)</f>
        <v>0.014289535023235</v>
      </c>
      <c r="G10" s="9" t="n"/>
      <c r="H10" s="11">
        <f>IFERROR(SUMIFS(Raw!$G$2:$G$1301,Raw!$D$2:$D$1301,CatCrit,Raw!$A$2:$A$1301,"&gt;"&amp;(Assumptions!$C$6-91),Raw!$A$2:$A$1301,"&lt;="&amp;Assumptions!$C$6)/SUMIFS(Raw!$E$2:$E$1301,Raw!$D$2:$D$1301,CatCrit,Raw!$A$2:$A$1301,"&gt;"&amp;(Assumptions!$C$6-91),Raw!$A$2:$A$1301,"&lt;="&amp;Assumptions!$C$6),0)</f>
        <v>0.406301011318296</v>
      </c>
      <c r="J10" s="9" t="n"/>
      <c r="K10" s="12">
        <f>SUM(Model!$K$25:$K$74)</f>
        <v>50</v>
      </c>
      <c r="M10" s="9" t="n"/>
    </row>
    <row r="11">
      <c r="B11" s="9" t="n"/>
      <c r="D11" s="9" t="n"/>
      <c r="E11" s="9" t="n"/>
      <c r="G11" s="9" t="n"/>
      <c r="H11" s="9" t="n"/>
      <c r="J11" s="9" t="n"/>
      <c r="K11" s="9" t="n"/>
      <c r="M11" s="9" t="n"/>
    </row>
  </sheetData>
  <mergeCells count="12">
    <mergeCell ref="H11:I11"/>
    <mergeCell ref="K11:L11"/>
    <mergeCell ref="B11:C11"/>
    <mergeCell ref="E10:F10"/>
    <mergeCell ref="H10:I10"/>
    <mergeCell ref="B10:C10"/>
    <mergeCell ref="E11:F11"/>
    <mergeCell ref="K9:L9"/>
    <mergeCell ref="K10:L10"/>
    <mergeCell ref="B9:C9"/>
    <mergeCell ref="E9:F9"/>
    <mergeCell ref="H9:I9"/>
  </mergeCells>
  <dataValidations count="1">
    <dataValidation sqref="B6" showDropDown="0" showInputMessage="0" showErrorMessage="0" allowBlank="0" promptTitle="Category" prompt="Pick a category or All" type="list">
      <formula1>=Lookup!$M$6:$M$17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B1220"/>
    <outlinePr summaryBelow="1" summaryRight="1"/>
    <pageSetUpPr fitToPage="1"/>
  </sheetPr>
  <dimension ref="A1:P7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6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3" customWidth="1" min="9" max="9"/>
    <col width="26" customWidth="1" min="10" max="10"/>
    <col width="14" customWidth="1" min="11" max="11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" t="n"/>
      <c r="B2" s="3" t="inlineStr">
        <is>
          <t>Model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4" t="inlineStr">
        <is>
          <t>Live formulas over Raw, Lookup and Assumptions. Nothing on this sheet is typed in.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B5" s="13" t="inlineStr">
        <is>
          <t>Categories (13 weeks)</t>
        </is>
      </c>
    </row>
    <row r="7" ht="28" customHeight="1">
      <c r="B7" s="14" t="inlineStr">
        <is>
          <t>Category</t>
        </is>
      </c>
      <c r="C7" s="14" t="inlineStr">
        <is>
          <t>Sales 13w</t>
        </is>
      </c>
      <c r="D7" s="14" t="inlineStr">
        <is>
          <t>Prior 13w</t>
        </is>
      </c>
      <c r="E7" s="14" t="inlineStr">
        <is>
          <t>Change</t>
        </is>
      </c>
      <c r="F7" s="14" t="inlineStr">
        <is>
          <t>Gross margin</t>
        </is>
      </c>
      <c r="G7" s="14" t="inlineStr">
        <is>
          <t>GM %</t>
        </is>
      </c>
      <c r="H7" s="14" t="inlineStr">
        <is>
          <t>Share</t>
        </is>
      </c>
    </row>
    <row r="8">
      <c r="B8" s="15" t="inlineStr">
        <is>
          <t>Bakery</t>
        </is>
      </c>
      <c r="C8" s="16">
        <f>SUMIFS(Raw!$E$2:$E$1301,Raw!$D$2:$D$1301,$B8,Raw!$A$2:$A$1301,"&gt;"&amp;(Assumptions!$C$6-91),Raw!$A$2:$A$1301,"&lt;="&amp;Assumptions!$C$6)</f>
        <v>14653.91</v>
      </c>
      <c r="D8" s="16">
        <f>SUMIFS(Raw!$E$2:$E$1301,Raw!$D$2:$D$1301,$B8,Raw!$A$2:$A$1301,"&gt;"&amp;(Assumptions!$C$6-182),Raw!$A$2:$A$1301,"&lt;="&amp;(Assumptions!$C$6-91))</f>
        <v>14345.48</v>
      </c>
      <c r="E8" s="17">
        <f>IFERROR(C8/D8-1,0)</f>
        <v>0.0215001519642424</v>
      </c>
      <c r="F8" s="16">
        <f>SUMIFS(Raw!$G$2:$G$1301,Raw!$D$2:$D$1301,$B8,Raw!$A$2:$A$1301,"&gt;"&amp;(Assumptions!$C$6-91),Raw!$A$2:$A$1301,"&lt;="&amp;Assumptions!$C$6)</f>
        <v>5647.11</v>
      </c>
      <c r="G8" s="17">
        <f>IFERROR(F8/C8,0)</f>
        <v>0.385365407594287</v>
      </c>
      <c r="H8" s="17">
        <f>IFERROR(C8/SUMIFS(Raw!$E$2:$E$1301,Raw!$A$2:$A$1301,"&gt;"&amp;(Assumptions!$C$6-91),Raw!$A$2:$A$1301,"&lt;="&amp;Assumptions!$C$6),0)</f>
        <v>0.0589203619712283</v>
      </c>
    </row>
    <row r="9">
      <c r="B9" s="15" t="inlineStr">
        <is>
          <t>Beer &amp; Wine</t>
        </is>
      </c>
      <c r="C9" s="16">
        <f>SUMIFS(Raw!$E$2:$E$1301,Raw!$D$2:$D$1301,$B9,Raw!$A$2:$A$1301,"&gt;"&amp;(Assumptions!$C$6-91),Raw!$A$2:$A$1301,"&lt;="&amp;Assumptions!$C$6)</f>
        <v>27373.6</v>
      </c>
      <c r="D9" s="16">
        <f>SUMIFS(Raw!$E$2:$E$1301,Raw!$D$2:$D$1301,$B9,Raw!$A$2:$A$1301,"&gt;"&amp;(Assumptions!$C$6-182),Raw!$A$2:$A$1301,"&lt;="&amp;(Assumptions!$C$6-91))</f>
        <v>26206.84</v>
      </c>
      <c r="E9" s="17">
        <f>IFERROR(C9/D9-1,0)</f>
        <v>0.0445212013352239</v>
      </c>
      <c r="F9" s="16">
        <f>SUMIFS(Raw!$G$2:$G$1301,Raw!$D$2:$D$1301,$B9,Raw!$A$2:$A$1301,"&gt;"&amp;(Assumptions!$C$6-91),Raw!$A$2:$A$1301,"&lt;="&amp;Assumptions!$C$6)</f>
        <v>9307</v>
      </c>
      <c r="G9" s="17">
        <f>IFERROR(F9/C9,0)</f>
        <v>0.339999123242833</v>
      </c>
      <c r="H9" s="17">
        <f>IFERROR(C9/SUMIFS(Raw!$E$2:$E$1301,Raw!$A$2:$A$1301,"&gt;"&amp;(Assumptions!$C$6-91),Raw!$A$2:$A$1301,"&lt;="&amp;Assumptions!$C$6),0)</f>
        <v>0.11006362264103</v>
      </c>
    </row>
    <row r="10">
      <c r="B10" s="15" t="inlineStr">
        <is>
          <t>Beverages</t>
        </is>
      </c>
      <c r="C10" s="16">
        <f>SUMIFS(Raw!$E$2:$E$1301,Raw!$D$2:$D$1301,$B10,Raw!$A$2:$A$1301,"&gt;"&amp;(Assumptions!$C$6-91),Raw!$A$2:$A$1301,"&lt;="&amp;Assumptions!$C$6)</f>
        <v>32548.7</v>
      </c>
      <c r="D10" s="16">
        <f>SUMIFS(Raw!$E$2:$E$1301,Raw!$D$2:$D$1301,$B10,Raw!$A$2:$A$1301,"&gt;"&amp;(Assumptions!$C$6-182),Raw!$A$2:$A$1301,"&lt;="&amp;(Assumptions!$C$6-91))</f>
        <v>32774.3</v>
      </c>
      <c r="E10" s="17">
        <f>IFERROR(C10/D10-1,0)</f>
        <v>-0.00688344220929216</v>
      </c>
      <c r="F10" s="16">
        <f>SUMIFS(Raw!$G$2:$G$1301,Raw!$D$2:$D$1301,$B10,Raw!$A$2:$A$1301,"&gt;"&amp;(Assumptions!$C$6-91),Raw!$A$2:$A$1301,"&lt;="&amp;Assumptions!$C$6)</f>
        <v>16676.6</v>
      </c>
      <c r="G10" s="17">
        <f>IFERROR(F10/C10,0)</f>
        <v>0.512358404483128</v>
      </c>
      <c r="H10" s="17">
        <f>IFERROR(C10/SUMIFS(Raw!$E$2:$E$1301,Raw!$A$2:$A$1301,"&gt;"&amp;(Assumptions!$C$6-91),Raw!$A$2:$A$1301,"&lt;="&amp;Assumptions!$C$6),0)</f>
        <v>0.130871636695798</v>
      </c>
    </row>
    <row r="11">
      <c r="B11" s="15" t="inlineStr">
        <is>
          <t>Dairy</t>
        </is>
      </c>
      <c r="C11" s="16">
        <f>SUMIFS(Raw!$E$2:$E$1301,Raw!$D$2:$D$1301,$B11,Raw!$A$2:$A$1301,"&gt;"&amp;(Assumptions!$C$6-91),Raw!$A$2:$A$1301,"&lt;="&amp;Assumptions!$C$6)</f>
        <v>41077.49</v>
      </c>
      <c r="D11" s="16">
        <f>SUMIFS(Raw!$E$2:$E$1301,Raw!$D$2:$D$1301,$B11,Raw!$A$2:$A$1301,"&gt;"&amp;(Assumptions!$C$6-182),Raw!$A$2:$A$1301,"&lt;="&amp;(Assumptions!$C$6-91))</f>
        <v>41399.79</v>
      </c>
      <c r="E11" s="17">
        <f>IFERROR(C11/D11-1,0)</f>
        <v>-0.00778506364404274</v>
      </c>
      <c r="F11" s="16">
        <f>SUMIFS(Raw!$G$2:$G$1301,Raw!$D$2:$D$1301,$B11,Raw!$A$2:$A$1301,"&gt;"&amp;(Assumptions!$C$6-91),Raw!$A$2:$A$1301,"&lt;="&amp;Assumptions!$C$6)</f>
        <v>11413.34</v>
      </c>
      <c r="G11" s="17">
        <f>IFERROR(F11/C11,0)</f>
        <v>0.277849011709333</v>
      </c>
      <c r="H11" s="17">
        <f>IFERROR(C11/SUMIFS(Raw!$E$2:$E$1301,Raw!$A$2:$A$1301,"&gt;"&amp;(Assumptions!$C$6-91),Raw!$A$2:$A$1301,"&lt;="&amp;Assumptions!$C$6),0)</f>
        <v>0.165164149340996</v>
      </c>
    </row>
    <row r="12">
      <c r="B12" s="15" t="inlineStr">
        <is>
          <t>Food To Go</t>
        </is>
      </c>
      <c r="C12" s="16">
        <f>SUMIFS(Raw!$E$2:$E$1301,Raw!$D$2:$D$1301,$B12,Raw!$A$2:$A$1301,"&gt;"&amp;(Assumptions!$C$6-91),Raw!$A$2:$A$1301,"&lt;="&amp;Assumptions!$C$6)</f>
        <v>44542.2</v>
      </c>
      <c r="D12" s="16">
        <f>SUMIFS(Raw!$E$2:$E$1301,Raw!$D$2:$D$1301,$B12,Raw!$A$2:$A$1301,"&gt;"&amp;(Assumptions!$C$6-182),Raw!$A$2:$A$1301,"&lt;="&amp;(Assumptions!$C$6-91))</f>
        <v>45477.13</v>
      </c>
      <c r="E12" s="17">
        <f>IFERROR(C12/D12-1,0)</f>
        <v>-0.0205582454301756</v>
      </c>
      <c r="F12" s="16">
        <f>SUMIFS(Raw!$G$2:$G$1301,Raw!$D$2:$D$1301,$B12,Raw!$A$2:$A$1301,"&gt;"&amp;(Assumptions!$C$6-91),Raw!$A$2:$A$1301,"&lt;="&amp;Assumptions!$C$6)</f>
        <v>21615.4</v>
      </c>
      <c r="G12" s="17">
        <f>IFERROR(F12/C12,0)</f>
        <v>0.48527912855674</v>
      </c>
      <c r="H12" s="17">
        <f>IFERROR(C12/SUMIFS(Raw!$E$2:$E$1301,Raw!$A$2:$A$1301,"&gt;"&amp;(Assumptions!$C$6-91),Raw!$A$2:$A$1301,"&lt;="&amp;Assumptions!$C$6),0)</f>
        <v>0.179095036546208</v>
      </c>
    </row>
    <row r="13">
      <c r="B13" s="15" t="inlineStr">
        <is>
          <t>Frozen</t>
        </is>
      </c>
      <c r="C13" s="16">
        <f>SUMIFS(Raw!$E$2:$E$1301,Raw!$D$2:$D$1301,$B13,Raw!$A$2:$A$1301,"&gt;"&amp;(Assumptions!$C$6-91),Raw!$A$2:$A$1301,"&lt;="&amp;Assumptions!$C$6)</f>
        <v>18150.25</v>
      </c>
      <c r="D13" s="16">
        <f>SUMIFS(Raw!$E$2:$E$1301,Raw!$D$2:$D$1301,$B13,Raw!$A$2:$A$1301,"&gt;"&amp;(Assumptions!$C$6-182),Raw!$A$2:$A$1301,"&lt;="&amp;(Assumptions!$C$6-91))</f>
        <v>17097.51</v>
      </c>
      <c r="E13" s="17">
        <f>IFERROR(C13/D13-1,0)</f>
        <v>0.0615727085406004</v>
      </c>
      <c r="F13" s="16">
        <f>SUMIFS(Raw!$G$2:$G$1301,Raw!$D$2:$D$1301,$B13,Raw!$A$2:$A$1301,"&gt;"&amp;(Assumptions!$C$6-91),Raw!$A$2:$A$1301,"&lt;="&amp;Assumptions!$C$6)</f>
        <v>7785.55</v>
      </c>
      <c r="G13" s="17">
        <f>IFERROR(F13/C13,0)</f>
        <v>0.428950014462611</v>
      </c>
      <c r="H13" s="17">
        <f>IFERROR(C13/SUMIFS(Raw!$E$2:$E$1301,Raw!$A$2:$A$1301,"&gt;"&amp;(Assumptions!$C$6-91),Raw!$A$2:$A$1301,"&lt;="&amp;Assumptions!$C$6),0)</f>
        <v>0.0729784269091517</v>
      </c>
    </row>
    <row r="14">
      <c r="B14" s="15" t="inlineStr">
        <is>
          <t>Grocery</t>
        </is>
      </c>
      <c r="C14" s="16">
        <f>SUMIFS(Raw!$E$2:$E$1301,Raw!$D$2:$D$1301,$B14,Raw!$A$2:$A$1301,"&gt;"&amp;(Assumptions!$C$6-91),Raw!$A$2:$A$1301,"&lt;="&amp;Assumptions!$C$6)</f>
        <v>27410.41</v>
      </c>
      <c r="D14" s="16">
        <f>SUMIFS(Raw!$E$2:$E$1301,Raw!$D$2:$D$1301,$B14,Raw!$A$2:$A$1301,"&gt;"&amp;(Assumptions!$C$6-182),Raw!$A$2:$A$1301,"&lt;="&amp;(Assumptions!$C$6-91))</f>
        <v>25565.51</v>
      </c>
      <c r="E14" s="17">
        <f>IFERROR(C14/D14-1,0)</f>
        <v>0.0721636298278423</v>
      </c>
      <c r="F14" s="16">
        <f>SUMIFS(Raw!$G$2:$G$1301,Raw!$D$2:$D$1301,$B14,Raw!$A$2:$A$1301,"&gt;"&amp;(Assumptions!$C$6-91),Raw!$A$2:$A$1301,"&lt;="&amp;Assumptions!$C$6)</f>
        <v>9595.31</v>
      </c>
      <c r="G14" s="17">
        <f>IFERROR(F14/C14,0)</f>
        <v>0.350060798069055</v>
      </c>
      <c r="H14" s="17">
        <f>IFERROR(C14/SUMIFS(Raw!$E$2:$E$1301,Raw!$A$2:$A$1301,"&gt;"&amp;(Assumptions!$C$6-91),Raw!$A$2:$A$1301,"&lt;="&amp;Assumptions!$C$6),0)</f>
        <v>0.110211628089689</v>
      </c>
    </row>
    <row r="15">
      <c r="B15" s="15" t="inlineStr">
        <is>
          <t>Health &amp; Beauty</t>
        </is>
      </c>
      <c r="C15" s="16">
        <f>SUMIFS(Raw!$E$2:$E$1301,Raw!$D$2:$D$1301,$B15,Raw!$A$2:$A$1301,"&gt;"&amp;(Assumptions!$C$6-91),Raw!$A$2:$A$1301,"&lt;="&amp;Assumptions!$C$6)</f>
        <v>4308.91</v>
      </c>
      <c r="D15" s="16">
        <f>SUMIFS(Raw!$E$2:$E$1301,Raw!$D$2:$D$1301,$B15,Raw!$A$2:$A$1301,"&gt;"&amp;(Assumptions!$C$6-182),Raw!$A$2:$A$1301,"&lt;="&amp;(Assumptions!$C$6-91))</f>
        <v>3953.68</v>
      </c>
      <c r="E15" s="17">
        <f>IFERROR(C15/D15-1,0)</f>
        <v>0.0898479391351854</v>
      </c>
      <c r="F15" s="16">
        <f>SUMIFS(Raw!$G$2:$G$1301,Raw!$D$2:$D$1301,$B15,Raw!$A$2:$A$1301,"&gt;"&amp;(Assumptions!$C$6-91),Raw!$A$2:$A$1301,"&lt;="&amp;Assumptions!$C$6)</f>
        <v>2172.91</v>
      </c>
      <c r="G15" s="17">
        <f>IFERROR(F15/C15,0)</f>
        <v>0.504282985720287</v>
      </c>
      <c r="H15" s="17">
        <f>IFERROR(C15/SUMIFS(Raw!$E$2:$E$1301,Raw!$A$2:$A$1301,"&gt;"&amp;(Assumptions!$C$6-91),Raw!$A$2:$A$1301,"&lt;="&amp;Assumptions!$C$6),0)</f>
        <v>0.0173252419935325</v>
      </c>
    </row>
    <row r="16">
      <c r="B16" s="15" t="inlineStr">
        <is>
          <t>Household</t>
        </is>
      </c>
      <c r="C16" s="16">
        <f>SUMIFS(Raw!$E$2:$E$1301,Raw!$D$2:$D$1301,$B16,Raw!$A$2:$A$1301,"&gt;"&amp;(Assumptions!$C$6-91),Raw!$A$2:$A$1301,"&lt;="&amp;Assumptions!$C$6)</f>
        <v>6861.82</v>
      </c>
      <c r="D16" s="16">
        <f>SUMIFS(Raw!$E$2:$E$1301,Raw!$D$2:$D$1301,$B16,Raw!$A$2:$A$1301,"&gt;"&amp;(Assumptions!$C$6-182),Raw!$A$2:$A$1301,"&lt;="&amp;(Assumptions!$C$6-91))</f>
        <v>6891.88</v>
      </c>
      <c r="E16" s="17">
        <f>IFERROR(C16/D16-1,0)</f>
        <v>-0.00436165458481586</v>
      </c>
      <c r="F16" s="16">
        <f>SUMIFS(Raw!$G$2:$G$1301,Raw!$D$2:$D$1301,$B16,Raw!$A$2:$A$1301,"&gt;"&amp;(Assumptions!$C$6-91),Raw!$A$2:$A$1301,"&lt;="&amp;Assumptions!$C$6)</f>
        <v>2865.22</v>
      </c>
      <c r="G16" s="17">
        <f>IFERROR(F16/C16,0)</f>
        <v>0.417559772771655</v>
      </c>
      <c r="H16" s="17">
        <f>IFERROR(C16/SUMIFS(Raw!$E$2:$E$1301,Raw!$A$2:$A$1301,"&gt;"&amp;(Assumptions!$C$6-91),Raw!$A$2:$A$1301,"&lt;="&amp;Assumptions!$C$6),0)</f>
        <v>0.0275899686965058</v>
      </c>
    </row>
    <row r="17">
      <c r="B17" s="15" t="inlineStr">
        <is>
          <t>Produce</t>
        </is>
      </c>
      <c r="C17" s="16">
        <f>SUMIFS(Raw!$E$2:$E$1301,Raw!$D$2:$D$1301,$B17,Raw!$A$2:$A$1301,"&gt;"&amp;(Assumptions!$C$6-91),Raw!$A$2:$A$1301,"&lt;="&amp;Assumptions!$C$6)</f>
        <v>5268.71</v>
      </c>
      <c r="D17" s="16">
        <f>SUMIFS(Raw!$E$2:$E$1301,Raw!$D$2:$D$1301,$B17,Raw!$A$2:$A$1301,"&gt;"&amp;(Assumptions!$C$6-182),Raw!$A$2:$A$1301,"&lt;="&amp;(Assumptions!$C$6-91))</f>
        <v>5562.97</v>
      </c>
      <c r="E17" s="17">
        <f>IFERROR(C17/D17-1,0)</f>
        <v>-0.0528962047251739</v>
      </c>
      <c r="F17" s="16">
        <f>SUMIFS(Raw!$G$2:$G$1301,Raw!$D$2:$D$1301,$B17,Raw!$A$2:$A$1301,"&gt;"&amp;(Assumptions!$C$6-91),Raw!$A$2:$A$1301,"&lt;="&amp;Assumptions!$C$6)</f>
        <v>2261.73</v>
      </c>
      <c r="G17" s="17">
        <f>IFERROR(F17/C17,0)</f>
        <v>0.429275856898558</v>
      </c>
      <c r="H17" s="17">
        <f>IFERROR(C17/SUMIFS(Raw!$E$2:$E$1301,Raw!$A$2:$A$1301,"&gt;"&amp;(Assumptions!$C$6-91),Raw!$A$2:$A$1301,"&lt;="&amp;Assumptions!$C$6),0)</f>
        <v>0.0211844006358324</v>
      </c>
    </row>
    <row r="18">
      <c r="B18" s="15" t="inlineStr">
        <is>
          <t>Snacks &amp; Confectionery</t>
        </is>
      </c>
      <c r="C18" s="16">
        <f>SUMIFS(Raw!$E$2:$E$1301,Raw!$D$2:$D$1301,$B18,Raw!$A$2:$A$1301,"&gt;"&amp;(Assumptions!$C$6-91),Raw!$A$2:$A$1301,"&lt;="&amp;Assumptions!$C$6)</f>
        <v>26511.06</v>
      </c>
      <c r="D18" s="16">
        <f>SUMIFS(Raw!$E$2:$E$1301,Raw!$D$2:$D$1301,$B18,Raw!$A$2:$A$1301,"&gt;"&amp;(Assumptions!$C$6-182),Raw!$A$2:$A$1301,"&lt;="&amp;(Assumptions!$C$6-91))</f>
        <v>25928.13</v>
      </c>
      <c r="E18" s="17">
        <f>IFERROR(C18/D18-1,0)</f>
        <v>0.0224825315207846</v>
      </c>
      <c r="F18" s="16">
        <f>SUMIFS(Raw!$G$2:$G$1301,Raw!$D$2:$D$1301,$B18,Raw!$A$2:$A$1301,"&gt;"&amp;(Assumptions!$C$6-91),Raw!$A$2:$A$1301,"&lt;="&amp;Assumptions!$C$6)</f>
        <v>11709.76</v>
      </c>
      <c r="G18" s="17">
        <f>IFERROR(F18/C18,0)</f>
        <v>0.441693391361945</v>
      </c>
      <c r="H18" s="17">
        <f>IFERROR(C18/SUMIFS(Raw!$E$2:$E$1301,Raw!$A$2:$A$1301,"&gt;"&amp;(Assumptions!$C$6-91),Raw!$A$2:$A$1301,"&lt;="&amp;Assumptions!$C$6),0)</f>
        <v>0.106595526480028</v>
      </c>
    </row>
    <row r="19">
      <c r="B19" s="18" t="inlineStr">
        <is>
          <t>Total</t>
        </is>
      </c>
      <c r="C19" s="19">
        <f>SUM(C8:C18)</f>
        <v>248707.06</v>
      </c>
      <c r="D19" s="19">
        <f>SUM(D8:D18)</f>
        <v>245203.22</v>
      </c>
      <c r="E19" s="20">
        <f>IFERROR(C19/D19-1,0)</f>
        <v>0.014289535023235</v>
      </c>
      <c r="F19" s="19">
        <f>SUM(F8:F18)</f>
        <v>101049.93</v>
      </c>
      <c r="G19" s="20">
        <f>IFERROR(F19/C19,0)</f>
        <v>0.406301011318296</v>
      </c>
      <c r="H19" s="20">
        <f>1</f>
        <v>1</v>
      </c>
    </row>
    <row r="22">
      <c r="B22" s="13" t="inlineStr">
        <is>
          <t>Products (use the filter buttons; 'In selection' follows the Category cell)</t>
        </is>
      </c>
    </row>
    <row r="24" ht="28" customHeight="1">
      <c r="B24" s="14" t="inlineStr">
        <is>
          <t>SKU</t>
        </is>
      </c>
      <c r="C24" s="14" t="inlineStr">
        <is>
          <t>Product</t>
        </is>
      </c>
      <c r="D24" s="14" t="inlineStr">
        <is>
          <t>Category</t>
        </is>
      </c>
      <c r="E24" s="14" t="inlineStr">
        <is>
          <t>Sales 13w</t>
        </is>
      </c>
      <c r="F24" s="14" t="inlineStr">
        <is>
          <t>Prior 13w</t>
        </is>
      </c>
      <c r="G24" s="14" t="inlineStr">
        <is>
          <t>Change</t>
        </is>
      </c>
      <c r="H24" s="14" t="inlineStr">
        <is>
          <t>GM %</t>
        </is>
      </c>
      <c r="I24" s="14" t="inlineStr">
        <is>
          <t>ABC</t>
        </is>
      </c>
      <c r="J24" s="14" t="inlineStr">
        <is>
          <t>Range call</t>
        </is>
      </c>
      <c r="K24" s="14" t="inlineStr">
        <is>
          <t>In selection</t>
        </is>
      </c>
    </row>
    <row r="25">
      <c r="B25" s="15" t="inlineStr">
        <is>
          <t>BAK001</t>
        </is>
      </c>
      <c r="C25" s="15" t="str">
        <f>INDEX(Lookup!$C$7:$C$56,MATCH($B25,Lookup!$B$7:$B$56,0))</f>
        <v>Toast Bread White</v>
      </c>
      <c r="D25" s="15" t="str">
        <f>INDEX(Lookup!$D$7:$D$56,MATCH($B25,Lookup!$B$7:$B$56,0))</f>
        <v>Bakery</v>
      </c>
      <c r="E25" s="16">
        <f>SUMIFS(Raw!$E$2:$E$1301,Raw!$B$2:$B$1301,$B25,Raw!$A$2:$A$1301,"&gt;"&amp;(Assumptions!$C$6-91),Raw!$A$2:$A$1301,"&lt;="&amp;Assumptions!$C$6)</f>
        <v>6592.61</v>
      </c>
      <c r="F25" s="16">
        <f>SUMIFS(Raw!$E$2:$E$1301,Raw!$B$2:$B$1301,$B25,Raw!$A$2:$A$1301,"&gt;"&amp;(Assumptions!$C$6-182),Raw!$A$2:$A$1301,"&lt;="&amp;(Assumptions!$C$6-91))</f>
        <v>6394.03</v>
      </c>
      <c r="G25" s="17">
        <f>IFERROR(E25/F25-1,0)</f>
        <v>0.0310570954468465</v>
      </c>
      <c r="H25" s="17">
        <f>IFERROR(SUMIFS(Raw!$G$2:$G$1301,Raw!$B$2:$B$1301,$B25,Raw!$A$2:$A$1301,"&gt;"&amp;(Assumptions!$C$6-91),Raw!$A$2:$A$1301,"&lt;="&amp;Assumptions!$C$6)/E25,0)</f>
        <v>0.369627507163324</v>
      </c>
      <c r="I25" s="15" t="str">
        <f>INDEX(Lookup!$E$7:$E$56,MATCH($B25,Lookup!$B$7:$B$56,0))</f>
        <v>A</v>
      </c>
      <c r="J25" s="15" t="str">
        <f>INDEX(Lookup!$G$7:$G$56,MATCH($B25,Lookup!$B$7:$B$56,0))</f>
        <v>Protect availability</v>
      </c>
      <c r="K25" s="21">
        <f>IF(OR(SelCat="All",D25=SelCat),1,0)</f>
        <v>1</v>
      </c>
    </row>
    <row r="26">
      <c r="B26" s="15" t="inlineStr">
        <is>
          <t>BAK002</t>
        </is>
      </c>
      <c r="C26" s="15" t="str">
        <f>INDEX(Lookup!$C$7:$C$56,MATCH($B26,Lookup!$B$7:$B$56,0))</f>
        <v>Wholemeal Loaf</v>
      </c>
      <c r="D26" s="15" t="str">
        <f>INDEX(Lookup!$D$7:$D$56,MATCH($B26,Lookup!$B$7:$B$56,0))</f>
        <v>Bakery</v>
      </c>
      <c r="E26" s="16">
        <f>SUMIFS(Raw!$E$2:$E$1301,Raw!$B$2:$B$1301,$B26,Raw!$A$2:$A$1301,"&gt;"&amp;(Assumptions!$C$6-91),Raw!$A$2:$A$1301,"&lt;="&amp;Assumptions!$C$6)</f>
        <v>4483.05</v>
      </c>
      <c r="F26" s="16">
        <f>SUMIFS(Raw!$E$2:$E$1301,Raw!$B$2:$B$1301,$B26,Raw!$A$2:$A$1301,"&gt;"&amp;(Assumptions!$C$6-182),Raw!$A$2:$A$1301,"&lt;="&amp;(Assumptions!$C$6-91))</f>
        <v>4632.99</v>
      </c>
      <c r="G26" s="17">
        <f>IFERROR(E26/F26-1,0)</f>
        <v>-0.0323635492414185</v>
      </c>
      <c r="H26" s="17">
        <f>IFERROR(SUMIFS(Raw!$G$2:$G$1301,Raw!$B$2:$B$1301,$B26,Raw!$A$2:$A$1301,"&gt;"&amp;(Assumptions!$C$6-91),Raw!$A$2:$A$1301,"&lt;="&amp;Assumptions!$C$6)/E26,0)</f>
        <v>0.370629370629371</v>
      </c>
      <c r="I26" s="15" t="str">
        <f>INDEX(Lookup!$E$7:$E$56,MATCH($B26,Lookup!$B$7:$B$56,0))</f>
        <v>A</v>
      </c>
      <c r="J26" s="15" t="str">
        <f>INDEX(Lookup!$G$7:$G$56,MATCH($B26,Lookup!$B$7:$B$56,0))</f>
        <v>Protect availability</v>
      </c>
      <c r="K26" s="21">
        <f>IF(OR(SelCat="All",D26=SelCat),1,0)</f>
        <v>1</v>
      </c>
    </row>
    <row r="27">
      <c r="B27" s="15" t="inlineStr">
        <is>
          <t>BAK003</t>
        </is>
      </c>
      <c r="C27" s="15" t="str">
        <f>INDEX(Lookup!$C$7:$C$56,MATCH($B27,Lookup!$B$7:$B$56,0))</f>
        <v>Croissant 4pk</v>
      </c>
      <c r="D27" s="15" t="str">
        <f>INDEX(Lookup!$D$7:$D$56,MATCH($B27,Lookup!$B$7:$B$56,0))</f>
        <v>Bakery</v>
      </c>
      <c r="E27" s="16">
        <f>SUMIFS(Raw!$E$2:$E$1301,Raw!$B$2:$B$1301,$B27,Raw!$A$2:$A$1301,"&gt;"&amp;(Assumptions!$C$6-91),Raw!$A$2:$A$1301,"&lt;="&amp;Assumptions!$C$6)</f>
        <v>3578.25</v>
      </c>
      <c r="F27" s="16">
        <f>SUMIFS(Raw!$E$2:$E$1301,Raw!$B$2:$B$1301,$B27,Raw!$A$2:$A$1301,"&gt;"&amp;(Assumptions!$C$6-182),Raw!$A$2:$A$1301,"&lt;="&amp;(Assumptions!$C$6-91))</f>
        <v>3318.46</v>
      </c>
      <c r="G27" s="17">
        <f>IFERROR(E27/F27-1,0)</f>
        <v>0.0782863135309753</v>
      </c>
      <c r="H27" s="17">
        <f>IFERROR(SUMIFS(Raw!$G$2:$G$1301,Raw!$B$2:$B$1301,$B27,Raw!$A$2:$A$1301,"&gt;"&amp;(Assumptions!$C$6-91),Raw!$A$2:$A$1301,"&lt;="&amp;Assumptions!$C$6)/E27,0)</f>
        <v>0.432823307482708</v>
      </c>
      <c r="I27" s="15" t="str">
        <f>INDEX(Lookup!$E$7:$E$56,MATCH($B27,Lookup!$B$7:$B$56,0))</f>
        <v>B</v>
      </c>
      <c r="J27" s="15" t="str">
        <f>INDEX(Lookup!$G$7:$G$56,MATCH($B27,Lookup!$B$7:$B$56,0))</f>
        <v>Maintain</v>
      </c>
      <c r="K27" s="21">
        <f>IF(OR(SelCat="All",D27=SelCat),1,0)</f>
        <v>1</v>
      </c>
    </row>
    <row r="28">
      <c r="B28" s="15" t="inlineStr">
        <is>
          <t>LIQ001</t>
        </is>
      </c>
      <c r="C28" s="15" t="str">
        <f>INDEX(Lookup!$C$7:$C$56,MATCH($B28,Lookup!$B$7:$B$56,0))</f>
        <v>Craft Beer 6pk</v>
      </c>
      <c r="D28" s="15" t="str">
        <f>INDEX(Lookup!$D$7:$D$56,MATCH($B28,Lookup!$B$7:$B$56,0))</f>
        <v>Beer &amp; Wine</v>
      </c>
      <c r="E28" s="16">
        <f>SUMIFS(Raw!$E$2:$E$1301,Raw!$B$2:$B$1301,$B28,Raw!$A$2:$A$1301,"&gt;"&amp;(Assumptions!$C$6-91),Raw!$A$2:$A$1301,"&lt;="&amp;Assumptions!$C$6)</f>
        <v>10901.79</v>
      </c>
      <c r="F28" s="16">
        <f>SUMIFS(Raw!$E$2:$E$1301,Raw!$B$2:$B$1301,$B28,Raw!$A$2:$A$1301,"&gt;"&amp;(Assumptions!$C$6-182),Raw!$A$2:$A$1301,"&lt;="&amp;(Assumptions!$C$6-91))</f>
        <v>9393.67</v>
      </c>
      <c r="G28" s="17">
        <f>IFERROR(E28/F28-1,0)</f>
        <v>0.160546410508353</v>
      </c>
      <c r="H28" s="17">
        <f>IFERROR(SUMIFS(Raw!$G$2:$G$1301,Raw!$B$2:$B$1301,$B28,Raw!$A$2:$A$1301,"&gt;"&amp;(Assumptions!$C$6-91),Raw!$A$2:$A$1301,"&lt;="&amp;Assumptions!$C$6)/E28,0)</f>
        <v>0.324945719923059</v>
      </c>
      <c r="I28" s="15" t="str">
        <f>INDEX(Lookup!$E$7:$E$56,MATCH($B28,Lookup!$B$7:$B$56,0))</f>
        <v>A</v>
      </c>
      <c r="J28" s="15" t="str">
        <f>INDEX(Lookup!$G$7:$G$56,MATCH($B28,Lookup!$B$7:$B$56,0))</f>
        <v>Protect availability</v>
      </c>
      <c r="K28" s="21">
        <f>IF(OR(SelCat="All",D28=SelCat),1,0)</f>
        <v>1</v>
      </c>
    </row>
    <row r="29">
      <c r="B29" s="15" t="inlineStr">
        <is>
          <t>LIQ003</t>
        </is>
      </c>
      <c r="C29" s="15" t="str">
        <f>INDEX(Lookup!$C$7:$C$56,MATCH($B29,Lookup!$B$7:$B$56,0))</f>
        <v>RTD 4pk</v>
      </c>
      <c r="D29" s="15" t="str">
        <f>INDEX(Lookup!$D$7:$D$56,MATCH($B29,Lookup!$B$7:$B$56,0))</f>
        <v>Beer &amp; Wine</v>
      </c>
      <c r="E29" s="16">
        <f>SUMIFS(Raw!$E$2:$E$1301,Raw!$B$2:$B$1301,$B29,Raw!$A$2:$A$1301,"&gt;"&amp;(Assumptions!$C$6-91),Raw!$A$2:$A$1301,"&lt;="&amp;Assumptions!$C$6)</f>
        <v>6422.43</v>
      </c>
      <c r="F29" s="16">
        <f>SUMIFS(Raw!$E$2:$E$1301,Raw!$B$2:$B$1301,$B29,Raw!$A$2:$A$1301,"&gt;"&amp;(Assumptions!$C$6-182),Raw!$A$2:$A$1301,"&lt;="&amp;(Assumptions!$C$6-91))</f>
        <v>6343.23</v>
      </c>
      <c r="G29" s="17">
        <f>IFERROR(E29/F29-1,0)</f>
        <v>0.0124857525267097</v>
      </c>
      <c r="H29" s="17">
        <f>IFERROR(SUMIFS(Raw!$G$2:$G$1301,Raw!$B$2:$B$1301,$B29,Raw!$A$2:$A$1301,"&gt;"&amp;(Assumptions!$C$6-91),Raw!$A$2:$A$1301,"&lt;="&amp;Assumptions!$C$6)/E29,0)</f>
        <v>0.33852140077821</v>
      </c>
      <c r="I29" s="15" t="str">
        <f>INDEX(Lookup!$E$7:$E$56,MATCH($B29,Lookup!$B$7:$B$56,0))</f>
        <v>A</v>
      </c>
      <c r="J29" s="15" t="str">
        <f>INDEX(Lookup!$G$7:$G$56,MATCH($B29,Lookup!$B$7:$B$56,0))</f>
        <v>Protect availability</v>
      </c>
      <c r="K29" s="21">
        <f>IF(OR(SelCat="All",D29=SelCat),1,0)</f>
        <v>1</v>
      </c>
    </row>
    <row r="30">
      <c r="B30" s="15" t="inlineStr">
        <is>
          <t>LIQ002</t>
        </is>
      </c>
      <c r="C30" s="15" t="str">
        <f>INDEX(Lookup!$C$7:$C$56,MATCH($B30,Lookup!$B$7:$B$56,0))</f>
        <v>Sauvignon Blanc 750ml</v>
      </c>
      <c r="D30" s="15" t="str">
        <f>INDEX(Lookup!$D$7:$D$56,MATCH($B30,Lookup!$B$7:$B$56,0))</f>
        <v>Beer &amp; Wine</v>
      </c>
      <c r="E30" s="16">
        <f>SUMIFS(Raw!$E$2:$E$1301,Raw!$B$2:$B$1301,$B30,Raw!$A$2:$A$1301,"&gt;"&amp;(Assumptions!$C$6-91),Raw!$A$2:$A$1301,"&lt;="&amp;Assumptions!$C$6)</f>
        <v>6063.39</v>
      </c>
      <c r="F30" s="16">
        <f>SUMIFS(Raw!$E$2:$E$1301,Raw!$B$2:$B$1301,$B30,Raw!$A$2:$A$1301,"&gt;"&amp;(Assumptions!$C$6-182),Raw!$A$2:$A$1301,"&lt;="&amp;(Assumptions!$C$6-91))</f>
        <v>6332.04</v>
      </c>
      <c r="G30" s="17">
        <f>IFERROR(E30/F30-1,0)</f>
        <v>-0.042427085110012</v>
      </c>
      <c r="H30" s="17">
        <f>IFERROR(SUMIFS(Raw!$G$2:$G$1301,Raw!$B$2:$B$1301,$B30,Raw!$A$2:$A$1301,"&gt;"&amp;(Assumptions!$C$6-91),Raw!$A$2:$A$1301,"&lt;="&amp;Assumptions!$C$6)/E30,0)</f>
        <v>0.359071410547565</v>
      </c>
      <c r="I30" s="15" t="str">
        <f>INDEX(Lookup!$E$7:$E$56,MATCH($B30,Lookup!$B$7:$B$56,0))</f>
        <v>A</v>
      </c>
      <c r="J30" s="15" t="str">
        <f>INDEX(Lookup!$G$7:$G$56,MATCH($B30,Lookup!$B$7:$B$56,0))</f>
        <v>Protect availability</v>
      </c>
      <c r="K30" s="21">
        <f>IF(OR(SelCat="All",D30=SelCat),1,0)</f>
        <v>1</v>
      </c>
    </row>
    <row r="31">
      <c r="B31" s="15" t="inlineStr">
        <is>
          <t>LIQ004</t>
        </is>
      </c>
      <c r="C31" s="15" t="str">
        <f>INDEX(Lookup!$C$7:$C$56,MATCH($B31,Lookup!$B$7:$B$56,0))</f>
        <v>Pinot Noir 750ml</v>
      </c>
      <c r="D31" s="15" t="str">
        <f>INDEX(Lookup!$D$7:$D$56,MATCH($B31,Lookup!$B$7:$B$56,0))</f>
        <v>Beer &amp; Wine</v>
      </c>
      <c r="E31" s="16">
        <f>SUMIFS(Raw!$E$2:$E$1301,Raw!$B$2:$B$1301,$B31,Raw!$A$2:$A$1301,"&gt;"&amp;(Assumptions!$C$6-91),Raw!$A$2:$A$1301,"&lt;="&amp;Assumptions!$C$6)</f>
        <v>3985.99</v>
      </c>
      <c r="F31" s="16">
        <f>SUMIFS(Raw!$E$2:$E$1301,Raw!$B$2:$B$1301,$B31,Raw!$A$2:$A$1301,"&gt;"&amp;(Assumptions!$C$6-182),Raw!$A$2:$A$1301,"&lt;="&amp;(Assumptions!$C$6-91))</f>
        <v>4137.9</v>
      </c>
      <c r="G31" s="17">
        <f>IFERROR(E31/F31-1,0)</f>
        <v>-0.0367118586722733</v>
      </c>
      <c r="H31" s="17">
        <f>IFERROR(SUMIFS(Raw!$G$2:$G$1301,Raw!$B$2:$B$1301,$B31,Raw!$A$2:$A$1301,"&gt;"&amp;(Assumptions!$C$6-91),Raw!$A$2:$A$1301,"&lt;="&amp;Assumptions!$C$6)/E31,0)</f>
        <v>0.354539273806507</v>
      </c>
      <c r="I31" s="15" t="str">
        <f>INDEX(Lookup!$E$7:$E$56,MATCH($B31,Lookup!$B$7:$B$56,0))</f>
        <v>A</v>
      </c>
      <c r="J31" s="15" t="str">
        <f>INDEX(Lookup!$G$7:$G$56,MATCH($B31,Lookup!$B$7:$B$56,0))</f>
        <v>Protect availability</v>
      </c>
      <c r="K31" s="21">
        <f>IF(OR(SelCat="All",D31=SelCat),1,0)</f>
        <v>1</v>
      </c>
    </row>
    <row r="32">
      <c r="B32" s="15" t="inlineStr">
        <is>
          <t>BEV001</t>
        </is>
      </c>
      <c r="C32" s="15" t="str">
        <f>INDEX(Lookup!$C$7:$C$56,MATCH($B32,Lookup!$B$7:$B$56,0))</f>
        <v>Energy Drink 500ml</v>
      </c>
      <c r="D32" s="15" t="str">
        <f>INDEX(Lookup!$D$7:$D$56,MATCH($B32,Lookup!$B$7:$B$56,0))</f>
        <v>Beverages</v>
      </c>
      <c r="E32" s="16">
        <f>SUMIFS(Raw!$E$2:$E$1301,Raw!$B$2:$B$1301,$B32,Raw!$A$2:$A$1301,"&gt;"&amp;(Assumptions!$C$6-91),Raw!$A$2:$A$1301,"&lt;="&amp;Assumptions!$C$6)</f>
        <v>10050.38</v>
      </c>
      <c r="F32" s="16">
        <f>SUMIFS(Raw!$E$2:$E$1301,Raw!$B$2:$B$1301,$B32,Raw!$A$2:$A$1301,"&gt;"&amp;(Assumptions!$C$6-182),Raw!$A$2:$A$1301,"&lt;="&amp;(Assumptions!$C$6-91))</f>
        <v>9331.35</v>
      </c>
      <c r="G32" s="17">
        <f>IFERROR(E32/F32-1,0)</f>
        <v>0.0770553028232786</v>
      </c>
      <c r="H32" s="17">
        <f>IFERROR(SUMIFS(Raw!$G$2:$G$1301,Raw!$B$2:$B$1301,$B32,Raw!$A$2:$A$1301,"&gt;"&amp;(Assumptions!$C$6-91),Raw!$A$2:$A$1301,"&lt;="&amp;Assumptions!$C$6)/E32,0)</f>
        <v>0.49385993365425</v>
      </c>
      <c r="I32" s="15" t="str">
        <f>INDEX(Lookup!$E$7:$E$56,MATCH($B32,Lookup!$B$7:$B$56,0))</f>
        <v>A</v>
      </c>
      <c r="J32" s="15" t="str">
        <f>INDEX(Lookup!$G$7:$G$56,MATCH($B32,Lookup!$B$7:$B$56,0))</f>
        <v>Protect availability</v>
      </c>
      <c r="K32" s="21">
        <f>IF(OR(SelCat="All",D32=SelCat),1,0)</f>
        <v>1</v>
      </c>
    </row>
    <row r="33">
      <c r="B33" s="15" t="inlineStr">
        <is>
          <t>BEV002</t>
        </is>
      </c>
      <c r="C33" s="15" t="str">
        <f>INDEX(Lookup!$C$7:$C$56,MATCH($B33,Lookup!$B$7:$B$56,0))</f>
        <v>Cola 1.5L</v>
      </c>
      <c r="D33" s="15" t="str">
        <f>INDEX(Lookup!$D$7:$D$56,MATCH($B33,Lookup!$B$7:$B$56,0))</f>
        <v>Beverages</v>
      </c>
      <c r="E33" s="16">
        <f>SUMIFS(Raw!$E$2:$E$1301,Raw!$B$2:$B$1301,$B33,Raw!$A$2:$A$1301,"&gt;"&amp;(Assumptions!$C$6-91),Raw!$A$2:$A$1301,"&lt;="&amp;Assumptions!$C$6)</f>
        <v>5194.93</v>
      </c>
      <c r="F33" s="16">
        <f>SUMIFS(Raw!$E$2:$E$1301,Raw!$B$2:$B$1301,$B33,Raw!$A$2:$A$1301,"&gt;"&amp;(Assumptions!$C$6-182),Raw!$A$2:$A$1301,"&lt;="&amp;(Assumptions!$C$6-91))</f>
        <v>5159.01</v>
      </c>
      <c r="G33" s="17">
        <f>IFERROR(E33/F33-1,0)</f>
        <v>0.00696257615317664</v>
      </c>
      <c r="H33" s="17">
        <f>IFERROR(SUMIFS(Raw!$G$2:$G$1301,Raw!$B$2:$B$1301,$B33,Raw!$A$2:$A$1301,"&gt;"&amp;(Assumptions!$C$6-91),Raw!$A$2:$A$1301,"&lt;="&amp;Assumptions!$C$6)/E33,0)</f>
        <v>0.487750556792873</v>
      </c>
      <c r="I33" s="15" t="str">
        <f>INDEX(Lookup!$E$7:$E$56,MATCH($B33,Lookup!$B$7:$B$56,0))</f>
        <v>A</v>
      </c>
      <c r="J33" s="15" t="str">
        <f>INDEX(Lookup!$G$7:$G$56,MATCH($B33,Lookup!$B$7:$B$56,0))</f>
        <v>Protect availability</v>
      </c>
      <c r="K33" s="21">
        <f>IF(OR(SelCat="All",D33=SelCat),1,0)</f>
        <v>1</v>
      </c>
    </row>
    <row r="34">
      <c r="B34" s="15" t="inlineStr">
        <is>
          <t>BEV004</t>
        </is>
      </c>
      <c r="C34" s="15" t="str">
        <f>INDEX(Lookup!$C$7:$C$56,MATCH($B34,Lookup!$B$7:$B$56,0))</f>
        <v>Iced Coffee 500ml</v>
      </c>
      <c r="D34" s="15" t="str">
        <f>INDEX(Lookup!$D$7:$D$56,MATCH($B34,Lookup!$B$7:$B$56,0))</f>
        <v>Beverages</v>
      </c>
      <c r="E34" s="16">
        <f>SUMIFS(Raw!$E$2:$E$1301,Raw!$B$2:$B$1301,$B34,Raw!$A$2:$A$1301,"&gt;"&amp;(Assumptions!$C$6-91),Raw!$A$2:$A$1301,"&lt;="&amp;Assumptions!$C$6)</f>
        <v>5064.85</v>
      </c>
      <c r="F34" s="16">
        <f>SUMIFS(Raw!$E$2:$E$1301,Raw!$B$2:$B$1301,$B34,Raw!$A$2:$A$1301,"&gt;"&amp;(Assumptions!$C$6-182),Raw!$A$2:$A$1301,"&lt;="&amp;(Assumptions!$C$6-91))</f>
        <v>5464.05</v>
      </c>
      <c r="G34" s="17">
        <f>IFERROR(E34/F34-1,0)</f>
        <v>-0.0730593607305936</v>
      </c>
      <c r="H34" s="17">
        <f>IFERROR(SUMIFS(Raw!$G$2:$G$1301,Raw!$B$2:$B$1301,$B34,Raw!$A$2:$A$1301,"&gt;"&amp;(Assumptions!$C$6-91),Raw!$A$2:$A$1301,"&lt;="&amp;Assumptions!$C$6)/E34,0)</f>
        <v>0.458917835671343</v>
      </c>
      <c r="I34" s="15" t="str">
        <f>INDEX(Lookup!$E$7:$E$56,MATCH($B34,Lookup!$B$7:$B$56,0))</f>
        <v>A</v>
      </c>
      <c r="J34" s="15" t="str">
        <f>INDEX(Lookup!$G$7:$G$56,MATCH($B34,Lookup!$B$7:$B$56,0))</f>
        <v>Protect availability</v>
      </c>
      <c r="K34" s="21">
        <f>IF(OR(SelCat="All",D34=SelCat),1,0)</f>
        <v>1</v>
      </c>
    </row>
    <row r="35">
      <c r="B35" s="15" t="inlineStr">
        <is>
          <t>BEV006</t>
        </is>
      </c>
      <c r="C35" s="15" t="str">
        <f>INDEX(Lookup!$C$7:$C$56,MATCH($B35,Lookup!$B$7:$B$56,0))</f>
        <v>Bottled Water 750ml</v>
      </c>
      <c r="D35" s="15" t="str">
        <f>INDEX(Lookup!$D$7:$D$56,MATCH($B35,Lookup!$B$7:$B$56,0))</f>
        <v>Beverages</v>
      </c>
      <c r="E35" s="16">
        <f>SUMIFS(Raw!$E$2:$E$1301,Raw!$B$2:$B$1301,$B35,Raw!$A$2:$A$1301,"&gt;"&amp;(Assumptions!$C$6-91),Raw!$A$2:$A$1301,"&lt;="&amp;Assumptions!$C$6)</f>
        <v>4807.92</v>
      </c>
      <c r="F35" s="16">
        <f>SUMIFS(Raw!$E$2:$E$1301,Raw!$B$2:$B$1301,$B35,Raw!$A$2:$A$1301,"&gt;"&amp;(Assumptions!$C$6-182),Raw!$A$2:$A$1301,"&lt;="&amp;(Assumptions!$C$6-91))</f>
        <v>4876.69</v>
      </c>
      <c r="G35" s="17">
        <f>IFERROR(E35/F35-1,0)</f>
        <v>-0.0141017780502758</v>
      </c>
      <c r="H35" s="17">
        <f>IFERROR(SUMIFS(Raw!$G$2:$G$1301,Raw!$B$2:$B$1301,$B35,Raw!$A$2:$A$1301,"&gt;"&amp;(Assumptions!$C$6-91),Raw!$A$2:$A$1301,"&lt;="&amp;Assumptions!$C$6)/E35,0)</f>
        <v>0.682274247491639</v>
      </c>
      <c r="I35" s="15" t="str">
        <f>INDEX(Lookup!$E$7:$E$56,MATCH($B35,Lookup!$B$7:$B$56,0))</f>
        <v>A</v>
      </c>
      <c r="J35" s="15" t="str">
        <f>INDEX(Lookup!$G$7:$G$56,MATCH($B35,Lookup!$B$7:$B$56,0))</f>
        <v>Protect availability</v>
      </c>
      <c r="K35" s="21">
        <f>IF(OR(SelCat="All",D35=SelCat),1,0)</f>
        <v>1</v>
      </c>
    </row>
    <row r="36">
      <c r="B36" s="15" t="inlineStr">
        <is>
          <t>BBT001</t>
        </is>
      </c>
      <c r="C36" s="15" t="str">
        <f>INDEX(Lookup!$C$7:$C$56,MATCH($B36,Lookup!$B$7:$B$56,0))</f>
        <v>Bubble Tea Kit</v>
      </c>
      <c r="D36" s="15" t="str">
        <f>INDEX(Lookup!$D$7:$D$56,MATCH($B36,Lookup!$B$7:$B$56,0))</f>
        <v>Beverages</v>
      </c>
      <c r="E36" s="16">
        <f>SUMIFS(Raw!$E$2:$E$1301,Raw!$B$2:$B$1301,$B36,Raw!$A$2:$A$1301,"&gt;"&amp;(Assumptions!$C$6-91),Raw!$A$2:$A$1301,"&lt;="&amp;Assumptions!$C$6)</f>
        <v>2823.96</v>
      </c>
      <c r="F36" s="16">
        <f>SUMIFS(Raw!$E$2:$E$1301,Raw!$B$2:$B$1301,$B36,Raw!$A$2:$A$1301,"&gt;"&amp;(Assumptions!$C$6-182),Raw!$A$2:$A$1301,"&lt;="&amp;(Assumptions!$C$6-91))</f>
        <v>3092.25</v>
      </c>
      <c r="G36" s="17">
        <f>IFERROR(E36/F36-1,0)</f>
        <v>-0.0867620664564638</v>
      </c>
      <c r="H36" s="17">
        <f>IFERROR(SUMIFS(Raw!$G$2:$G$1301,Raw!$B$2:$B$1301,$B36,Raw!$A$2:$A$1301,"&gt;"&amp;(Assumptions!$C$6-91),Raw!$A$2:$A$1301,"&lt;="&amp;Assumptions!$C$6)/E36,0)</f>
        <v>0.44206008583691</v>
      </c>
      <c r="I36" s="15" t="str">
        <f>INDEX(Lookup!$E$7:$E$56,MATCH($B36,Lookup!$B$7:$B$56,0))</f>
        <v>B</v>
      </c>
      <c r="J36" s="15" t="str">
        <f>INDEX(Lookup!$G$7:$G$56,MATCH($B36,Lookup!$B$7:$B$56,0))</f>
        <v>Maintain</v>
      </c>
      <c r="K36" s="21">
        <f>IF(OR(SelCat="All",D36=SelCat),1,0)</f>
        <v>1</v>
      </c>
    </row>
    <row r="37">
      <c r="B37" s="15" t="inlineStr">
        <is>
          <t>BEV003</t>
        </is>
      </c>
      <c r="C37" s="15" t="str">
        <f>INDEX(Lookup!$C$7:$C$56,MATCH($B37,Lookup!$B$7:$B$56,0))</f>
        <v>Sparkling Water 1L</v>
      </c>
      <c r="D37" s="15" t="str">
        <f>INDEX(Lookup!$D$7:$D$56,MATCH($B37,Lookup!$B$7:$B$56,0))</f>
        <v>Beverages</v>
      </c>
      <c r="E37" s="16">
        <f>SUMIFS(Raw!$E$2:$E$1301,Raw!$B$2:$B$1301,$B37,Raw!$A$2:$A$1301,"&gt;"&amp;(Assumptions!$C$6-91),Raw!$A$2:$A$1301,"&lt;="&amp;Assumptions!$C$6)</f>
        <v>2456</v>
      </c>
      <c r="F37" s="16">
        <f>SUMIFS(Raw!$E$2:$E$1301,Raw!$B$2:$B$1301,$B37,Raw!$A$2:$A$1301,"&gt;"&amp;(Assumptions!$C$6-182),Raw!$A$2:$A$1301,"&lt;="&amp;(Assumptions!$C$6-91))</f>
        <v>2355.54</v>
      </c>
      <c r="G37" s="17">
        <f>IFERROR(E37/F37-1,0)</f>
        <v>0.0426483948478906</v>
      </c>
      <c r="H37" s="17">
        <f>IFERROR(SUMIFS(Raw!$G$2:$G$1301,Raw!$B$2:$B$1301,$B37,Raw!$A$2:$A$1301,"&gt;"&amp;(Assumptions!$C$6-91),Raw!$A$2:$A$1301,"&lt;="&amp;Assumptions!$C$6)/E37,0)</f>
        <v>0.552117263843648</v>
      </c>
      <c r="I37" s="15" t="str">
        <f>INDEX(Lookup!$E$7:$E$56,MATCH($B37,Lookup!$B$7:$B$56,0))</f>
        <v>B</v>
      </c>
      <c r="J37" s="15" t="str">
        <f>INDEX(Lookup!$G$7:$G$56,MATCH($B37,Lookup!$B$7:$B$56,0))</f>
        <v>Maintain</v>
      </c>
      <c r="K37" s="21">
        <f>IF(OR(SelCat="All",D37=SelCat),1,0)</f>
        <v>1</v>
      </c>
    </row>
    <row r="38">
      <c r="B38" s="15" t="inlineStr">
        <is>
          <t>BEV005</t>
        </is>
      </c>
      <c r="C38" s="15" t="str">
        <f>INDEX(Lookup!$C$7:$C$56,MATCH($B38,Lookup!$B$7:$B$56,0))</f>
        <v>Kombucha 330ml</v>
      </c>
      <c r="D38" s="15" t="str">
        <f>INDEX(Lookup!$D$7:$D$56,MATCH($B38,Lookup!$B$7:$B$56,0))</f>
        <v>Beverages</v>
      </c>
      <c r="E38" s="16">
        <f>SUMIFS(Raw!$E$2:$E$1301,Raw!$B$2:$B$1301,$B38,Raw!$A$2:$A$1301,"&gt;"&amp;(Assumptions!$C$6-91),Raw!$A$2:$A$1301,"&lt;="&amp;Assumptions!$C$6)</f>
        <v>2150.66</v>
      </c>
      <c r="F38" s="16">
        <f>SUMIFS(Raw!$E$2:$E$1301,Raw!$B$2:$B$1301,$B38,Raw!$A$2:$A$1301,"&gt;"&amp;(Assumptions!$C$6-182),Raw!$A$2:$A$1301,"&lt;="&amp;(Assumptions!$C$6-91))</f>
        <v>2495.41</v>
      </c>
      <c r="G38" s="17">
        <f>IFERROR(E38/F38-1,0)</f>
        <v>-0.138153650101587</v>
      </c>
      <c r="H38" s="17">
        <f>IFERROR(SUMIFS(Raw!$G$2:$G$1301,Raw!$B$2:$B$1301,$B38,Raw!$A$2:$A$1301,"&gt;"&amp;(Assumptions!$C$6-91),Raw!$A$2:$A$1301,"&lt;="&amp;Assumptions!$C$6)/E38,0)</f>
        <v>0.451145229836422</v>
      </c>
      <c r="I38" s="15" t="str">
        <f>INDEX(Lookup!$E$7:$E$56,MATCH($B38,Lookup!$B$7:$B$56,0))</f>
        <v>B</v>
      </c>
      <c r="J38" s="15" t="str">
        <f>INDEX(Lookup!$G$7:$G$56,MATCH($B38,Lookup!$B$7:$B$56,0))</f>
        <v>Maintain</v>
      </c>
      <c r="K38" s="21">
        <f>IF(OR(SelCat="All",D38=SelCat),1,0)</f>
        <v>1</v>
      </c>
    </row>
    <row r="39">
      <c r="B39" s="15" t="inlineStr">
        <is>
          <t>MLK001</t>
        </is>
      </c>
      <c r="C39" s="15" t="str">
        <f>INDEX(Lookup!$C$7:$C$56,MATCH($B39,Lookup!$B$7:$B$56,0))</f>
        <v>Milk Standard 2L</v>
      </c>
      <c r="D39" s="15" t="str">
        <f>INDEX(Lookup!$D$7:$D$56,MATCH($B39,Lookup!$B$7:$B$56,0))</f>
        <v>Dairy</v>
      </c>
      <c r="E39" s="16">
        <f>SUMIFS(Raw!$E$2:$E$1301,Raw!$B$2:$B$1301,$B39,Raw!$A$2:$A$1301,"&gt;"&amp;(Assumptions!$C$6-91),Raw!$A$2:$A$1301,"&lt;="&amp;Assumptions!$C$6)</f>
        <v>17100.33</v>
      </c>
      <c r="F39" s="16">
        <f>SUMIFS(Raw!$E$2:$E$1301,Raw!$B$2:$B$1301,$B39,Raw!$A$2:$A$1301,"&gt;"&amp;(Assumptions!$C$6-182),Raw!$A$2:$A$1301,"&lt;="&amp;(Assumptions!$C$6-91))</f>
        <v>17403.16</v>
      </c>
      <c r="G39" s="17">
        <f>IFERROR(E39/F39-1,0)</f>
        <v>-0.0174008628318074</v>
      </c>
      <c r="H39" s="17">
        <f>IFERROR(SUMIFS(Raw!$G$2:$G$1301,Raw!$B$2:$B$1301,$B39,Raw!$A$2:$A$1301,"&gt;"&amp;(Assumptions!$C$6-91),Raw!$A$2:$A$1301,"&lt;="&amp;Assumptions!$C$6)/E39,0)</f>
        <v>0.274028629856851</v>
      </c>
      <c r="I39" s="15" t="str">
        <f>INDEX(Lookup!$E$7:$E$56,MATCH($B39,Lookup!$B$7:$B$56,0))</f>
        <v>A</v>
      </c>
      <c r="J39" s="15" t="str">
        <f>INDEX(Lookup!$G$7:$G$56,MATCH($B39,Lookup!$B$7:$B$56,0))</f>
        <v>Protect availability</v>
      </c>
      <c r="K39" s="21">
        <f>IF(OR(SelCat="All",D39=SelCat),1,0)</f>
        <v>1</v>
      </c>
    </row>
    <row r="40">
      <c r="B40" s="15" t="inlineStr">
        <is>
          <t>MLK002</t>
        </is>
      </c>
      <c r="C40" s="15" t="str">
        <f>INDEX(Lookup!$C$7:$C$56,MATCH($B40,Lookup!$B$7:$B$56,0))</f>
        <v>Milk Lite 2L</v>
      </c>
      <c r="D40" s="15" t="str">
        <f>INDEX(Lookup!$D$7:$D$56,MATCH($B40,Lookup!$B$7:$B$56,0))</f>
        <v>Dairy</v>
      </c>
      <c r="E40" s="16">
        <f>SUMIFS(Raw!$E$2:$E$1301,Raw!$B$2:$B$1301,$B40,Raw!$A$2:$A$1301,"&gt;"&amp;(Assumptions!$C$6-91),Raw!$A$2:$A$1301,"&lt;="&amp;Assumptions!$C$6)</f>
        <v>7217.48</v>
      </c>
      <c r="F40" s="16">
        <f>SUMIFS(Raw!$E$2:$E$1301,Raw!$B$2:$B$1301,$B40,Raw!$A$2:$A$1301,"&gt;"&amp;(Assumptions!$C$6-182),Raw!$A$2:$A$1301,"&lt;="&amp;(Assumptions!$C$6-91))</f>
        <v>7668.15</v>
      </c>
      <c r="G40" s="17">
        <f>IFERROR(E40/F40-1,0)</f>
        <v>-0.0587716724372893</v>
      </c>
      <c r="H40" s="17">
        <f>IFERROR(SUMIFS(Raw!$G$2:$G$1301,Raw!$B$2:$B$1301,$B40,Raw!$A$2:$A$1301,"&gt;"&amp;(Assumptions!$C$6-91),Raw!$A$2:$A$1301,"&lt;="&amp;Assumptions!$C$6)/E40,0)</f>
        <v>0.266142753426404</v>
      </c>
      <c r="I40" s="15" t="str">
        <f>INDEX(Lookup!$E$7:$E$56,MATCH($B40,Lookup!$B$7:$B$56,0))</f>
        <v>A</v>
      </c>
      <c r="J40" s="15" t="str">
        <f>INDEX(Lookup!$G$7:$G$56,MATCH($B40,Lookup!$B$7:$B$56,0))</f>
        <v>Protect availability</v>
      </c>
      <c r="K40" s="21">
        <f>IF(OR(SelCat="All",D40=SelCat),1,0)</f>
        <v>1</v>
      </c>
    </row>
    <row r="41">
      <c r="B41" s="15" t="inlineStr">
        <is>
          <t>DRY012</t>
        </is>
      </c>
      <c r="C41" s="15" t="str">
        <f>INDEX(Lookup!$C$7:$C$56,MATCH($B41,Lookup!$B$7:$B$56,0))</f>
        <v>Cheese Block 1kg</v>
      </c>
      <c r="D41" s="15" t="str">
        <f>INDEX(Lookup!$D$7:$D$56,MATCH($B41,Lookup!$B$7:$B$56,0))</f>
        <v>Dairy</v>
      </c>
      <c r="E41" s="16">
        <f>SUMIFS(Raw!$E$2:$E$1301,Raw!$B$2:$B$1301,$B41,Raw!$A$2:$A$1301,"&gt;"&amp;(Assumptions!$C$6-91),Raw!$A$2:$A$1301,"&lt;="&amp;Assumptions!$C$6)</f>
        <v>6855.1</v>
      </c>
      <c r="F41" s="16">
        <f>SUMIFS(Raw!$E$2:$E$1301,Raw!$B$2:$B$1301,$B41,Raw!$A$2:$A$1301,"&gt;"&amp;(Assumptions!$C$6-182),Raw!$A$2:$A$1301,"&lt;="&amp;(Assumptions!$C$6-91))</f>
        <v>6021.26</v>
      </c>
      <c r="G41" s="17">
        <f>IFERROR(E41/F41-1,0)</f>
        <v>0.138482643167709</v>
      </c>
      <c r="H41" s="17">
        <f>IFERROR(SUMIFS(Raw!$G$2:$G$1301,Raw!$B$2:$B$1301,$B41,Raw!$A$2:$A$1301,"&gt;"&amp;(Assumptions!$C$6-91),Raw!$A$2:$A$1301,"&lt;="&amp;Assumptions!$C$6)/E41,0)</f>
        <v>0.256611865618299</v>
      </c>
      <c r="I41" s="15" t="str">
        <f>INDEX(Lookup!$E$7:$E$56,MATCH($B41,Lookup!$B$7:$B$56,0))</f>
        <v>A</v>
      </c>
      <c r="J41" s="15" t="str">
        <f>INDEX(Lookup!$G$7:$G$56,MATCH($B41,Lookup!$B$7:$B$56,0))</f>
        <v>Protect availability</v>
      </c>
      <c r="K41" s="21">
        <f>IF(OR(SelCat="All",D41=SelCat),1,0)</f>
        <v>1</v>
      </c>
    </row>
    <row r="42">
      <c r="B42" s="15" t="inlineStr">
        <is>
          <t>DRY010</t>
        </is>
      </c>
      <c r="C42" s="15" t="str">
        <f>INDEX(Lookup!$C$7:$C$56,MATCH($B42,Lookup!$B$7:$B$56,0))</f>
        <v>Butter 500g</v>
      </c>
      <c r="D42" s="15" t="str">
        <f>INDEX(Lookup!$D$7:$D$56,MATCH($B42,Lookup!$B$7:$B$56,0))</f>
        <v>Dairy</v>
      </c>
      <c r="E42" s="16">
        <f>SUMIFS(Raw!$E$2:$E$1301,Raw!$B$2:$B$1301,$B42,Raw!$A$2:$A$1301,"&gt;"&amp;(Assumptions!$C$6-91),Raw!$A$2:$A$1301,"&lt;="&amp;Assumptions!$C$6)</f>
        <v>4126.84</v>
      </c>
      <c r="F42" s="16">
        <f>SUMIFS(Raw!$E$2:$E$1301,Raw!$B$2:$B$1301,$B42,Raw!$A$2:$A$1301,"&gt;"&amp;(Assumptions!$C$6-182),Raw!$A$2:$A$1301,"&lt;="&amp;(Assumptions!$C$6-91))</f>
        <v>4179.42</v>
      </c>
      <c r="G42" s="17">
        <f>IFERROR(E42/F42-1,0)</f>
        <v>-0.0125806930148202</v>
      </c>
      <c r="H42" s="17">
        <f>IFERROR(SUMIFS(Raw!$G$2:$G$1301,Raw!$B$2:$B$1301,$B42,Raw!$A$2:$A$1301,"&gt;"&amp;(Assumptions!$C$6-91),Raw!$A$2:$A$1301,"&lt;="&amp;Assumptions!$C$6)/E42,0)</f>
        <v>0.231954715957003</v>
      </c>
      <c r="I42" s="15" t="str">
        <f>INDEX(Lookup!$E$7:$E$56,MATCH($B42,Lookup!$B$7:$B$56,0))</f>
        <v>A</v>
      </c>
      <c r="J42" s="15" t="str">
        <f>INDEX(Lookup!$G$7:$G$56,MATCH($B42,Lookup!$B$7:$B$56,0))</f>
        <v>Protect availability</v>
      </c>
      <c r="K42" s="21">
        <f>IF(OR(SelCat="All",D42=SelCat),1,0)</f>
        <v>1</v>
      </c>
    </row>
    <row r="43">
      <c r="B43" s="15" t="inlineStr">
        <is>
          <t>DRY011</t>
        </is>
      </c>
      <c r="C43" s="15" t="str">
        <f>INDEX(Lookup!$C$7:$C$56,MATCH($B43,Lookup!$B$7:$B$56,0))</f>
        <v>Greek Yoghurt 1kg</v>
      </c>
      <c r="D43" s="15" t="str">
        <f>INDEX(Lookup!$D$7:$D$56,MATCH($B43,Lookup!$B$7:$B$56,0))</f>
        <v>Dairy</v>
      </c>
      <c r="E43" s="16">
        <f>SUMIFS(Raw!$E$2:$E$1301,Raw!$B$2:$B$1301,$B43,Raw!$A$2:$A$1301,"&gt;"&amp;(Assumptions!$C$6-91),Raw!$A$2:$A$1301,"&lt;="&amp;Assumptions!$C$6)</f>
        <v>2892.38</v>
      </c>
      <c r="F43" s="16">
        <f>SUMIFS(Raw!$E$2:$E$1301,Raw!$B$2:$B$1301,$B43,Raw!$A$2:$A$1301,"&gt;"&amp;(Assumptions!$C$6-182),Raw!$A$2:$A$1301,"&lt;="&amp;(Assumptions!$C$6-91))</f>
        <v>3296.56</v>
      </c>
      <c r="G43" s="17">
        <f>IFERROR(E43/F43-1,0)</f>
        <v>-0.122606595966705</v>
      </c>
      <c r="H43" s="17">
        <f>IFERROR(SUMIFS(Raw!$G$2:$G$1301,Raw!$B$2:$B$1301,$B43,Raw!$A$2:$A$1301,"&gt;"&amp;(Assumptions!$C$6-91),Raw!$A$2:$A$1301,"&lt;="&amp;Assumptions!$C$6)/E43,0)</f>
        <v>0.361702127659575</v>
      </c>
      <c r="I43" s="15" t="str">
        <f>INDEX(Lookup!$E$7:$E$56,MATCH($B43,Lookup!$B$7:$B$56,0))</f>
        <v>B</v>
      </c>
      <c r="J43" s="15" t="str">
        <f>INDEX(Lookup!$G$7:$G$56,MATCH($B43,Lookup!$B$7:$B$56,0))</f>
        <v>Maintain</v>
      </c>
      <c r="K43" s="21">
        <f>IF(OR(SelCat="All",D43=SelCat),1,0)</f>
        <v>1</v>
      </c>
    </row>
    <row r="44">
      <c r="B44" s="15" t="inlineStr">
        <is>
          <t>MLK003</t>
        </is>
      </c>
      <c r="C44" s="15" t="str">
        <f>INDEX(Lookup!$C$7:$C$56,MATCH($B44,Lookup!$B$7:$B$56,0))</f>
        <v>Oat Milk 1L</v>
      </c>
      <c r="D44" s="15" t="str">
        <f>INDEX(Lookup!$D$7:$D$56,MATCH($B44,Lookup!$B$7:$B$56,0))</f>
        <v>Dairy</v>
      </c>
      <c r="E44" s="16">
        <f>SUMIFS(Raw!$E$2:$E$1301,Raw!$B$2:$B$1301,$B44,Raw!$A$2:$A$1301,"&gt;"&amp;(Assumptions!$C$6-91),Raw!$A$2:$A$1301,"&lt;="&amp;Assumptions!$C$6)</f>
        <v>2885.36</v>
      </c>
      <c r="F44" s="16">
        <f>SUMIFS(Raw!$E$2:$E$1301,Raw!$B$2:$B$1301,$B44,Raw!$A$2:$A$1301,"&gt;"&amp;(Assumptions!$C$6-182),Raw!$A$2:$A$1301,"&lt;="&amp;(Assumptions!$C$6-91))</f>
        <v>2831.24</v>
      </c>
      <c r="G44" s="17">
        <f>IFERROR(E44/F44-1,0)</f>
        <v>0.0191152993034853</v>
      </c>
      <c r="H44" s="17">
        <f>IFERROR(SUMIFS(Raw!$G$2:$G$1301,Raw!$B$2:$B$1301,$B44,Raw!$A$2:$A$1301,"&gt;"&amp;(Assumptions!$C$6-91),Raw!$A$2:$A$1301,"&lt;="&amp;Assumptions!$C$6)/E44,0)</f>
        <v>0.361812737405384</v>
      </c>
      <c r="I44" s="15" t="str">
        <f>INDEX(Lookup!$E$7:$E$56,MATCH($B44,Lookup!$B$7:$B$56,0))</f>
        <v>B</v>
      </c>
      <c r="J44" s="15" t="str">
        <f>INDEX(Lookup!$G$7:$G$56,MATCH($B44,Lookup!$B$7:$B$56,0))</f>
        <v>Maintain</v>
      </c>
      <c r="K44" s="21">
        <f>IF(OR(SelCat="All",D44=SelCat),1,0)</f>
        <v>1</v>
      </c>
    </row>
    <row r="45">
      <c r="B45" s="15" t="inlineStr">
        <is>
          <t>FTG001</t>
        </is>
      </c>
      <c r="C45" s="15" t="str">
        <f>INDEX(Lookup!$C$7:$C$56,MATCH($B45,Lookup!$B$7:$B$56,0))</f>
        <v>Chicken Sandwich</v>
      </c>
      <c r="D45" s="15" t="str">
        <f>INDEX(Lookup!$D$7:$D$56,MATCH($B45,Lookup!$B$7:$B$56,0))</f>
        <v>Food To Go</v>
      </c>
      <c r="E45" s="16">
        <f>SUMIFS(Raw!$E$2:$E$1301,Raw!$B$2:$B$1301,$B45,Raw!$A$2:$A$1301,"&gt;"&amp;(Assumptions!$C$6-91),Raw!$A$2:$A$1301,"&lt;="&amp;Assumptions!$C$6)</f>
        <v>12942.72</v>
      </c>
      <c r="F45" s="16">
        <f>SUMIFS(Raw!$E$2:$E$1301,Raw!$B$2:$B$1301,$B45,Raw!$A$2:$A$1301,"&gt;"&amp;(Assumptions!$C$6-182),Raw!$A$2:$A$1301,"&lt;="&amp;(Assumptions!$C$6-91))</f>
        <v>13041.22</v>
      </c>
      <c r="G45" s="17">
        <f>IFERROR(E45/F45-1,0)</f>
        <v>-0.00755297433829039</v>
      </c>
      <c r="H45" s="17">
        <f>IFERROR(SUMIFS(Raw!$G$2:$G$1301,Raw!$B$2:$B$1301,$B45,Raw!$A$2:$A$1301,"&gt;"&amp;(Assumptions!$C$6-91),Raw!$A$2:$A$1301,"&lt;="&amp;Assumptions!$C$6)/E45,0)</f>
        <v>0.479305740987984</v>
      </c>
      <c r="I45" s="15" t="str">
        <f>INDEX(Lookup!$E$7:$E$56,MATCH($B45,Lookup!$B$7:$B$56,0))</f>
        <v>A</v>
      </c>
      <c r="J45" s="15" t="str">
        <f>INDEX(Lookup!$G$7:$G$56,MATCH($B45,Lookup!$B$7:$B$56,0))</f>
        <v>Protect availability</v>
      </c>
      <c r="K45" s="21">
        <f>IF(OR(SelCat="All",D45=SelCat),1,0)</f>
        <v>1</v>
      </c>
    </row>
    <row r="46">
      <c r="B46" s="15" t="inlineStr">
        <is>
          <t>FTG002</t>
        </is>
      </c>
      <c r="C46" s="15" t="str">
        <f>INDEX(Lookup!$C$7:$C$56,MATCH($B46,Lookup!$B$7:$B$56,0))</f>
        <v>Sushi Pack 8pc</v>
      </c>
      <c r="D46" s="15" t="str">
        <f>INDEX(Lookup!$D$7:$D$56,MATCH($B46,Lookup!$B$7:$B$56,0))</f>
        <v>Food To Go</v>
      </c>
      <c r="E46" s="16">
        <f>SUMIFS(Raw!$E$2:$E$1301,Raw!$B$2:$B$1301,$B46,Raw!$A$2:$A$1301,"&gt;"&amp;(Assumptions!$C$6-91),Raw!$A$2:$A$1301,"&lt;="&amp;Assumptions!$C$6)</f>
        <v>9905.98</v>
      </c>
      <c r="F46" s="16">
        <f>SUMIFS(Raw!$E$2:$E$1301,Raw!$B$2:$B$1301,$B46,Raw!$A$2:$A$1301,"&gt;"&amp;(Assumptions!$C$6-182),Raw!$A$2:$A$1301,"&lt;="&amp;(Assumptions!$C$6-91))</f>
        <v>11398.59</v>
      </c>
      <c r="G46" s="17">
        <f>IFERROR(E46/F46-1,0)</f>
        <v>-0.130946897818063</v>
      </c>
      <c r="H46" s="17">
        <f>IFERROR(SUMIFS(Raw!$G$2:$G$1301,Raw!$B$2:$B$1301,$B46,Raw!$A$2:$A$1301,"&gt;"&amp;(Assumptions!$C$6-91),Raw!$A$2:$A$1301,"&lt;="&amp;Assumptions!$C$6)/E46,0)</f>
        <v>0.433554277315319</v>
      </c>
      <c r="I46" s="15" t="str">
        <f>INDEX(Lookup!$E$7:$E$56,MATCH($B46,Lookup!$B$7:$B$56,0))</f>
        <v>A</v>
      </c>
      <c r="J46" s="15" t="str">
        <f>INDEX(Lookup!$G$7:$G$56,MATCH($B46,Lookup!$B$7:$B$56,0))</f>
        <v>Protect availability</v>
      </c>
      <c r="K46" s="21">
        <f>IF(OR(SelCat="All",D46=SelCat),1,0)</f>
        <v>1</v>
      </c>
    </row>
    <row r="47">
      <c r="B47" s="15" t="inlineStr">
        <is>
          <t>FTG003</t>
        </is>
      </c>
      <c r="C47" s="15" t="str">
        <f>INDEX(Lookup!$C$7:$C$56,MATCH($B47,Lookup!$B$7:$B$56,0))</f>
        <v>Hot Pie Mince &amp; Cheese</v>
      </c>
      <c r="D47" s="15" t="str">
        <f>INDEX(Lookup!$D$7:$D$56,MATCH($B47,Lookup!$B$7:$B$56,0))</f>
        <v>Food To Go</v>
      </c>
      <c r="E47" s="16">
        <f>SUMIFS(Raw!$E$2:$E$1301,Raw!$B$2:$B$1301,$B47,Raw!$A$2:$A$1301,"&gt;"&amp;(Assumptions!$C$6-91),Raw!$A$2:$A$1301,"&lt;="&amp;Assumptions!$C$6)</f>
        <v>9900.48</v>
      </c>
      <c r="F47" s="16">
        <f>SUMIFS(Raw!$E$2:$E$1301,Raw!$B$2:$B$1301,$B47,Raw!$A$2:$A$1301,"&gt;"&amp;(Assumptions!$C$6-182),Raw!$A$2:$A$1301,"&lt;="&amp;(Assumptions!$C$6-91))</f>
        <v>9283.24</v>
      </c>
      <c r="G47" s="17">
        <f>IFERROR(E47/F47-1,0)</f>
        <v>0.0664897169522709</v>
      </c>
      <c r="H47" s="17">
        <f>IFERROR(SUMIFS(Raw!$G$2:$G$1301,Raw!$B$2:$B$1301,$B47,Raw!$A$2:$A$1301,"&gt;"&amp;(Assumptions!$C$6-91),Raw!$A$2:$A$1301,"&lt;="&amp;Assumptions!$C$6)/E47,0)</f>
        <v>0.5583244448754</v>
      </c>
      <c r="I47" s="15" t="str">
        <f>INDEX(Lookup!$E$7:$E$56,MATCH($B47,Lookup!$B$7:$B$56,0))</f>
        <v>A</v>
      </c>
      <c r="J47" s="15" t="str">
        <f>INDEX(Lookup!$G$7:$G$56,MATCH($B47,Lookup!$B$7:$B$56,0))</f>
        <v>Protect availability</v>
      </c>
      <c r="K47" s="21">
        <f>IF(OR(SelCat="All",D47=SelCat),1,0)</f>
        <v>1</v>
      </c>
    </row>
    <row r="48">
      <c r="B48" s="15" t="inlineStr">
        <is>
          <t>FTG005</t>
        </is>
      </c>
      <c r="C48" s="15" t="str">
        <f>INDEX(Lookup!$C$7:$C$56,MATCH($B48,Lookup!$B$7:$B$56,0))</f>
        <v>Filled Roll</v>
      </c>
      <c r="D48" s="15" t="str">
        <f>INDEX(Lookup!$D$7:$D$56,MATCH($B48,Lookup!$B$7:$B$56,0))</f>
        <v>Food To Go</v>
      </c>
      <c r="E48" s="16">
        <f>SUMIFS(Raw!$E$2:$E$1301,Raw!$B$2:$B$1301,$B48,Raw!$A$2:$A$1301,"&gt;"&amp;(Assumptions!$C$6-91),Raw!$A$2:$A$1301,"&lt;="&amp;Assumptions!$C$6)</f>
        <v>6671.72</v>
      </c>
      <c r="F48" s="16">
        <f>SUMIFS(Raw!$E$2:$E$1301,Raw!$B$2:$B$1301,$B48,Raw!$A$2:$A$1301,"&gt;"&amp;(Assumptions!$C$6-182),Raw!$A$2:$A$1301,"&lt;="&amp;(Assumptions!$C$6-91))</f>
        <v>6045.98</v>
      </c>
      <c r="G48" s="17">
        <f>IFERROR(E48/F48-1,0)</f>
        <v>0.103496868993943</v>
      </c>
      <c r="H48" s="17">
        <f>IFERROR(SUMIFS(Raw!$G$2:$G$1301,Raw!$B$2:$B$1301,$B48,Raw!$A$2:$A$1301,"&gt;"&amp;(Assumptions!$C$6-91),Raw!$A$2:$A$1301,"&lt;="&amp;Assumptions!$C$6)/E48,0)</f>
        <v>0.50693374422188</v>
      </c>
      <c r="I48" s="15" t="str">
        <f>INDEX(Lookup!$E$7:$E$56,MATCH($B48,Lookup!$B$7:$B$56,0))</f>
        <v>A</v>
      </c>
      <c r="J48" s="15" t="str">
        <f>INDEX(Lookup!$G$7:$G$56,MATCH($B48,Lookup!$B$7:$B$56,0))</f>
        <v>Protect availability</v>
      </c>
      <c r="K48" s="21">
        <f>IF(OR(SelCat="All",D48=SelCat),1,0)</f>
        <v>1</v>
      </c>
    </row>
    <row r="49">
      <c r="B49" s="15" t="inlineStr">
        <is>
          <t>FTG004</t>
        </is>
      </c>
      <c r="C49" s="15" t="str">
        <f>INDEX(Lookup!$C$7:$C$56,MATCH($B49,Lookup!$B$7:$B$56,0))</f>
        <v>Salad Bowl</v>
      </c>
      <c r="D49" s="15" t="str">
        <f>INDEX(Lookup!$D$7:$D$56,MATCH($B49,Lookup!$B$7:$B$56,0))</f>
        <v>Food To Go</v>
      </c>
      <c r="E49" s="16">
        <f>SUMIFS(Raw!$E$2:$E$1301,Raw!$B$2:$B$1301,$B49,Raw!$A$2:$A$1301,"&gt;"&amp;(Assumptions!$C$6-91),Raw!$A$2:$A$1301,"&lt;="&amp;Assumptions!$C$6)</f>
        <v>5121.3</v>
      </c>
      <c r="F49" s="16">
        <f>SUMIFS(Raw!$E$2:$E$1301,Raw!$B$2:$B$1301,$B49,Raw!$A$2:$A$1301,"&gt;"&amp;(Assumptions!$C$6-182),Raw!$A$2:$A$1301,"&lt;="&amp;(Assumptions!$C$6-91))</f>
        <v>5708.1</v>
      </c>
      <c r="G49" s="17">
        <f>IFERROR(E49/F49-1,0)</f>
        <v>-0.102801282388185</v>
      </c>
      <c r="H49" s="17">
        <f>IFERROR(SUMIFS(Raw!$G$2:$G$1301,Raw!$B$2:$B$1301,$B49,Raw!$A$2:$A$1301,"&gt;"&amp;(Assumptions!$C$6-91),Raw!$A$2:$A$1301,"&lt;="&amp;Assumptions!$C$6)/E49,0)</f>
        <v>0.431003846679554</v>
      </c>
      <c r="I49" s="15" t="str">
        <f>INDEX(Lookup!$E$7:$E$56,MATCH($B49,Lookup!$B$7:$B$56,0))</f>
        <v>A</v>
      </c>
      <c r="J49" s="15" t="str">
        <f>INDEX(Lookup!$G$7:$G$56,MATCH($B49,Lookup!$B$7:$B$56,0))</f>
        <v>Protect availability</v>
      </c>
      <c r="K49" s="21">
        <f>IF(OR(SelCat="All",D49=SelCat),1,0)</f>
        <v>1</v>
      </c>
    </row>
    <row r="50">
      <c r="B50" s="15" t="inlineStr">
        <is>
          <t>FRZ004</t>
        </is>
      </c>
      <c r="C50" s="15" t="str">
        <f>INDEX(Lookup!$C$7:$C$56,MATCH($B50,Lookup!$B$7:$B$56,0))</f>
        <v>Frozen Dumplings 1kg</v>
      </c>
      <c r="D50" s="15" t="str">
        <f>INDEX(Lookup!$D$7:$D$56,MATCH($B50,Lookup!$B$7:$B$56,0))</f>
        <v>Frozen</v>
      </c>
      <c r="E50" s="16">
        <f>SUMIFS(Raw!$E$2:$E$1301,Raw!$B$2:$B$1301,$B50,Raw!$A$2:$A$1301,"&gt;"&amp;(Assumptions!$C$6-91),Raw!$A$2:$A$1301,"&lt;="&amp;Assumptions!$C$6)</f>
        <v>5306.71</v>
      </c>
      <c r="F50" s="16">
        <f>SUMIFS(Raw!$E$2:$E$1301,Raw!$B$2:$B$1301,$B50,Raw!$A$2:$A$1301,"&gt;"&amp;(Assumptions!$C$6-182),Raw!$A$2:$A$1301,"&lt;="&amp;(Assumptions!$C$6-91))</f>
        <v>5203.66</v>
      </c>
      <c r="G50" s="17">
        <f>IFERROR(E50/F50-1,0)</f>
        <v>0.0198033691670863</v>
      </c>
      <c r="H50" s="17">
        <f>IFERROR(SUMIFS(Raw!$G$2:$G$1301,Raw!$B$2:$B$1301,$B50,Raw!$A$2:$A$1301,"&gt;"&amp;(Assumptions!$C$6-91),Raw!$A$2:$A$1301,"&lt;="&amp;Assumptions!$C$6)/E50,0)</f>
        <v>0.399269980835584</v>
      </c>
      <c r="I50" s="15" t="str">
        <f>INDEX(Lookup!$E$7:$E$56,MATCH($B50,Lookup!$B$7:$B$56,0))</f>
        <v>A</v>
      </c>
      <c r="J50" s="15" t="str">
        <f>INDEX(Lookup!$G$7:$G$56,MATCH($B50,Lookup!$B$7:$B$56,0))</f>
        <v>Protect availability</v>
      </c>
      <c r="K50" s="21">
        <f>IF(OR(SelCat="All",D50=SelCat),1,0)</f>
        <v>1</v>
      </c>
    </row>
    <row r="51">
      <c r="B51" s="15" t="inlineStr">
        <is>
          <t>FRZ001</t>
        </is>
      </c>
      <c r="C51" s="15" t="str">
        <f>INDEX(Lookup!$C$7:$C$56,MATCH($B51,Lookup!$B$7:$B$56,0))</f>
        <v>Ice Cream Tub 2L</v>
      </c>
      <c r="D51" s="15" t="str">
        <f>INDEX(Lookup!$D$7:$D$56,MATCH($B51,Lookup!$B$7:$B$56,0))</f>
        <v>Frozen</v>
      </c>
      <c r="E51" s="16">
        <f>SUMIFS(Raw!$E$2:$E$1301,Raw!$B$2:$B$1301,$B51,Raw!$A$2:$A$1301,"&gt;"&amp;(Assumptions!$C$6-91),Raw!$A$2:$A$1301,"&lt;="&amp;Assumptions!$C$6)</f>
        <v>5199.77</v>
      </c>
      <c r="F51" s="16">
        <f>SUMIFS(Raw!$E$2:$E$1301,Raw!$B$2:$B$1301,$B51,Raw!$A$2:$A$1301,"&gt;"&amp;(Assumptions!$C$6-182),Raw!$A$2:$A$1301,"&lt;="&amp;(Assumptions!$C$6-91))</f>
        <v>4728.74</v>
      </c>
      <c r="G51" s="17">
        <f>IFERROR(E51/F51-1,0)</f>
        <v>0.099610044113231</v>
      </c>
      <c r="H51" s="17">
        <f>IFERROR(SUMIFS(Raw!$G$2:$G$1301,Raw!$B$2:$B$1301,$B51,Raw!$A$2:$A$1301,"&gt;"&amp;(Assumptions!$C$6-91),Raw!$A$2:$A$1301,"&lt;="&amp;Assumptions!$C$6)/E51,0)</f>
        <v>0.394550143564042</v>
      </c>
      <c r="I51" s="15" t="str">
        <f>INDEX(Lookup!$E$7:$E$56,MATCH($B51,Lookup!$B$7:$B$56,0))</f>
        <v>A</v>
      </c>
      <c r="J51" s="15" t="str">
        <f>INDEX(Lookup!$G$7:$G$56,MATCH($B51,Lookup!$B$7:$B$56,0))</f>
        <v>Protect availability</v>
      </c>
      <c r="K51" s="21">
        <f>IF(OR(SelCat="All",D51=SelCat),1,0)</f>
        <v>1</v>
      </c>
    </row>
    <row r="52">
      <c r="B52" s="15" t="inlineStr">
        <is>
          <t>FRZ003</t>
        </is>
      </c>
      <c r="C52" s="15" t="str">
        <f>INDEX(Lookup!$C$7:$C$56,MATCH($B52,Lookup!$B$7:$B$56,0))</f>
        <v>Frozen Pizza</v>
      </c>
      <c r="D52" s="15" t="str">
        <f>INDEX(Lookup!$D$7:$D$56,MATCH($B52,Lookup!$B$7:$B$56,0))</f>
        <v>Frozen</v>
      </c>
      <c r="E52" s="16">
        <f>SUMIFS(Raw!$E$2:$E$1301,Raw!$B$2:$B$1301,$B52,Raw!$A$2:$A$1301,"&gt;"&amp;(Assumptions!$C$6-91),Raw!$A$2:$A$1301,"&lt;="&amp;Assumptions!$C$6)</f>
        <v>4916.98</v>
      </c>
      <c r="F52" s="16">
        <f>SUMIFS(Raw!$E$2:$E$1301,Raw!$B$2:$B$1301,$B52,Raw!$A$2:$A$1301,"&gt;"&amp;(Assumptions!$C$6-182),Raw!$A$2:$A$1301,"&lt;="&amp;(Assumptions!$C$6-91))</f>
        <v>4514.35</v>
      </c>
      <c r="G52" s="17">
        <f>IFERROR(E52/F52-1,0)</f>
        <v>0.0891889197780409</v>
      </c>
      <c r="H52" s="17">
        <f>IFERROR(SUMIFS(Raw!$G$2:$G$1301,Raw!$B$2:$B$1301,$B52,Raw!$A$2:$A$1301,"&gt;"&amp;(Assumptions!$C$6-91),Raw!$A$2:$A$1301,"&lt;="&amp;Assumptions!$C$6)/E52,0)</f>
        <v>0.405448059581288</v>
      </c>
      <c r="I52" s="15" t="str">
        <f>INDEX(Lookup!$E$7:$E$56,MATCH($B52,Lookup!$B$7:$B$56,0))</f>
        <v>A</v>
      </c>
      <c r="J52" s="15" t="str">
        <f>INDEX(Lookup!$G$7:$G$56,MATCH($B52,Lookup!$B$7:$B$56,0))</f>
        <v>Protect availability</v>
      </c>
      <c r="K52" s="21">
        <f>IF(OR(SelCat="All",D52=SelCat),1,0)</f>
        <v>1</v>
      </c>
    </row>
    <row r="53">
      <c r="B53" s="15" t="inlineStr">
        <is>
          <t>FRZ002</t>
        </is>
      </c>
      <c r="C53" s="15" t="str">
        <f>INDEX(Lookup!$C$7:$C$56,MATCH($B53,Lookup!$B$7:$B$56,0))</f>
        <v>Ice Block Single</v>
      </c>
      <c r="D53" s="15" t="str">
        <f>INDEX(Lookup!$D$7:$D$56,MATCH($B53,Lookup!$B$7:$B$56,0))</f>
        <v>Frozen</v>
      </c>
      <c r="E53" s="16">
        <f>SUMIFS(Raw!$E$2:$E$1301,Raw!$B$2:$B$1301,$B53,Raw!$A$2:$A$1301,"&gt;"&amp;(Assumptions!$C$6-91),Raw!$A$2:$A$1301,"&lt;="&amp;Assumptions!$C$6)</f>
        <v>2726.79</v>
      </c>
      <c r="F53" s="16">
        <f>SUMIFS(Raw!$E$2:$E$1301,Raw!$B$2:$B$1301,$B53,Raw!$A$2:$A$1301,"&gt;"&amp;(Assumptions!$C$6-182),Raw!$A$2:$A$1301,"&lt;="&amp;(Assumptions!$C$6-91))</f>
        <v>2650.76</v>
      </c>
      <c r="G53" s="17">
        <f>IFERROR(E53/F53-1,0)</f>
        <v>0.0286823401590486</v>
      </c>
      <c r="H53" s="17">
        <f>IFERROR(SUMIFS(Raw!$G$2:$G$1301,Raw!$B$2:$B$1301,$B53,Raw!$A$2:$A$1301,"&gt;"&amp;(Assumptions!$C$6-91),Raw!$A$2:$A$1301,"&lt;="&amp;Assumptions!$C$6)/E53,0)</f>
        <v>0.594688259821989</v>
      </c>
      <c r="I53" s="15" t="str">
        <f>INDEX(Lookup!$E$7:$E$56,MATCH($B53,Lookup!$B$7:$B$56,0))</f>
        <v>B</v>
      </c>
      <c r="J53" s="15" t="str">
        <f>INDEX(Lookup!$G$7:$G$56,MATCH($B53,Lookup!$B$7:$B$56,0))</f>
        <v>Maintain</v>
      </c>
      <c r="K53" s="21">
        <f>IF(OR(SelCat="All",D53=SelCat),1,0)</f>
        <v>1</v>
      </c>
    </row>
    <row r="54">
      <c r="B54" s="15" t="inlineStr">
        <is>
          <t>GRO007</t>
        </is>
      </c>
      <c r="C54" s="15" t="str">
        <f>INDEX(Lookup!$C$7:$C$56,MATCH($B54,Lookup!$B$7:$B$56,0))</f>
        <v>Eggs Free Range 12pk</v>
      </c>
      <c r="D54" s="15" t="str">
        <f>INDEX(Lookup!$D$7:$D$56,MATCH($B54,Lookup!$B$7:$B$56,0))</f>
        <v>Grocery</v>
      </c>
      <c r="E54" s="16">
        <f>SUMIFS(Raw!$E$2:$E$1301,Raw!$B$2:$B$1301,$B54,Raw!$A$2:$A$1301,"&gt;"&amp;(Assumptions!$C$6-91),Raw!$A$2:$A$1301,"&lt;="&amp;Assumptions!$C$6)</f>
        <v>9622.78</v>
      </c>
      <c r="F54" s="16">
        <f>SUMIFS(Raw!$E$2:$E$1301,Raw!$B$2:$B$1301,$B54,Raw!$A$2:$A$1301,"&gt;"&amp;(Assumptions!$C$6-182),Raw!$A$2:$A$1301,"&lt;="&amp;(Assumptions!$C$6-91))</f>
        <v>9187.55</v>
      </c>
      <c r="G54" s="17">
        <f>IFERROR(E54/F54-1,0)</f>
        <v>0.0473717149838642</v>
      </c>
      <c r="H54" s="17">
        <f>IFERROR(SUMIFS(Raw!$G$2:$G$1301,Raw!$B$2:$B$1301,$B54,Raw!$A$2:$A$1301,"&gt;"&amp;(Assumptions!$C$6-91),Raw!$A$2:$A$1301,"&lt;="&amp;Assumptions!$C$6)/E54,0)</f>
        <v>0.248408464082105</v>
      </c>
      <c r="I54" s="15" t="str">
        <f>INDEX(Lookup!$E$7:$E$56,MATCH($B54,Lookup!$B$7:$B$56,0))</f>
        <v>A</v>
      </c>
      <c r="J54" s="15" t="str">
        <f>INDEX(Lookup!$G$7:$G$56,MATCH($B54,Lookup!$B$7:$B$56,0))</f>
        <v>Protect availability</v>
      </c>
      <c r="K54" s="21">
        <f>IF(OR(SelCat="All",D54=SelCat),1,0)</f>
        <v>1</v>
      </c>
    </row>
    <row r="55">
      <c r="B55" s="15" t="inlineStr">
        <is>
          <t>GRO001</t>
        </is>
      </c>
      <c r="C55" s="15" t="str">
        <f>INDEX(Lookup!$C$7:$C$56,MATCH($B55,Lookup!$B$7:$B$56,0))</f>
        <v>Instant Noodles 5pk</v>
      </c>
      <c r="D55" s="15" t="str">
        <f>INDEX(Lookup!$D$7:$D$56,MATCH($B55,Lookup!$B$7:$B$56,0))</f>
        <v>Grocery</v>
      </c>
      <c r="E55" s="16">
        <f>SUMIFS(Raw!$E$2:$E$1301,Raw!$B$2:$B$1301,$B55,Raw!$A$2:$A$1301,"&gt;"&amp;(Assumptions!$C$6-91),Raw!$A$2:$A$1301,"&lt;="&amp;Assumptions!$C$6)</f>
        <v>5769.65</v>
      </c>
      <c r="F55" s="16">
        <f>SUMIFS(Raw!$E$2:$E$1301,Raw!$B$2:$B$1301,$B55,Raw!$A$2:$A$1301,"&gt;"&amp;(Assumptions!$C$6-182),Raw!$A$2:$A$1301,"&lt;="&amp;(Assumptions!$C$6-91))</f>
        <v>5293.71</v>
      </c>
      <c r="G55" s="17">
        <f>IFERROR(E55/F55-1,0)</f>
        <v>0.0899067005937235</v>
      </c>
      <c r="H55" s="17">
        <f>IFERROR(SUMIFS(Raw!$G$2:$G$1301,Raw!$B$2:$B$1301,$B55,Raw!$A$2:$A$1301,"&gt;"&amp;(Assumptions!$C$6-91),Raw!$A$2:$A$1301,"&lt;="&amp;Assumptions!$C$6)/E55,0)</f>
        <v>0.420935412026726</v>
      </c>
      <c r="I55" s="15" t="str">
        <f>INDEX(Lookup!$E$7:$E$56,MATCH($B55,Lookup!$B$7:$B$56,0))</f>
        <v>A</v>
      </c>
      <c r="J55" s="15" t="str">
        <f>INDEX(Lookup!$G$7:$G$56,MATCH($B55,Lookup!$B$7:$B$56,0))</f>
        <v>Protect availability</v>
      </c>
      <c r="K55" s="21">
        <f>IF(OR(SelCat="All",D55=SelCat),1,0)</f>
        <v>1</v>
      </c>
    </row>
    <row r="56">
      <c r="B56" s="15" t="inlineStr">
        <is>
          <t>GRO008</t>
        </is>
      </c>
      <c r="C56" s="15" t="str">
        <f>INDEX(Lookup!$C$7:$C$56,MATCH($B56,Lookup!$B$7:$B$56,0))</f>
        <v>Coffee Beans 200g</v>
      </c>
      <c r="D56" s="15" t="str">
        <f>INDEX(Lookup!$D$7:$D$56,MATCH($B56,Lookup!$B$7:$B$56,0))</f>
        <v>Grocery</v>
      </c>
      <c r="E56" s="16">
        <f>SUMIFS(Raw!$E$2:$E$1301,Raw!$B$2:$B$1301,$B56,Raw!$A$2:$A$1301,"&gt;"&amp;(Assumptions!$C$6-91),Raw!$A$2:$A$1301,"&lt;="&amp;Assumptions!$C$6)</f>
        <v>3611.36</v>
      </c>
      <c r="F56" s="16">
        <f>SUMIFS(Raw!$E$2:$E$1301,Raw!$B$2:$B$1301,$B56,Raw!$A$2:$A$1301,"&gt;"&amp;(Assumptions!$C$6-182),Raw!$A$2:$A$1301,"&lt;="&amp;(Assumptions!$C$6-91))</f>
        <v>3393.17</v>
      </c>
      <c r="G56" s="17">
        <f>IFERROR(E56/F56-1,0)</f>
        <v>0.0643027021929346</v>
      </c>
      <c r="H56" s="17">
        <f>IFERROR(SUMIFS(Raw!$G$2:$G$1301,Raw!$B$2:$B$1301,$B56,Raw!$A$2:$A$1301,"&gt;"&amp;(Assumptions!$C$6-91),Raw!$A$2:$A$1301,"&lt;="&amp;Assumptions!$C$6)/E56,0)</f>
        <v>0.360241017234504</v>
      </c>
      <c r="I56" s="15" t="str">
        <f>INDEX(Lookup!$E$7:$E$56,MATCH($B56,Lookup!$B$7:$B$56,0))</f>
        <v>B</v>
      </c>
      <c r="J56" s="15" t="str">
        <f>INDEX(Lookup!$G$7:$G$56,MATCH($B56,Lookup!$B$7:$B$56,0))</f>
        <v>Maintain</v>
      </c>
      <c r="K56" s="21">
        <f>IF(OR(SelCat="All",D56=SelCat),1,0)</f>
        <v>1</v>
      </c>
    </row>
    <row r="57">
      <c r="B57" s="15" t="inlineStr">
        <is>
          <t>GRO002</t>
        </is>
      </c>
      <c r="C57" s="15" t="str">
        <f>INDEX(Lookup!$C$7:$C$56,MATCH($B57,Lookup!$B$7:$B$56,0))</f>
        <v>Canned Soup 500g</v>
      </c>
      <c r="D57" s="15" t="str">
        <f>INDEX(Lookup!$D$7:$D$56,MATCH($B57,Lookup!$B$7:$B$56,0))</f>
        <v>Grocery</v>
      </c>
      <c r="E57" s="16">
        <f>SUMIFS(Raw!$E$2:$E$1301,Raw!$B$2:$B$1301,$B57,Raw!$A$2:$A$1301,"&gt;"&amp;(Assumptions!$C$6-91),Raw!$A$2:$A$1301,"&lt;="&amp;Assumptions!$C$6)</f>
        <v>1974</v>
      </c>
      <c r="F57" s="16">
        <f>SUMIFS(Raw!$E$2:$E$1301,Raw!$B$2:$B$1301,$B57,Raw!$A$2:$A$1301,"&gt;"&amp;(Assumptions!$C$6-182),Raw!$A$2:$A$1301,"&lt;="&amp;(Assumptions!$C$6-91))</f>
        <v>1832.47</v>
      </c>
      <c r="G57" s="17">
        <f>IFERROR(E57/F57-1,0)</f>
        <v>0.0772345522709785</v>
      </c>
      <c r="H57" s="17">
        <f>IFERROR(SUMIFS(Raw!$G$2:$G$1301,Raw!$B$2:$B$1301,$B57,Raw!$A$2:$A$1301,"&gt;"&amp;(Assumptions!$C$6-91),Raw!$A$2:$A$1301,"&lt;="&amp;Assumptions!$C$6)/E57,0)</f>
        <v>0.422492401215805</v>
      </c>
      <c r="I57" s="15" t="str">
        <f>INDEX(Lookup!$E$7:$E$56,MATCH($B57,Lookup!$B$7:$B$56,0))</f>
        <v>B</v>
      </c>
      <c r="J57" s="15" t="str">
        <f>INDEX(Lookup!$G$7:$G$56,MATCH($B57,Lookup!$B$7:$B$56,0))</f>
        <v>Maintain</v>
      </c>
      <c r="K57" s="21">
        <f>IF(OR(SelCat="All",D57=SelCat),1,0)</f>
        <v>1</v>
      </c>
    </row>
    <row r="58">
      <c r="B58" s="15" t="inlineStr">
        <is>
          <t>GRO004</t>
        </is>
      </c>
      <c r="C58" s="15" t="str">
        <f>INDEX(Lookup!$C$7:$C$56,MATCH($B58,Lookup!$B$7:$B$56,0))</f>
        <v>Simmer Sauce 485g</v>
      </c>
      <c r="D58" s="15" t="str">
        <f>INDEX(Lookup!$D$7:$D$56,MATCH($B58,Lookup!$B$7:$B$56,0))</f>
        <v>Grocery</v>
      </c>
      <c r="E58" s="16">
        <f>SUMIFS(Raw!$E$2:$E$1301,Raw!$B$2:$B$1301,$B58,Raw!$A$2:$A$1301,"&gt;"&amp;(Assumptions!$C$6-91),Raw!$A$2:$A$1301,"&lt;="&amp;Assumptions!$C$6)</f>
        <v>1884.84</v>
      </c>
      <c r="F58" s="16">
        <f>SUMIFS(Raw!$E$2:$E$1301,Raw!$B$2:$B$1301,$B58,Raw!$A$2:$A$1301,"&gt;"&amp;(Assumptions!$C$6-182),Raw!$A$2:$A$1301,"&lt;="&amp;(Assumptions!$C$6-91))</f>
        <v>1795.5</v>
      </c>
      <c r="G58" s="17">
        <f>IFERROR(E58/F58-1,0)</f>
        <v>0.0497577276524646</v>
      </c>
      <c r="H58" s="17">
        <f>IFERROR(SUMIFS(Raw!$G$2:$G$1301,Raw!$B$2:$B$1301,$B58,Raw!$A$2:$A$1301,"&gt;"&amp;(Assumptions!$C$6-91),Raw!$A$2:$A$1301,"&lt;="&amp;Assumptions!$C$6)/E58,0)</f>
        <v>0.419154941533499</v>
      </c>
      <c r="I58" s="15" t="str">
        <f>INDEX(Lookup!$E$7:$E$56,MATCH($B58,Lookup!$B$7:$B$56,0))</f>
        <v>C</v>
      </c>
      <c r="J58" s="15" t="str">
        <f>INDEX(Lookup!$G$7:$G$56,MATCH($B58,Lookup!$B$7:$B$56,0))</f>
        <v>Review facings</v>
      </c>
      <c r="K58" s="21">
        <f>IF(OR(SelCat="All",D58=SelCat),1,0)</f>
        <v>1</v>
      </c>
    </row>
    <row r="59">
      <c r="B59" s="15" t="inlineStr">
        <is>
          <t>GRO006</t>
        </is>
      </c>
      <c r="C59" s="15" t="str">
        <f>INDEX(Lookup!$C$7:$C$56,MATCH($B59,Lookup!$B$7:$B$56,0))</f>
        <v>Taco Kit</v>
      </c>
      <c r="D59" s="15" t="str">
        <f>INDEX(Lookup!$D$7:$D$56,MATCH($B59,Lookup!$B$7:$B$56,0))</f>
        <v>Grocery</v>
      </c>
      <c r="E59" s="16">
        <f>SUMIFS(Raw!$E$2:$E$1301,Raw!$B$2:$B$1301,$B59,Raw!$A$2:$A$1301,"&gt;"&amp;(Assumptions!$C$6-91),Raw!$A$2:$A$1301,"&lt;="&amp;Assumptions!$C$6)</f>
        <v>1878.17</v>
      </c>
      <c r="F59" s="16">
        <f>SUMIFS(Raw!$E$2:$E$1301,Raw!$B$2:$B$1301,$B59,Raw!$A$2:$A$1301,"&gt;"&amp;(Assumptions!$C$6-182),Raw!$A$2:$A$1301,"&lt;="&amp;(Assumptions!$C$6-91))</f>
        <v>1544.62</v>
      </c>
      <c r="G59" s="17">
        <f>IFERROR(E59/F59-1,0)</f>
        <v>0.215943079851355</v>
      </c>
      <c r="H59" s="17">
        <f>IFERROR(SUMIFS(Raw!$G$2:$G$1301,Raw!$B$2:$B$1301,$B59,Raw!$A$2:$A$1301,"&gt;"&amp;(Assumptions!$C$6-91),Raw!$A$2:$A$1301,"&lt;="&amp;Assumptions!$C$6)/E59,0)</f>
        <v>0.375988329064994</v>
      </c>
      <c r="I59" s="15" t="str">
        <f>INDEX(Lookup!$E$7:$E$56,MATCH($B59,Lookup!$B$7:$B$56,0))</f>
        <v>C</v>
      </c>
      <c r="J59" s="15" t="str">
        <f>INDEX(Lookup!$G$7:$G$56,MATCH($B59,Lookup!$B$7:$B$56,0))</f>
        <v>Review facings</v>
      </c>
      <c r="K59" s="21">
        <f>IF(OR(SelCat="All",D59=SelCat),1,0)</f>
        <v>1</v>
      </c>
    </row>
    <row r="60">
      <c r="B60" s="15" t="inlineStr">
        <is>
          <t>GRO003</t>
        </is>
      </c>
      <c r="C60" s="15" t="str">
        <f>INDEX(Lookup!$C$7:$C$56,MATCH($B60,Lookup!$B$7:$B$56,0))</f>
        <v>Pasta 500g</v>
      </c>
      <c r="D60" s="15" t="str">
        <f>INDEX(Lookup!$D$7:$D$56,MATCH($B60,Lookup!$B$7:$B$56,0))</f>
        <v>Grocery</v>
      </c>
      <c r="E60" s="16">
        <f>SUMIFS(Raw!$E$2:$E$1301,Raw!$B$2:$B$1301,$B60,Raw!$A$2:$A$1301,"&gt;"&amp;(Assumptions!$C$6-91),Raw!$A$2:$A$1301,"&lt;="&amp;Assumptions!$C$6)</f>
        <v>1386.93</v>
      </c>
      <c r="F60" s="16">
        <f>SUMIFS(Raw!$E$2:$E$1301,Raw!$B$2:$B$1301,$B60,Raw!$A$2:$A$1301,"&gt;"&amp;(Assumptions!$C$6-182),Raw!$A$2:$A$1301,"&lt;="&amp;(Assumptions!$C$6-91))</f>
        <v>1292.31</v>
      </c>
      <c r="G60" s="17">
        <f>IFERROR(E60/F60-1,0)</f>
        <v>0.0732177263969172</v>
      </c>
      <c r="H60" s="17">
        <f>IFERROR(SUMIFS(Raw!$G$2:$G$1301,Raw!$B$2:$B$1301,$B60,Raw!$A$2:$A$1301,"&gt;"&amp;(Assumptions!$C$6-91),Raw!$A$2:$A$1301,"&lt;="&amp;Assumptions!$C$6)/E60,0)</f>
        <v>0.477911646586345</v>
      </c>
      <c r="I60" s="15" t="str">
        <f>INDEX(Lookup!$E$7:$E$56,MATCH($B60,Lookup!$B$7:$B$56,0))</f>
        <v>C</v>
      </c>
      <c r="J60" s="15" t="str">
        <f>INDEX(Lookup!$G$7:$G$56,MATCH($B60,Lookup!$B$7:$B$56,0))</f>
        <v>Review facings</v>
      </c>
      <c r="K60" s="21">
        <f>IF(OR(SelCat="All",D60=SelCat),1,0)</f>
        <v>1</v>
      </c>
    </row>
    <row r="61">
      <c r="B61" s="15" t="inlineStr">
        <is>
          <t>GRO005</t>
        </is>
      </c>
      <c r="C61" s="15" t="str">
        <f>INDEX(Lookup!$C$7:$C$56,MATCH($B61,Lookup!$B$7:$B$56,0))</f>
        <v>Salsa 300g</v>
      </c>
      <c r="D61" s="15" t="str">
        <f>INDEX(Lookup!$D$7:$D$56,MATCH($B61,Lookup!$B$7:$B$56,0))</f>
        <v>Grocery</v>
      </c>
      <c r="E61" s="16">
        <f>SUMIFS(Raw!$E$2:$E$1301,Raw!$B$2:$B$1301,$B61,Raw!$A$2:$A$1301,"&gt;"&amp;(Assumptions!$C$6-91),Raw!$A$2:$A$1301,"&lt;="&amp;Assumptions!$C$6)</f>
        <v>1282.68</v>
      </c>
      <c r="F61" s="16">
        <f>SUMIFS(Raw!$E$2:$E$1301,Raw!$B$2:$B$1301,$B61,Raw!$A$2:$A$1301,"&gt;"&amp;(Assumptions!$C$6-182),Raw!$A$2:$A$1301,"&lt;="&amp;(Assumptions!$C$6-91))</f>
        <v>1226.18</v>
      </c>
      <c r="G61" s="17">
        <f>IFERROR(E61/F61-1,0)</f>
        <v>0.0460780635795723</v>
      </c>
      <c r="H61" s="17">
        <f>IFERROR(SUMIFS(Raw!$G$2:$G$1301,Raw!$B$2:$B$1301,$B61,Raw!$A$2:$A$1301,"&gt;"&amp;(Assumptions!$C$6-91),Raw!$A$2:$A$1301,"&lt;="&amp;Assumptions!$C$6)/E61,0)</f>
        <v>0.375994012536252</v>
      </c>
      <c r="I61" s="15" t="str">
        <f>INDEX(Lookup!$E$7:$E$56,MATCH($B61,Lookup!$B$7:$B$56,0))</f>
        <v>C</v>
      </c>
      <c r="J61" s="15" t="str">
        <f>INDEX(Lookup!$G$7:$G$56,MATCH($B61,Lookup!$B$7:$B$56,0))</f>
        <v>Review facings</v>
      </c>
      <c r="K61" s="21">
        <f>IF(OR(SelCat="All",D61=SelCat),1,0)</f>
        <v>1</v>
      </c>
    </row>
    <row r="62">
      <c r="B62" s="15" t="inlineStr">
        <is>
          <t>PHM002</t>
        </is>
      </c>
      <c r="C62" s="15" t="str">
        <f>INDEX(Lookup!$C$7:$C$56,MATCH($B62,Lookup!$B$7:$B$56,0))</f>
        <v>Sunscreen SPF50</v>
      </c>
      <c r="D62" s="15" t="str">
        <f>INDEX(Lookup!$D$7:$D$56,MATCH($B62,Lookup!$B$7:$B$56,0))</f>
        <v>Health &amp; Beauty</v>
      </c>
      <c r="E62" s="16">
        <f>SUMIFS(Raw!$E$2:$E$1301,Raw!$B$2:$B$1301,$B62,Raw!$A$2:$A$1301,"&gt;"&amp;(Assumptions!$C$6-91),Raw!$A$2:$A$1301,"&lt;="&amp;Assumptions!$C$6)</f>
        <v>2581.24</v>
      </c>
      <c r="F62" s="16">
        <f>SUMIFS(Raw!$E$2:$E$1301,Raw!$B$2:$B$1301,$B62,Raw!$A$2:$A$1301,"&gt;"&amp;(Assumptions!$C$6-182),Raw!$A$2:$A$1301,"&lt;="&amp;(Assumptions!$C$6-91))</f>
        <v>2188.54</v>
      </c>
      <c r="G62" s="17">
        <f>IFERROR(E62/F62-1,0)</f>
        <v>0.179434691620898</v>
      </c>
      <c r="H62" s="17">
        <f>IFERROR(SUMIFS(Raw!$G$2:$G$1301,Raw!$B$2:$B$1301,$B62,Raw!$A$2:$A$1301,"&gt;"&amp;(Assumptions!$C$6-91),Raw!$A$2:$A$1301,"&lt;="&amp;Assumptions!$C$6)/E62,0)</f>
        <v>0.440888875114286</v>
      </c>
      <c r="I62" s="15" t="str">
        <f>INDEX(Lookup!$E$7:$E$56,MATCH($B62,Lookup!$B$7:$B$56,0))</f>
        <v>B</v>
      </c>
      <c r="J62" s="15" t="str">
        <f>INDEX(Lookup!$G$7:$G$56,MATCH($B62,Lookup!$B$7:$B$56,0))</f>
        <v>Maintain</v>
      </c>
      <c r="K62" s="21">
        <f>IF(OR(SelCat="All",D62=SelCat),1,0)</f>
        <v>1</v>
      </c>
    </row>
    <row r="63">
      <c r="B63" s="15" t="inlineStr">
        <is>
          <t>PHM001</t>
        </is>
      </c>
      <c r="C63" s="15" t="str">
        <f>INDEX(Lookup!$C$7:$C$56,MATCH($B63,Lookup!$B$7:$B$56,0))</f>
        <v>Paracetamol 20pk</v>
      </c>
      <c r="D63" s="15" t="str">
        <f>INDEX(Lookup!$D$7:$D$56,MATCH($B63,Lookup!$B$7:$B$56,0))</f>
        <v>Health &amp; Beauty</v>
      </c>
      <c r="E63" s="16">
        <f>SUMIFS(Raw!$E$2:$E$1301,Raw!$B$2:$B$1301,$B63,Raw!$A$2:$A$1301,"&gt;"&amp;(Assumptions!$C$6-91),Raw!$A$2:$A$1301,"&lt;="&amp;Assumptions!$C$6)</f>
        <v>1727.67</v>
      </c>
      <c r="F63" s="16">
        <f>SUMIFS(Raw!$E$2:$E$1301,Raw!$B$2:$B$1301,$B63,Raw!$A$2:$A$1301,"&gt;"&amp;(Assumptions!$C$6-182),Raw!$A$2:$A$1301,"&lt;="&amp;(Assumptions!$C$6-91))</f>
        <v>1765.14</v>
      </c>
      <c r="G63" s="17">
        <f>IFERROR(E63/F63-1,0)</f>
        <v>-0.0212277779666202</v>
      </c>
      <c r="H63" s="17">
        <f>IFERROR(SUMIFS(Raw!$G$2:$G$1301,Raw!$B$2:$B$1301,$B63,Raw!$A$2:$A$1301,"&gt;"&amp;(Assumptions!$C$6-91),Raw!$A$2:$A$1301,"&lt;="&amp;Assumptions!$C$6)/E63,0)</f>
        <v>0.598997493734336</v>
      </c>
      <c r="I63" s="15" t="str">
        <f>INDEX(Lookup!$E$7:$E$56,MATCH($B63,Lookup!$B$7:$B$56,0))</f>
        <v>C</v>
      </c>
      <c r="J63" s="15" t="str">
        <f>INDEX(Lookup!$G$7:$G$56,MATCH($B63,Lookup!$B$7:$B$56,0))</f>
        <v>Review facings</v>
      </c>
      <c r="K63" s="21">
        <f>IF(OR(SelCat="All",D63=SelCat),1,0)</f>
        <v>1</v>
      </c>
    </row>
    <row r="64">
      <c r="B64" s="15" t="inlineStr">
        <is>
          <t>HHD001</t>
        </is>
      </c>
      <c r="C64" s="15" t="str">
        <f>INDEX(Lookup!$C$7:$C$56,MATCH($B64,Lookup!$B$7:$B$56,0))</f>
        <v>Toilet Paper 6pk</v>
      </c>
      <c r="D64" s="15" t="str">
        <f>INDEX(Lookup!$D$7:$D$56,MATCH($B64,Lookup!$B$7:$B$56,0))</f>
        <v>Household</v>
      </c>
      <c r="E64" s="16">
        <f>SUMIFS(Raw!$E$2:$E$1301,Raw!$B$2:$B$1301,$B64,Raw!$A$2:$A$1301,"&gt;"&amp;(Assumptions!$C$6-91),Raw!$A$2:$A$1301,"&lt;="&amp;Assumptions!$C$6)</f>
        <v>4135.4</v>
      </c>
      <c r="F64" s="16">
        <f>SUMIFS(Raw!$E$2:$E$1301,Raw!$B$2:$B$1301,$B64,Raw!$A$2:$A$1301,"&gt;"&amp;(Assumptions!$C$6-182),Raw!$A$2:$A$1301,"&lt;="&amp;(Assumptions!$C$6-91))</f>
        <v>4000.55</v>
      </c>
      <c r="G64" s="17">
        <f>IFERROR(E64/F64-1,0)</f>
        <v>0.0337078651685392</v>
      </c>
      <c r="H64" s="17">
        <f>IFERROR(SUMIFS(Raw!$G$2:$G$1301,Raw!$B$2:$B$1301,$B64,Raw!$A$2:$A$1301,"&gt;"&amp;(Assumptions!$C$6-91),Raw!$A$2:$A$1301,"&lt;="&amp;Assumptions!$C$6)/E64,0)</f>
        <v>0.343715239154616</v>
      </c>
      <c r="I64" s="15" t="str">
        <f>INDEX(Lookup!$E$7:$E$56,MATCH($B64,Lookup!$B$7:$B$56,0))</f>
        <v>A</v>
      </c>
      <c r="J64" s="15" t="str">
        <f>INDEX(Lookup!$G$7:$G$56,MATCH($B64,Lookup!$B$7:$B$56,0))</f>
        <v>Protect availability</v>
      </c>
      <c r="K64" s="21">
        <f>IF(OR(SelCat="All",D64=SelCat),1,0)</f>
        <v>1</v>
      </c>
    </row>
    <row r="65">
      <c r="B65" s="15" t="inlineStr">
        <is>
          <t>HHD003</t>
        </is>
      </c>
      <c r="C65" s="15" t="str">
        <f>INDEX(Lookup!$C$7:$C$56,MATCH($B65,Lookup!$B$7:$B$56,0))</f>
        <v>Phone Charger Cable</v>
      </c>
      <c r="D65" s="15" t="str">
        <f>INDEX(Lookup!$D$7:$D$56,MATCH($B65,Lookup!$B$7:$B$56,0))</f>
        <v>Household</v>
      </c>
      <c r="E65" s="16">
        <f>SUMIFS(Raw!$E$2:$E$1301,Raw!$B$2:$B$1301,$B65,Raw!$A$2:$A$1301,"&gt;"&amp;(Assumptions!$C$6-91),Raw!$A$2:$A$1301,"&lt;="&amp;Assumptions!$C$6)</f>
        <v>1409.06</v>
      </c>
      <c r="F65" s="16">
        <f>SUMIFS(Raw!$E$2:$E$1301,Raw!$B$2:$B$1301,$B65,Raw!$A$2:$A$1301,"&gt;"&amp;(Assumptions!$C$6-182),Raw!$A$2:$A$1301,"&lt;="&amp;(Assumptions!$C$6-91))</f>
        <v>1588.94</v>
      </c>
      <c r="G65" s="17">
        <f>IFERROR(E65/F65-1,0)</f>
        <v>-0.113207547169811</v>
      </c>
      <c r="H65" s="17">
        <f>IFERROR(SUMIFS(Raw!$G$2:$G$1301,Raw!$B$2:$B$1301,$B65,Raw!$A$2:$A$1301,"&gt;"&amp;(Assumptions!$C$6-91),Raw!$A$2:$A$1301,"&lt;="&amp;Assumptions!$C$6)/E65,0)</f>
        <v>0.633088725817212</v>
      </c>
      <c r="I65" s="15" t="str">
        <f>INDEX(Lookup!$E$7:$E$56,MATCH($B65,Lookup!$B$7:$B$56,0))</f>
        <v>C</v>
      </c>
      <c r="J65" s="15" t="str">
        <f>INDEX(Lookup!$G$7:$G$56,MATCH($B65,Lookup!$B$7:$B$56,0))</f>
        <v>Review facings</v>
      </c>
      <c r="K65" s="21">
        <f>IF(OR(SelCat="All",D65=SelCat),1,0)</f>
        <v>1</v>
      </c>
    </row>
    <row r="66">
      <c r="B66" s="15" t="inlineStr">
        <is>
          <t>HHD002</t>
        </is>
      </c>
      <c r="C66" s="15" t="str">
        <f>INDEX(Lookup!$C$7:$C$56,MATCH($B66,Lookup!$B$7:$B$56,0))</f>
        <v>Dishwash Liquid</v>
      </c>
      <c r="D66" s="15" t="str">
        <f>INDEX(Lookup!$D$7:$D$56,MATCH($B66,Lookup!$B$7:$B$56,0))</f>
        <v>Household</v>
      </c>
      <c r="E66" s="16">
        <f>SUMIFS(Raw!$E$2:$E$1301,Raw!$B$2:$B$1301,$B66,Raw!$A$2:$A$1301,"&gt;"&amp;(Assumptions!$C$6-91),Raw!$A$2:$A$1301,"&lt;="&amp;Assumptions!$C$6)</f>
        <v>1317.36</v>
      </c>
      <c r="F66" s="16">
        <f>SUMIFS(Raw!$E$2:$E$1301,Raw!$B$2:$B$1301,$B66,Raw!$A$2:$A$1301,"&gt;"&amp;(Assumptions!$C$6-182),Raw!$A$2:$A$1301,"&lt;="&amp;(Assumptions!$C$6-91))</f>
        <v>1302.39</v>
      </c>
      <c r="G66" s="17">
        <f>IFERROR(E66/F66-1,0)</f>
        <v>0.0114942528735633</v>
      </c>
      <c r="H66" s="17">
        <f>IFERROR(SUMIFS(Raw!$G$2:$G$1301,Raw!$B$2:$B$1301,$B66,Raw!$A$2:$A$1301,"&gt;"&amp;(Assumptions!$C$6-91),Raw!$A$2:$A$1301,"&lt;="&amp;Assumptions!$C$6)/E66,0)</f>
        <v>0.418837675350701</v>
      </c>
      <c r="I66" s="15" t="str">
        <f>INDEX(Lookup!$E$7:$E$56,MATCH($B66,Lookup!$B$7:$B$56,0))</f>
        <v>C</v>
      </c>
      <c r="J66" s="15" t="str">
        <f>INDEX(Lookup!$G$7:$G$56,MATCH($B66,Lookup!$B$7:$B$56,0))</f>
        <v>Review facings</v>
      </c>
      <c r="K66" s="21">
        <f>IF(OR(SelCat="All",D66=SelCat),1,0)</f>
        <v>1</v>
      </c>
    </row>
    <row r="67">
      <c r="B67" s="15" t="inlineStr">
        <is>
          <t>PRD001</t>
        </is>
      </c>
      <c r="C67" s="15" t="str">
        <f>INDEX(Lookup!$C$7:$C$56,MATCH($B67,Lookup!$B$7:$B$56,0))</f>
        <v>Bananas (each)</v>
      </c>
      <c r="D67" s="15" t="str">
        <f>INDEX(Lookup!$D$7:$D$56,MATCH($B67,Lookup!$B$7:$B$56,0))</f>
        <v>Produce</v>
      </c>
      <c r="E67" s="16">
        <f>SUMIFS(Raw!$E$2:$E$1301,Raw!$B$2:$B$1301,$B67,Raw!$A$2:$A$1301,"&gt;"&amp;(Assumptions!$C$6-91),Raw!$A$2:$A$1301,"&lt;="&amp;Assumptions!$C$6)</f>
        <v>1944.65</v>
      </c>
      <c r="F67" s="16">
        <f>SUMIFS(Raw!$E$2:$E$1301,Raw!$B$2:$B$1301,$B67,Raw!$A$2:$A$1301,"&gt;"&amp;(Assumptions!$C$6-182),Raw!$A$2:$A$1301,"&lt;="&amp;(Assumptions!$C$6-91))</f>
        <v>2004.99</v>
      </c>
      <c r="G67" s="17">
        <f>IFERROR(E67/F67-1,0)</f>
        <v>-0.0300949131915871</v>
      </c>
      <c r="H67" s="17">
        <f>IFERROR(SUMIFS(Raw!$G$2:$G$1301,Raw!$B$2:$B$1301,$B67,Raw!$A$2:$A$1301,"&gt;"&amp;(Assumptions!$C$6-91),Raw!$A$2:$A$1301,"&lt;="&amp;Assumptions!$C$6)/E67,0)</f>
        <v>0.442892037127504</v>
      </c>
      <c r="I67" s="15" t="str">
        <f>INDEX(Lookup!$E$7:$E$56,MATCH($B67,Lookup!$B$7:$B$56,0))</f>
        <v>B</v>
      </c>
      <c r="J67" s="15" t="str">
        <f>INDEX(Lookup!$G$7:$G$56,MATCH($B67,Lookup!$B$7:$B$56,0))</f>
        <v>Maintain</v>
      </c>
      <c r="K67" s="21">
        <f>IF(OR(SelCat="All",D67=SelCat),1,0)</f>
        <v>1</v>
      </c>
    </row>
    <row r="68">
      <c r="B68" s="15" t="inlineStr">
        <is>
          <t>PRD003</t>
        </is>
      </c>
      <c r="C68" s="15" t="str">
        <f>INDEX(Lookup!$C$7:$C$56,MATCH($B68,Lookup!$B$7:$B$56,0))</f>
        <v>Tomatoes 500g</v>
      </c>
      <c r="D68" s="15" t="str">
        <f>INDEX(Lookup!$D$7:$D$56,MATCH($B68,Lookup!$B$7:$B$56,0))</f>
        <v>Produce</v>
      </c>
      <c r="E68" s="16">
        <f>SUMIFS(Raw!$E$2:$E$1301,Raw!$B$2:$B$1301,$B68,Raw!$A$2:$A$1301,"&gt;"&amp;(Assumptions!$C$6-91),Raw!$A$2:$A$1301,"&lt;="&amp;Assumptions!$C$6)</f>
        <v>1715.15</v>
      </c>
      <c r="F68" s="16">
        <f>SUMIFS(Raw!$E$2:$E$1301,Raw!$B$2:$B$1301,$B68,Raw!$A$2:$A$1301,"&gt;"&amp;(Assumptions!$C$6-182),Raw!$A$2:$A$1301,"&lt;="&amp;(Assumptions!$C$6-91))</f>
        <v>1867.84</v>
      </c>
      <c r="G68" s="17">
        <f>IFERROR(E68/F68-1,0)</f>
        <v>-0.0817468305636456</v>
      </c>
      <c r="H68" s="17">
        <f>IFERROR(SUMIFS(Raw!$G$2:$G$1301,Raw!$B$2:$B$1301,$B68,Raw!$A$2:$A$1301,"&gt;"&amp;(Assumptions!$C$6-91),Raw!$A$2:$A$1301,"&lt;="&amp;Assumptions!$C$6)/E68,0)</f>
        <v>0.416377576305279</v>
      </c>
      <c r="I68" s="15" t="str">
        <f>INDEX(Lookup!$E$7:$E$56,MATCH($B68,Lookup!$B$7:$B$56,0))</f>
        <v>C</v>
      </c>
      <c r="J68" s="15" t="str">
        <f>INDEX(Lookup!$G$7:$G$56,MATCH($B68,Lookup!$B$7:$B$56,0))</f>
        <v>Review facings</v>
      </c>
      <c r="K68" s="21">
        <f>IF(OR(SelCat="All",D68=SelCat),1,0)</f>
        <v>1</v>
      </c>
    </row>
    <row r="69">
      <c r="B69" s="15" t="inlineStr">
        <is>
          <t>PRD002</t>
        </is>
      </c>
      <c r="C69" s="15" t="str">
        <f>INDEX(Lookup!$C$7:$C$56,MATCH($B69,Lookup!$B$7:$B$56,0))</f>
        <v>Avocado</v>
      </c>
      <c r="D69" s="15" t="str">
        <f>INDEX(Lookup!$D$7:$D$56,MATCH($B69,Lookup!$B$7:$B$56,0))</f>
        <v>Produce</v>
      </c>
      <c r="E69" s="16">
        <f>SUMIFS(Raw!$E$2:$E$1301,Raw!$B$2:$B$1301,$B69,Raw!$A$2:$A$1301,"&gt;"&amp;(Assumptions!$C$6-91),Raw!$A$2:$A$1301,"&lt;="&amp;Assumptions!$C$6)</f>
        <v>1608.91</v>
      </c>
      <c r="F69" s="16">
        <f>SUMIFS(Raw!$E$2:$E$1301,Raw!$B$2:$B$1301,$B69,Raw!$A$2:$A$1301,"&gt;"&amp;(Assumptions!$C$6-182),Raw!$A$2:$A$1301,"&lt;="&amp;(Assumptions!$C$6-91))</f>
        <v>1690.14</v>
      </c>
      <c r="G69" s="17">
        <f>IFERROR(E69/F69-1,0)</f>
        <v>-0.048061107363887</v>
      </c>
      <c r="H69" s="17">
        <f>IFERROR(SUMIFS(Raw!$G$2:$G$1301,Raw!$B$2:$B$1301,$B69,Raw!$A$2:$A$1301,"&gt;"&amp;(Assumptions!$C$6-91),Raw!$A$2:$A$1301,"&lt;="&amp;Assumptions!$C$6)/E69,0)</f>
        <v>0.426568297791673</v>
      </c>
      <c r="I69" s="15" t="str">
        <f>INDEX(Lookup!$E$7:$E$56,MATCH($B69,Lookup!$B$7:$B$56,0))</f>
        <v>C</v>
      </c>
      <c r="J69" s="15" t="str">
        <f>INDEX(Lookup!$G$7:$G$56,MATCH($B69,Lookup!$B$7:$B$56,0))</f>
        <v>Review / delist - low sales, high waste</v>
      </c>
      <c r="K69" s="21">
        <f>IF(OR(SelCat="All",D69=SelCat),1,0)</f>
        <v>1</v>
      </c>
    </row>
    <row r="70">
      <c r="B70" s="15" t="inlineStr">
        <is>
          <t>SNK002</t>
        </is>
      </c>
      <c r="C70" s="15" t="str">
        <f>INDEX(Lookup!$C$7:$C$56,MATCH($B70,Lookup!$B$7:$B$56,0))</f>
        <v>Chocolate Block 200g</v>
      </c>
      <c r="D70" s="15" t="str">
        <f>INDEX(Lookup!$D$7:$D$56,MATCH($B70,Lookup!$B$7:$B$56,0))</f>
        <v>Snacks &amp; Confectionery</v>
      </c>
      <c r="E70" s="16">
        <f>SUMIFS(Raw!$E$2:$E$1301,Raw!$B$2:$B$1301,$B70,Raw!$A$2:$A$1301,"&gt;"&amp;(Assumptions!$C$6-91),Raw!$A$2:$A$1301,"&lt;="&amp;Assumptions!$C$6)</f>
        <v>8638.9</v>
      </c>
      <c r="F70" s="16">
        <f>SUMIFS(Raw!$E$2:$E$1301,Raw!$B$2:$B$1301,$B70,Raw!$A$2:$A$1301,"&gt;"&amp;(Assumptions!$C$6-182),Raw!$A$2:$A$1301,"&lt;="&amp;(Assumptions!$C$6-91))</f>
        <v>8212.86</v>
      </c>
      <c r="G70" s="17">
        <f>IFERROR(E70/F70-1,0)</f>
        <v>0.0518747427814426</v>
      </c>
      <c r="H70" s="17">
        <f>IFERROR(SUMIFS(Raw!$G$2:$G$1301,Raw!$B$2:$B$1301,$B70,Raw!$A$2:$A$1301,"&gt;"&amp;(Assumptions!$C$6-91),Raw!$A$2:$A$1301,"&lt;="&amp;Assumptions!$C$6)/E70,0)</f>
        <v>0.411036127284724</v>
      </c>
      <c r="I70" s="15" t="str">
        <f>INDEX(Lookup!$E$7:$E$56,MATCH($B70,Lookup!$B$7:$B$56,0))</f>
        <v>A</v>
      </c>
      <c r="J70" s="15" t="str">
        <f>INDEX(Lookup!$G$7:$G$56,MATCH($B70,Lookup!$B$7:$B$56,0))</f>
        <v>Protect availability</v>
      </c>
      <c r="K70" s="21">
        <f>IF(OR(SelCat="All",D70=SelCat),1,0)</f>
        <v>1</v>
      </c>
    </row>
    <row r="71">
      <c r="B71" s="15" t="inlineStr">
        <is>
          <t>SNK001</t>
        </is>
      </c>
      <c r="C71" s="15" t="str">
        <f>INDEX(Lookup!$C$7:$C$56,MATCH($B71,Lookup!$B$7:$B$56,0))</f>
        <v>Potato Chips 150g</v>
      </c>
      <c r="D71" s="15" t="str">
        <f>INDEX(Lookup!$D$7:$D$56,MATCH($B71,Lookup!$B$7:$B$56,0))</f>
        <v>Snacks &amp; Confectionery</v>
      </c>
      <c r="E71" s="16">
        <f>SUMIFS(Raw!$E$2:$E$1301,Raw!$B$2:$B$1301,$B71,Raw!$A$2:$A$1301,"&gt;"&amp;(Assumptions!$C$6-91),Raw!$A$2:$A$1301,"&lt;="&amp;Assumptions!$C$6)</f>
        <v>7799.9</v>
      </c>
      <c r="F71" s="16">
        <f>SUMIFS(Raw!$E$2:$E$1301,Raw!$B$2:$B$1301,$B71,Raw!$A$2:$A$1301,"&gt;"&amp;(Assumptions!$C$6-182),Raw!$A$2:$A$1301,"&lt;="&amp;(Assumptions!$C$6-91))</f>
        <v>7537.11</v>
      </c>
      <c r="G71" s="17">
        <f>IFERROR(E71/F71-1,0)</f>
        <v>0.0348661489616045</v>
      </c>
      <c r="H71" s="17">
        <f>IFERROR(SUMIFS(Raw!$G$2:$G$1301,Raw!$B$2:$B$1301,$B71,Raw!$A$2:$A$1301,"&gt;"&amp;(Assumptions!$C$6-91),Raw!$A$2:$A$1301,"&lt;="&amp;Assumptions!$C$6)/E71,0)</f>
        <v>0.458839215887383</v>
      </c>
      <c r="I71" s="15" t="str">
        <f>INDEX(Lookup!$E$7:$E$56,MATCH($B71,Lookup!$B$7:$B$56,0))</f>
        <v>A</v>
      </c>
      <c r="J71" s="15" t="str">
        <f>INDEX(Lookup!$G$7:$G$56,MATCH($B71,Lookup!$B$7:$B$56,0))</f>
        <v>Protect availability</v>
      </c>
      <c r="K71" s="21">
        <f>IF(OR(SelCat="All",D71=SelCat),1,0)</f>
        <v>1</v>
      </c>
    </row>
    <row r="72">
      <c r="B72" s="15" t="inlineStr">
        <is>
          <t>SNK004</t>
        </is>
      </c>
      <c r="C72" s="15" t="str">
        <f>INDEX(Lookup!$C$7:$C$56,MATCH($B72,Lookup!$B$7:$B$56,0))</f>
        <v>Corn Chips 230g</v>
      </c>
      <c r="D72" s="15" t="str">
        <f>INDEX(Lookup!$D$7:$D$56,MATCH($B72,Lookup!$B$7:$B$56,0))</f>
        <v>Snacks &amp; Confectionery</v>
      </c>
      <c r="E72" s="16">
        <f>SUMIFS(Raw!$E$2:$E$1301,Raw!$B$2:$B$1301,$B72,Raw!$A$2:$A$1301,"&gt;"&amp;(Assumptions!$C$6-91),Raw!$A$2:$A$1301,"&lt;="&amp;Assumptions!$C$6)</f>
        <v>3654.86</v>
      </c>
      <c r="F72" s="16">
        <f>SUMIFS(Raw!$E$2:$E$1301,Raw!$B$2:$B$1301,$B72,Raw!$A$2:$A$1301,"&gt;"&amp;(Assumptions!$C$6-182),Raw!$A$2:$A$1301,"&lt;="&amp;(Assumptions!$C$6-91))</f>
        <v>3592</v>
      </c>
      <c r="G72" s="17">
        <f>IFERROR(E72/F72-1,0)</f>
        <v>0.0175000000000001</v>
      </c>
      <c r="H72" s="17">
        <f>IFERROR(SUMIFS(Raw!$G$2:$G$1301,Raw!$B$2:$B$1301,$B72,Raw!$A$2:$A$1301,"&gt;"&amp;(Assumptions!$C$6-91),Raw!$A$2:$A$1301,"&lt;="&amp;Assumptions!$C$6)/E72,0)</f>
        <v>0.465478841870824</v>
      </c>
      <c r="I72" s="15" t="str">
        <f>INDEX(Lookup!$E$7:$E$56,MATCH($B72,Lookup!$B$7:$B$56,0))</f>
        <v>A</v>
      </c>
      <c r="J72" s="15" t="str">
        <f>INDEX(Lookup!$G$7:$G$56,MATCH($B72,Lookup!$B$7:$B$56,0))</f>
        <v>Protect availability</v>
      </c>
      <c r="K72" s="21">
        <f>IF(OR(SelCat="All",D72=SelCat),1,0)</f>
        <v>1</v>
      </c>
    </row>
    <row r="73">
      <c r="B73" s="15" t="inlineStr">
        <is>
          <t>SNK003</t>
        </is>
      </c>
      <c r="C73" s="15" t="str">
        <f>INDEX(Lookup!$C$7:$C$56,MATCH($B73,Lookup!$B$7:$B$56,0))</f>
        <v>Muesli Bar 6pk</v>
      </c>
      <c r="D73" s="15" t="str">
        <f>INDEX(Lookup!$D$7:$D$56,MATCH($B73,Lookup!$B$7:$B$56,0))</f>
        <v>Snacks &amp; Confectionery</v>
      </c>
      <c r="E73" s="16">
        <f>SUMIFS(Raw!$E$2:$E$1301,Raw!$B$2:$B$1301,$B73,Raw!$A$2:$A$1301,"&gt;"&amp;(Assumptions!$C$6-91),Raw!$A$2:$A$1301,"&lt;="&amp;Assumptions!$C$6)</f>
        <v>3342.71</v>
      </c>
      <c r="F73" s="16">
        <f>SUMIFS(Raw!$E$2:$E$1301,Raw!$B$2:$B$1301,$B73,Raw!$A$2:$A$1301,"&gt;"&amp;(Assumptions!$C$6-182),Raw!$A$2:$A$1301,"&lt;="&amp;(Assumptions!$C$6-91))</f>
        <v>3552.82</v>
      </c>
      <c r="G73" s="17">
        <f>IFERROR(E73/F73-1,0)</f>
        <v>-0.0591389375200545</v>
      </c>
      <c r="H73" s="17">
        <f>IFERROR(SUMIFS(Raw!$G$2:$G$1301,Raw!$B$2:$B$1301,$B73,Raw!$A$2:$A$1301,"&gt;"&amp;(Assumptions!$C$6-91),Raw!$A$2:$A$1301,"&lt;="&amp;Assumptions!$C$6)/E73,0)</f>
        <v>0.389417568380147</v>
      </c>
      <c r="I73" s="15" t="str">
        <f>INDEX(Lookup!$E$7:$E$56,MATCH($B73,Lookup!$B$7:$B$56,0))</f>
        <v>B</v>
      </c>
      <c r="J73" s="15" t="str">
        <f>INDEX(Lookup!$G$7:$G$56,MATCH($B73,Lookup!$B$7:$B$56,0))</f>
        <v>Maintain</v>
      </c>
      <c r="K73" s="21">
        <f>IF(OR(SelCat="All",D73=SelCat),1,0)</f>
        <v>1</v>
      </c>
    </row>
    <row r="74">
      <c r="B74" s="15" t="inlineStr">
        <is>
          <t>SNK005</t>
        </is>
      </c>
      <c r="C74" s="15" t="str">
        <f>INDEX(Lookup!$C$7:$C$56,MATCH($B74,Lookup!$B$7:$B$56,0))</f>
        <v>Lollies Bag 200g</v>
      </c>
      <c r="D74" s="15" t="str">
        <f>INDEX(Lookup!$D$7:$D$56,MATCH($B74,Lookup!$B$7:$B$56,0))</f>
        <v>Snacks &amp; Confectionery</v>
      </c>
      <c r="E74" s="16">
        <f>SUMIFS(Raw!$E$2:$E$1301,Raw!$B$2:$B$1301,$B74,Raw!$A$2:$A$1301,"&gt;"&amp;(Assumptions!$C$6-91),Raw!$A$2:$A$1301,"&lt;="&amp;Assumptions!$C$6)</f>
        <v>3074.69</v>
      </c>
      <c r="F74" s="16">
        <f>SUMIFS(Raw!$E$2:$E$1301,Raw!$B$2:$B$1301,$B74,Raw!$A$2:$A$1301,"&gt;"&amp;(Assumptions!$C$6-182),Raw!$A$2:$A$1301,"&lt;="&amp;(Assumptions!$C$6-91))</f>
        <v>3033.34</v>
      </c>
      <c r="G74" s="17">
        <f>IFERROR(E74/F74-1,0)</f>
        <v>0.0136318381717842</v>
      </c>
      <c r="H74" s="17">
        <f>IFERROR(SUMIFS(Raw!$G$2:$G$1301,Raw!$B$2:$B$1301,$B74,Raw!$A$2:$A$1301,"&gt;"&amp;(Assumptions!$C$6-91),Raw!$A$2:$A$1301,"&lt;="&amp;Assumptions!$C$6)/E74,0)</f>
        <v>0.512893982808023</v>
      </c>
      <c r="I74" s="15" t="str">
        <f>INDEX(Lookup!$E$7:$E$56,MATCH($B74,Lookup!$B$7:$B$56,0))</f>
        <v>B</v>
      </c>
      <c r="J74" s="15" t="str">
        <f>INDEX(Lookup!$G$7:$G$56,MATCH($B74,Lookup!$B$7:$B$56,0))</f>
        <v>Maintain</v>
      </c>
      <c r="K74" s="21">
        <f>IF(OR(SelCat="All",D74=SelCat),1,0)</f>
        <v>1</v>
      </c>
    </row>
  </sheetData>
  <autoFilter ref="B24:K74"/>
  <conditionalFormatting sqref="E8:E18">
    <cfRule type="cellIs" priority="1" operator="lessThan" dxfId="0">
      <formula>0</formula>
    </cfRule>
  </conditionalFormatting>
  <conditionalFormatting sqref="C8:C18">
    <cfRule type="dataBar" priority="2">
      <dataBar>
        <cfvo type="min"/>
        <cfvo type="max"/>
        <color rgb="0063B6D8"/>
      </dataBar>
    </cfRule>
  </conditionalFormatting>
  <conditionalFormatting sqref="G25:G74">
    <cfRule type="cellIs" priority="3" operator="lessThan" dxfId="0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0A43A"/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6" customHeight="1">
      <c r="A2" s="1" t="n"/>
      <c r="B2" s="3" t="inlineStr">
        <is>
          <t>Pivot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Real Excel PivotTables over the Raw sheet: drag fields in the PivotTable pane to explore. They refresh when the file opens.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" t="inlineStr">
        <is>
          <t>Sales by product (filter Category)</t>
        </is>
      </c>
    </row>
    <row r="6">
      <c r="A6" t="inlineStr">
        <is>
          <t>Category</t>
        </is>
      </c>
      <c r="B6" t="inlineStr">
        <is>
          <t>(All)</t>
        </is>
      </c>
    </row>
    <row r="8">
      <c r="A8" t="inlineStr">
        <is>
          <t>Row Labels</t>
        </is>
      </c>
      <c r="B8" t="inlineStr">
        <is>
          <t>Sales</t>
        </is>
      </c>
    </row>
    <row r="9">
      <c r="A9" t="inlineStr">
        <is>
          <t>Avocado</t>
        </is>
      </c>
      <c r="B9" s="22" t="n">
        <v>3299.05</v>
      </c>
    </row>
    <row r="10">
      <c r="A10" t="inlineStr">
        <is>
          <t>Bananas (each)</t>
        </is>
      </c>
      <c r="B10" s="22" t="n">
        <v>3949.64</v>
      </c>
    </row>
    <row r="11">
      <c r="A11" t="inlineStr">
        <is>
          <t>Bottled Water 750ml</t>
        </is>
      </c>
      <c r="B11" s="22" t="n">
        <v>9684.610000000001</v>
      </c>
    </row>
    <row r="12">
      <c r="A12" t="inlineStr">
        <is>
          <t>Bubble Tea Kit</t>
        </is>
      </c>
      <c r="B12" s="22" t="n">
        <v>5916.21</v>
      </c>
    </row>
    <row r="13">
      <c r="A13" t="inlineStr">
        <is>
          <t>Butter 500g</t>
        </is>
      </c>
      <c r="B13" s="22" t="n">
        <v>8306.26</v>
      </c>
    </row>
    <row r="14">
      <c r="A14" t="inlineStr">
        <is>
          <t>Canned Soup 500g</t>
        </is>
      </c>
      <c r="B14" s="22" t="n">
        <v>3806.47</v>
      </c>
    </row>
    <row r="15">
      <c r="A15" t="inlineStr">
        <is>
          <t>Cheese Block 1kg</t>
        </is>
      </c>
      <c r="B15" s="22" t="n">
        <v>12876.36</v>
      </c>
    </row>
    <row r="16">
      <c r="A16" t="inlineStr">
        <is>
          <t>Chicken Sandwich</t>
        </is>
      </c>
      <c r="B16" s="22" t="n">
        <v>25983.94</v>
      </c>
    </row>
    <row r="17">
      <c r="A17" t="inlineStr">
        <is>
          <t>Chocolate Block 200g</t>
        </is>
      </c>
      <c r="B17" s="22" t="n">
        <v>16851.76</v>
      </c>
    </row>
    <row r="18">
      <c r="A18" t="inlineStr">
        <is>
          <t>Coffee Beans 200g</t>
        </is>
      </c>
      <c r="B18" s="22" t="n">
        <v>7004.53</v>
      </c>
    </row>
    <row r="19">
      <c r="A19" t="inlineStr">
        <is>
          <t>Cola 1.5L</t>
        </is>
      </c>
      <c r="B19" s="22" t="n">
        <v>10353.94</v>
      </c>
    </row>
    <row r="20">
      <c r="A20" t="inlineStr">
        <is>
          <t>Corn Chips 230g</t>
        </is>
      </c>
      <c r="B20" s="22" t="n">
        <v>7246.860000000001</v>
      </c>
    </row>
    <row r="21">
      <c r="A21" t="inlineStr">
        <is>
          <t>Craft Beer 6pk</t>
        </is>
      </c>
      <c r="B21" s="22" t="n">
        <v>20295.46</v>
      </c>
    </row>
    <row r="22">
      <c r="A22" t="inlineStr">
        <is>
          <t>Croissant 4pk</t>
        </is>
      </c>
      <c r="B22" s="22" t="n">
        <v>6896.71</v>
      </c>
    </row>
    <row r="23">
      <c r="A23" t="inlineStr">
        <is>
          <t>Dishwash Liquid</t>
        </is>
      </c>
      <c r="B23" s="22" t="n">
        <v>2619.75</v>
      </c>
    </row>
    <row r="24">
      <c r="A24" t="inlineStr">
        <is>
          <t>Eggs Free Range 12pk</t>
        </is>
      </c>
      <c r="B24" s="22" t="n">
        <v>18810.33</v>
      </c>
    </row>
    <row r="25">
      <c r="A25" t="inlineStr">
        <is>
          <t>Energy Drink 500ml</t>
        </is>
      </c>
      <c r="B25" s="22" t="n">
        <v>19381.73</v>
      </c>
    </row>
    <row r="26">
      <c r="A26" t="inlineStr">
        <is>
          <t>Filled Roll</t>
        </is>
      </c>
      <c r="B26" s="22" t="n">
        <v>12717.7</v>
      </c>
    </row>
    <row r="27">
      <c r="A27" t="inlineStr">
        <is>
          <t>Frozen Dumplings 1kg</t>
        </is>
      </c>
      <c r="B27" s="22" t="n">
        <v>10510.37</v>
      </c>
    </row>
    <row r="28">
      <c r="A28" t="inlineStr">
        <is>
          <t>Frozen Pizza</t>
        </is>
      </c>
      <c r="B28" s="22" t="n">
        <v>9431.33</v>
      </c>
    </row>
    <row r="29">
      <c r="A29" t="inlineStr">
        <is>
          <t>Greek Yoghurt 1kg</t>
        </is>
      </c>
      <c r="B29" s="22" t="n">
        <v>6188.94</v>
      </c>
    </row>
    <row r="30">
      <c r="A30" t="inlineStr">
        <is>
          <t>Hot Pie Mince &amp; Cheese</t>
        </is>
      </c>
      <c r="B30" s="22" t="n">
        <v>19183.72</v>
      </c>
    </row>
    <row r="31">
      <c r="A31" t="inlineStr">
        <is>
          <t>Ice Block Single</t>
        </is>
      </c>
      <c r="B31" s="22" t="n">
        <v>5377.55</v>
      </c>
    </row>
    <row r="32">
      <c r="A32" t="inlineStr">
        <is>
          <t>Ice Cream Tub 2L</t>
        </is>
      </c>
      <c r="B32" s="22" t="n">
        <v>9928.51</v>
      </c>
    </row>
    <row r="33">
      <c r="A33" t="inlineStr">
        <is>
          <t>Iced Coffee 500ml</t>
        </is>
      </c>
      <c r="B33" s="22" t="n">
        <v>10528.9</v>
      </c>
    </row>
    <row r="34">
      <c r="A34" t="inlineStr">
        <is>
          <t>Instant Noodles 5pk</t>
        </is>
      </c>
      <c r="B34" s="22" t="n">
        <v>11063.36</v>
      </c>
    </row>
    <row r="35">
      <c r="A35" t="inlineStr">
        <is>
          <t>Kombucha 330ml</t>
        </is>
      </c>
      <c r="B35" s="22" t="n">
        <v>4646.07</v>
      </c>
    </row>
    <row r="36">
      <c r="A36" t="inlineStr">
        <is>
          <t>Lollies Bag 200g</t>
        </is>
      </c>
      <c r="B36" s="22" t="n">
        <v>6108.03</v>
      </c>
    </row>
    <row r="37">
      <c r="A37" t="inlineStr">
        <is>
          <t>Milk Lite 2L</t>
        </is>
      </c>
      <c r="B37" s="22" t="n">
        <v>14885.63</v>
      </c>
    </row>
    <row r="38">
      <c r="A38" t="inlineStr">
        <is>
          <t>Milk Standard 2L</t>
        </is>
      </c>
      <c r="B38" s="22" t="n">
        <v>34503.49</v>
      </c>
    </row>
    <row r="39">
      <c r="A39" t="inlineStr">
        <is>
          <t>Muesli Bar 6pk</t>
        </is>
      </c>
      <c r="B39" s="22" t="n">
        <v>6895.53</v>
      </c>
    </row>
    <row r="40">
      <c r="A40" t="inlineStr">
        <is>
          <t>Oat Milk 1L</t>
        </is>
      </c>
      <c r="B40" s="22" t="n">
        <v>5716.599999999999</v>
      </c>
    </row>
    <row r="41">
      <c r="A41" t="inlineStr">
        <is>
          <t>Paracetamol 20pk</t>
        </is>
      </c>
      <c r="B41" s="22" t="n">
        <v>3492.81</v>
      </c>
    </row>
    <row r="42">
      <c r="A42" t="inlineStr">
        <is>
          <t>Pasta 500g</t>
        </is>
      </c>
      <c r="B42" s="22" t="n">
        <v>2679.24</v>
      </c>
    </row>
    <row r="43">
      <c r="A43" t="inlineStr">
        <is>
          <t>Phone Charger Cable</t>
        </is>
      </c>
      <c r="B43" s="22" t="n">
        <v>2998</v>
      </c>
    </row>
    <row r="44">
      <c r="A44" t="inlineStr">
        <is>
          <t>Pinot Noir 750ml</t>
        </is>
      </c>
      <c r="B44" s="22" t="n">
        <v>8123.889999999999</v>
      </c>
    </row>
    <row r="45">
      <c r="A45" t="inlineStr">
        <is>
          <t>Potato Chips 150g</t>
        </is>
      </c>
      <c r="B45" s="22" t="n">
        <v>15337.01</v>
      </c>
    </row>
    <row r="46">
      <c r="A46" t="inlineStr">
        <is>
          <t>RTD 4pk</t>
        </is>
      </c>
      <c r="B46" s="22" t="n">
        <v>12765.66</v>
      </c>
    </row>
    <row r="47">
      <c r="A47" t="inlineStr">
        <is>
          <t>Salad Bowl</t>
        </is>
      </c>
      <c r="B47" s="22" t="n">
        <v>10829.4</v>
      </c>
    </row>
    <row r="48">
      <c r="A48" t="inlineStr">
        <is>
          <t>Salsa 300g</t>
        </is>
      </c>
      <c r="B48" s="22" t="n">
        <v>2508.86</v>
      </c>
    </row>
    <row r="49">
      <c r="A49" t="inlineStr">
        <is>
          <t>Sauvignon Blanc 750ml</t>
        </is>
      </c>
      <c r="B49" s="22" t="n">
        <v>12395.43</v>
      </c>
    </row>
    <row r="50">
      <c r="A50" t="inlineStr">
        <is>
          <t>Simmer Sauce 485g</t>
        </is>
      </c>
      <c r="B50" s="22" t="n">
        <v>3680.34</v>
      </c>
    </row>
    <row r="51">
      <c r="A51" t="inlineStr">
        <is>
          <t>Sparkling Water 1L</t>
        </is>
      </c>
      <c r="B51" s="22" t="n">
        <v>4811.54</v>
      </c>
    </row>
    <row r="52">
      <c r="A52" t="inlineStr">
        <is>
          <t>Sunscreen SPF50</t>
        </is>
      </c>
      <c r="B52" s="22" t="n">
        <v>4769.78</v>
      </c>
    </row>
    <row r="53">
      <c r="A53" t="inlineStr">
        <is>
          <t>Sushi Pack 8pc</t>
        </is>
      </c>
      <c r="B53" s="22" t="n">
        <v>21304.57</v>
      </c>
    </row>
    <row r="54">
      <c r="A54" t="inlineStr">
        <is>
          <t>Taco Kit</t>
        </is>
      </c>
      <c r="B54" s="22" t="n">
        <v>3422.79</v>
      </c>
    </row>
    <row r="55">
      <c r="A55" t="inlineStr">
        <is>
          <t>Toast Bread White</t>
        </is>
      </c>
      <c r="B55" s="22" t="n">
        <v>12986.64</v>
      </c>
    </row>
    <row r="56">
      <c r="A56" t="inlineStr">
        <is>
          <t>Toilet Paper 6pk</t>
        </is>
      </c>
      <c r="B56" s="22" t="n">
        <v>8135.95</v>
      </c>
    </row>
    <row r="57">
      <c r="A57" t="inlineStr">
        <is>
          <t>Tomatoes 500g</t>
        </is>
      </c>
      <c r="B57" s="22" t="n">
        <v>3582.99</v>
      </c>
    </row>
    <row r="58">
      <c r="A58" t="inlineStr">
        <is>
          <t>Wholemeal Loaf</t>
        </is>
      </c>
      <c r="B58" s="22" t="n">
        <v>9116.039999999999</v>
      </c>
    </row>
    <row r="59">
      <c r="A59" t="inlineStr">
        <is>
          <t>Grand Total</t>
        </is>
      </c>
      <c r="B59" s="22" t="n">
        <v>493910.28</v>
      </c>
    </row>
    <row r="63">
      <c r="A63" s="13" t="inlineStr">
        <is>
          <t>Weekly sales by category</t>
        </is>
      </c>
    </row>
    <row r="64">
      <c r="A64" t="inlineStr">
        <is>
          <t>Sales</t>
        </is>
      </c>
      <c r="B64" t="inlineStr">
        <is>
          <t>Column Labels</t>
        </is>
      </c>
    </row>
    <row r="65">
      <c r="A65" t="inlineStr">
        <is>
          <t>Row Labels</t>
        </is>
      </c>
      <c r="B65" t="inlineStr">
        <is>
          <t>Bakery</t>
        </is>
      </c>
      <c r="C65" t="inlineStr">
        <is>
          <t>Beer &amp; Wine</t>
        </is>
      </c>
      <c r="D65" t="inlineStr">
        <is>
          <t>Beverages</t>
        </is>
      </c>
      <c r="E65" t="inlineStr">
        <is>
          <t>Dairy</t>
        </is>
      </c>
      <c r="F65" t="inlineStr">
        <is>
          <t>Food To Go</t>
        </is>
      </c>
      <c r="G65" t="inlineStr">
        <is>
          <t>Frozen</t>
        </is>
      </c>
      <c r="H65" t="inlineStr">
        <is>
          <t>Grocery</t>
        </is>
      </c>
      <c r="I65" t="inlineStr">
        <is>
          <t>Health &amp; Beauty</t>
        </is>
      </c>
      <c r="J65" t="inlineStr">
        <is>
          <t>Household</t>
        </is>
      </c>
      <c r="K65" t="inlineStr">
        <is>
          <t>Produce</t>
        </is>
      </c>
      <c r="L65" t="inlineStr">
        <is>
          <t>Snacks &amp; Confectionery</t>
        </is>
      </c>
      <c r="M65" t="inlineStr">
        <is>
          <t>Grand Total</t>
        </is>
      </c>
    </row>
    <row r="66">
      <c r="A66" t="inlineStr">
        <is>
          <t>2026-04-19</t>
        </is>
      </c>
      <c r="B66" s="22" t="n">
        <v>1156.08</v>
      </c>
      <c r="C66" s="22" t="n">
        <v>2152.62</v>
      </c>
      <c r="D66" s="22" t="n">
        <v>3134.45</v>
      </c>
      <c r="E66" s="22" t="n">
        <v>3229.94</v>
      </c>
      <c r="F66" s="22" t="n">
        <v>3499.45</v>
      </c>
      <c r="G66" s="22" t="n">
        <v>1341.96</v>
      </c>
      <c r="H66" s="22" t="n">
        <v>1893.15</v>
      </c>
      <c r="I66" s="22" t="n">
        <v>282.65</v>
      </c>
      <c r="J66" s="22" t="n">
        <v>357.58</v>
      </c>
      <c r="K66" s="22" t="n">
        <v>517.52</v>
      </c>
      <c r="L66" s="22" t="n">
        <v>1962.73</v>
      </c>
      <c r="M66" s="22" t="n">
        <v>19528.13</v>
      </c>
    </row>
    <row r="67">
      <c r="A67" t="inlineStr">
        <is>
          <t>2026-04-26</t>
        </is>
      </c>
      <c r="B67" s="22" t="n">
        <v>1096.28</v>
      </c>
      <c r="C67" s="22" t="n">
        <v>2393.78</v>
      </c>
      <c r="D67" s="22" t="n">
        <v>2837.06</v>
      </c>
      <c r="E67" s="22" t="n">
        <v>3440.42</v>
      </c>
      <c r="F67" s="22" t="n">
        <v>3400.87</v>
      </c>
      <c r="G67" s="22" t="n">
        <v>1303.1</v>
      </c>
      <c r="H67" s="22" t="n">
        <v>1902.67</v>
      </c>
      <c r="I67" s="22" t="n">
        <v>305.62</v>
      </c>
      <c r="J67" s="22" t="n">
        <v>619.3000000000001</v>
      </c>
      <c r="K67" s="22" t="n">
        <v>420.08</v>
      </c>
      <c r="L67" s="22" t="n">
        <v>2171.6</v>
      </c>
      <c r="M67" s="22" t="n">
        <v>19890.78</v>
      </c>
    </row>
    <row r="68">
      <c r="A68" t="inlineStr">
        <is>
          <t>2026-05-03</t>
        </is>
      </c>
      <c r="B68" s="22" t="n">
        <v>982.9200000000001</v>
      </c>
      <c r="C68" s="22" t="n">
        <v>1961.73</v>
      </c>
      <c r="D68" s="22" t="n">
        <v>2428.51</v>
      </c>
      <c r="E68" s="22" t="n">
        <v>3085.83</v>
      </c>
      <c r="F68" s="22" t="n">
        <v>3321.61</v>
      </c>
      <c r="G68" s="22" t="n">
        <v>1435.98</v>
      </c>
      <c r="H68" s="22" t="n">
        <v>1740.92</v>
      </c>
      <c r="I68" s="22" t="n">
        <v>317.59</v>
      </c>
      <c r="J68" s="22" t="n">
        <v>622.27</v>
      </c>
      <c r="K68" s="22" t="n">
        <v>445.5</v>
      </c>
      <c r="L68" s="22" t="n">
        <v>1835.1</v>
      </c>
      <c r="M68" s="22" t="n">
        <v>18177.96</v>
      </c>
    </row>
    <row r="69">
      <c r="A69" t="inlineStr">
        <is>
          <t>2026-05-10</t>
        </is>
      </c>
      <c r="B69" s="22" t="n">
        <v>1167.53</v>
      </c>
      <c r="C69" s="22" t="n">
        <v>2399.74</v>
      </c>
      <c r="D69" s="22" t="n">
        <v>2772.37</v>
      </c>
      <c r="E69" s="22" t="n">
        <v>3016.88</v>
      </c>
      <c r="F69" s="22" t="n">
        <v>3518.87</v>
      </c>
      <c r="G69" s="22" t="n">
        <v>1195.81</v>
      </c>
      <c r="H69" s="22" t="n">
        <v>1835.21</v>
      </c>
      <c r="I69" s="22" t="n">
        <v>281.5700000000001</v>
      </c>
      <c r="J69" s="22" t="n">
        <v>489.36</v>
      </c>
      <c r="K69" s="22" t="n">
        <v>435.37</v>
      </c>
      <c r="L69" s="22" t="n">
        <v>2179.88</v>
      </c>
      <c r="M69" s="22" t="n">
        <v>19292.59</v>
      </c>
    </row>
    <row r="70">
      <c r="A70" t="inlineStr">
        <is>
          <t>2026-05-17</t>
        </is>
      </c>
      <c r="B70" s="22" t="n">
        <v>1150.06</v>
      </c>
      <c r="C70" s="22" t="n">
        <v>2034.92</v>
      </c>
      <c r="D70" s="22" t="n">
        <v>2682.9</v>
      </c>
      <c r="E70" s="22" t="n">
        <v>3393.28</v>
      </c>
      <c r="F70" s="22" t="n">
        <v>3595.87</v>
      </c>
      <c r="G70" s="22" t="n">
        <v>1271.21</v>
      </c>
      <c r="H70" s="22" t="n">
        <v>2164.28</v>
      </c>
      <c r="I70" s="22" t="n">
        <v>286.53</v>
      </c>
      <c r="J70" s="22" t="n">
        <v>602.3299999999999</v>
      </c>
      <c r="K70" s="22" t="n">
        <v>430.82</v>
      </c>
      <c r="L70" s="22" t="n">
        <v>2050.49</v>
      </c>
      <c r="M70" s="22" t="n">
        <v>19662.69</v>
      </c>
    </row>
    <row r="71">
      <c r="A71" t="inlineStr">
        <is>
          <t>2026-05-24</t>
        </is>
      </c>
      <c r="B71" s="22" t="n">
        <v>1057.98</v>
      </c>
      <c r="C71" s="22" t="n">
        <v>2292.8</v>
      </c>
      <c r="D71" s="22" t="n">
        <v>2509.17</v>
      </c>
      <c r="E71" s="22" t="n">
        <v>3178.04</v>
      </c>
      <c r="F71" s="22" t="n">
        <v>3655.07</v>
      </c>
      <c r="G71" s="22" t="n">
        <v>1389.11</v>
      </c>
      <c r="H71" s="22" t="n">
        <v>2170.76</v>
      </c>
      <c r="I71" s="22" t="n">
        <v>391.08</v>
      </c>
      <c r="J71" s="22" t="n">
        <v>498.37</v>
      </c>
      <c r="K71" s="22" t="n">
        <v>466.38</v>
      </c>
      <c r="L71" s="22" t="n">
        <v>1873.6</v>
      </c>
      <c r="M71" s="22" t="n">
        <v>19482.36</v>
      </c>
    </row>
    <row r="72">
      <c r="A72" t="inlineStr">
        <is>
          <t>2026-05-31</t>
        </is>
      </c>
      <c r="B72" s="22" t="n">
        <v>948.8100000000001</v>
      </c>
      <c r="C72" s="22" t="n">
        <v>2179.9</v>
      </c>
      <c r="D72" s="22" t="n">
        <v>2380.65</v>
      </c>
      <c r="E72" s="22" t="n">
        <v>3284.02</v>
      </c>
      <c r="F72" s="22" t="n">
        <v>4024.65</v>
      </c>
      <c r="G72" s="22" t="n">
        <v>1593.93</v>
      </c>
      <c r="H72" s="22" t="n">
        <v>1617.5</v>
      </c>
      <c r="I72" s="22" t="n">
        <v>371.4</v>
      </c>
      <c r="J72" s="22" t="n">
        <v>477.4400000000001</v>
      </c>
      <c r="K72" s="22" t="n">
        <v>512.88</v>
      </c>
      <c r="L72" s="22" t="n">
        <v>1858.35</v>
      </c>
      <c r="M72" s="22" t="n">
        <v>19249.53</v>
      </c>
    </row>
    <row r="73">
      <c r="A73" t="inlineStr">
        <is>
          <t>2026-06-07</t>
        </is>
      </c>
      <c r="B73" s="22" t="n">
        <v>1091.19</v>
      </c>
      <c r="C73" s="22" t="n">
        <v>1812.05</v>
      </c>
      <c r="D73" s="22" t="n">
        <v>2485.72</v>
      </c>
      <c r="E73" s="22" t="n">
        <v>3114.96</v>
      </c>
      <c r="F73" s="22" t="n">
        <v>3202.24</v>
      </c>
      <c r="G73" s="22" t="n">
        <v>1226.2</v>
      </c>
      <c r="H73" s="22" t="n">
        <v>2108.06</v>
      </c>
      <c r="I73" s="22" t="n">
        <v>260.54</v>
      </c>
      <c r="J73" s="22" t="n">
        <v>564.35</v>
      </c>
      <c r="K73" s="22" t="n">
        <v>397.17</v>
      </c>
      <c r="L73" s="22" t="n">
        <v>1989.75</v>
      </c>
      <c r="M73" s="22" t="n">
        <v>18252.23</v>
      </c>
    </row>
    <row r="74">
      <c r="A74" t="inlineStr">
        <is>
          <t>2026-06-14</t>
        </is>
      </c>
      <c r="B74" s="22" t="n">
        <v>1085.78</v>
      </c>
      <c r="C74" s="22" t="n">
        <v>1738.09</v>
      </c>
      <c r="D74" s="22" t="n">
        <v>2371.5</v>
      </c>
      <c r="E74" s="22" t="n">
        <v>3312.22</v>
      </c>
      <c r="F74" s="22" t="n">
        <v>3772.1</v>
      </c>
      <c r="G74" s="22" t="n">
        <v>1358.27</v>
      </c>
      <c r="H74" s="22" t="n">
        <v>2169.26</v>
      </c>
      <c r="I74" s="22" t="n">
        <v>325.5700000000001</v>
      </c>
      <c r="J74" s="22" t="n">
        <v>589.3000000000001</v>
      </c>
      <c r="K74" s="22" t="n">
        <v>396.81</v>
      </c>
      <c r="L74" s="22" t="n">
        <v>2043.79</v>
      </c>
      <c r="M74" s="22" t="n">
        <v>19162.69</v>
      </c>
    </row>
    <row r="75">
      <c r="A75" t="inlineStr">
        <is>
          <t>2026-06-21</t>
        </is>
      </c>
      <c r="B75" s="22" t="n">
        <v>1169.03</v>
      </c>
      <c r="C75" s="22" t="n">
        <v>2065.88</v>
      </c>
      <c r="D75" s="22" t="n">
        <v>2299.65</v>
      </c>
      <c r="E75" s="22" t="n">
        <v>3149.66</v>
      </c>
      <c r="F75" s="22" t="n">
        <v>3232.96</v>
      </c>
      <c r="G75" s="22" t="n">
        <v>1287.13</v>
      </c>
      <c r="H75" s="22" t="n">
        <v>1901.57</v>
      </c>
      <c r="I75" s="22" t="n">
        <v>340.45</v>
      </c>
      <c r="J75" s="22" t="n">
        <v>380.53</v>
      </c>
      <c r="K75" s="22" t="n">
        <v>367.55</v>
      </c>
      <c r="L75" s="22" t="n">
        <v>2038.36</v>
      </c>
      <c r="M75" s="22" t="n">
        <v>18232.77</v>
      </c>
    </row>
    <row r="76">
      <c r="A76" t="inlineStr">
        <is>
          <t>2026-06-28</t>
        </is>
      </c>
      <c r="B76" s="22" t="n">
        <v>1102.44</v>
      </c>
      <c r="C76" s="22" t="n">
        <v>1709.11</v>
      </c>
      <c r="D76" s="22" t="n">
        <v>2316.25</v>
      </c>
      <c r="E76" s="22" t="n">
        <v>2920.04</v>
      </c>
      <c r="F76" s="22" t="n">
        <v>3721.16</v>
      </c>
      <c r="G76" s="22" t="n">
        <v>1272.24</v>
      </c>
      <c r="H76" s="22" t="n">
        <v>1901.56</v>
      </c>
      <c r="I76" s="22" t="n">
        <v>260.54</v>
      </c>
      <c r="J76" s="22" t="n">
        <v>628.27</v>
      </c>
      <c r="K76" s="22" t="n">
        <v>347.7</v>
      </c>
      <c r="L76" s="22" t="n">
        <v>2147.62</v>
      </c>
      <c r="M76" s="22" t="n">
        <v>18326.93</v>
      </c>
    </row>
    <row r="77">
      <c r="A77" t="inlineStr">
        <is>
          <t>2026-07-05</t>
        </is>
      </c>
      <c r="B77" s="22" t="n">
        <v>1127.27</v>
      </c>
      <c r="C77" s="22" t="n">
        <v>1529.21</v>
      </c>
      <c r="D77" s="22" t="n">
        <v>2353.76</v>
      </c>
      <c r="E77" s="22" t="n">
        <v>3270.95</v>
      </c>
      <c r="F77" s="22" t="n">
        <v>3339.67</v>
      </c>
      <c r="G77" s="22" t="n">
        <v>1202.28</v>
      </c>
      <c r="H77" s="22" t="n">
        <v>2101.54</v>
      </c>
      <c r="I77" s="22" t="n">
        <v>321.47</v>
      </c>
      <c r="J77" s="22" t="n">
        <v>530.3900000000001</v>
      </c>
      <c r="K77" s="22" t="n">
        <v>384.14</v>
      </c>
      <c r="L77" s="22" t="n">
        <v>2008.34</v>
      </c>
      <c r="M77" s="22" t="n">
        <v>18169.02</v>
      </c>
    </row>
    <row r="78">
      <c r="A78" t="inlineStr">
        <is>
          <t>2026-07-12</t>
        </is>
      </c>
      <c r="B78" s="22" t="n">
        <v>1210.11</v>
      </c>
      <c r="C78" s="22" t="n">
        <v>1937.01</v>
      </c>
      <c r="D78" s="22" t="n">
        <v>2202.31</v>
      </c>
      <c r="E78" s="22" t="n">
        <v>3003.55</v>
      </c>
      <c r="F78" s="22" t="n">
        <v>3192.61</v>
      </c>
      <c r="G78" s="22" t="n">
        <v>1220.29</v>
      </c>
      <c r="H78" s="22" t="n">
        <v>2059.03</v>
      </c>
      <c r="I78" s="22" t="n">
        <v>208.67</v>
      </c>
      <c r="J78" s="22" t="n">
        <v>532.39</v>
      </c>
      <c r="K78" s="22" t="n">
        <v>441.05</v>
      </c>
      <c r="L78" s="22" t="n">
        <v>1768.52</v>
      </c>
      <c r="M78" s="22" t="n">
        <v>17775.54</v>
      </c>
    </row>
    <row r="79">
      <c r="A79" t="inlineStr">
        <is>
          <t>2026-07-19</t>
        </is>
      </c>
      <c r="B79" s="22" t="n">
        <v>1250.42</v>
      </c>
      <c r="C79" s="22" t="n">
        <v>2159.89</v>
      </c>
      <c r="D79" s="22" t="n">
        <v>2174.66</v>
      </c>
      <c r="E79" s="22" t="n">
        <v>3014.59</v>
      </c>
      <c r="F79" s="22" t="n">
        <v>3390.94</v>
      </c>
      <c r="G79" s="22" t="n">
        <v>1466.06</v>
      </c>
      <c r="H79" s="22" t="n">
        <v>2237.75</v>
      </c>
      <c r="I79" s="22" t="n">
        <v>430.39</v>
      </c>
      <c r="J79" s="22" t="n">
        <v>526.4300000000001</v>
      </c>
      <c r="K79" s="22" t="n">
        <v>357.29</v>
      </c>
      <c r="L79" s="22" t="n">
        <v>1934.22</v>
      </c>
      <c r="M79" s="22" t="n">
        <v>18942.64</v>
      </c>
    </row>
    <row r="80">
      <c r="A80" t="inlineStr">
        <is>
          <t>2026-07-26</t>
        </is>
      </c>
      <c r="B80" s="22" t="n">
        <v>1122.19</v>
      </c>
      <c r="C80" s="22" t="n">
        <v>1850.05</v>
      </c>
      <c r="D80" s="22" t="n">
        <v>2168.32</v>
      </c>
      <c r="E80" s="22" t="n">
        <v>3463.95</v>
      </c>
      <c r="F80" s="22" t="n">
        <v>3378.87</v>
      </c>
      <c r="G80" s="22" t="n">
        <v>1469</v>
      </c>
      <c r="H80" s="22" t="n">
        <v>2034.77</v>
      </c>
      <c r="I80" s="22" t="n">
        <v>274.5599999999999</v>
      </c>
      <c r="J80" s="22" t="n">
        <v>554.37</v>
      </c>
      <c r="K80" s="22" t="n">
        <v>344.32</v>
      </c>
      <c r="L80" s="22" t="n">
        <v>1903.87</v>
      </c>
      <c r="M80" s="22" t="n">
        <v>18564.27</v>
      </c>
    </row>
    <row r="81">
      <c r="A81" t="inlineStr">
        <is>
          <t>2026-08-02</t>
        </is>
      </c>
      <c r="B81" s="22" t="n">
        <v>1208.53</v>
      </c>
      <c r="C81" s="22" t="n">
        <v>1998.16</v>
      </c>
      <c r="D81" s="22" t="n">
        <v>2311.69</v>
      </c>
      <c r="E81" s="22" t="n">
        <v>3334.35</v>
      </c>
      <c r="F81" s="22" t="n">
        <v>3296.33</v>
      </c>
      <c r="G81" s="22" t="n">
        <v>1307.03</v>
      </c>
      <c r="H81" s="22" t="n">
        <v>1957.17</v>
      </c>
      <c r="I81" s="22" t="n">
        <v>347.57</v>
      </c>
      <c r="J81" s="22" t="n">
        <v>409.5</v>
      </c>
      <c r="K81" s="22" t="n">
        <v>423.2</v>
      </c>
      <c r="L81" s="22" t="n">
        <v>2206.36</v>
      </c>
      <c r="M81" s="22" t="n">
        <v>18799.89</v>
      </c>
    </row>
    <row r="82">
      <c r="A82" t="inlineStr">
        <is>
          <t>2026-08-09</t>
        </is>
      </c>
      <c r="B82" s="22" t="n">
        <v>1147.13</v>
      </c>
      <c r="C82" s="22" t="n">
        <v>2188.88</v>
      </c>
      <c r="D82" s="22" t="n">
        <v>2276.23</v>
      </c>
      <c r="E82" s="22" t="n">
        <v>3199.45</v>
      </c>
      <c r="F82" s="22" t="n">
        <v>3501.21</v>
      </c>
      <c r="G82" s="22" t="n">
        <v>1385.24</v>
      </c>
      <c r="H82" s="22" t="n">
        <v>2098.77</v>
      </c>
      <c r="I82" s="22" t="n">
        <v>272.51</v>
      </c>
      <c r="J82" s="22" t="n">
        <v>442.43</v>
      </c>
      <c r="K82" s="22" t="n">
        <v>334.56</v>
      </c>
      <c r="L82" s="22" t="n">
        <v>2045.19</v>
      </c>
      <c r="M82" s="22" t="n">
        <v>18891.6</v>
      </c>
    </row>
    <row r="83">
      <c r="A83" t="inlineStr">
        <is>
          <t>2026-08-16</t>
        </is>
      </c>
      <c r="B83" s="22" t="n">
        <v>990.58</v>
      </c>
      <c r="C83" s="22" t="n">
        <v>1982.99</v>
      </c>
      <c r="D83" s="22" t="n">
        <v>2416.67</v>
      </c>
      <c r="E83" s="22" t="n">
        <v>3228.56</v>
      </c>
      <c r="F83" s="22" t="n">
        <v>3834.32</v>
      </c>
      <c r="G83" s="22" t="n">
        <v>1402.14</v>
      </c>
      <c r="H83" s="22" t="n">
        <v>2007.76</v>
      </c>
      <c r="I83" s="22" t="n">
        <v>372.48</v>
      </c>
      <c r="J83" s="22" t="n">
        <v>605.28</v>
      </c>
      <c r="K83" s="22" t="n">
        <v>389.64</v>
      </c>
      <c r="L83" s="22" t="n">
        <v>2005.06</v>
      </c>
      <c r="M83" s="22" t="n">
        <v>19235.48</v>
      </c>
    </row>
    <row r="84">
      <c r="A84" t="inlineStr">
        <is>
          <t>2026-08-23</t>
        </is>
      </c>
      <c r="B84" s="22" t="n">
        <v>978.9299999999999</v>
      </c>
      <c r="C84" s="22" t="n">
        <v>2054.94</v>
      </c>
      <c r="D84" s="22" t="n">
        <v>2497.55</v>
      </c>
      <c r="E84" s="22" t="n">
        <v>3228.32</v>
      </c>
      <c r="F84" s="22" t="n">
        <v>3539.56</v>
      </c>
      <c r="G84" s="22" t="n">
        <v>1600.79</v>
      </c>
      <c r="H84" s="22" t="n">
        <v>2254.4</v>
      </c>
      <c r="I84" s="22" t="n">
        <v>239.62</v>
      </c>
      <c r="J84" s="22" t="n">
        <v>496.37</v>
      </c>
      <c r="K84" s="22" t="n">
        <v>426.66</v>
      </c>
      <c r="L84" s="22" t="n">
        <v>1939.52</v>
      </c>
      <c r="M84" s="22" t="n">
        <v>19256.66</v>
      </c>
    </row>
    <row r="85">
      <c r="A85" t="inlineStr">
        <is>
          <t>2026-08-30</t>
        </is>
      </c>
      <c r="B85" s="22" t="n">
        <v>1131.82</v>
      </c>
      <c r="C85" s="22" t="n">
        <v>1960.98</v>
      </c>
      <c r="D85" s="22" t="n">
        <v>2415</v>
      </c>
      <c r="E85" s="22" t="n">
        <v>3095.22</v>
      </c>
      <c r="F85" s="22" t="n">
        <v>3227.6</v>
      </c>
      <c r="G85" s="22" t="n">
        <v>1264.07</v>
      </c>
      <c r="H85" s="22" t="n">
        <v>2159.25</v>
      </c>
      <c r="I85" s="22" t="n">
        <v>294.56</v>
      </c>
      <c r="J85" s="22" t="n">
        <v>607.28</v>
      </c>
      <c r="K85" s="22" t="n">
        <v>432.56</v>
      </c>
      <c r="L85" s="22" t="n">
        <v>2115.26</v>
      </c>
      <c r="M85" s="22" t="n">
        <v>18703.6</v>
      </c>
    </row>
    <row r="86">
      <c r="A86" t="inlineStr">
        <is>
          <t>2026-09-06</t>
        </is>
      </c>
      <c r="B86" s="22" t="n">
        <v>1199.88</v>
      </c>
      <c r="C86" s="22" t="n">
        <v>2334.79</v>
      </c>
      <c r="D86" s="22" t="n">
        <v>2466.01</v>
      </c>
      <c r="E86" s="22" t="n">
        <v>3062.93</v>
      </c>
      <c r="F86" s="22" t="n">
        <v>3046.86</v>
      </c>
      <c r="G86" s="22" t="n">
        <v>1376.06</v>
      </c>
      <c r="H86" s="22" t="n">
        <v>1977.86</v>
      </c>
      <c r="I86" s="22" t="n">
        <v>380.46</v>
      </c>
      <c r="J86" s="22" t="n">
        <v>596.33</v>
      </c>
      <c r="K86" s="22" t="n">
        <v>448.81</v>
      </c>
      <c r="L86" s="22" t="n">
        <v>1930.14</v>
      </c>
      <c r="M86" s="22" t="n">
        <v>18820.13</v>
      </c>
    </row>
    <row r="87">
      <c r="A87" t="inlineStr">
        <is>
          <t>2026-09-13</t>
        </is>
      </c>
      <c r="B87" s="22" t="n">
        <v>1077.01</v>
      </c>
      <c r="C87" s="22" t="n">
        <v>1967.98</v>
      </c>
      <c r="D87" s="22" t="n">
        <v>2486.7</v>
      </c>
      <c r="E87" s="22" t="n">
        <v>3095.66</v>
      </c>
      <c r="F87" s="22" t="n">
        <v>3599.67</v>
      </c>
      <c r="G87" s="22" t="n">
        <v>1405.57</v>
      </c>
      <c r="H87" s="22" t="n">
        <v>2215.89</v>
      </c>
      <c r="I87" s="22" t="n">
        <v>436.43</v>
      </c>
      <c r="J87" s="22" t="n">
        <v>553.36</v>
      </c>
      <c r="K87" s="22" t="n">
        <v>426.29</v>
      </c>
      <c r="L87" s="22" t="n">
        <v>2078.45</v>
      </c>
      <c r="M87" s="22" t="n">
        <v>19343.01</v>
      </c>
    </row>
    <row r="88">
      <c r="A88" t="inlineStr">
        <is>
          <t>2026-09-20</t>
        </is>
      </c>
      <c r="B88" s="22" t="n">
        <v>1215.19</v>
      </c>
      <c r="C88" s="22" t="n">
        <v>2367.34</v>
      </c>
      <c r="D88" s="22" t="n">
        <v>2688.35</v>
      </c>
      <c r="E88" s="22" t="n">
        <v>2959.19</v>
      </c>
      <c r="F88" s="22" t="n">
        <v>3909.3</v>
      </c>
      <c r="G88" s="22" t="n">
        <v>1552.24</v>
      </c>
      <c r="H88" s="22" t="n">
        <v>2433.51</v>
      </c>
      <c r="I88" s="22" t="n">
        <v>371.51</v>
      </c>
      <c r="J88" s="22" t="n">
        <v>617.28</v>
      </c>
      <c r="K88" s="22" t="n">
        <v>409.35</v>
      </c>
      <c r="L88" s="22" t="n">
        <v>2216.36</v>
      </c>
      <c r="M88" s="22" t="n">
        <v>20739.62</v>
      </c>
    </row>
    <row r="89">
      <c r="A89" t="inlineStr">
        <is>
          <t>2026-09-27</t>
        </is>
      </c>
      <c r="B89" s="22" t="n">
        <v>1095.56</v>
      </c>
      <c r="C89" s="22" t="n">
        <v>2154.87</v>
      </c>
      <c r="D89" s="22" t="n">
        <v>2658.14</v>
      </c>
      <c r="E89" s="22" t="n">
        <v>3266.66</v>
      </c>
      <c r="F89" s="22" t="n">
        <v>3283.21</v>
      </c>
      <c r="G89" s="22" t="n">
        <v>1316.07</v>
      </c>
      <c r="H89" s="22" t="n">
        <v>2069.67</v>
      </c>
      <c r="I89" s="22" t="n">
        <v>268.63</v>
      </c>
      <c r="J89" s="22" t="n">
        <v>441.4</v>
      </c>
      <c r="K89" s="22" t="n">
        <v>378.78</v>
      </c>
      <c r="L89" s="22" t="n">
        <v>2081.69</v>
      </c>
      <c r="M89" s="22" t="n">
        <v>19014.68</v>
      </c>
    </row>
    <row r="90">
      <c r="A90" t="inlineStr">
        <is>
          <t>2026-10-04</t>
        </is>
      </c>
      <c r="B90" s="22" t="n">
        <v>1094.35</v>
      </c>
      <c r="C90" s="22" t="n">
        <v>2280.8</v>
      </c>
      <c r="D90" s="22" t="n">
        <v>2742.07</v>
      </c>
      <c r="E90" s="22" t="n">
        <v>3003.78</v>
      </c>
      <c r="F90" s="22" t="n">
        <v>3528.29</v>
      </c>
      <c r="G90" s="22" t="n">
        <v>1442.93</v>
      </c>
      <c r="H90" s="22" t="n">
        <v>2171.16</v>
      </c>
      <c r="I90" s="22" t="n">
        <v>286.64</v>
      </c>
      <c r="J90" s="22" t="n">
        <v>472.43</v>
      </c>
      <c r="K90" s="22" t="n">
        <v>416.39</v>
      </c>
      <c r="L90" s="22" t="n">
        <v>2189.67</v>
      </c>
      <c r="M90" s="22" t="n">
        <v>19628.50999999999</v>
      </c>
    </row>
    <row r="91">
      <c r="A91" t="inlineStr">
        <is>
          <t>2026-10-11</t>
        </is>
      </c>
      <c r="B91" s="22" t="n">
        <v>1142.32</v>
      </c>
      <c r="C91" s="22" t="n">
        <v>2071.93</v>
      </c>
      <c r="D91" s="22" t="n">
        <v>3247.31</v>
      </c>
      <c r="E91" s="22" t="n">
        <v>3124.83</v>
      </c>
      <c r="F91" s="22" t="n">
        <v>3006.04</v>
      </c>
      <c r="G91" s="22" t="n">
        <v>1163.05</v>
      </c>
      <c r="H91" s="22" t="n">
        <v>1792.45</v>
      </c>
      <c r="I91" s="22" t="n">
        <v>333.55</v>
      </c>
      <c r="J91" s="22" t="n">
        <v>539.36</v>
      </c>
      <c r="K91" s="22" t="n">
        <v>480.86</v>
      </c>
      <c r="L91" s="22" t="n">
        <v>1865.27</v>
      </c>
      <c r="M91" s="22" t="n">
        <v>18766.97</v>
      </c>
    </row>
    <row r="92">
      <c r="A92" t="inlineStr">
        <is>
          <t>Grand Total</t>
        </is>
      </c>
      <c r="B92" s="22" t="n">
        <v>28999.39</v>
      </c>
      <c r="C92" s="22" t="n">
        <v>53580.44</v>
      </c>
      <c r="D92" s="22" t="n">
        <v>65322.99999999999</v>
      </c>
      <c r="E92" s="22" t="n">
        <v>82477.27999999998</v>
      </c>
      <c r="F92" s="22" t="n">
        <v>90019.32999999999</v>
      </c>
      <c r="G92" s="22" t="n">
        <v>35247.76</v>
      </c>
      <c r="H92" s="22" t="n">
        <v>52975.92</v>
      </c>
      <c r="I92" s="22" t="n">
        <v>8262.59</v>
      </c>
      <c r="J92" s="22" t="n">
        <v>13753.7</v>
      </c>
      <c r="K92" s="22" t="n">
        <v>10831.68</v>
      </c>
      <c r="L92" s="22" t="n">
        <v>52439.19</v>
      </c>
      <c r="M92" s="22" t="n">
        <v>493910.2799999999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G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23" t="inlineStr">
        <is>
          <t>Week ending</t>
        </is>
      </c>
      <c r="B1" s="23" t="inlineStr">
        <is>
          <t>SKU</t>
        </is>
      </c>
      <c r="C1" s="23" t="inlineStr">
        <is>
          <t>Product</t>
        </is>
      </c>
      <c r="D1" s="23" t="inlineStr">
        <is>
          <t>Category</t>
        </is>
      </c>
      <c r="E1" s="23" t="inlineStr">
        <is>
          <t>Sales</t>
        </is>
      </c>
      <c r="F1" s="23" t="inlineStr">
        <is>
          <t>Units</t>
        </is>
      </c>
      <c r="G1" s="23" t="inlineStr">
        <is>
          <t>Gross margin</t>
        </is>
      </c>
    </row>
    <row r="2">
      <c r="A2" s="24" t="n">
        <v>46131</v>
      </c>
      <c r="B2" s="25" t="inlineStr">
        <is>
          <t>BAK001</t>
        </is>
      </c>
      <c r="C2" s="25" t="inlineStr">
        <is>
          <t>Toast Bread White</t>
        </is>
      </c>
      <c r="D2" s="25" t="inlineStr">
        <is>
          <t>Bakery</t>
        </is>
      </c>
      <c r="E2" s="26" t="n">
        <v>582.83</v>
      </c>
      <c r="F2" s="27" t="n">
        <v>167</v>
      </c>
      <c r="G2" s="26" t="n">
        <v>215.43</v>
      </c>
    </row>
    <row r="3">
      <c r="A3" s="24" t="n">
        <v>46131</v>
      </c>
      <c r="B3" s="25" t="inlineStr">
        <is>
          <t>BAK002</t>
        </is>
      </c>
      <c r="C3" s="25" t="inlineStr">
        <is>
          <t>Wholemeal Loaf</t>
        </is>
      </c>
      <c r="D3" s="25" t="inlineStr">
        <is>
          <t>Bakery</t>
        </is>
      </c>
      <c r="E3" s="26" t="n">
        <v>291.72</v>
      </c>
      <c r="F3" s="27" t="n">
        <v>68</v>
      </c>
      <c r="G3" s="26" t="n">
        <v>108.12</v>
      </c>
    </row>
    <row r="4">
      <c r="A4" s="24" t="n">
        <v>46131</v>
      </c>
      <c r="B4" s="25" t="inlineStr">
        <is>
          <t>BAK003</t>
        </is>
      </c>
      <c r="C4" s="25" t="inlineStr">
        <is>
          <t>Croissant 4pk</t>
        </is>
      </c>
      <c r="D4" s="25" t="inlineStr">
        <is>
          <t>Bakery</t>
        </is>
      </c>
      <c r="E4" s="26" t="n">
        <v>281.53</v>
      </c>
      <c r="F4" s="27" t="n">
        <v>47</v>
      </c>
      <c r="G4" s="26" t="n">
        <v>126.43</v>
      </c>
    </row>
    <row r="5">
      <c r="A5" s="24" t="n">
        <v>46131</v>
      </c>
      <c r="B5" s="25" t="inlineStr">
        <is>
          <t>BBT001</t>
        </is>
      </c>
      <c r="C5" s="25" t="inlineStr">
        <is>
          <t>Bubble Tea Kit</t>
        </is>
      </c>
      <c r="D5" s="25" t="inlineStr">
        <is>
          <t>Beverages</t>
        </is>
      </c>
      <c r="E5" s="26" t="n">
        <v>265.62</v>
      </c>
      <c r="F5" s="27" t="n">
        <v>38</v>
      </c>
      <c r="G5" s="26" t="n">
        <v>117.42</v>
      </c>
    </row>
    <row r="6">
      <c r="A6" s="24" t="n">
        <v>46131</v>
      </c>
      <c r="B6" s="25" t="inlineStr">
        <is>
          <t>BEV001</t>
        </is>
      </c>
      <c r="C6" s="25" t="inlineStr">
        <is>
          <t>Energy Drink 500ml</t>
        </is>
      </c>
      <c r="D6" s="25" t="inlineStr">
        <is>
          <t>Beverages</t>
        </is>
      </c>
      <c r="E6" s="26" t="n">
        <v>926.6399999999999</v>
      </c>
      <c r="F6" s="27" t="n">
        <v>216</v>
      </c>
      <c r="G6" s="26" t="n">
        <v>462.24</v>
      </c>
    </row>
    <row r="7">
      <c r="A7" s="24" t="n">
        <v>46131</v>
      </c>
      <c r="B7" s="25" t="inlineStr">
        <is>
          <t>BEV002</t>
        </is>
      </c>
      <c r="C7" s="25" t="inlineStr">
        <is>
          <t>Cola 1.5L</t>
        </is>
      </c>
      <c r="D7" s="25" t="inlineStr">
        <is>
          <t>Beverages</t>
        </is>
      </c>
      <c r="E7" s="26" t="n">
        <v>556.76</v>
      </c>
      <c r="F7" s="27" t="n">
        <v>124</v>
      </c>
      <c r="G7" s="26" t="n">
        <v>271.56</v>
      </c>
    </row>
    <row r="8">
      <c r="A8" s="24" t="n">
        <v>46131</v>
      </c>
      <c r="B8" s="25" t="inlineStr">
        <is>
          <t>BEV003</t>
        </is>
      </c>
      <c r="C8" s="25" t="inlineStr">
        <is>
          <t>Sparkling Water 1L</t>
        </is>
      </c>
      <c r="D8" s="25" t="inlineStr">
        <is>
          <t>Beverages</t>
        </is>
      </c>
      <c r="E8" s="26" t="n">
        <v>241.53</v>
      </c>
      <c r="F8" s="27" t="n">
        <v>97</v>
      </c>
      <c r="G8" s="26" t="n">
        <v>134.83</v>
      </c>
    </row>
    <row r="9">
      <c r="A9" s="24" t="n">
        <v>46131</v>
      </c>
      <c r="B9" s="25" t="inlineStr">
        <is>
          <t>BEV004</t>
        </is>
      </c>
      <c r="C9" s="25" t="inlineStr">
        <is>
          <t>Iced Coffee 500ml</t>
        </is>
      </c>
      <c r="D9" s="25" t="inlineStr">
        <is>
          <t>Beverages</t>
        </is>
      </c>
      <c r="E9" s="26" t="n">
        <v>484.03</v>
      </c>
      <c r="F9" s="27" t="n">
        <v>97</v>
      </c>
      <c r="G9" s="26" t="n">
        <v>222.13</v>
      </c>
    </row>
    <row r="10">
      <c r="A10" s="24" t="n">
        <v>46131</v>
      </c>
      <c r="B10" s="25" t="inlineStr">
        <is>
          <t>BEV005</t>
        </is>
      </c>
      <c r="C10" s="25" t="inlineStr">
        <is>
          <t>Kombucha 330ml</t>
        </is>
      </c>
      <c r="D10" s="25" t="inlineStr">
        <is>
          <t>Beverages</t>
        </is>
      </c>
      <c r="E10" s="26" t="n">
        <v>220.34</v>
      </c>
      <c r="F10" s="27" t="n">
        <v>46</v>
      </c>
      <c r="G10" s="26" t="n">
        <v>100.74</v>
      </c>
    </row>
    <row r="11">
      <c r="A11" s="24" t="n">
        <v>46131</v>
      </c>
      <c r="B11" s="25" t="inlineStr">
        <is>
          <t>BEV006</t>
        </is>
      </c>
      <c r="C11" s="25" t="inlineStr">
        <is>
          <t>Bottled Water 750ml</t>
        </is>
      </c>
      <c r="D11" s="25" t="inlineStr">
        <is>
          <t>Beverages</t>
        </is>
      </c>
      <c r="E11" s="26" t="n">
        <v>439.53</v>
      </c>
      <c r="F11" s="27" t="n">
        <v>147</v>
      </c>
      <c r="G11" s="26" t="n">
        <v>299.88</v>
      </c>
    </row>
    <row r="12">
      <c r="A12" s="24" t="n">
        <v>46131</v>
      </c>
      <c r="B12" s="25" t="inlineStr">
        <is>
          <t>DRY010</t>
        </is>
      </c>
      <c r="C12" s="25" t="inlineStr">
        <is>
          <t>Butter 500g</t>
        </is>
      </c>
      <c r="D12" s="25" t="inlineStr">
        <is>
          <t>Dairy</t>
        </is>
      </c>
      <c r="E12" s="26" t="n">
        <v>277.13</v>
      </c>
      <c r="F12" s="27" t="n">
        <v>37</v>
      </c>
      <c r="G12" s="26" t="n">
        <v>69.93000000000001</v>
      </c>
    </row>
    <row r="13">
      <c r="A13" s="24" t="n">
        <v>46131</v>
      </c>
      <c r="B13" s="25" t="inlineStr">
        <is>
          <t>DRY011</t>
        </is>
      </c>
      <c r="C13" s="25" t="inlineStr">
        <is>
          <t>Greek Yoghurt 1kg</t>
        </is>
      </c>
      <c r="D13" s="25" t="inlineStr">
        <is>
          <t>Dairy</t>
        </is>
      </c>
      <c r="E13" s="26" t="n">
        <v>258.83</v>
      </c>
      <c r="F13" s="27" t="n">
        <v>37</v>
      </c>
      <c r="G13" s="26" t="n">
        <v>70.13</v>
      </c>
    </row>
    <row r="14">
      <c r="A14" s="24" t="n">
        <v>46131</v>
      </c>
      <c r="B14" s="25" t="inlineStr">
        <is>
          <t>DRY012</t>
        </is>
      </c>
      <c r="C14" s="25" t="inlineStr">
        <is>
          <t>Cheese Block 1kg</t>
        </is>
      </c>
      <c r="D14" s="25" t="inlineStr">
        <is>
          <t>Dairy</t>
        </is>
      </c>
      <c r="E14" s="26" t="n">
        <v>559.6</v>
      </c>
      <c r="F14" s="27" t="n">
        <v>40</v>
      </c>
      <c r="G14" s="26" t="n">
        <v>143.6</v>
      </c>
    </row>
    <row r="15">
      <c r="A15" s="24" t="n">
        <v>46131</v>
      </c>
      <c r="B15" s="25" t="inlineStr">
        <is>
          <t>FRZ001</t>
        </is>
      </c>
      <c r="C15" s="25" t="inlineStr">
        <is>
          <t>Ice Cream Tub 2L</t>
        </is>
      </c>
      <c r="D15" s="25" t="inlineStr">
        <is>
          <t>Frozen</t>
        </is>
      </c>
      <c r="E15" s="26" t="n">
        <v>512.4300000000001</v>
      </c>
      <c r="F15" s="27" t="n">
        <v>57</v>
      </c>
      <c r="G15" s="26" t="n">
        <v>204.63</v>
      </c>
    </row>
    <row r="16">
      <c r="A16" s="24" t="n">
        <v>46131</v>
      </c>
      <c r="B16" s="25" t="inlineStr">
        <is>
          <t>FRZ002</t>
        </is>
      </c>
      <c r="C16" s="25" t="inlineStr">
        <is>
          <t>Ice Block Single</t>
        </is>
      </c>
      <c r="D16" s="25" t="inlineStr">
        <is>
          <t>Frozen</t>
        </is>
      </c>
      <c r="E16" s="26" t="n">
        <v>266.11</v>
      </c>
      <c r="F16" s="27" t="n">
        <v>89</v>
      </c>
      <c r="G16" s="26" t="n">
        <v>159.31</v>
      </c>
    </row>
    <row r="17">
      <c r="A17" s="24" t="n">
        <v>46131</v>
      </c>
      <c r="B17" s="25" t="inlineStr">
        <is>
          <t>FRZ003</t>
        </is>
      </c>
      <c r="C17" s="25" t="inlineStr">
        <is>
          <t>Frozen Pizza</t>
        </is>
      </c>
      <c r="D17" s="25" t="inlineStr">
        <is>
          <t>Frozen</t>
        </is>
      </c>
      <c r="E17" s="26" t="n">
        <v>263.67</v>
      </c>
      <c r="F17" s="27" t="n">
        <v>33</v>
      </c>
      <c r="G17" s="26" t="n">
        <v>108.57</v>
      </c>
    </row>
    <row r="18">
      <c r="A18" s="24" t="n">
        <v>46131</v>
      </c>
      <c r="B18" s="25" t="inlineStr">
        <is>
          <t>FRZ004</t>
        </is>
      </c>
      <c r="C18" s="25" t="inlineStr">
        <is>
          <t>Frozen Dumplings 1kg</t>
        </is>
      </c>
      <c r="D18" s="25" t="inlineStr">
        <is>
          <t>Frozen</t>
        </is>
      </c>
      <c r="E18" s="26" t="n">
        <v>299.75</v>
      </c>
      <c r="F18" s="27" t="n">
        <v>25</v>
      </c>
      <c r="G18" s="26" t="n">
        <v>122.25</v>
      </c>
    </row>
    <row r="19">
      <c r="A19" s="24" t="n">
        <v>46131</v>
      </c>
      <c r="B19" s="25" t="inlineStr">
        <is>
          <t>FTG001</t>
        </is>
      </c>
      <c r="C19" s="25" t="inlineStr">
        <is>
          <t>Chicken Sandwich</t>
        </is>
      </c>
      <c r="D19" s="25" t="inlineStr">
        <is>
          <t>Food To Go</t>
        </is>
      </c>
      <c r="E19" s="26" t="n">
        <v>1026.13</v>
      </c>
      <c r="F19" s="27" t="n">
        <v>137</v>
      </c>
      <c r="G19" s="26" t="n">
        <v>491.83</v>
      </c>
    </row>
    <row r="20">
      <c r="A20" s="24" t="n">
        <v>46131</v>
      </c>
      <c r="B20" s="25" t="inlineStr">
        <is>
          <t>FTG002</t>
        </is>
      </c>
      <c r="C20" s="25" t="inlineStr">
        <is>
          <t>Sushi Pack 8pc</t>
        </is>
      </c>
      <c r="D20" s="25" t="inlineStr">
        <is>
          <t>Food To Go</t>
        </is>
      </c>
      <c r="E20" s="26" t="n">
        <v>979.0200000000001</v>
      </c>
      <c r="F20" s="27" t="n">
        <v>98</v>
      </c>
      <c r="G20" s="26" t="n">
        <v>430.22</v>
      </c>
    </row>
    <row r="21">
      <c r="A21" s="24" t="n">
        <v>46131</v>
      </c>
      <c r="B21" s="25" t="inlineStr">
        <is>
          <t>FTG003</t>
        </is>
      </c>
      <c r="C21" s="25" t="inlineStr">
        <is>
          <t>Hot Pie Mince &amp; Cheese</t>
        </is>
      </c>
      <c r="D21" s="25" t="inlineStr">
        <is>
          <t>Food To Go</t>
        </is>
      </c>
      <c r="E21" s="26" t="n">
        <v>610.35</v>
      </c>
      <c r="F21" s="27" t="n">
        <v>125</v>
      </c>
      <c r="G21" s="26" t="n">
        <v>310.35</v>
      </c>
    </row>
    <row r="22">
      <c r="A22" s="24" t="n">
        <v>46131</v>
      </c>
      <c r="B22" s="25" t="inlineStr">
        <is>
          <t>FTG004</t>
        </is>
      </c>
      <c r="C22" s="25" t="inlineStr">
        <is>
          <t>Salad Bowl</t>
        </is>
      </c>
      <c r="D22" s="25" t="inlineStr">
        <is>
          <t>Food To Go</t>
        </is>
      </c>
      <c r="E22" s="26" t="n">
        <v>494.55</v>
      </c>
      <c r="F22" s="27" t="n">
        <v>45</v>
      </c>
      <c r="G22" s="26" t="n">
        <v>215.55</v>
      </c>
    </row>
    <row r="23">
      <c r="A23" s="24" t="n">
        <v>46131</v>
      </c>
      <c r="B23" s="25" t="inlineStr">
        <is>
          <t>FTG005</t>
        </is>
      </c>
      <c r="C23" s="25" t="inlineStr">
        <is>
          <t>Filled Roll</t>
        </is>
      </c>
      <c r="D23" s="25" t="inlineStr">
        <is>
          <t>Food To Go</t>
        </is>
      </c>
      <c r="E23" s="26" t="n">
        <v>389.4</v>
      </c>
      <c r="F23" s="27" t="n">
        <v>60</v>
      </c>
      <c r="G23" s="26" t="n">
        <v>197.4</v>
      </c>
    </row>
    <row r="24">
      <c r="A24" s="24" t="n">
        <v>46131</v>
      </c>
      <c r="B24" s="25" t="inlineStr">
        <is>
          <t>GRO001</t>
        </is>
      </c>
      <c r="C24" s="25" t="inlineStr">
        <is>
          <t>Instant Noodles 5pk</t>
        </is>
      </c>
      <c r="D24" s="25" t="inlineStr">
        <is>
          <t>Grocery</t>
        </is>
      </c>
      <c r="E24" s="26" t="n">
        <v>296.34</v>
      </c>
      <c r="F24" s="27" t="n">
        <v>66</v>
      </c>
      <c r="G24" s="26" t="n">
        <v>124.74</v>
      </c>
    </row>
    <row r="25">
      <c r="A25" s="24" t="n">
        <v>46131</v>
      </c>
      <c r="B25" s="25" t="inlineStr">
        <is>
          <t>GRO002</t>
        </is>
      </c>
      <c r="C25" s="25" t="inlineStr">
        <is>
          <t>Canned Soup 500g</t>
        </is>
      </c>
      <c r="D25" s="25" t="inlineStr">
        <is>
          <t>Grocery</t>
        </is>
      </c>
      <c r="E25" s="26" t="n">
        <v>98.7</v>
      </c>
      <c r="F25" s="27" t="n">
        <v>30</v>
      </c>
      <c r="G25" s="26" t="n">
        <v>41.7</v>
      </c>
    </row>
    <row r="26">
      <c r="A26" s="24" t="n">
        <v>46131</v>
      </c>
      <c r="B26" s="25" t="inlineStr">
        <is>
          <t>GRO003</t>
        </is>
      </c>
      <c r="C26" s="25" t="inlineStr">
        <is>
          <t>Pasta 500g</t>
        </is>
      </c>
      <c r="D26" s="25" t="inlineStr">
        <is>
          <t>Grocery</t>
        </is>
      </c>
      <c r="E26" s="26" t="n">
        <v>59.76000000000001</v>
      </c>
      <c r="F26" s="27" t="n">
        <v>24</v>
      </c>
      <c r="G26" s="26" t="n">
        <v>28.56</v>
      </c>
    </row>
    <row r="27">
      <c r="A27" s="24" t="n">
        <v>46131</v>
      </c>
      <c r="B27" s="25" t="inlineStr">
        <is>
          <t>GRO004</t>
        </is>
      </c>
      <c r="C27" s="25" t="inlineStr">
        <is>
          <t>Simmer Sauce 485g</t>
        </is>
      </c>
      <c r="D27" s="25" t="inlineStr">
        <is>
          <t>Grocery</t>
        </is>
      </c>
      <c r="E27" s="26" t="n">
        <v>71.82000000000001</v>
      </c>
      <c r="F27" s="27" t="n">
        <v>18</v>
      </c>
      <c r="G27" s="26" t="n">
        <v>30.42</v>
      </c>
    </row>
    <row r="28">
      <c r="A28" s="24" t="n">
        <v>46131</v>
      </c>
      <c r="B28" s="25" t="inlineStr">
        <is>
          <t>GRO005</t>
        </is>
      </c>
      <c r="C28" s="25" t="inlineStr">
        <is>
          <t>Salsa 300g</t>
        </is>
      </c>
      <c r="D28" s="25" t="inlineStr">
        <is>
          <t>Grocery</t>
        </is>
      </c>
      <c r="E28" s="26" t="n">
        <v>86.22</v>
      </c>
      <c r="F28" s="27" t="n">
        <v>18</v>
      </c>
      <c r="G28" s="26" t="n">
        <v>34.02</v>
      </c>
    </row>
    <row r="29">
      <c r="A29" s="24" t="n">
        <v>46131</v>
      </c>
      <c r="B29" s="25" t="inlineStr">
        <is>
          <t>GRO006</t>
        </is>
      </c>
      <c r="C29" s="25" t="inlineStr">
        <is>
          <t>Taco Kit</t>
        </is>
      </c>
      <c r="D29" s="25" t="inlineStr">
        <is>
          <t>Grocery</t>
        </is>
      </c>
      <c r="E29" s="26" t="n">
        <v>84.37</v>
      </c>
      <c r="F29" s="27" t="n">
        <v>13</v>
      </c>
      <c r="G29" s="26" t="n">
        <v>32.37</v>
      </c>
    </row>
    <row r="30">
      <c r="A30" s="24" t="n">
        <v>46131</v>
      </c>
      <c r="B30" s="25" t="inlineStr">
        <is>
          <t>GRO007</t>
        </is>
      </c>
      <c r="C30" s="25" t="inlineStr">
        <is>
          <t>Eggs Free Range 12pk</t>
        </is>
      </c>
      <c r="D30" s="25" t="inlineStr">
        <is>
          <t>Grocery</t>
        </is>
      </c>
      <c r="E30" s="26" t="n">
        <v>824.25</v>
      </c>
      <c r="F30" s="27" t="n">
        <v>75</v>
      </c>
      <c r="G30" s="26" t="n">
        <v>209.25</v>
      </c>
    </row>
    <row r="31">
      <c r="A31" s="24" t="n">
        <v>46131</v>
      </c>
      <c r="B31" s="25" t="inlineStr">
        <is>
          <t>GRO008</t>
        </is>
      </c>
      <c r="C31" s="25" t="inlineStr">
        <is>
          <t>Coffee Beans 200g</t>
        </is>
      </c>
      <c r="D31" s="25" t="inlineStr">
        <is>
          <t>Grocery</t>
        </is>
      </c>
      <c r="E31" s="26" t="n">
        <v>371.69</v>
      </c>
      <c r="F31" s="27" t="n">
        <v>31</v>
      </c>
      <c r="G31" s="26" t="n">
        <v>136.09</v>
      </c>
    </row>
    <row r="32">
      <c r="A32" s="24" t="n">
        <v>46131</v>
      </c>
      <c r="B32" s="25" t="inlineStr">
        <is>
          <t>HHD001</t>
        </is>
      </c>
      <c r="C32" s="25" t="inlineStr">
        <is>
          <t>Toilet Paper 6pk</t>
        </is>
      </c>
      <c r="D32" s="25" t="inlineStr">
        <is>
          <t>Household</t>
        </is>
      </c>
      <c r="E32" s="26" t="n">
        <v>242.73</v>
      </c>
      <c r="F32" s="27" t="n">
        <v>27</v>
      </c>
      <c r="G32" s="26" t="n">
        <v>83.43000000000001</v>
      </c>
    </row>
    <row r="33">
      <c r="A33" s="24" t="n">
        <v>46131</v>
      </c>
      <c r="B33" s="25" t="inlineStr">
        <is>
          <t>HHD002</t>
        </is>
      </c>
      <c r="C33" s="25" t="inlineStr">
        <is>
          <t>Dishwash Liquid</t>
        </is>
      </c>
      <c r="D33" s="25" t="inlineStr">
        <is>
          <t>Household</t>
        </is>
      </c>
      <c r="E33" s="26" t="n">
        <v>54.89</v>
      </c>
      <c r="F33" s="27" t="n">
        <v>11</v>
      </c>
      <c r="G33" s="26" t="n">
        <v>22.99</v>
      </c>
    </row>
    <row r="34">
      <c r="A34" s="24" t="n">
        <v>46131</v>
      </c>
      <c r="B34" s="25" t="inlineStr">
        <is>
          <t>HHD003</t>
        </is>
      </c>
      <c r="C34" s="25" t="inlineStr">
        <is>
          <t>Phone Charger Cable</t>
        </is>
      </c>
      <c r="D34" s="25" t="inlineStr">
        <is>
          <t>Household</t>
        </is>
      </c>
      <c r="E34" s="26" t="n">
        <v>59.96</v>
      </c>
      <c r="F34" s="27" t="n">
        <v>4</v>
      </c>
      <c r="G34" s="26" t="n">
        <v>37.96</v>
      </c>
    </row>
    <row r="35">
      <c r="A35" s="24" t="n">
        <v>46131</v>
      </c>
      <c r="B35" s="25" t="inlineStr">
        <is>
          <t>LIQ001</t>
        </is>
      </c>
      <c r="C35" s="25" t="inlineStr">
        <is>
          <t>Craft Beer 6pk</t>
        </is>
      </c>
      <c r="D35" s="25" t="inlineStr">
        <is>
          <t>Beer &amp; Wine</t>
        </is>
      </c>
      <c r="E35" s="26" t="n">
        <v>758.67</v>
      </c>
      <c r="F35" s="27" t="n">
        <v>33</v>
      </c>
      <c r="G35" s="26" t="n">
        <v>253.77</v>
      </c>
    </row>
    <row r="36">
      <c r="A36" s="24" t="n">
        <v>46131</v>
      </c>
      <c r="B36" s="25" t="inlineStr">
        <is>
          <t>LIQ002</t>
        </is>
      </c>
      <c r="C36" s="25" t="inlineStr">
        <is>
          <t>Sauvignon Blanc 750ml</t>
        </is>
      </c>
      <c r="D36" s="25" t="inlineStr">
        <is>
          <t>Beer &amp; Wine</t>
        </is>
      </c>
      <c r="E36" s="26" t="n">
        <v>607.62</v>
      </c>
      <c r="F36" s="27" t="n">
        <v>38</v>
      </c>
      <c r="G36" s="26" t="n">
        <v>220.02</v>
      </c>
    </row>
    <row r="37">
      <c r="A37" s="24" t="n">
        <v>46131</v>
      </c>
      <c r="B37" s="25" t="inlineStr">
        <is>
          <t>LIQ003</t>
        </is>
      </c>
      <c r="C37" s="25" t="inlineStr">
        <is>
          <t>RTD 4pk</t>
        </is>
      </c>
      <c r="D37" s="25" t="inlineStr">
        <is>
          <t>Beer &amp; Wine</t>
        </is>
      </c>
      <c r="E37" s="26" t="n">
        <v>586.4300000000001</v>
      </c>
      <c r="F37" s="27" t="n">
        <v>37</v>
      </c>
      <c r="G37" s="26" t="n">
        <v>146.13</v>
      </c>
    </row>
    <row r="38">
      <c r="A38" s="24" t="n">
        <v>46131</v>
      </c>
      <c r="B38" s="25" t="inlineStr">
        <is>
          <t>LIQ004</t>
        </is>
      </c>
      <c r="C38" s="25" t="inlineStr">
        <is>
          <t>Pinot Noir 750ml</t>
        </is>
      </c>
      <c r="D38" s="25" t="inlineStr">
        <is>
          <t>Beer &amp; Wine</t>
        </is>
      </c>
      <c r="E38" s="26" t="n">
        <v>199.9</v>
      </c>
      <c r="F38" s="27" t="n">
        <v>10</v>
      </c>
      <c r="G38" s="26" t="n">
        <v>71.90000000000001</v>
      </c>
    </row>
    <row r="39">
      <c r="A39" s="24" t="n">
        <v>46131</v>
      </c>
      <c r="B39" s="25" t="inlineStr">
        <is>
          <t>MLK001</t>
        </is>
      </c>
      <c r="C39" s="25" t="inlineStr">
        <is>
          <t>Milk Standard 2L</t>
        </is>
      </c>
      <c r="D39" s="25" t="inlineStr">
        <is>
          <t>Dairy</t>
        </is>
      </c>
      <c r="E39" s="26" t="n">
        <v>1388.76</v>
      </c>
      <c r="F39" s="27" t="n">
        <v>284</v>
      </c>
      <c r="G39" s="26" t="n">
        <v>380.56</v>
      </c>
    </row>
    <row r="40">
      <c r="A40" s="24" t="n">
        <v>46131</v>
      </c>
      <c r="B40" s="25" t="inlineStr">
        <is>
          <t>MLK002</t>
        </is>
      </c>
      <c r="C40" s="25" t="inlineStr">
        <is>
          <t>Milk Lite 2L</t>
        </is>
      </c>
      <c r="D40" s="25" t="inlineStr">
        <is>
          <t>Dairy</t>
        </is>
      </c>
      <c r="E40" s="26" t="n">
        <v>552.5699999999999</v>
      </c>
      <c r="F40" s="27" t="n">
        <v>113</v>
      </c>
      <c r="G40" s="26" t="n">
        <v>151.42</v>
      </c>
    </row>
    <row r="41">
      <c r="A41" s="24" t="n">
        <v>46131</v>
      </c>
      <c r="B41" s="25" t="inlineStr">
        <is>
          <t>MLK003</t>
        </is>
      </c>
      <c r="C41" s="25" t="inlineStr">
        <is>
          <t>Oat Milk 1L</t>
        </is>
      </c>
      <c r="D41" s="25" t="inlineStr">
        <is>
          <t>Dairy</t>
        </is>
      </c>
      <c r="E41" s="26" t="n">
        <v>193.05</v>
      </c>
      <c r="F41" s="27" t="n">
        <v>45</v>
      </c>
      <c r="G41" s="26" t="n">
        <v>71.55</v>
      </c>
    </row>
    <row r="42">
      <c r="A42" s="24" t="n">
        <v>46131</v>
      </c>
      <c r="B42" s="25" t="inlineStr">
        <is>
          <t>PHM001</t>
        </is>
      </c>
      <c r="C42" s="25" t="inlineStr">
        <is>
          <t>Paracetamol 20pk</t>
        </is>
      </c>
      <c r="D42" s="25" t="inlineStr">
        <is>
          <t>Health &amp; Beauty</t>
        </is>
      </c>
      <c r="E42" s="26" t="n">
        <v>87.78</v>
      </c>
      <c r="F42" s="27" t="n">
        <v>22</v>
      </c>
      <c r="G42" s="26" t="n">
        <v>52.58</v>
      </c>
    </row>
    <row r="43">
      <c r="A43" s="24" t="n">
        <v>46131</v>
      </c>
      <c r="B43" s="25" t="inlineStr">
        <is>
          <t>PHM002</t>
        </is>
      </c>
      <c r="C43" s="25" t="inlineStr">
        <is>
          <t>Sunscreen SPF50</t>
        </is>
      </c>
      <c r="D43" s="25" t="inlineStr">
        <is>
          <t>Health &amp; Beauty</t>
        </is>
      </c>
      <c r="E43" s="26" t="n">
        <v>194.87</v>
      </c>
      <c r="F43" s="27" t="n">
        <v>13</v>
      </c>
      <c r="G43" s="26" t="n">
        <v>88.27</v>
      </c>
    </row>
    <row r="44">
      <c r="A44" s="24" t="n">
        <v>46131</v>
      </c>
      <c r="B44" s="25" t="inlineStr">
        <is>
          <t>PRD001</t>
        </is>
      </c>
      <c r="C44" s="25" t="inlineStr">
        <is>
          <t>Bananas (each)</t>
        </is>
      </c>
      <c r="D44" s="25" t="inlineStr">
        <is>
          <t>Produce</t>
        </is>
      </c>
      <c r="E44" s="26" t="n">
        <v>147.66</v>
      </c>
      <c r="F44" s="27" t="n">
        <v>214</v>
      </c>
      <c r="G44" s="26" t="n">
        <v>66.34</v>
      </c>
    </row>
    <row r="45">
      <c r="A45" s="24" t="n">
        <v>46131</v>
      </c>
      <c r="B45" s="25" t="inlineStr">
        <is>
          <t>PRD002</t>
        </is>
      </c>
      <c r="C45" s="25" t="inlineStr">
        <is>
          <t>Avocado</t>
        </is>
      </c>
      <c r="D45" s="25" t="inlineStr">
        <is>
          <t>Produce</t>
        </is>
      </c>
      <c r="E45" s="26" t="n">
        <v>176.79</v>
      </c>
      <c r="F45" s="27" t="n">
        <v>71</v>
      </c>
      <c r="G45" s="26" t="n">
        <v>77.39</v>
      </c>
    </row>
    <row r="46">
      <c r="A46" s="24" t="n">
        <v>46131</v>
      </c>
      <c r="B46" s="25" t="inlineStr">
        <is>
          <t>PRD003</t>
        </is>
      </c>
      <c r="C46" s="25" t="inlineStr">
        <is>
          <t>Tomatoes 500g</t>
        </is>
      </c>
      <c r="D46" s="25" t="inlineStr">
        <is>
          <t>Produce</t>
        </is>
      </c>
      <c r="E46" s="26" t="n">
        <v>193.07</v>
      </c>
      <c r="F46" s="27" t="n">
        <v>43</v>
      </c>
      <c r="G46" s="26" t="n">
        <v>81.27</v>
      </c>
    </row>
    <row r="47">
      <c r="A47" s="24" t="n">
        <v>46131</v>
      </c>
      <c r="B47" s="25" t="inlineStr">
        <is>
          <t>SNK001</t>
        </is>
      </c>
      <c r="C47" s="25" t="inlineStr">
        <is>
          <t>Potato Chips 150g</t>
        </is>
      </c>
      <c r="D47" s="25" t="inlineStr">
        <is>
          <t>Snacks &amp; Confectionery</t>
        </is>
      </c>
      <c r="E47" s="26" t="n">
        <v>562.59</v>
      </c>
      <c r="F47" s="27" t="n">
        <v>141</v>
      </c>
      <c r="G47" s="26" t="n">
        <v>266.49</v>
      </c>
    </row>
    <row r="48">
      <c r="A48" s="24" t="n">
        <v>46131</v>
      </c>
      <c r="B48" s="25" t="inlineStr">
        <is>
          <t>SNK002</t>
        </is>
      </c>
      <c r="C48" s="25" t="inlineStr">
        <is>
          <t>Chocolate Block 200g</t>
        </is>
      </c>
      <c r="D48" s="25" t="inlineStr">
        <is>
          <t>Snacks &amp; Confectionery</t>
        </is>
      </c>
      <c r="E48" s="26" t="n">
        <v>581.9400000000001</v>
      </c>
      <c r="F48" s="27" t="n">
        <v>106</v>
      </c>
      <c r="G48" s="26" t="n">
        <v>242.74</v>
      </c>
    </row>
    <row r="49">
      <c r="A49" s="24" t="n">
        <v>46131</v>
      </c>
      <c r="B49" s="25" t="inlineStr">
        <is>
          <t>SNK003</t>
        </is>
      </c>
      <c r="C49" s="25" t="inlineStr">
        <is>
          <t>Muesli Bar 6pk</t>
        </is>
      </c>
      <c r="D49" s="25" t="inlineStr">
        <is>
          <t>Snacks &amp; Confectionery</t>
        </is>
      </c>
      <c r="E49" s="26" t="n">
        <v>296.01</v>
      </c>
      <c r="F49" s="27" t="n">
        <v>69</v>
      </c>
      <c r="G49" s="26" t="n">
        <v>116.61</v>
      </c>
    </row>
    <row r="50">
      <c r="A50" s="24" t="n">
        <v>46131</v>
      </c>
      <c r="B50" s="25" t="inlineStr">
        <is>
          <t>SNK004</t>
        </is>
      </c>
      <c r="C50" s="25" t="inlineStr">
        <is>
          <t>Corn Chips 230g</t>
        </is>
      </c>
      <c r="D50" s="25" t="inlineStr">
        <is>
          <t>Snacks &amp; Confectionery</t>
        </is>
      </c>
      <c r="E50" s="26" t="n">
        <v>291.85</v>
      </c>
      <c r="F50" s="27" t="n">
        <v>65</v>
      </c>
      <c r="G50" s="26" t="n">
        <v>135.85</v>
      </c>
    </row>
    <row r="51">
      <c r="A51" s="24" t="n">
        <v>46131</v>
      </c>
      <c r="B51" s="25" t="inlineStr">
        <is>
          <t>SNK005</t>
        </is>
      </c>
      <c r="C51" s="25" t="inlineStr">
        <is>
          <t>Lollies Bag 200g</t>
        </is>
      </c>
      <c r="D51" s="25" t="inlineStr">
        <is>
          <t>Snacks &amp; Confectionery</t>
        </is>
      </c>
      <c r="E51" s="26" t="n">
        <v>230.34</v>
      </c>
      <c r="F51" s="27" t="n">
        <v>66</v>
      </c>
      <c r="G51" s="26" t="n">
        <v>118.14</v>
      </c>
    </row>
    <row r="52">
      <c r="A52" s="24" t="n">
        <v>46138</v>
      </c>
      <c r="B52" s="25" t="inlineStr">
        <is>
          <t>BAK001</t>
        </is>
      </c>
      <c r="C52" s="25" t="inlineStr">
        <is>
          <t>Toast Bread White</t>
        </is>
      </c>
      <c r="D52" s="25" t="inlineStr">
        <is>
          <t>Bakery</t>
        </is>
      </c>
      <c r="E52" s="26" t="n">
        <v>480.05</v>
      </c>
      <c r="F52" s="27" t="n">
        <v>155</v>
      </c>
      <c r="G52" s="26" t="n">
        <v>139.05</v>
      </c>
    </row>
    <row r="53">
      <c r="A53" s="24" t="n">
        <v>46138</v>
      </c>
      <c r="B53" s="25" t="inlineStr">
        <is>
          <t>BAK002</t>
        </is>
      </c>
      <c r="C53" s="25" t="inlineStr">
        <is>
          <t>Wholemeal Loaf</t>
        </is>
      </c>
      <c r="D53" s="25" t="inlineStr">
        <is>
          <t>Bakery</t>
        </is>
      </c>
      <c r="E53" s="26" t="n">
        <v>364.65</v>
      </c>
      <c r="F53" s="27" t="n">
        <v>85</v>
      </c>
      <c r="G53" s="26" t="n">
        <v>135.15</v>
      </c>
    </row>
    <row r="54">
      <c r="A54" s="24" t="n">
        <v>46138</v>
      </c>
      <c r="B54" s="25" t="inlineStr">
        <is>
          <t>BAK003</t>
        </is>
      </c>
      <c r="C54" s="25" t="inlineStr">
        <is>
          <t>Croissant 4pk</t>
        </is>
      </c>
      <c r="D54" s="25" t="inlineStr">
        <is>
          <t>Bakery</t>
        </is>
      </c>
      <c r="E54" s="26" t="n">
        <v>251.58</v>
      </c>
      <c r="F54" s="27" t="n">
        <v>42</v>
      </c>
      <c r="G54" s="26" t="n">
        <v>112.98</v>
      </c>
    </row>
    <row r="55">
      <c r="A55" s="24" t="n">
        <v>46138</v>
      </c>
      <c r="B55" s="25" t="inlineStr">
        <is>
          <t>BBT001</t>
        </is>
      </c>
      <c r="C55" s="25" t="inlineStr">
        <is>
          <t>Bubble Tea Kit</t>
        </is>
      </c>
      <c r="D55" s="25" t="inlineStr">
        <is>
          <t>Beverages</t>
        </is>
      </c>
      <c r="E55" s="26" t="n">
        <v>209.7</v>
      </c>
      <c r="F55" s="27" t="n">
        <v>30</v>
      </c>
      <c r="G55" s="26" t="n">
        <v>92.7</v>
      </c>
    </row>
    <row r="56">
      <c r="A56" s="24" t="n">
        <v>46138</v>
      </c>
      <c r="B56" s="25" t="inlineStr">
        <is>
          <t>BEV001</t>
        </is>
      </c>
      <c r="C56" s="25" t="inlineStr">
        <is>
          <t>Energy Drink 500ml</t>
        </is>
      </c>
      <c r="D56" s="25" t="inlineStr">
        <is>
          <t>Beverages</t>
        </is>
      </c>
      <c r="E56" s="26" t="n">
        <v>737.88</v>
      </c>
      <c r="F56" s="27" t="n">
        <v>172</v>
      </c>
      <c r="G56" s="26" t="n">
        <v>368.08</v>
      </c>
    </row>
    <row r="57">
      <c r="A57" s="24" t="n">
        <v>46138</v>
      </c>
      <c r="B57" s="25" t="inlineStr">
        <is>
          <t>BEV002</t>
        </is>
      </c>
      <c r="C57" s="25" t="inlineStr">
        <is>
          <t>Cola 1.5L</t>
        </is>
      </c>
      <c r="D57" s="25" t="inlineStr">
        <is>
          <t>Beverages</t>
        </is>
      </c>
      <c r="E57" s="26" t="n">
        <v>547.78</v>
      </c>
      <c r="F57" s="27" t="n">
        <v>122</v>
      </c>
      <c r="G57" s="26" t="n">
        <v>267.18</v>
      </c>
    </row>
    <row r="58">
      <c r="A58" s="24" t="n">
        <v>46138</v>
      </c>
      <c r="B58" s="25" t="inlineStr">
        <is>
          <t>BEV003</t>
        </is>
      </c>
      <c r="C58" s="25" t="inlineStr">
        <is>
          <t>Sparkling Water 1L</t>
        </is>
      </c>
      <c r="D58" s="25" t="inlineStr">
        <is>
          <t>Beverages</t>
        </is>
      </c>
      <c r="E58" s="26" t="n">
        <v>226.59</v>
      </c>
      <c r="F58" s="27" t="n">
        <v>91</v>
      </c>
      <c r="G58" s="26" t="n">
        <v>126.49</v>
      </c>
    </row>
    <row r="59">
      <c r="A59" s="24" t="n">
        <v>46138</v>
      </c>
      <c r="B59" s="25" t="inlineStr">
        <is>
          <t>BEV004</t>
        </is>
      </c>
      <c r="C59" s="25" t="inlineStr">
        <is>
          <t>Iced Coffee 500ml</t>
        </is>
      </c>
      <c r="D59" s="25" t="inlineStr">
        <is>
          <t>Beverages</t>
        </is>
      </c>
      <c r="E59" s="26" t="n">
        <v>424.15</v>
      </c>
      <c r="F59" s="27" t="n">
        <v>85</v>
      </c>
      <c r="G59" s="26" t="n">
        <v>194.65</v>
      </c>
    </row>
    <row r="60">
      <c r="A60" s="24" t="n">
        <v>46138</v>
      </c>
      <c r="B60" s="25" t="inlineStr">
        <is>
          <t>BEV005</t>
        </is>
      </c>
      <c r="C60" s="25" t="inlineStr">
        <is>
          <t>Kombucha 330ml</t>
        </is>
      </c>
      <c r="D60" s="25" t="inlineStr">
        <is>
          <t>Beverages</t>
        </is>
      </c>
      <c r="E60" s="26" t="n">
        <v>287.31</v>
      </c>
      <c r="F60" s="27" t="n">
        <v>69</v>
      </c>
      <c r="G60" s="26" t="n">
        <v>107.91</v>
      </c>
    </row>
    <row r="61">
      <c r="A61" s="24" t="n">
        <v>46138</v>
      </c>
      <c r="B61" s="25" t="inlineStr">
        <is>
          <t>BEV006</t>
        </is>
      </c>
      <c r="C61" s="25" t="inlineStr">
        <is>
          <t>Bottled Water 750ml</t>
        </is>
      </c>
      <c r="D61" s="25" t="inlineStr">
        <is>
          <t>Beverages</t>
        </is>
      </c>
      <c r="E61" s="26" t="n">
        <v>403.65</v>
      </c>
      <c r="F61" s="27" t="n">
        <v>135</v>
      </c>
      <c r="G61" s="26" t="n">
        <v>275.4</v>
      </c>
    </row>
    <row r="62">
      <c r="A62" s="24" t="n">
        <v>46138</v>
      </c>
      <c r="B62" s="25" t="inlineStr">
        <is>
          <t>DRY010</t>
        </is>
      </c>
      <c r="C62" s="25" t="inlineStr">
        <is>
          <t>Butter 500g</t>
        </is>
      </c>
      <c r="D62" s="25" t="inlineStr">
        <is>
          <t>Dairy</t>
        </is>
      </c>
      <c r="E62" s="26" t="n">
        <v>367.01</v>
      </c>
      <c r="F62" s="27" t="n">
        <v>49</v>
      </c>
      <c r="G62" s="26" t="n">
        <v>92.61</v>
      </c>
    </row>
    <row r="63">
      <c r="A63" s="24" t="n">
        <v>46138</v>
      </c>
      <c r="B63" s="25" t="inlineStr">
        <is>
          <t>DRY011</t>
        </is>
      </c>
      <c r="C63" s="25" t="inlineStr">
        <is>
          <t>Greek Yoghurt 1kg</t>
        </is>
      </c>
      <c r="D63" s="25" t="inlineStr">
        <is>
          <t>Dairy</t>
        </is>
      </c>
      <c r="E63" s="26" t="n">
        <v>255.68</v>
      </c>
      <c r="F63" s="27" t="n">
        <v>32</v>
      </c>
      <c r="G63" s="26" t="n">
        <v>92.48</v>
      </c>
    </row>
    <row r="64">
      <c r="A64" s="24" t="n">
        <v>46138</v>
      </c>
      <c r="B64" s="25" t="inlineStr">
        <is>
          <t>DRY012</t>
        </is>
      </c>
      <c r="C64" s="25" t="inlineStr">
        <is>
          <t>Cheese Block 1kg</t>
        </is>
      </c>
      <c r="D64" s="25" t="inlineStr">
        <is>
          <t>Dairy</t>
        </is>
      </c>
      <c r="E64" s="26" t="n">
        <v>573.59</v>
      </c>
      <c r="F64" s="27" t="n">
        <v>41</v>
      </c>
      <c r="G64" s="26" t="n">
        <v>147.19</v>
      </c>
    </row>
    <row r="65">
      <c r="A65" s="24" t="n">
        <v>46138</v>
      </c>
      <c r="B65" s="25" t="inlineStr">
        <is>
          <t>FRZ001</t>
        </is>
      </c>
      <c r="C65" s="25" t="inlineStr">
        <is>
          <t>Ice Cream Tub 2L</t>
        </is>
      </c>
      <c r="D65" s="25" t="inlineStr">
        <is>
          <t>Frozen</t>
        </is>
      </c>
      <c r="E65" s="26" t="n">
        <v>440.51</v>
      </c>
      <c r="F65" s="27" t="n">
        <v>49</v>
      </c>
      <c r="G65" s="26" t="n">
        <v>175.91</v>
      </c>
    </row>
    <row r="66">
      <c r="A66" s="24" t="n">
        <v>46138</v>
      </c>
      <c r="B66" s="25" t="inlineStr">
        <is>
          <t>FRZ002</t>
        </is>
      </c>
      <c r="C66" s="25" t="inlineStr">
        <is>
          <t>Ice Block Single</t>
        </is>
      </c>
      <c r="D66" s="25" t="inlineStr">
        <is>
          <t>Frozen</t>
        </is>
      </c>
      <c r="E66" s="26" t="n">
        <v>227.24</v>
      </c>
      <c r="F66" s="27" t="n">
        <v>76</v>
      </c>
      <c r="G66" s="26" t="n">
        <v>136.04</v>
      </c>
    </row>
    <row r="67">
      <c r="A67" s="24" t="n">
        <v>46138</v>
      </c>
      <c r="B67" s="25" t="inlineStr">
        <is>
          <t>FRZ003</t>
        </is>
      </c>
      <c r="C67" s="25" t="inlineStr">
        <is>
          <t>Frozen Pizza</t>
        </is>
      </c>
      <c r="D67" s="25" t="inlineStr">
        <is>
          <t>Frozen</t>
        </is>
      </c>
      <c r="E67" s="26" t="n">
        <v>287.64</v>
      </c>
      <c r="F67" s="27" t="n">
        <v>36</v>
      </c>
      <c r="G67" s="26" t="n">
        <v>118.44</v>
      </c>
    </row>
    <row r="68">
      <c r="A68" s="24" t="n">
        <v>46138</v>
      </c>
      <c r="B68" s="25" t="inlineStr">
        <is>
          <t>FRZ004</t>
        </is>
      </c>
      <c r="C68" s="25" t="inlineStr">
        <is>
          <t>Frozen Dumplings 1kg</t>
        </is>
      </c>
      <c r="D68" s="25" t="inlineStr">
        <is>
          <t>Frozen</t>
        </is>
      </c>
      <c r="E68" s="26" t="n">
        <v>347.71</v>
      </c>
      <c r="F68" s="27" t="n">
        <v>29</v>
      </c>
      <c r="G68" s="26" t="n">
        <v>141.81</v>
      </c>
    </row>
    <row r="69">
      <c r="A69" s="24" t="n">
        <v>46138</v>
      </c>
      <c r="B69" s="25" t="inlineStr">
        <is>
          <t>FTG001</t>
        </is>
      </c>
      <c r="C69" s="25" t="inlineStr">
        <is>
          <t>Chicken Sandwich</t>
        </is>
      </c>
      <c r="D69" s="25" t="inlineStr">
        <is>
          <t>Food To Go</t>
        </is>
      </c>
      <c r="E69" s="26" t="n">
        <v>801.4299999999999</v>
      </c>
      <c r="F69" s="27" t="n">
        <v>107</v>
      </c>
      <c r="G69" s="26" t="n">
        <v>384.13</v>
      </c>
    </row>
    <row r="70">
      <c r="A70" s="24" t="n">
        <v>46138</v>
      </c>
      <c r="B70" s="25" t="inlineStr">
        <is>
          <t>FTG002</t>
        </is>
      </c>
      <c r="C70" s="25" t="inlineStr">
        <is>
          <t>Sushi Pack 8pc</t>
        </is>
      </c>
      <c r="D70" s="25" t="inlineStr">
        <is>
          <t>Food To Go</t>
        </is>
      </c>
      <c r="E70" s="26" t="n">
        <v>969.03</v>
      </c>
      <c r="F70" s="27" t="n">
        <v>97</v>
      </c>
      <c r="G70" s="26" t="n">
        <v>425.83</v>
      </c>
    </row>
    <row r="71">
      <c r="A71" s="24" t="n">
        <v>46138</v>
      </c>
      <c r="B71" s="25" t="inlineStr">
        <is>
          <t>FTG003</t>
        </is>
      </c>
      <c r="C71" s="25" t="inlineStr">
        <is>
          <t>Hot Pie Mince &amp; Cheese</t>
        </is>
      </c>
      <c r="D71" s="25" t="inlineStr">
        <is>
          <t>Food To Go</t>
        </is>
      </c>
      <c r="E71" s="26" t="n">
        <v>559.98</v>
      </c>
      <c r="F71" s="27" t="n">
        <v>102</v>
      </c>
      <c r="G71" s="26" t="n">
        <v>315.18</v>
      </c>
    </row>
    <row r="72">
      <c r="A72" s="24" t="n">
        <v>46138</v>
      </c>
      <c r="B72" s="25" t="inlineStr">
        <is>
          <t>FTG004</t>
        </is>
      </c>
      <c r="C72" s="25" t="inlineStr">
        <is>
          <t>Salad Bowl</t>
        </is>
      </c>
      <c r="D72" s="25" t="inlineStr">
        <is>
          <t>Food To Go</t>
        </is>
      </c>
      <c r="E72" s="26" t="n">
        <v>525.27</v>
      </c>
      <c r="F72" s="27" t="n">
        <v>53</v>
      </c>
      <c r="G72" s="26" t="n">
        <v>196.67</v>
      </c>
    </row>
    <row r="73">
      <c r="A73" s="24" t="n">
        <v>46138</v>
      </c>
      <c r="B73" s="25" t="inlineStr">
        <is>
          <t>FTG005</t>
        </is>
      </c>
      <c r="C73" s="25" t="inlineStr">
        <is>
          <t>Filled Roll</t>
        </is>
      </c>
      <c r="D73" s="25" t="inlineStr">
        <is>
          <t>Food To Go</t>
        </is>
      </c>
      <c r="E73" s="26" t="n">
        <v>545.16</v>
      </c>
      <c r="F73" s="27" t="n">
        <v>84</v>
      </c>
      <c r="G73" s="26" t="n">
        <v>276.36</v>
      </c>
    </row>
    <row r="74">
      <c r="A74" s="24" t="n">
        <v>46138</v>
      </c>
      <c r="B74" s="25" t="inlineStr">
        <is>
          <t>GRO001</t>
        </is>
      </c>
      <c r="C74" s="25" t="inlineStr">
        <is>
          <t>Instant Noodles 5pk</t>
        </is>
      </c>
      <c r="D74" s="25" t="inlineStr">
        <is>
          <t>Grocery</t>
        </is>
      </c>
      <c r="E74" s="26" t="n">
        <v>404.1</v>
      </c>
      <c r="F74" s="27" t="n">
        <v>90</v>
      </c>
      <c r="G74" s="26" t="n">
        <v>170.1</v>
      </c>
    </row>
    <row r="75">
      <c r="A75" s="24" t="n">
        <v>46138</v>
      </c>
      <c r="B75" s="25" t="inlineStr">
        <is>
          <t>GRO002</t>
        </is>
      </c>
      <c r="C75" s="25" t="inlineStr">
        <is>
          <t>Canned Soup 500g</t>
        </is>
      </c>
      <c r="D75" s="25" t="inlineStr">
        <is>
          <t>Grocery</t>
        </is>
      </c>
      <c r="E75" s="26" t="n">
        <v>131.6</v>
      </c>
      <c r="F75" s="27" t="n">
        <v>40</v>
      </c>
      <c r="G75" s="26" t="n">
        <v>55.6</v>
      </c>
    </row>
    <row r="76">
      <c r="A76" s="24" t="n">
        <v>46138</v>
      </c>
      <c r="B76" s="25" t="inlineStr">
        <is>
          <t>GRO003</t>
        </is>
      </c>
      <c r="C76" s="25" t="inlineStr">
        <is>
          <t>Pasta 500g</t>
        </is>
      </c>
      <c r="D76" s="25" t="inlineStr">
        <is>
          <t>Grocery</t>
        </is>
      </c>
      <c r="E76" s="26" t="n">
        <v>72.20999999999999</v>
      </c>
      <c r="F76" s="27" t="n">
        <v>29</v>
      </c>
      <c r="G76" s="26" t="n">
        <v>34.51</v>
      </c>
    </row>
    <row r="77">
      <c r="A77" s="24" t="n">
        <v>46138</v>
      </c>
      <c r="B77" s="25" t="inlineStr">
        <is>
          <t>GRO004</t>
        </is>
      </c>
      <c r="C77" s="25" t="inlineStr">
        <is>
          <t>Simmer Sauce 485g</t>
        </is>
      </c>
      <c r="D77" s="25" t="inlineStr">
        <is>
          <t>Grocery</t>
        </is>
      </c>
      <c r="E77" s="26" t="n">
        <v>75.81</v>
      </c>
      <c r="F77" s="27" t="n">
        <v>19</v>
      </c>
      <c r="G77" s="26" t="n">
        <v>32.11</v>
      </c>
    </row>
    <row r="78">
      <c r="A78" s="24" t="n">
        <v>46138</v>
      </c>
      <c r="B78" s="25" t="inlineStr">
        <is>
          <t>GRO005</t>
        </is>
      </c>
      <c r="C78" s="25" t="inlineStr">
        <is>
          <t>Salsa 300g</t>
        </is>
      </c>
      <c r="D78" s="25" t="inlineStr">
        <is>
          <t>Grocery</t>
        </is>
      </c>
      <c r="E78" s="26" t="n">
        <v>122.59</v>
      </c>
      <c r="F78" s="27" t="n">
        <v>29</v>
      </c>
      <c r="G78" s="26" t="n">
        <v>38.49</v>
      </c>
    </row>
    <row r="79">
      <c r="A79" s="24" t="n">
        <v>46138</v>
      </c>
      <c r="B79" s="25" t="inlineStr">
        <is>
          <t>GRO006</t>
        </is>
      </c>
      <c r="C79" s="25" t="inlineStr">
        <is>
          <t>Taco Kit</t>
        </is>
      </c>
      <c r="D79" s="25" t="inlineStr">
        <is>
          <t>Grocery</t>
        </is>
      </c>
      <c r="E79" s="26" t="n">
        <v>110.33</v>
      </c>
      <c r="F79" s="27" t="n">
        <v>17</v>
      </c>
      <c r="G79" s="26" t="n">
        <v>42.33</v>
      </c>
    </row>
    <row r="80">
      <c r="A80" s="24" t="n">
        <v>46138</v>
      </c>
      <c r="B80" s="25" t="inlineStr">
        <is>
          <t>GRO007</t>
        </is>
      </c>
      <c r="C80" s="25" t="inlineStr">
        <is>
          <t>Eggs Free Range 12pk</t>
        </is>
      </c>
      <c r="D80" s="25" t="inlineStr">
        <is>
          <t>Grocery</t>
        </is>
      </c>
      <c r="E80" s="26" t="n">
        <v>758.22</v>
      </c>
      <c r="F80" s="27" t="n">
        <v>78</v>
      </c>
      <c r="G80" s="26" t="n">
        <v>118.62</v>
      </c>
    </row>
    <row r="81">
      <c r="A81" s="24" t="n">
        <v>46138</v>
      </c>
      <c r="B81" s="25" t="inlineStr">
        <is>
          <t>GRO008</t>
        </is>
      </c>
      <c r="C81" s="25" t="inlineStr">
        <is>
          <t>Coffee Beans 200g</t>
        </is>
      </c>
      <c r="D81" s="25" t="inlineStr">
        <is>
          <t>Grocery</t>
        </is>
      </c>
      <c r="E81" s="26" t="n">
        <v>227.81</v>
      </c>
      <c r="F81" s="27" t="n">
        <v>19</v>
      </c>
      <c r="G81" s="26" t="n">
        <v>83.41</v>
      </c>
    </row>
    <row r="82">
      <c r="A82" s="24" t="n">
        <v>46138</v>
      </c>
      <c r="B82" s="25" t="inlineStr">
        <is>
          <t>HHD001</t>
        </is>
      </c>
      <c r="C82" s="25" t="inlineStr">
        <is>
          <t>Toilet Paper 6pk</t>
        </is>
      </c>
      <c r="D82" s="25" t="inlineStr">
        <is>
          <t>Household</t>
        </is>
      </c>
      <c r="E82" s="26" t="n">
        <v>359.6</v>
      </c>
      <c r="F82" s="27" t="n">
        <v>40</v>
      </c>
      <c r="G82" s="26" t="n">
        <v>123.6</v>
      </c>
    </row>
    <row r="83">
      <c r="A83" s="24" t="n">
        <v>46138</v>
      </c>
      <c r="B83" s="25" t="inlineStr">
        <is>
          <t>HHD002</t>
        </is>
      </c>
      <c r="C83" s="25" t="inlineStr">
        <is>
          <t>Dishwash Liquid</t>
        </is>
      </c>
      <c r="D83" s="25" t="inlineStr">
        <is>
          <t>Household</t>
        </is>
      </c>
      <c r="E83" s="26" t="n">
        <v>94.81</v>
      </c>
      <c r="F83" s="27" t="n">
        <v>19</v>
      </c>
      <c r="G83" s="26" t="n">
        <v>39.71</v>
      </c>
    </row>
    <row r="84">
      <c r="A84" s="24" t="n">
        <v>46138</v>
      </c>
      <c r="B84" s="25" t="inlineStr">
        <is>
          <t>HHD003</t>
        </is>
      </c>
      <c r="C84" s="25" t="inlineStr">
        <is>
          <t>Phone Charger Cable</t>
        </is>
      </c>
      <c r="D84" s="25" t="inlineStr">
        <is>
          <t>Household</t>
        </is>
      </c>
      <c r="E84" s="26" t="n">
        <v>164.89</v>
      </c>
      <c r="F84" s="27" t="n">
        <v>11</v>
      </c>
      <c r="G84" s="26" t="n">
        <v>104.39</v>
      </c>
    </row>
    <row r="85">
      <c r="A85" s="24" t="n">
        <v>46138</v>
      </c>
      <c r="B85" s="25" t="inlineStr">
        <is>
          <t>LIQ001</t>
        </is>
      </c>
      <c r="C85" s="25" t="inlineStr">
        <is>
          <t>Craft Beer 6pk</t>
        </is>
      </c>
      <c r="D85" s="25" t="inlineStr">
        <is>
          <t>Beer &amp; Wine</t>
        </is>
      </c>
      <c r="E85" s="26" t="n">
        <v>1126.51</v>
      </c>
      <c r="F85" s="27" t="n">
        <v>49</v>
      </c>
      <c r="G85" s="26" t="n">
        <v>376.81</v>
      </c>
    </row>
    <row r="86">
      <c r="A86" s="24" t="n">
        <v>46138</v>
      </c>
      <c r="B86" s="25" t="inlineStr">
        <is>
          <t>LIQ002</t>
        </is>
      </c>
      <c r="C86" s="25" t="inlineStr">
        <is>
          <t>Sauvignon Blanc 750ml</t>
        </is>
      </c>
      <c r="D86" s="25" t="inlineStr">
        <is>
          <t>Beer &amp; Wine</t>
        </is>
      </c>
      <c r="E86" s="26" t="n">
        <v>559.65</v>
      </c>
      <c r="F86" s="27" t="n">
        <v>35</v>
      </c>
      <c r="G86" s="26" t="n">
        <v>202.65</v>
      </c>
    </row>
    <row r="87">
      <c r="A87" s="24" t="n">
        <v>46138</v>
      </c>
      <c r="B87" s="25" t="inlineStr">
        <is>
          <t>LIQ003</t>
        </is>
      </c>
      <c r="C87" s="25" t="inlineStr">
        <is>
          <t>RTD 4pk</t>
        </is>
      </c>
      <c r="D87" s="25" t="inlineStr">
        <is>
          <t>Beer &amp; Wine</t>
        </is>
      </c>
      <c r="E87" s="26" t="n">
        <v>467.74</v>
      </c>
      <c r="F87" s="27" t="n">
        <v>26</v>
      </c>
      <c r="G87" s="26" t="n">
        <v>158.34</v>
      </c>
    </row>
    <row r="88">
      <c r="A88" s="24" t="n">
        <v>46138</v>
      </c>
      <c r="B88" s="25" t="inlineStr">
        <is>
          <t>LIQ004</t>
        </is>
      </c>
      <c r="C88" s="25" t="inlineStr">
        <is>
          <t>Pinot Noir 750ml</t>
        </is>
      </c>
      <c r="D88" s="25" t="inlineStr">
        <is>
          <t>Beer &amp; Wine</t>
        </is>
      </c>
      <c r="E88" s="26" t="n">
        <v>239.88</v>
      </c>
      <c r="F88" s="27" t="n">
        <v>12</v>
      </c>
      <c r="G88" s="26" t="n">
        <v>86.28</v>
      </c>
    </row>
    <row r="89">
      <c r="A89" s="24" t="n">
        <v>46138</v>
      </c>
      <c r="B89" s="25" t="inlineStr">
        <is>
          <t>MLK001</t>
        </is>
      </c>
      <c r="C89" s="25" t="inlineStr">
        <is>
          <t>Milk Standard 2L</t>
        </is>
      </c>
      <c r="D89" s="25" t="inlineStr">
        <is>
          <t>Dairy</t>
        </is>
      </c>
      <c r="E89" s="26" t="n">
        <v>1408.32</v>
      </c>
      <c r="F89" s="27" t="n">
        <v>288</v>
      </c>
      <c r="G89" s="26" t="n">
        <v>385.92</v>
      </c>
    </row>
    <row r="90">
      <c r="A90" s="24" t="n">
        <v>46138</v>
      </c>
      <c r="B90" s="25" t="inlineStr">
        <is>
          <t>MLK002</t>
        </is>
      </c>
      <c r="C90" s="25" t="inlineStr">
        <is>
          <t>Milk Lite 2L</t>
        </is>
      </c>
      <c r="D90" s="25" t="inlineStr">
        <is>
          <t>Dairy</t>
        </is>
      </c>
      <c r="E90" s="26" t="n">
        <v>638.48</v>
      </c>
      <c r="F90" s="27" t="n">
        <v>146</v>
      </c>
      <c r="G90" s="26" t="n">
        <v>120.18</v>
      </c>
    </row>
    <row r="91">
      <c r="A91" s="24" t="n">
        <v>46138</v>
      </c>
      <c r="B91" s="25" t="inlineStr">
        <is>
          <t>MLK003</t>
        </is>
      </c>
      <c r="C91" s="25" t="inlineStr">
        <is>
          <t>Oat Milk 1L</t>
        </is>
      </c>
      <c r="D91" s="25" t="inlineStr">
        <is>
          <t>Dairy</t>
        </is>
      </c>
      <c r="E91" s="26" t="n">
        <v>197.34</v>
      </c>
      <c r="F91" s="27" t="n">
        <v>46</v>
      </c>
      <c r="G91" s="26" t="n">
        <v>73.14</v>
      </c>
    </row>
    <row r="92">
      <c r="A92" s="24" t="n">
        <v>46138</v>
      </c>
      <c r="B92" s="25" t="inlineStr">
        <is>
          <t>PHM001</t>
        </is>
      </c>
      <c r="C92" s="25" t="inlineStr">
        <is>
          <t>Paracetamol 20pk</t>
        </is>
      </c>
      <c r="D92" s="25" t="inlineStr">
        <is>
          <t>Health &amp; Beauty</t>
        </is>
      </c>
      <c r="E92" s="26" t="n">
        <v>95.76000000000001</v>
      </c>
      <c r="F92" s="27" t="n">
        <v>24</v>
      </c>
      <c r="G92" s="26" t="n">
        <v>57.36</v>
      </c>
    </row>
    <row r="93">
      <c r="A93" s="24" t="n">
        <v>46138</v>
      </c>
      <c r="B93" s="25" t="inlineStr">
        <is>
          <t>PHM002</t>
        </is>
      </c>
      <c r="C93" s="25" t="inlineStr">
        <is>
          <t>Sunscreen SPF50</t>
        </is>
      </c>
      <c r="D93" s="25" t="inlineStr">
        <is>
          <t>Health &amp; Beauty</t>
        </is>
      </c>
      <c r="E93" s="26" t="n">
        <v>209.86</v>
      </c>
      <c r="F93" s="27" t="n">
        <v>14</v>
      </c>
      <c r="G93" s="26" t="n">
        <v>95.06</v>
      </c>
    </row>
    <row r="94">
      <c r="A94" s="24" t="n">
        <v>46138</v>
      </c>
      <c r="B94" s="25" t="inlineStr">
        <is>
          <t>PRD001</t>
        </is>
      </c>
      <c r="C94" s="25" t="inlineStr">
        <is>
          <t>Bananas (each)</t>
        </is>
      </c>
      <c r="D94" s="25" t="inlineStr">
        <is>
          <t>Produce</t>
        </is>
      </c>
      <c r="E94" s="26" t="n">
        <v>141.45</v>
      </c>
      <c r="F94" s="27" t="n">
        <v>205</v>
      </c>
      <c r="G94" s="26" t="n">
        <v>63.55</v>
      </c>
    </row>
    <row r="95">
      <c r="A95" s="24" t="n">
        <v>46138</v>
      </c>
      <c r="B95" s="25" t="inlineStr">
        <is>
          <t>PRD002</t>
        </is>
      </c>
      <c r="C95" s="25" t="inlineStr">
        <is>
          <t>Avocado</t>
        </is>
      </c>
      <c r="D95" s="25" t="inlineStr">
        <is>
          <t>Produce</t>
        </is>
      </c>
      <c r="E95" s="26" t="n">
        <v>139.44</v>
      </c>
      <c r="F95" s="27" t="n">
        <v>56</v>
      </c>
      <c r="G95" s="26" t="n">
        <v>61.04</v>
      </c>
    </row>
    <row r="96">
      <c r="A96" s="24" t="n">
        <v>46138</v>
      </c>
      <c r="B96" s="25" t="inlineStr">
        <is>
          <t>PRD003</t>
        </is>
      </c>
      <c r="C96" s="25" t="inlineStr">
        <is>
          <t>Tomatoes 500g</t>
        </is>
      </c>
      <c r="D96" s="25" t="inlineStr">
        <is>
          <t>Produce</t>
        </is>
      </c>
      <c r="E96" s="26" t="n">
        <v>139.19</v>
      </c>
      <c r="F96" s="27" t="n">
        <v>31</v>
      </c>
      <c r="G96" s="26" t="n">
        <v>58.59</v>
      </c>
    </row>
    <row r="97">
      <c r="A97" s="24" t="n">
        <v>46138</v>
      </c>
      <c r="B97" s="25" t="inlineStr">
        <is>
          <t>SNK001</t>
        </is>
      </c>
      <c r="C97" s="25" t="inlineStr">
        <is>
          <t>Potato Chips 150g</t>
        </is>
      </c>
      <c r="D97" s="25" t="inlineStr">
        <is>
          <t>Snacks &amp; Confectionery</t>
        </is>
      </c>
      <c r="E97" s="26" t="n">
        <v>626.4299999999999</v>
      </c>
      <c r="F97" s="27" t="n">
        <v>157</v>
      </c>
      <c r="G97" s="26" t="n">
        <v>296.73</v>
      </c>
    </row>
    <row r="98">
      <c r="A98" s="24" t="n">
        <v>46138</v>
      </c>
      <c r="B98" s="25" t="inlineStr">
        <is>
          <t>SNK002</t>
        </is>
      </c>
      <c r="C98" s="25" t="inlineStr">
        <is>
          <t>Chocolate Block 200g</t>
        </is>
      </c>
      <c r="D98" s="25" t="inlineStr">
        <is>
          <t>Snacks &amp; Confectionery</t>
        </is>
      </c>
      <c r="E98" s="26" t="n">
        <v>691.74</v>
      </c>
      <c r="F98" s="27" t="n">
        <v>126</v>
      </c>
      <c r="G98" s="26" t="n">
        <v>288.54</v>
      </c>
    </row>
    <row r="99">
      <c r="A99" s="24" t="n">
        <v>46138</v>
      </c>
      <c r="B99" s="25" t="inlineStr">
        <is>
          <t>SNK003</t>
        </is>
      </c>
      <c r="C99" s="25" t="inlineStr">
        <is>
          <t>Muesli Bar 6pk</t>
        </is>
      </c>
      <c r="D99" s="25" t="inlineStr">
        <is>
          <t>Snacks &amp; Confectionery</t>
        </is>
      </c>
      <c r="E99" s="26" t="n">
        <v>300.3</v>
      </c>
      <c r="F99" s="27" t="n">
        <v>70</v>
      </c>
      <c r="G99" s="26" t="n">
        <v>118.3</v>
      </c>
    </row>
    <row r="100">
      <c r="A100" s="24" t="n">
        <v>46138</v>
      </c>
      <c r="B100" s="25" t="inlineStr">
        <is>
          <t>SNK004</t>
        </is>
      </c>
      <c r="C100" s="25" t="inlineStr">
        <is>
          <t>Corn Chips 230g</t>
        </is>
      </c>
      <c r="D100" s="25" t="inlineStr">
        <is>
          <t>Snacks &amp; Confectionery</t>
        </is>
      </c>
      <c r="E100" s="26" t="n">
        <v>336.75</v>
      </c>
      <c r="F100" s="27" t="n">
        <v>75</v>
      </c>
      <c r="G100" s="26" t="n">
        <v>156.75</v>
      </c>
    </row>
    <row r="101">
      <c r="A101" s="24" t="n">
        <v>46138</v>
      </c>
      <c r="B101" s="25" t="inlineStr">
        <is>
          <t>SNK005</t>
        </is>
      </c>
      <c r="C101" s="25" t="inlineStr">
        <is>
          <t>Lollies Bag 200g</t>
        </is>
      </c>
      <c r="D101" s="25" t="inlineStr">
        <is>
          <t>Snacks &amp; Confectionery</t>
        </is>
      </c>
      <c r="E101" s="26" t="n">
        <v>216.38</v>
      </c>
      <c r="F101" s="27" t="n">
        <v>62</v>
      </c>
      <c r="G101" s="26" t="n">
        <v>110.98</v>
      </c>
    </row>
    <row r="102">
      <c r="A102" s="24" t="n">
        <v>46145</v>
      </c>
      <c r="B102" s="25" t="inlineStr">
        <is>
          <t>BAK001</t>
        </is>
      </c>
      <c r="C102" s="25" t="inlineStr">
        <is>
          <t>Toast Bread White</t>
        </is>
      </c>
      <c r="D102" s="25" t="inlineStr">
        <is>
          <t>Bakery</t>
        </is>
      </c>
      <c r="E102" s="26" t="n">
        <v>485.11</v>
      </c>
      <c r="F102" s="27" t="n">
        <v>139</v>
      </c>
      <c r="G102" s="26" t="n">
        <v>179.31</v>
      </c>
    </row>
    <row r="103">
      <c r="A103" s="24" t="n">
        <v>46145</v>
      </c>
      <c r="B103" s="25" t="inlineStr">
        <is>
          <t>BAK002</t>
        </is>
      </c>
      <c r="C103" s="25" t="inlineStr">
        <is>
          <t>Wholemeal Loaf</t>
        </is>
      </c>
      <c r="D103" s="25" t="inlineStr">
        <is>
          <t>Bakery</t>
        </is>
      </c>
      <c r="E103" s="26" t="n">
        <v>240.24</v>
      </c>
      <c r="F103" s="27" t="n">
        <v>56</v>
      </c>
      <c r="G103" s="26" t="n">
        <v>89.04000000000001</v>
      </c>
    </row>
    <row r="104">
      <c r="A104" s="24" t="n">
        <v>46145</v>
      </c>
      <c r="B104" s="25" t="inlineStr">
        <is>
          <t>BAK003</t>
        </is>
      </c>
      <c r="C104" s="25" t="inlineStr">
        <is>
          <t>Croissant 4pk</t>
        </is>
      </c>
      <c r="D104" s="25" t="inlineStr">
        <is>
          <t>Bakery</t>
        </is>
      </c>
      <c r="E104" s="26" t="n">
        <v>257.57</v>
      </c>
      <c r="F104" s="27" t="n">
        <v>43</v>
      </c>
      <c r="G104" s="26" t="n">
        <v>115.67</v>
      </c>
    </row>
    <row r="105">
      <c r="A105" s="24" t="n">
        <v>46145</v>
      </c>
      <c r="B105" s="25" t="inlineStr">
        <is>
          <t>BBT001</t>
        </is>
      </c>
      <c r="C105" s="25" t="inlineStr">
        <is>
          <t>Bubble Tea Kit</t>
        </is>
      </c>
      <c r="D105" s="25" t="inlineStr">
        <is>
          <t>Beverages</t>
        </is>
      </c>
      <c r="E105" s="26" t="n">
        <v>227.83</v>
      </c>
      <c r="F105" s="27" t="n">
        <v>37</v>
      </c>
      <c r="G105" s="26" t="n">
        <v>83.53</v>
      </c>
    </row>
    <row r="106">
      <c r="A106" s="24" t="n">
        <v>46145</v>
      </c>
      <c r="B106" s="25" t="inlineStr">
        <is>
          <t>BEV001</t>
        </is>
      </c>
      <c r="C106" s="25" t="inlineStr">
        <is>
          <t>Energy Drink 500ml</t>
        </is>
      </c>
      <c r="D106" s="25" t="inlineStr">
        <is>
          <t>Beverages</t>
        </is>
      </c>
      <c r="E106" s="26" t="n">
        <v>707.85</v>
      </c>
      <c r="F106" s="27" t="n">
        <v>165</v>
      </c>
      <c r="G106" s="26" t="n">
        <v>353.1</v>
      </c>
    </row>
    <row r="107">
      <c r="A107" s="24" t="n">
        <v>46145</v>
      </c>
      <c r="B107" s="25" t="inlineStr">
        <is>
          <t>BEV002</t>
        </is>
      </c>
      <c r="C107" s="25" t="inlineStr">
        <is>
          <t>Cola 1.5L</t>
        </is>
      </c>
      <c r="D107" s="25" t="inlineStr">
        <is>
          <t>Beverages</t>
        </is>
      </c>
      <c r="E107" s="26" t="n">
        <v>350.22</v>
      </c>
      <c r="F107" s="27" t="n">
        <v>78</v>
      </c>
      <c r="G107" s="26" t="n">
        <v>170.82</v>
      </c>
    </row>
    <row r="108">
      <c r="A108" s="24" t="n">
        <v>46145</v>
      </c>
      <c r="B108" s="25" t="inlineStr">
        <is>
          <t>BEV003</t>
        </is>
      </c>
      <c r="C108" s="25" t="inlineStr">
        <is>
          <t>Sparkling Water 1L</t>
        </is>
      </c>
      <c r="D108" s="25" t="inlineStr">
        <is>
          <t>Beverages</t>
        </is>
      </c>
      <c r="E108" s="26" t="n">
        <v>194.22</v>
      </c>
      <c r="F108" s="27" t="n">
        <v>78</v>
      </c>
      <c r="G108" s="26" t="n">
        <v>108.42</v>
      </c>
    </row>
    <row r="109">
      <c r="A109" s="24" t="n">
        <v>46145</v>
      </c>
      <c r="B109" s="25" t="inlineStr">
        <is>
          <t>BEV004</t>
        </is>
      </c>
      <c r="C109" s="25" t="inlineStr">
        <is>
          <t>Iced Coffee 500ml</t>
        </is>
      </c>
      <c r="D109" s="25" t="inlineStr">
        <is>
          <t>Beverages</t>
        </is>
      </c>
      <c r="E109" s="26" t="n">
        <v>384.23</v>
      </c>
      <c r="F109" s="27" t="n">
        <v>77</v>
      </c>
      <c r="G109" s="26" t="n">
        <v>176.33</v>
      </c>
    </row>
    <row r="110">
      <c r="A110" s="24" t="n">
        <v>46145</v>
      </c>
      <c r="B110" s="25" t="inlineStr">
        <is>
          <t>BEV005</t>
        </is>
      </c>
      <c r="C110" s="25" t="inlineStr">
        <is>
          <t>Kombucha 330ml</t>
        </is>
      </c>
      <c r="D110" s="25" t="inlineStr">
        <is>
          <t>Beverages</t>
        </is>
      </c>
      <c r="E110" s="26" t="n">
        <v>196.39</v>
      </c>
      <c r="F110" s="27" t="n">
        <v>41</v>
      </c>
      <c r="G110" s="26" t="n">
        <v>89.79000000000001</v>
      </c>
    </row>
    <row r="111">
      <c r="A111" s="24" t="n">
        <v>46145</v>
      </c>
      <c r="B111" s="25" t="inlineStr">
        <is>
          <t>BEV006</t>
        </is>
      </c>
      <c r="C111" s="25" t="inlineStr">
        <is>
          <t>Bottled Water 750ml</t>
        </is>
      </c>
      <c r="D111" s="25" t="inlineStr">
        <is>
          <t>Beverages</t>
        </is>
      </c>
      <c r="E111" s="26" t="n">
        <v>367.77</v>
      </c>
      <c r="F111" s="27" t="n">
        <v>123</v>
      </c>
      <c r="G111" s="26" t="n">
        <v>250.92</v>
      </c>
    </row>
    <row r="112">
      <c r="A112" s="24" t="n">
        <v>46145</v>
      </c>
      <c r="B112" s="25" t="inlineStr">
        <is>
          <t>DRY010</t>
        </is>
      </c>
      <c r="C112" s="25" t="inlineStr">
        <is>
          <t>Butter 500g</t>
        </is>
      </c>
      <c r="D112" s="25" t="inlineStr">
        <is>
          <t>Dairy</t>
        </is>
      </c>
      <c r="E112" s="26" t="n">
        <v>239.68</v>
      </c>
      <c r="F112" s="27" t="n">
        <v>32</v>
      </c>
      <c r="G112" s="26" t="n">
        <v>60.48</v>
      </c>
    </row>
    <row r="113">
      <c r="A113" s="24" t="n">
        <v>46145</v>
      </c>
      <c r="B113" s="25" t="inlineStr">
        <is>
          <t>DRY011</t>
        </is>
      </c>
      <c r="C113" s="25" t="inlineStr">
        <is>
          <t>Greek Yoghurt 1kg</t>
        </is>
      </c>
      <c r="D113" s="25" t="inlineStr">
        <is>
          <t>Dairy</t>
        </is>
      </c>
      <c r="E113" s="26" t="n">
        <v>359.55</v>
      </c>
      <c r="F113" s="27" t="n">
        <v>45</v>
      </c>
      <c r="G113" s="26" t="n">
        <v>130.05</v>
      </c>
    </row>
    <row r="114">
      <c r="A114" s="24" t="n">
        <v>46145</v>
      </c>
      <c r="B114" s="25" t="inlineStr">
        <is>
          <t>DRY012</t>
        </is>
      </c>
      <c r="C114" s="25" t="inlineStr">
        <is>
          <t>Cheese Block 1kg</t>
        </is>
      </c>
      <c r="D114" s="25" t="inlineStr">
        <is>
          <t>Dairy</t>
        </is>
      </c>
      <c r="E114" s="26" t="n">
        <v>489.65</v>
      </c>
      <c r="F114" s="27" t="n">
        <v>35</v>
      </c>
      <c r="G114" s="26" t="n">
        <v>125.65</v>
      </c>
    </row>
    <row r="115">
      <c r="A115" s="24" t="n">
        <v>46145</v>
      </c>
      <c r="B115" s="25" t="inlineStr">
        <is>
          <t>FRZ001</t>
        </is>
      </c>
      <c r="C115" s="25" t="inlineStr">
        <is>
          <t>Ice Cream Tub 2L</t>
        </is>
      </c>
      <c r="D115" s="25" t="inlineStr">
        <is>
          <t>Frozen</t>
        </is>
      </c>
      <c r="E115" s="26" t="n">
        <v>458.49</v>
      </c>
      <c r="F115" s="27" t="n">
        <v>51</v>
      </c>
      <c r="G115" s="26" t="n">
        <v>183.09</v>
      </c>
    </row>
    <row r="116">
      <c r="A116" s="24" t="n">
        <v>46145</v>
      </c>
      <c r="B116" s="25" t="inlineStr">
        <is>
          <t>FRZ002</t>
        </is>
      </c>
      <c r="C116" s="25" t="inlineStr">
        <is>
          <t>Ice Block Single</t>
        </is>
      </c>
      <c r="D116" s="25" t="inlineStr">
        <is>
          <t>Frozen</t>
        </is>
      </c>
      <c r="E116" s="26" t="n">
        <v>230.23</v>
      </c>
      <c r="F116" s="27" t="n">
        <v>77</v>
      </c>
      <c r="G116" s="26" t="n">
        <v>137.83</v>
      </c>
    </row>
    <row r="117">
      <c r="A117" s="24" t="n">
        <v>46145</v>
      </c>
      <c r="B117" s="25" t="inlineStr">
        <is>
          <t>FRZ003</t>
        </is>
      </c>
      <c r="C117" s="25" t="inlineStr">
        <is>
          <t>Frozen Pizza</t>
        </is>
      </c>
      <c r="D117" s="25" t="inlineStr">
        <is>
          <t>Frozen</t>
        </is>
      </c>
      <c r="E117" s="26" t="n">
        <v>279.65</v>
      </c>
      <c r="F117" s="27" t="n">
        <v>35</v>
      </c>
      <c r="G117" s="26" t="n">
        <v>115.15</v>
      </c>
    </row>
    <row r="118">
      <c r="A118" s="24" t="n">
        <v>46145</v>
      </c>
      <c r="B118" s="25" t="inlineStr">
        <is>
          <t>FRZ004</t>
        </is>
      </c>
      <c r="C118" s="25" t="inlineStr">
        <is>
          <t>Frozen Dumplings 1kg</t>
        </is>
      </c>
      <c r="D118" s="25" t="inlineStr">
        <is>
          <t>Frozen</t>
        </is>
      </c>
      <c r="E118" s="26" t="n">
        <v>467.61</v>
      </c>
      <c r="F118" s="27" t="n">
        <v>39</v>
      </c>
      <c r="G118" s="26" t="n">
        <v>190.71</v>
      </c>
    </row>
    <row r="119">
      <c r="A119" s="24" t="n">
        <v>46145</v>
      </c>
      <c r="B119" s="25" t="inlineStr">
        <is>
          <t>FTG001</t>
        </is>
      </c>
      <c r="C119" s="25" t="inlineStr">
        <is>
          <t>Chicken Sandwich</t>
        </is>
      </c>
      <c r="D119" s="25" t="inlineStr">
        <is>
          <t>Food To Go</t>
        </is>
      </c>
      <c r="E119" s="26" t="n">
        <v>816.41</v>
      </c>
      <c r="F119" s="27" t="n">
        <v>109</v>
      </c>
      <c r="G119" s="26" t="n">
        <v>391.31</v>
      </c>
    </row>
    <row r="120">
      <c r="A120" s="24" t="n">
        <v>46145</v>
      </c>
      <c r="B120" s="25" t="inlineStr">
        <is>
          <t>FTG002</t>
        </is>
      </c>
      <c r="C120" s="25" t="inlineStr">
        <is>
          <t>Sushi Pack 8pc</t>
        </is>
      </c>
      <c r="D120" s="25" t="inlineStr">
        <is>
          <t>Food To Go</t>
        </is>
      </c>
      <c r="E120" s="26" t="n">
        <v>829.1700000000001</v>
      </c>
      <c r="F120" s="27" t="n">
        <v>83</v>
      </c>
      <c r="G120" s="26" t="n">
        <v>364.37</v>
      </c>
    </row>
    <row r="121">
      <c r="A121" s="24" t="n">
        <v>46145</v>
      </c>
      <c r="B121" s="25" t="inlineStr">
        <is>
          <t>FTG003</t>
        </is>
      </c>
      <c r="C121" s="25" t="inlineStr">
        <is>
          <t>Hot Pie Mince &amp; Cheese</t>
        </is>
      </c>
      <c r="D121" s="25" t="inlineStr">
        <is>
          <t>Food To Go</t>
        </is>
      </c>
      <c r="E121" s="26" t="n">
        <v>636.84</v>
      </c>
      <c r="F121" s="27" t="n">
        <v>116</v>
      </c>
      <c r="G121" s="26" t="n">
        <v>358.44</v>
      </c>
    </row>
    <row r="122">
      <c r="A122" s="24" t="n">
        <v>46145</v>
      </c>
      <c r="B122" s="25" t="inlineStr">
        <is>
          <t>FTG004</t>
        </is>
      </c>
      <c r="C122" s="25" t="inlineStr">
        <is>
          <t>Salad Bowl</t>
        </is>
      </c>
      <c r="D122" s="25" t="inlineStr">
        <is>
          <t>Food To Go</t>
        </is>
      </c>
      <c r="E122" s="26" t="n">
        <v>461.58</v>
      </c>
      <c r="F122" s="27" t="n">
        <v>42</v>
      </c>
      <c r="G122" s="26" t="n">
        <v>201.18</v>
      </c>
    </row>
    <row r="123">
      <c r="A123" s="24" t="n">
        <v>46145</v>
      </c>
      <c r="B123" s="25" t="inlineStr">
        <is>
          <t>FTG005</t>
        </is>
      </c>
      <c r="C123" s="25" t="inlineStr">
        <is>
          <t>Filled Roll</t>
        </is>
      </c>
      <c r="D123" s="25" t="inlineStr">
        <is>
          <t>Food To Go</t>
        </is>
      </c>
      <c r="E123" s="26" t="n">
        <v>577.61</v>
      </c>
      <c r="F123" s="27" t="n">
        <v>89</v>
      </c>
      <c r="G123" s="26" t="n">
        <v>292.81</v>
      </c>
    </row>
    <row r="124">
      <c r="A124" s="24" t="n">
        <v>46145</v>
      </c>
      <c r="B124" s="25" t="inlineStr">
        <is>
          <t>GRO001</t>
        </is>
      </c>
      <c r="C124" s="25" t="inlineStr">
        <is>
          <t>Instant Noodles 5pk</t>
        </is>
      </c>
      <c r="D124" s="25" t="inlineStr">
        <is>
          <t>Grocery</t>
        </is>
      </c>
      <c r="E124" s="26" t="n">
        <v>386.14</v>
      </c>
      <c r="F124" s="27" t="n">
        <v>86</v>
      </c>
      <c r="G124" s="26" t="n">
        <v>162.54</v>
      </c>
    </row>
    <row r="125">
      <c r="A125" s="24" t="n">
        <v>46145</v>
      </c>
      <c r="B125" s="25" t="inlineStr">
        <is>
          <t>GRO002</t>
        </is>
      </c>
      <c r="C125" s="25" t="inlineStr">
        <is>
          <t>Canned Soup 500g</t>
        </is>
      </c>
      <c r="D125" s="25" t="inlineStr">
        <is>
          <t>Grocery</t>
        </is>
      </c>
      <c r="E125" s="26" t="n">
        <v>78.95999999999999</v>
      </c>
      <c r="F125" s="27" t="n">
        <v>24</v>
      </c>
      <c r="G125" s="26" t="n">
        <v>33.36</v>
      </c>
    </row>
    <row r="126">
      <c r="A126" s="24" t="n">
        <v>46145</v>
      </c>
      <c r="B126" s="25" t="inlineStr">
        <is>
          <t>GRO003</t>
        </is>
      </c>
      <c r="C126" s="25" t="inlineStr">
        <is>
          <t>Pasta 500g</t>
        </is>
      </c>
      <c r="D126" s="25" t="inlineStr">
        <is>
          <t>Grocery</t>
        </is>
      </c>
      <c r="E126" s="26" t="n">
        <v>104.58</v>
      </c>
      <c r="F126" s="27" t="n">
        <v>42</v>
      </c>
      <c r="G126" s="26" t="n">
        <v>49.98</v>
      </c>
    </row>
    <row r="127">
      <c r="A127" s="24" t="n">
        <v>46145</v>
      </c>
      <c r="B127" s="25" t="inlineStr">
        <is>
          <t>GRO004</t>
        </is>
      </c>
      <c r="C127" s="25" t="inlineStr">
        <is>
          <t>Simmer Sauce 485g</t>
        </is>
      </c>
      <c r="D127" s="25" t="inlineStr">
        <is>
          <t>Grocery</t>
        </is>
      </c>
      <c r="E127" s="26" t="n">
        <v>143.64</v>
      </c>
      <c r="F127" s="27" t="n">
        <v>36</v>
      </c>
      <c r="G127" s="26" t="n">
        <v>60.84</v>
      </c>
    </row>
    <row r="128">
      <c r="A128" s="24" t="n">
        <v>46145</v>
      </c>
      <c r="B128" s="25" t="inlineStr">
        <is>
          <t>GRO005</t>
        </is>
      </c>
      <c r="C128" s="25" t="inlineStr">
        <is>
          <t>Salsa 300g</t>
        </is>
      </c>
      <c r="D128" s="25" t="inlineStr">
        <is>
          <t>Grocery</t>
        </is>
      </c>
      <c r="E128" s="26" t="n">
        <v>114.96</v>
      </c>
      <c r="F128" s="27" t="n">
        <v>24</v>
      </c>
      <c r="G128" s="26" t="n">
        <v>45.36</v>
      </c>
    </row>
    <row r="129">
      <c r="A129" s="24" t="n">
        <v>46145</v>
      </c>
      <c r="B129" s="25" t="inlineStr">
        <is>
          <t>GRO006</t>
        </is>
      </c>
      <c r="C129" s="25" t="inlineStr">
        <is>
          <t>Taco Kit</t>
        </is>
      </c>
      <c r="D129" s="25" t="inlineStr">
        <is>
          <t>Grocery</t>
        </is>
      </c>
      <c r="E129" s="26" t="n">
        <v>71.39</v>
      </c>
      <c r="F129" s="27" t="n">
        <v>11</v>
      </c>
      <c r="G129" s="26" t="n">
        <v>27.39</v>
      </c>
    </row>
    <row r="130">
      <c r="A130" s="24" t="n">
        <v>46145</v>
      </c>
      <c r="B130" s="25" t="inlineStr">
        <is>
          <t>GRO007</t>
        </is>
      </c>
      <c r="C130" s="25" t="inlineStr">
        <is>
          <t>Eggs Free Range 12pk</t>
        </is>
      </c>
      <c r="D130" s="25" t="inlineStr">
        <is>
          <t>Grocery</t>
        </is>
      </c>
      <c r="E130" s="26" t="n">
        <v>637.42</v>
      </c>
      <c r="F130" s="27" t="n">
        <v>58</v>
      </c>
      <c r="G130" s="26" t="n">
        <v>161.82</v>
      </c>
    </row>
    <row r="131">
      <c r="A131" s="24" t="n">
        <v>46145</v>
      </c>
      <c r="B131" s="25" t="inlineStr">
        <is>
          <t>GRO008</t>
        </is>
      </c>
      <c r="C131" s="25" t="inlineStr">
        <is>
          <t>Coffee Beans 200g</t>
        </is>
      </c>
      <c r="D131" s="25" t="inlineStr">
        <is>
          <t>Grocery</t>
        </is>
      </c>
      <c r="E131" s="26" t="n">
        <v>203.83</v>
      </c>
      <c r="F131" s="27" t="n">
        <v>17</v>
      </c>
      <c r="G131" s="26" t="n">
        <v>74.63</v>
      </c>
    </row>
    <row r="132">
      <c r="A132" s="24" t="n">
        <v>46145</v>
      </c>
      <c r="B132" s="25" t="inlineStr">
        <is>
          <t>HHD001</t>
        </is>
      </c>
      <c r="C132" s="25" t="inlineStr">
        <is>
          <t>Toilet Paper 6pk</t>
        </is>
      </c>
      <c r="D132" s="25" t="inlineStr">
        <is>
          <t>Household</t>
        </is>
      </c>
      <c r="E132" s="26" t="n">
        <v>377.58</v>
      </c>
      <c r="F132" s="27" t="n">
        <v>42</v>
      </c>
      <c r="G132" s="26" t="n">
        <v>129.78</v>
      </c>
    </row>
    <row r="133">
      <c r="A133" s="24" t="n">
        <v>46145</v>
      </c>
      <c r="B133" s="25" t="inlineStr">
        <is>
          <t>HHD002</t>
        </is>
      </c>
      <c r="C133" s="25" t="inlineStr">
        <is>
          <t>Dishwash Liquid</t>
        </is>
      </c>
      <c r="D133" s="25" t="inlineStr">
        <is>
          <t>Household</t>
        </is>
      </c>
      <c r="E133" s="26" t="n">
        <v>109.78</v>
      </c>
      <c r="F133" s="27" t="n">
        <v>22</v>
      </c>
      <c r="G133" s="26" t="n">
        <v>45.98</v>
      </c>
    </row>
    <row r="134">
      <c r="A134" s="24" t="n">
        <v>46145</v>
      </c>
      <c r="B134" s="25" t="inlineStr">
        <is>
          <t>HHD003</t>
        </is>
      </c>
      <c r="C134" s="25" t="inlineStr">
        <is>
          <t>Phone Charger Cable</t>
        </is>
      </c>
      <c r="D134" s="25" t="inlineStr">
        <is>
          <t>Household</t>
        </is>
      </c>
      <c r="E134" s="26" t="n">
        <v>134.91</v>
      </c>
      <c r="F134" s="27" t="n">
        <v>9</v>
      </c>
      <c r="G134" s="26" t="n">
        <v>85.41</v>
      </c>
    </row>
    <row r="135">
      <c r="A135" s="24" t="n">
        <v>46145</v>
      </c>
      <c r="B135" s="25" t="inlineStr">
        <is>
          <t>LIQ001</t>
        </is>
      </c>
      <c r="C135" s="25" t="inlineStr">
        <is>
          <t>Craft Beer 6pk</t>
        </is>
      </c>
      <c r="D135" s="25" t="inlineStr">
        <is>
          <t>Beer &amp; Wine</t>
        </is>
      </c>
      <c r="E135" s="26" t="n">
        <v>634.48</v>
      </c>
      <c r="F135" s="27" t="n">
        <v>32</v>
      </c>
      <c r="G135" s="26" t="n">
        <v>144.88</v>
      </c>
    </row>
    <row r="136">
      <c r="A136" s="24" t="n">
        <v>46145</v>
      </c>
      <c r="B136" s="25" t="inlineStr">
        <is>
          <t>LIQ002</t>
        </is>
      </c>
      <c r="C136" s="25" t="inlineStr">
        <is>
          <t>Sauvignon Blanc 750ml</t>
        </is>
      </c>
      <c r="D136" s="25" t="inlineStr">
        <is>
          <t>Beer &amp; Wine</t>
        </is>
      </c>
      <c r="E136" s="26" t="n">
        <v>399.75</v>
      </c>
      <c r="F136" s="27" t="n">
        <v>25</v>
      </c>
      <c r="G136" s="26" t="n">
        <v>144.75</v>
      </c>
    </row>
    <row r="137">
      <c r="A137" s="24" t="n">
        <v>46145</v>
      </c>
      <c r="B137" s="25" t="inlineStr">
        <is>
          <t>LIQ003</t>
        </is>
      </c>
      <c r="C137" s="25" t="inlineStr">
        <is>
          <t>RTD 4pk</t>
        </is>
      </c>
      <c r="D137" s="25" t="inlineStr">
        <is>
          <t>Beer &amp; Wine</t>
        </is>
      </c>
      <c r="E137" s="26" t="n">
        <v>647.64</v>
      </c>
      <c r="F137" s="27" t="n">
        <v>36</v>
      </c>
      <c r="G137" s="26" t="n">
        <v>219.24</v>
      </c>
    </row>
    <row r="138">
      <c r="A138" s="24" t="n">
        <v>46145</v>
      </c>
      <c r="B138" s="25" t="inlineStr">
        <is>
          <t>LIQ004</t>
        </is>
      </c>
      <c r="C138" s="25" t="inlineStr">
        <is>
          <t>Pinot Noir 750ml</t>
        </is>
      </c>
      <c r="D138" s="25" t="inlineStr">
        <is>
          <t>Beer &amp; Wine</t>
        </is>
      </c>
      <c r="E138" s="26" t="n">
        <v>279.86</v>
      </c>
      <c r="F138" s="27" t="n">
        <v>14</v>
      </c>
      <c r="G138" s="26" t="n">
        <v>100.66</v>
      </c>
    </row>
    <row r="139">
      <c r="A139" s="24" t="n">
        <v>46145</v>
      </c>
      <c r="B139" s="25" t="inlineStr">
        <is>
          <t>MLK001</t>
        </is>
      </c>
      <c r="C139" s="25" t="inlineStr">
        <is>
          <t>Milk Standard 2L</t>
        </is>
      </c>
      <c r="D139" s="25" t="inlineStr">
        <is>
          <t>Dairy</t>
        </is>
      </c>
      <c r="E139" s="26" t="n">
        <v>1261.62</v>
      </c>
      <c r="F139" s="27" t="n">
        <v>258</v>
      </c>
      <c r="G139" s="26" t="n">
        <v>345.72</v>
      </c>
    </row>
    <row r="140">
      <c r="A140" s="24" t="n">
        <v>46145</v>
      </c>
      <c r="B140" s="25" t="inlineStr">
        <is>
          <t>MLK002</t>
        </is>
      </c>
      <c r="C140" s="25" t="inlineStr">
        <is>
          <t>Milk Lite 2L</t>
        </is>
      </c>
      <c r="D140" s="25" t="inlineStr">
        <is>
          <t>Dairy</t>
        </is>
      </c>
      <c r="E140" s="26" t="n">
        <v>503.67</v>
      </c>
      <c r="F140" s="27" t="n">
        <v>103</v>
      </c>
      <c r="G140" s="26" t="n">
        <v>138.02</v>
      </c>
    </row>
    <row r="141">
      <c r="A141" s="24" t="n">
        <v>46145</v>
      </c>
      <c r="B141" s="25" t="inlineStr">
        <is>
          <t>MLK003</t>
        </is>
      </c>
      <c r="C141" s="25" t="inlineStr">
        <is>
          <t>Oat Milk 1L</t>
        </is>
      </c>
      <c r="D141" s="25" t="inlineStr">
        <is>
          <t>Dairy</t>
        </is>
      </c>
      <c r="E141" s="26" t="n">
        <v>231.66</v>
      </c>
      <c r="F141" s="27" t="n">
        <v>54</v>
      </c>
      <c r="G141" s="26" t="n">
        <v>85.86</v>
      </c>
    </row>
    <row r="142">
      <c r="A142" s="24" t="n">
        <v>46145</v>
      </c>
      <c r="B142" s="25" t="inlineStr">
        <is>
          <t>PHM001</t>
        </is>
      </c>
      <c r="C142" s="25" t="inlineStr">
        <is>
          <t>Paracetamol 20pk</t>
        </is>
      </c>
      <c r="D142" s="25" t="inlineStr">
        <is>
          <t>Health &amp; Beauty</t>
        </is>
      </c>
      <c r="E142" s="26" t="n">
        <v>107.73</v>
      </c>
      <c r="F142" s="27" t="n">
        <v>27</v>
      </c>
      <c r="G142" s="26" t="n">
        <v>64.53</v>
      </c>
    </row>
    <row r="143">
      <c r="A143" s="24" t="n">
        <v>46145</v>
      </c>
      <c r="B143" s="25" t="inlineStr">
        <is>
          <t>PHM002</t>
        </is>
      </c>
      <c r="C143" s="25" t="inlineStr">
        <is>
          <t>Sunscreen SPF50</t>
        </is>
      </c>
      <c r="D143" s="25" t="inlineStr">
        <is>
          <t>Health &amp; Beauty</t>
        </is>
      </c>
      <c r="E143" s="26" t="n">
        <v>209.86</v>
      </c>
      <c r="F143" s="27" t="n">
        <v>14</v>
      </c>
      <c r="G143" s="26" t="n">
        <v>95.06</v>
      </c>
    </row>
    <row r="144">
      <c r="A144" s="24" t="n">
        <v>46145</v>
      </c>
      <c r="B144" s="25" t="inlineStr">
        <is>
          <t>PRD001</t>
        </is>
      </c>
      <c r="C144" s="25" t="inlineStr">
        <is>
          <t>Bananas (each)</t>
        </is>
      </c>
      <c r="D144" s="25" t="inlineStr">
        <is>
          <t>Produce</t>
        </is>
      </c>
      <c r="E144" s="26" t="n">
        <v>143.52</v>
      </c>
      <c r="F144" s="27" t="n">
        <v>208</v>
      </c>
      <c r="G144" s="26" t="n">
        <v>64.48</v>
      </c>
    </row>
    <row r="145">
      <c r="A145" s="24" t="n">
        <v>46145</v>
      </c>
      <c r="B145" s="25" t="inlineStr">
        <is>
          <t>PRD002</t>
        </is>
      </c>
      <c r="C145" s="25" t="inlineStr">
        <is>
          <t>Avocado</t>
        </is>
      </c>
      <c r="D145" s="25" t="inlineStr">
        <is>
          <t>Produce</t>
        </is>
      </c>
      <c r="E145" s="26" t="n">
        <v>153.81</v>
      </c>
      <c r="F145" s="27" t="n">
        <v>69</v>
      </c>
      <c r="G145" s="26" t="n">
        <v>57.21</v>
      </c>
    </row>
    <row r="146">
      <c r="A146" s="24" t="n">
        <v>46145</v>
      </c>
      <c r="B146" s="25" t="inlineStr">
        <is>
          <t>PRD003</t>
        </is>
      </c>
      <c r="C146" s="25" t="inlineStr">
        <is>
          <t>Tomatoes 500g</t>
        </is>
      </c>
      <c r="D146" s="25" t="inlineStr">
        <is>
          <t>Produce</t>
        </is>
      </c>
      <c r="E146" s="26" t="n">
        <v>148.17</v>
      </c>
      <c r="F146" s="27" t="n">
        <v>33</v>
      </c>
      <c r="G146" s="26" t="n">
        <v>62.37</v>
      </c>
    </row>
    <row r="147">
      <c r="A147" s="24" t="n">
        <v>46145</v>
      </c>
      <c r="B147" s="25" t="inlineStr">
        <is>
          <t>SNK001</t>
        </is>
      </c>
      <c r="C147" s="25" t="inlineStr">
        <is>
          <t>Potato Chips 150g</t>
        </is>
      </c>
      <c r="D147" s="25" t="inlineStr">
        <is>
          <t>Snacks &amp; Confectionery</t>
        </is>
      </c>
      <c r="E147" s="26" t="n">
        <v>502.74</v>
      </c>
      <c r="F147" s="27" t="n">
        <v>126</v>
      </c>
      <c r="G147" s="26" t="n">
        <v>238.14</v>
      </c>
    </row>
    <row r="148">
      <c r="A148" s="24" t="n">
        <v>46145</v>
      </c>
      <c r="B148" s="25" t="inlineStr">
        <is>
          <t>SNK002</t>
        </is>
      </c>
      <c r="C148" s="25" t="inlineStr">
        <is>
          <t>Chocolate Block 200g</t>
        </is>
      </c>
      <c r="D148" s="25" t="inlineStr">
        <is>
          <t>Snacks &amp; Confectionery</t>
        </is>
      </c>
      <c r="E148" s="26" t="n">
        <v>653.3099999999999</v>
      </c>
      <c r="F148" s="27" t="n">
        <v>119</v>
      </c>
      <c r="G148" s="26" t="n">
        <v>272.51</v>
      </c>
    </row>
    <row r="149">
      <c r="A149" s="24" t="n">
        <v>46145</v>
      </c>
      <c r="B149" s="25" t="inlineStr">
        <is>
          <t>SNK003</t>
        </is>
      </c>
      <c r="C149" s="25" t="inlineStr">
        <is>
          <t>Muesli Bar 6pk</t>
        </is>
      </c>
      <c r="D149" s="25" t="inlineStr">
        <is>
          <t>Snacks &amp; Confectionery</t>
        </is>
      </c>
      <c r="E149" s="26" t="n">
        <v>296.01</v>
      </c>
      <c r="F149" s="27" t="n">
        <v>69</v>
      </c>
      <c r="G149" s="26" t="n">
        <v>116.61</v>
      </c>
    </row>
    <row r="150">
      <c r="A150" s="24" t="n">
        <v>46145</v>
      </c>
      <c r="B150" s="25" t="inlineStr">
        <is>
          <t>SNK004</t>
        </is>
      </c>
      <c r="C150" s="25" t="inlineStr">
        <is>
          <t>Corn Chips 230g</t>
        </is>
      </c>
      <c r="D150" s="25" t="inlineStr">
        <is>
          <t>Snacks &amp; Confectionery</t>
        </is>
      </c>
      <c r="E150" s="26" t="n">
        <v>215.52</v>
      </c>
      <c r="F150" s="27" t="n">
        <v>48</v>
      </c>
      <c r="G150" s="26" t="n">
        <v>100.32</v>
      </c>
    </row>
    <row r="151">
      <c r="A151" s="24" t="n">
        <v>46145</v>
      </c>
      <c r="B151" s="25" t="inlineStr">
        <is>
          <t>SNK005</t>
        </is>
      </c>
      <c r="C151" s="25" t="inlineStr">
        <is>
          <t>Lollies Bag 200g</t>
        </is>
      </c>
      <c r="D151" s="25" t="inlineStr">
        <is>
          <t>Snacks &amp; Confectionery</t>
        </is>
      </c>
      <c r="E151" s="26" t="n">
        <v>167.52</v>
      </c>
      <c r="F151" s="27" t="n">
        <v>48</v>
      </c>
      <c r="G151" s="26" t="n">
        <v>85.92</v>
      </c>
    </row>
    <row r="152">
      <c r="A152" s="24" t="n">
        <v>46152</v>
      </c>
      <c r="B152" s="25" t="inlineStr">
        <is>
          <t>BAK001</t>
        </is>
      </c>
      <c r="C152" s="25" t="inlineStr">
        <is>
          <t>Toast Bread White</t>
        </is>
      </c>
      <c r="D152" s="25" t="inlineStr">
        <is>
          <t>Bakery</t>
        </is>
      </c>
      <c r="E152" s="26" t="n">
        <v>506.05</v>
      </c>
      <c r="F152" s="27" t="n">
        <v>145</v>
      </c>
      <c r="G152" s="26" t="n">
        <v>187.05</v>
      </c>
    </row>
    <row r="153">
      <c r="A153" s="24" t="n">
        <v>46152</v>
      </c>
      <c r="B153" s="25" t="inlineStr">
        <is>
          <t>BAK002</t>
        </is>
      </c>
      <c r="C153" s="25" t="inlineStr">
        <is>
          <t>Wholemeal Loaf</t>
        </is>
      </c>
      <c r="D153" s="25" t="inlineStr">
        <is>
          <t>Bakery</t>
        </is>
      </c>
      <c r="E153" s="26" t="n">
        <v>326.04</v>
      </c>
      <c r="F153" s="27" t="n">
        <v>76</v>
      </c>
      <c r="G153" s="26" t="n">
        <v>120.84</v>
      </c>
    </row>
    <row r="154">
      <c r="A154" s="24" t="n">
        <v>46152</v>
      </c>
      <c r="B154" s="25" t="inlineStr">
        <is>
          <t>BAK003</t>
        </is>
      </c>
      <c r="C154" s="25" t="inlineStr">
        <is>
          <t>Croissant 4pk</t>
        </is>
      </c>
      <c r="D154" s="25" t="inlineStr">
        <is>
          <t>Bakery</t>
        </is>
      </c>
      <c r="E154" s="26" t="n">
        <v>335.44</v>
      </c>
      <c r="F154" s="27" t="n">
        <v>56</v>
      </c>
      <c r="G154" s="26" t="n">
        <v>150.64</v>
      </c>
    </row>
    <row r="155">
      <c r="A155" s="24" t="n">
        <v>46152</v>
      </c>
      <c r="B155" s="25" t="inlineStr">
        <is>
          <t>BBT001</t>
        </is>
      </c>
      <c r="C155" s="25" t="inlineStr">
        <is>
          <t>Bubble Tea Kit</t>
        </is>
      </c>
      <c r="D155" s="25" t="inlineStr">
        <is>
          <t>Beverages</t>
        </is>
      </c>
      <c r="E155" s="26" t="n">
        <v>286.59</v>
      </c>
      <c r="F155" s="27" t="n">
        <v>41</v>
      </c>
      <c r="G155" s="26" t="n">
        <v>126.69</v>
      </c>
    </row>
    <row r="156">
      <c r="A156" s="24" t="n">
        <v>46152</v>
      </c>
      <c r="B156" s="25" t="inlineStr">
        <is>
          <t>BEV001</t>
        </is>
      </c>
      <c r="C156" s="25" t="inlineStr">
        <is>
          <t>Energy Drink 500ml</t>
        </is>
      </c>
      <c r="D156" s="25" t="inlineStr">
        <is>
          <t>Beverages</t>
        </is>
      </c>
      <c r="E156" s="26" t="n">
        <v>806.52</v>
      </c>
      <c r="F156" s="27" t="n">
        <v>188</v>
      </c>
      <c r="G156" s="26" t="n">
        <v>402.32</v>
      </c>
    </row>
    <row r="157">
      <c r="A157" s="24" t="n">
        <v>46152</v>
      </c>
      <c r="B157" s="25" t="inlineStr">
        <is>
          <t>BEV002</t>
        </is>
      </c>
      <c r="C157" s="25" t="inlineStr">
        <is>
          <t>Cola 1.5L</t>
        </is>
      </c>
      <c r="D157" s="25" t="inlineStr">
        <is>
          <t>Beverages</t>
        </is>
      </c>
      <c r="E157" s="26" t="n">
        <v>386.14</v>
      </c>
      <c r="F157" s="27" t="n">
        <v>86</v>
      </c>
      <c r="G157" s="26" t="n">
        <v>188.34</v>
      </c>
    </row>
    <row r="158">
      <c r="A158" s="24" t="n">
        <v>46152</v>
      </c>
      <c r="B158" s="25" t="inlineStr">
        <is>
          <t>BEV003</t>
        </is>
      </c>
      <c r="C158" s="25" t="inlineStr">
        <is>
          <t>Sparkling Water 1L</t>
        </is>
      </c>
      <c r="D158" s="25" t="inlineStr">
        <is>
          <t>Beverages</t>
        </is>
      </c>
      <c r="E158" s="26" t="n">
        <v>189.24</v>
      </c>
      <c r="F158" s="27" t="n">
        <v>76</v>
      </c>
      <c r="G158" s="26" t="n">
        <v>105.64</v>
      </c>
    </row>
    <row r="159">
      <c r="A159" s="24" t="n">
        <v>46152</v>
      </c>
      <c r="B159" s="25" t="inlineStr">
        <is>
          <t>BEV004</t>
        </is>
      </c>
      <c r="C159" s="25" t="inlineStr">
        <is>
          <t>Iced Coffee 500ml</t>
        </is>
      </c>
      <c r="D159" s="25" t="inlineStr">
        <is>
          <t>Beverages</t>
        </is>
      </c>
      <c r="E159" s="26" t="n">
        <v>414.17</v>
      </c>
      <c r="F159" s="27" t="n">
        <v>83</v>
      </c>
      <c r="G159" s="26" t="n">
        <v>190.07</v>
      </c>
    </row>
    <row r="160">
      <c r="A160" s="24" t="n">
        <v>46152</v>
      </c>
      <c r="B160" s="25" t="inlineStr">
        <is>
          <t>BEV005</t>
        </is>
      </c>
      <c r="C160" s="25" t="inlineStr">
        <is>
          <t>Kombucha 330ml</t>
        </is>
      </c>
      <c r="D160" s="25" t="inlineStr">
        <is>
          <t>Beverages</t>
        </is>
      </c>
      <c r="E160" s="26" t="n">
        <v>244.2</v>
      </c>
      <c r="F160" s="27" t="n">
        <v>60</v>
      </c>
      <c r="G160" s="26" t="n">
        <v>88.2</v>
      </c>
    </row>
    <row r="161">
      <c r="A161" s="24" t="n">
        <v>46152</v>
      </c>
      <c r="B161" s="25" t="inlineStr">
        <is>
          <t>BEV006</t>
        </is>
      </c>
      <c r="C161" s="25" t="inlineStr">
        <is>
          <t>Bottled Water 750ml</t>
        </is>
      </c>
      <c r="D161" s="25" t="inlineStr">
        <is>
          <t>Beverages</t>
        </is>
      </c>
      <c r="E161" s="26" t="n">
        <v>445.51</v>
      </c>
      <c r="F161" s="27" t="n">
        <v>149</v>
      </c>
      <c r="G161" s="26" t="n">
        <v>303.96</v>
      </c>
    </row>
    <row r="162">
      <c r="A162" s="24" t="n">
        <v>46152</v>
      </c>
      <c r="B162" s="25" t="inlineStr">
        <is>
          <t>DRY010</t>
        </is>
      </c>
      <c r="C162" s="25" t="inlineStr">
        <is>
          <t>Butter 500g</t>
        </is>
      </c>
      <c r="D162" s="25" t="inlineStr">
        <is>
          <t>Dairy</t>
        </is>
      </c>
      <c r="E162" s="26" t="n">
        <v>374.5</v>
      </c>
      <c r="F162" s="27" t="n">
        <v>50</v>
      </c>
      <c r="G162" s="26" t="n">
        <v>94.5</v>
      </c>
    </row>
    <row r="163">
      <c r="A163" s="24" t="n">
        <v>46152</v>
      </c>
      <c r="B163" s="25" t="inlineStr">
        <is>
          <t>DRY011</t>
        </is>
      </c>
      <c r="C163" s="25" t="inlineStr">
        <is>
          <t>Greek Yoghurt 1kg</t>
        </is>
      </c>
      <c r="D163" s="25" t="inlineStr">
        <is>
          <t>Dairy</t>
        </is>
      </c>
      <c r="E163" s="26" t="n">
        <v>135.83</v>
      </c>
      <c r="F163" s="27" t="n">
        <v>17</v>
      </c>
      <c r="G163" s="26" t="n">
        <v>49.13</v>
      </c>
    </row>
    <row r="164">
      <c r="A164" s="24" t="n">
        <v>46152</v>
      </c>
      <c r="B164" s="25" t="inlineStr">
        <is>
          <t>DRY012</t>
        </is>
      </c>
      <c r="C164" s="25" t="inlineStr">
        <is>
          <t>Cheese Block 1kg</t>
        </is>
      </c>
      <c r="D164" s="25" t="inlineStr">
        <is>
          <t>Dairy</t>
        </is>
      </c>
      <c r="E164" s="26" t="n">
        <v>405.71</v>
      </c>
      <c r="F164" s="27" t="n">
        <v>29</v>
      </c>
      <c r="G164" s="26" t="n">
        <v>104.11</v>
      </c>
    </row>
    <row r="165">
      <c r="A165" s="24" t="n">
        <v>46152</v>
      </c>
      <c r="B165" s="25" t="inlineStr">
        <is>
          <t>FRZ001</t>
        </is>
      </c>
      <c r="C165" s="25" t="inlineStr">
        <is>
          <t>Ice Cream Tub 2L</t>
        </is>
      </c>
      <c r="D165" s="25" t="inlineStr">
        <is>
          <t>Frozen</t>
        </is>
      </c>
      <c r="E165" s="26" t="n">
        <v>341.62</v>
      </c>
      <c r="F165" s="27" t="n">
        <v>38</v>
      </c>
      <c r="G165" s="26" t="n">
        <v>136.42</v>
      </c>
    </row>
    <row r="166">
      <c r="A166" s="24" t="n">
        <v>46152</v>
      </c>
      <c r="B166" s="25" t="inlineStr">
        <is>
          <t>FRZ002</t>
        </is>
      </c>
      <c r="C166" s="25" t="inlineStr">
        <is>
          <t>Ice Block Single</t>
        </is>
      </c>
      <c r="D166" s="25" t="inlineStr">
        <is>
          <t>Frozen</t>
        </is>
      </c>
      <c r="E166" s="26" t="n">
        <v>258.83</v>
      </c>
      <c r="F166" s="27" t="n">
        <v>97</v>
      </c>
      <c r="G166" s="26" t="n">
        <v>142.43</v>
      </c>
    </row>
    <row r="167">
      <c r="A167" s="24" t="n">
        <v>46152</v>
      </c>
      <c r="B167" s="25" t="inlineStr">
        <is>
          <t>FRZ003</t>
        </is>
      </c>
      <c r="C167" s="25" t="inlineStr">
        <is>
          <t>Frozen Pizza</t>
        </is>
      </c>
      <c r="D167" s="25" t="inlineStr">
        <is>
          <t>Frozen</t>
        </is>
      </c>
      <c r="E167" s="26" t="n">
        <v>343.57</v>
      </c>
      <c r="F167" s="27" t="n">
        <v>43</v>
      </c>
      <c r="G167" s="26" t="n">
        <v>141.47</v>
      </c>
    </row>
    <row r="168">
      <c r="A168" s="24" t="n">
        <v>46152</v>
      </c>
      <c r="B168" s="25" t="inlineStr">
        <is>
          <t>FRZ004</t>
        </is>
      </c>
      <c r="C168" s="25" t="inlineStr">
        <is>
          <t>Frozen Dumplings 1kg</t>
        </is>
      </c>
      <c r="D168" s="25" t="inlineStr">
        <is>
          <t>Frozen</t>
        </is>
      </c>
      <c r="E168" s="26" t="n">
        <v>251.79</v>
      </c>
      <c r="F168" s="27" t="n">
        <v>21</v>
      </c>
      <c r="G168" s="26" t="n">
        <v>102.69</v>
      </c>
    </row>
    <row r="169">
      <c r="A169" s="24" t="n">
        <v>46152</v>
      </c>
      <c r="B169" s="25" t="inlineStr">
        <is>
          <t>FTG001</t>
        </is>
      </c>
      <c r="C169" s="25" t="inlineStr">
        <is>
          <t>Chicken Sandwich</t>
        </is>
      </c>
      <c r="D169" s="25" t="inlineStr">
        <is>
          <t>Food To Go</t>
        </is>
      </c>
      <c r="E169" s="26" t="n">
        <v>1108.52</v>
      </c>
      <c r="F169" s="27" t="n">
        <v>148</v>
      </c>
      <c r="G169" s="26" t="n">
        <v>531.3200000000001</v>
      </c>
    </row>
    <row r="170">
      <c r="A170" s="24" t="n">
        <v>46152</v>
      </c>
      <c r="B170" s="25" t="inlineStr">
        <is>
          <t>FTG002</t>
        </is>
      </c>
      <c r="C170" s="25" t="inlineStr">
        <is>
          <t>Sushi Pack 8pc</t>
        </is>
      </c>
      <c r="D170" s="25" t="inlineStr">
        <is>
          <t>Food To Go</t>
        </is>
      </c>
      <c r="E170" s="26" t="n">
        <v>1008.99</v>
      </c>
      <c r="F170" s="27" t="n">
        <v>101</v>
      </c>
      <c r="G170" s="26" t="n">
        <v>443.39</v>
      </c>
    </row>
    <row r="171">
      <c r="A171" s="24" t="n">
        <v>46152</v>
      </c>
      <c r="B171" s="25" t="inlineStr">
        <is>
          <t>FTG003</t>
        </is>
      </c>
      <c r="C171" s="25" t="inlineStr">
        <is>
          <t>Hot Pie Mince &amp; Cheese</t>
        </is>
      </c>
      <c r="D171" s="25" t="inlineStr">
        <is>
          <t>Food To Go</t>
        </is>
      </c>
      <c r="E171" s="26" t="n">
        <v>647.8199999999999</v>
      </c>
      <c r="F171" s="27" t="n">
        <v>118</v>
      </c>
      <c r="G171" s="26" t="n">
        <v>364.62</v>
      </c>
    </row>
    <row r="172">
      <c r="A172" s="24" t="n">
        <v>46152</v>
      </c>
      <c r="B172" s="25" t="inlineStr">
        <is>
          <t>FTG004</t>
        </is>
      </c>
      <c r="C172" s="25" t="inlineStr">
        <is>
          <t>Salad Bowl</t>
        </is>
      </c>
      <c r="D172" s="25" t="inlineStr">
        <is>
          <t>Food To Go</t>
        </is>
      </c>
      <c r="E172" s="26" t="n">
        <v>318.71</v>
      </c>
      <c r="F172" s="27" t="n">
        <v>29</v>
      </c>
      <c r="G172" s="26" t="n">
        <v>138.91</v>
      </c>
    </row>
    <row r="173">
      <c r="A173" s="24" t="n">
        <v>46152</v>
      </c>
      <c r="B173" s="25" t="inlineStr">
        <is>
          <t>FTG005</t>
        </is>
      </c>
      <c r="C173" s="25" t="inlineStr">
        <is>
          <t>Filled Roll</t>
        </is>
      </c>
      <c r="D173" s="25" t="inlineStr">
        <is>
          <t>Food To Go</t>
        </is>
      </c>
      <c r="E173" s="26" t="n">
        <v>434.83</v>
      </c>
      <c r="F173" s="27" t="n">
        <v>67</v>
      </c>
      <c r="G173" s="26" t="n">
        <v>220.43</v>
      </c>
    </row>
    <row r="174">
      <c r="A174" s="24" t="n">
        <v>46152</v>
      </c>
      <c r="B174" s="25" t="inlineStr">
        <is>
          <t>GRO001</t>
        </is>
      </c>
      <c r="C174" s="25" t="inlineStr">
        <is>
          <t>Instant Noodles 5pk</t>
        </is>
      </c>
      <c r="D174" s="25" t="inlineStr">
        <is>
          <t>Grocery</t>
        </is>
      </c>
      <c r="E174" s="26" t="n">
        <v>422.06</v>
      </c>
      <c r="F174" s="27" t="n">
        <v>94</v>
      </c>
      <c r="G174" s="26" t="n">
        <v>177.66</v>
      </c>
    </row>
    <row r="175">
      <c r="A175" s="24" t="n">
        <v>46152</v>
      </c>
      <c r="B175" s="25" t="inlineStr">
        <is>
          <t>GRO002</t>
        </is>
      </c>
      <c r="C175" s="25" t="inlineStr">
        <is>
          <t>Canned Soup 500g</t>
        </is>
      </c>
      <c r="D175" s="25" t="inlineStr">
        <is>
          <t>Grocery</t>
        </is>
      </c>
      <c r="E175" s="26" t="n">
        <v>190.82</v>
      </c>
      <c r="F175" s="27" t="n">
        <v>58</v>
      </c>
      <c r="G175" s="26" t="n">
        <v>80.62</v>
      </c>
    </row>
    <row r="176">
      <c r="A176" s="24" t="n">
        <v>46152</v>
      </c>
      <c r="B176" s="25" t="inlineStr">
        <is>
          <t>GRO003</t>
        </is>
      </c>
      <c r="C176" s="25" t="inlineStr">
        <is>
          <t>Pasta 500g</t>
        </is>
      </c>
      <c r="D176" s="25" t="inlineStr">
        <is>
          <t>Grocery</t>
        </is>
      </c>
      <c r="E176" s="26" t="n">
        <v>112.05</v>
      </c>
      <c r="F176" s="27" t="n">
        <v>45</v>
      </c>
      <c r="G176" s="26" t="n">
        <v>53.55</v>
      </c>
    </row>
    <row r="177">
      <c r="A177" s="24" t="n">
        <v>46152</v>
      </c>
      <c r="B177" s="25" t="inlineStr">
        <is>
          <t>GRO004</t>
        </is>
      </c>
      <c r="C177" s="25" t="inlineStr">
        <is>
          <t>Simmer Sauce 485g</t>
        </is>
      </c>
      <c r="D177" s="25" t="inlineStr">
        <is>
          <t>Grocery</t>
        </is>
      </c>
      <c r="E177" s="26" t="n">
        <v>111.72</v>
      </c>
      <c r="F177" s="27" t="n">
        <v>28</v>
      </c>
      <c r="G177" s="26" t="n">
        <v>47.32</v>
      </c>
    </row>
    <row r="178">
      <c r="A178" s="24" t="n">
        <v>46152</v>
      </c>
      <c r="B178" s="25" t="inlineStr">
        <is>
          <t>GRO005</t>
        </is>
      </c>
      <c r="C178" s="25" t="inlineStr">
        <is>
          <t>Salsa 300g</t>
        </is>
      </c>
      <c r="D178" s="25" t="inlineStr">
        <is>
          <t>Grocery</t>
        </is>
      </c>
      <c r="E178" s="26" t="n">
        <v>81.43000000000001</v>
      </c>
      <c r="F178" s="27" t="n">
        <v>17</v>
      </c>
      <c r="G178" s="26" t="n">
        <v>32.13</v>
      </c>
    </row>
    <row r="179">
      <c r="A179" s="24" t="n">
        <v>46152</v>
      </c>
      <c r="B179" s="25" t="inlineStr">
        <is>
          <t>GRO006</t>
        </is>
      </c>
      <c r="C179" s="25" t="inlineStr">
        <is>
          <t>Taco Kit</t>
        </is>
      </c>
      <c r="D179" s="25" t="inlineStr">
        <is>
          <t>Grocery</t>
        </is>
      </c>
      <c r="E179" s="26" t="n">
        <v>90.86000000000001</v>
      </c>
      <c r="F179" s="27" t="n">
        <v>14</v>
      </c>
      <c r="G179" s="26" t="n">
        <v>34.86</v>
      </c>
    </row>
    <row r="180">
      <c r="A180" s="24" t="n">
        <v>46152</v>
      </c>
      <c r="B180" s="25" t="inlineStr">
        <is>
          <t>GRO007</t>
        </is>
      </c>
      <c r="C180" s="25" t="inlineStr">
        <is>
          <t>Eggs Free Range 12pk</t>
        </is>
      </c>
      <c r="D180" s="25" t="inlineStr">
        <is>
          <t>Grocery</t>
        </is>
      </c>
      <c r="E180" s="26" t="n">
        <v>538.51</v>
      </c>
      <c r="F180" s="27" t="n">
        <v>49</v>
      </c>
      <c r="G180" s="26" t="n">
        <v>136.71</v>
      </c>
    </row>
    <row r="181">
      <c r="A181" s="24" t="n">
        <v>46152</v>
      </c>
      <c r="B181" s="25" t="inlineStr">
        <is>
          <t>GRO008</t>
        </is>
      </c>
      <c r="C181" s="25" t="inlineStr">
        <is>
          <t>Coffee Beans 200g</t>
        </is>
      </c>
      <c r="D181" s="25" t="inlineStr">
        <is>
          <t>Grocery</t>
        </is>
      </c>
      <c r="E181" s="26" t="n">
        <v>287.76</v>
      </c>
      <c r="F181" s="27" t="n">
        <v>24</v>
      </c>
      <c r="G181" s="26" t="n">
        <v>105.36</v>
      </c>
    </row>
    <row r="182">
      <c r="A182" s="24" t="n">
        <v>46152</v>
      </c>
      <c r="B182" s="25" t="inlineStr">
        <is>
          <t>HHD001</t>
        </is>
      </c>
      <c r="C182" s="25" t="inlineStr">
        <is>
          <t>Toilet Paper 6pk</t>
        </is>
      </c>
      <c r="D182" s="25" t="inlineStr">
        <is>
          <t>Household</t>
        </is>
      </c>
      <c r="E182" s="26" t="n">
        <v>269.7</v>
      </c>
      <c r="F182" s="27" t="n">
        <v>30</v>
      </c>
      <c r="G182" s="26" t="n">
        <v>92.7</v>
      </c>
    </row>
    <row r="183">
      <c r="A183" s="24" t="n">
        <v>46152</v>
      </c>
      <c r="B183" s="25" t="inlineStr">
        <is>
          <t>HHD002</t>
        </is>
      </c>
      <c r="C183" s="25" t="inlineStr">
        <is>
          <t>Dishwash Liquid</t>
        </is>
      </c>
      <c r="D183" s="25" t="inlineStr">
        <is>
          <t>Household</t>
        </is>
      </c>
      <c r="E183" s="26" t="n">
        <v>144.71</v>
      </c>
      <c r="F183" s="27" t="n">
        <v>29</v>
      </c>
      <c r="G183" s="26" t="n">
        <v>60.61</v>
      </c>
    </row>
    <row r="184">
      <c r="A184" s="24" t="n">
        <v>46152</v>
      </c>
      <c r="B184" s="25" t="inlineStr">
        <is>
          <t>HHD003</t>
        </is>
      </c>
      <c r="C184" s="25" t="inlineStr">
        <is>
          <t>Phone Charger Cable</t>
        </is>
      </c>
      <c r="D184" s="25" t="inlineStr">
        <is>
          <t>Household</t>
        </is>
      </c>
      <c r="E184" s="26" t="n">
        <v>74.95</v>
      </c>
      <c r="F184" s="27" t="n">
        <v>5</v>
      </c>
      <c r="G184" s="26" t="n">
        <v>47.45</v>
      </c>
    </row>
    <row r="185">
      <c r="A185" s="24" t="n">
        <v>46152</v>
      </c>
      <c r="B185" s="25" t="inlineStr">
        <is>
          <t>LIQ001</t>
        </is>
      </c>
      <c r="C185" s="25" t="inlineStr">
        <is>
          <t>Craft Beer 6pk</t>
        </is>
      </c>
      <c r="D185" s="25" t="inlineStr">
        <is>
          <t>Beer &amp; Wine</t>
        </is>
      </c>
      <c r="E185" s="26" t="n">
        <v>850.63</v>
      </c>
      <c r="F185" s="27" t="n">
        <v>37</v>
      </c>
      <c r="G185" s="26" t="n">
        <v>284.53</v>
      </c>
    </row>
    <row r="186">
      <c r="A186" s="24" t="n">
        <v>46152</v>
      </c>
      <c r="B186" s="25" t="inlineStr">
        <is>
          <t>LIQ002</t>
        </is>
      </c>
      <c r="C186" s="25" t="inlineStr">
        <is>
          <t>Sauvignon Blanc 750ml</t>
        </is>
      </c>
      <c r="D186" s="25" t="inlineStr">
        <is>
          <t>Beer &amp; Wine</t>
        </is>
      </c>
      <c r="E186" s="26" t="n">
        <v>671.58</v>
      </c>
      <c r="F186" s="27" t="n">
        <v>42</v>
      </c>
      <c r="G186" s="26" t="n">
        <v>243.18</v>
      </c>
    </row>
    <row r="187">
      <c r="A187" s="24" t="n">
        <v>46152</v>
      </c>
      <c r="B187" s="25" t="inlineStr">
        <is>
          <t>LIQ003</t>
        </is>
      </c>
      <c r="C187" s="25" t="inlineStr">
        <is>
          <t>RTD 4pk</t>
        </is>
      </c>
      <c r="D187" s="25" t="inlineStr">
        <is>
          <t>Beer &amp; Wine</t>
        </is>
      </c>
      <c r="E187" s="26" t="n">
        <v>557.6899999999999</v>
      </c>
      <c r="F187" s="27" t="n">
        <v>31</v>
      </c>
      <c r="G187" s="26" t="n">
        <v>188.79</v>
      </c>
    </row>
    <row r="188">
      <c r="A188" s="24" t="n">
        <v>46152</v>
      </c>
      <c r="B188" s="25" t="inlineStr">
        <is>
          <t>LIQ004</t>
        </is>
      </c>
      <c r="C188" s="25" t="inlineStr">
        <is>
          <t>Pinot Noir 750ml</t>
        </is>
      </c>
      <c r="D188" s="25" t="inlineStr">
        <is>
          <t>Beer &amp; Wine</t>
        </is>
      </c>
      <c r="E188" s="26" t="n">
        <v>319.84</v>
      </c>
      <c r="F188" s="27" t="n">
        <v>16</v>
      </c>
      <c r="G188" s="26" t="n">
        <v>115.04</v>
      </c>
    </row>
    <row r="189">
      <c r="A189" s="24" t="n">
        <v>46152</v>
      </c>
      <c r="B189" s="25" t="inlineStr">
        <is>
          <t>MLK001</t>
        </is>
      </c>
      <c r="C189" s="25" t="inlineStr">
        <is>
          <t>Milk Standard 2L</t>
        </is>
      </c>
      <c r="D189" s="25" t="inlineStr">
        <is>
          <t>Dairy</t>
        </is>
      </c>
      <c r="E189" s="26" t="n">
        <v>1256.73</v>
      </c>
      <c r="F189" s="27" t="n">
        <v>257</v>
      </c>
      <c r="G189" s="26" t="n">
        <v>344.38</v>
      </c>
    </row>
    <row r="190">
      <c r="A190" s="24" t="n">
        <v>46152</v>
      </c>
      <c r="B190" s="25" t="inlineStr">
        <is>
          <t>MLK002</t>
        </is>
      </c>
      <c r="C190" s="25" t="inlineStr">
        <is>
          <t>Milk Lite 2L</t>
        </is>
      </c>
      <c r="D190" s="25" t="inlineStr">
        <is>
          <t>Dairy</t>
        </is>
      </c>
      <c r="E190" s="26" t="n">
        <v>621.03</v>
      </c>
      <c r="F190" s="27" t="n">
        <v>127</v>
      </c>
      <c r="G190" s="26" t="n">
        <v>170.18</v>
      </c>
    </row>
    <row r="191">
      <c r="A191" s="24" t="n">
        <v>46152</v>
      </c>
      <c r="B191" s="25" t="inlineStr">
        <is>
          <t>MLK003</t>
        </is>
      </c>
      <c r="C191" s="25" t="inlineStr">
        <is>
          <t>Oat Milk 1L</t>
        </is>
      </c>
      <c r="D191" s="25" t="inlineStr">
        <is>
          <t>Dairy</t>
        </is>
      </c>
      <c r="E191" s="26" t="n">
        <v>223.08</v>
      </c>
      <c r="F191" s="27" t="n">
        <v>52</v>
      </c>
      <c r="G191" s="26" t="n">
        <v>82.68000000000001</v>
      </c>
    </row>
    <row r="192">
      <c r="A192" s="24" t="n">
        <v>46152</v>
      </c>
      <c r="B192" s="25" t="inlineStr">
        <is>
          <t>PHM001</t>
        </is>
      </c>
      <c r="C192" s="25" t="inlineStr">
        <is>
          <t>Paracetamol 20pk</t>
        </is>
      </c>
      <c r="D192" s="25" t="inlineStr">
        <is>
          <t>Health &amp; Beauty</t>
        </is>
      </c>
      <c r="E192" s="26" t="n">
        <v>131.67</v>
      </c>
      <c r="F192" s="27" t="n">
        <v>33</v>
      </c>
      <c r="G192" s="26" t="n">
        <v>78.87</v>
      </c>
    </row>
    <row r="193">
      <c r="A193" s="24" t="n">
        <v>46152</v>
      </c>
      <c r="B193" s="25" t="inlineStr">
        <is>
          <t>PHM002</t>
        </is>
      </c>
      <c r="C193" s="25" t="inlineStr">
        <is>
          <t>Sunscreen SPF50</t>
        </is>
      </c>
      <c r="D193" s="25" t="inlineStr">
        <is>
          <t>Health &amp; Beauty</t>
        </is>
      </c>
      <c r="E193" s="26" t="n">
        <v>149.9</v>
      </c>
      <c r="F193" s="27" t="n">
        <v>10</v>
      </c>
      <c r="G193" s="26" t="n">
        <v>67.90000000000001</v>
      </c>
    </row>
    <row r="194">
      <c r="A194" s="24" t="n">
        <v>46152</v>
      </c>
      <c r="B194" s="25" t="inlineStr">
        <is>
          <t>PRD001</t>
        </is>
      </c>
      <c r="C194" s="25" t="inlineStr">
        <is>
          <t>Bananas (each)</t>
        </is>
      </c>
      <c r="D194" s="25" t="inlineStr">
        <is>
          <t>Produce</t>
        </is>
      </c>
      <c r="E194" s="26" t="n">
        <v>173.19</v>
      </c>
      <c r="F194" s="27" t="n">
        <v>251</v>
      </c>
      <c r="G194" s="26" t="n">
        <v>77.81</v>
      </c>
    </row>
    <row r="195">
      <c r="A195" s="24" t="n">
        <v>46152</v>
      </c>
      <c r="B195" s="25" t="inlineStr">
        <is>
          <t>PRD002</t>
        </is>
      </c>
      <c r="C195" s="25" t="inlineStr">
        <is>
          <t>Avocado</t>
        </is>
      </c>
      <c r="D195" s="25" t="inlineStr">
        <is>
          <t>Produce</t>
        </is>
      </c>
      <c r="E195" s="26" t="n">
        <v>131.97</v>
      </c>
      <c r="F195" s="27" t="n">
        <v>53</v>
      </c>
      <c r="G195" s="26" t="n">
        <v>57.77</v>
      </c>
    </row>
    <row r="196">
      <c r="A196" s="24" t="n">
        <v>46152</v>
      </c>
      <c r="B196" s="25" t="inlineStr">
        <is>
          <t>PRD003</t>
        </is>
      </c>
      <c r="C196" s="25" t="inlineStr">
        <is>
          <t>Tomatoes 500g</t>
        </is>
      </c>
      <c r="D196" s="25" t="inlineStr">
        <is>
          <t>Produce</t>
        </is>
      </c>
      <c r="E196" s="26" t="n">
        <v>130.21</v>
      </c>
      <c r="F196" s="27" t="n">
        <v>29</v>
      </c>
      <c r="G196" s="26" t="n">
        <v>54.81</v>
      </c>
    </row>
    <row r="197">
      <c r="A197" s="24" t="n">
        <v>46152</v>
      </c>
      <c r="B197" s="25" t="inlineStr">
        <is>
          <t>SNK001</t>
        </is>
      </c>
      <c r="C197" s="25" t="inlineStr">
        <is>
          <t>Potato Chips 150g</t>
        </is>
      </c>
      <c r="D197" s="25" t="inlineStr">
        <is>
          <t>Snacks &amp; Confectionery</t>
        </is>
      </c>
      <c r="E197" s="26" t="n">
        <v>614.46</v>
      </c>
      <c r="F197" s="27" t="n">
        <v>154</v>
      </c>
      <c r="G197" s="26" t="n">
        <v>291.06</v>
      </c>
    </row>
    <row r="198">
      <c r="A198" s="24" t="n">
        <v>46152</v>
      </c>
      <c r="B198" s="25" t="inlineStr">
        <is>
          <t>SNK002</t>
        </is>
      </c>
      <c r="C198" s="25" t="inlineStr">
        <is>
          <t>Chocolate Block 200g</t>
        </is>
      </c>
      <c r="D198" s="25" t="inlineStr">
        <is>
          <t>Snacks &amp; Confectionery</t>
        </is>
      </c>
      <c r="E198" s="26" t="n">
        <v>746.64</v>
      </c>
      <c r="F198" s="27" t="n">
        <v>136</v>
      </c>
      <c r="G198" s="26" t="n">
        <v>311.44</v>
      </c>
    </row>
    <row r="199">
      <c r="A199" s="24" t="n">
        <v>46152</v>
      </c>
      <c r="B199" s="25" t="inlineStr">
        <is>
          <t>SNK003</t>
        </is>
      </c>
      <c r="C199" s="25" t="inlineStr">
        <is>
          <t>Muesli Bar 6pk</t>
        </is>
      </c>
      <c r="D199" s="25" t="inlineStr">
        <is>
          <t>Snacks &amp; Confectionery</t>
        </is>
      </c>
      <c r="E199" s="26" t="n">
        <v>274.56</v>
      </c>
      <c r="F199" s="27" t="n">
        <v>64</v>
      </c>
      <c r="G199" s="26" t="n">
        <v>108.16</v>
      </c>
    </row>
    <row r="200">
      <c r="A200" s="24" t="n">
        <v>46152</v>
      </c>
      <c r="B200" s="25" t="inlineStr">
        <is>
          <t>SNK004</t>
        </is>
      </c>
      <c r="C200" s="25" t="inlineStr">
        <is>
          <t>Corn Chips 230g</t>
        </is>
      </c>
      <c r="D200" s="25" t="inlineStr">
        <is>
          <t>Snacks &amp; Confectionery</t>
        </is>
      </c>
      <c r="E200" s="26" t="n">
        <v>278.38</v>
      </c>
      <c r="F200" s="27" t="n">
        <v>62</v>
      </c>
      <c r="G200" s="26" t="n">
        <v>129.58</v>
      </c>
    </row>
    <row r="201">
      <c r="A201" s="24" t="n">
        <v>46152</v>
      </c>
      <c r="B201" s="25" t="inlineStr">
        <is>
          <t>SNK005</t>
        </is>
      </c>
      <c r="C201" s="25" t="inlineStr">
        <is>
          <t>Lollies Bag 200g</t>
        </is>
      </c>
      <c r="D201" s="25" t="inlineStr">
        <is>
          <t>Snacks &amp; Confectionery</t>
        </is>
      </c>
      <c r="E201" s="26" t="n">
        <v>265.84</v>
      </c>
      <c r="F201" s="27" t="n">
        <v>86</v>
      </c>
      <c r="G201" s="26" t="n">
        <v>119.64</v>
      </c>
    </row>
    <row r="202">
      <c r="A202" s="24" t="n">
        <v>46159</v>
      </c>
      <c r="B202" s="25" t="inlineStr">
        <is>
          <t>BAK001</t>
        </is>
      </c>
      <c r="C202" s="25" t="inlineStr">
        <is>
          <t>Toast Bread White</t>
        </is>
      </c>
      <c r="D202" s="25" t="inlineStr">
        <is>
          <t>Bakery</t>
        </is>
      </c>
      <c r="E202" s="26" t="n">
        <v>553.34</v>
      </c>
      <c r="F202" s="27" t="n">
        <v>176</v>
      </c>
      <c r="G202" s="26" t="n">
        <v>166.14</v>
      </c>
    </row>
    <row r="203">
      <c r="A203" s="24" t="n">
        <v>46159</v>
      </c>
      <c r="B203" s="25" t="inlineStr">
        <is>
          <t>BAK002</t>
        </is>
      </c>
      <c r="C203" s="25" t="inlineStr">
        <is>
          <t>Wholemeal Loaf</t>
        </is>
      </c>
      <c r="D203" s="25" t="inlineStr">
        <is>
          <t>Bakery</t>
        </is>
      </c>
      <c r="E203" s="26" t="n">
        <v>429</v>
      </c>
      <c r="F203" s="27" t="n">
        <v>100</v>
      </c>
      <c r="G203" s="26" t="n">
        <v>159</v>
      </c>
    </row>
    <row r="204">
      <c r="A204" s="24" t="n">
        <v>46159</v>
      </c>
      <c r="B204" s="25" t="inlineStr">
        <is>
          <t>BAK003</t>
        </is>
      </c>
      <c r="C204" s="25" t="inlineStr">
        <is>
          <t>Croissant 4pk</t>
        </is>
      </c>
      <c r="D204" s="25" t="inlineStr">
        <is>
          <t>Bakery</t>
        </is>
      </c>
      <c r="E204" s="26" t="n">
        <v>167.72</v>
      </c>
      <c r="F204" s="27" t="n">
        <v>28</v>
      </c>
      <c r="G204" s="26" t="n">
        <v>75.31999999999999</v>
      </c>
    </row>
    <row r="205">
      <c r="A205" s="24" t="n">
        <v>46159</v>
      </c>
      <c r="B205" s="25" t="inlineStr">
        <is>
          <t>BBT001</t>
        </is>
      </c>
      <c r="C205" s="25" t="inlineStr">
        <is>
          <t>Bubble Tea Kit</t>
        </is>
      </c>
      <c r="D205" s="25" t="inlineStr">
        <is>
          <t>Beverages</t>
        </is>
      </c>
      <c r="E205" s="26" t="n">
        <v>265.58</v>
      </c>
      <c r="F205" s="27" t="n">
        <v>42</v>
      </c>
      <c r="G205" s="26" t="n">
        <v>101.78</v>
      </c>
    </row>
    <row r="206">
      <c r="A206" s="24" t="n">
        <v>46159</v>
      </c>
      <c r="B206" s="25" t="inlineStr">
        <is>
          <t>BEV001</t>
        </is>
      </c>
      <c r="C206" s="25" t="inlineStr">
        <is>
          <t>Energy Drink 500ml</t>
        </is>
      </c>
      <c r="D206" s="25" t="inlineStr">
        <is>
          <t>Beverages</t>
        </is>
      </c>
      <c r="E206" s="26" t="n">
        <v>789.36</v>
      </c>
      <c r="F206" s="27" t="n">
        <v>184</v>
      </c>
      <c r="G206" s="26" t="n">
        <v>393.76</v>
      </c>
    </row>
    <row r="207">
      <c r="A207" s="24" t="n">
        <v>46159</v>
      </c>
      <c r="B207" s="25" t="inlineStr">
        <is>
          <t>BEV002</t>
        </is>
      </c>
      <c r="C207" s="25" t="inlineStr">
        <is>
          <t>Cola 1.5L</t>
        </is>
      </c>
      <c r="D207" s="25" t="inlineStr">
        <is>
          <t>Beverages</t>
        </is>
      </c>
      <c r="E207" s="26" t="n">
        <v>368.18</v>
      </c>
      <c r="F207" s="27" t="n">
        <v>82</v>
      </c>
      <c r="G207" s="26" t="n">
        <v>179.58</v>
      </c>
    </row>
    <row r="208">
      <c r="A208" s="24" t="n">
        <v>46159</v>
      </c>
      <c r="B208" s="25" t="inlineStr">
        <is>
          <t>BEV003</t>
        </is>
      </c>
      <c r="C208" s="25" t="inlineStr">
        <is>
          <t>Sparkling Water 1L</t>
        </is>
      </c>
      <c r="D208" s="25" t="inlineStr">
        <is>
          <t>Beverages</t>
        </is>
      </c>
      <c r="E208" s="26" t="n">
        <v>184.26</v>
      </c>
      <c r="F208" s="27" t="n">
        <v>74</v>
      </c>
      <c r="G208" s="26" t="n">
        <v>102.86</v>
      </c>
    </row>
    <row r="209">
      <c r="A209" s="24" t="n">
        <v>46159</v>
      </c>
      <c r="B209" s="25" t="inlineStr">
        <is>
          <t>BEV004</t>
        </is>
      </c>
      <c r="C209" s="25" t="inlineStr">
        <is>
          <t>Iced Coffee 500ml</t>
        </is>
      </c>
      <c r="D209" s="25" t="inlineStr">
        <is>
          <t>Beverages</t>
        </is>
      </c>
      <c r="E209" s="26" t="n">
        <v>464.0700000000001</v>
      </c>
      <c r="F209" s="27" t="n">
        <v>93</v>
      </c>
      <c r="G209" s="26" t="n">
        <v>212.97</v>
      </c>
    </row>
    <row r="210">
      <c r="A210" s="24" t="n">
        <v>46159</v>
      </c>
      <c r="B210" s="25" t="inlineStr">
        <is>
          <t>BEV005</t>
        </is>
      </c>
      <c r="C210" s="25" t="inlineStr">
        <is>
          <t>Kombucha 330ml</t>
        </is>
      </c>
      <c r="D210" s="25" t="inlineStr">
        <is>
          <t>Beverages</t>
        </is>
      </c>
      <c r="E210" s="26" t="n">
        <v>234.71</v>
      </c>
      <c r="F210" s="27" t="n">
        <v>49</v>
      </c>
      <c r="G210" s="26" t="n">
        <v>107.31</v>
      </c>
    </row>
    <row r="211">
      <c r="A211" s="24" t="n">
        <v>46159</v>
      </c>
      <c r="B211" s="25" t="inlineStr">
        <is>
          <t>BEV006</t>
        </is>
      </c>
      <c r="C211" s="25" t="inlineStr">
        <is>
          <t>Bottled Water 750ml</t>
        </is>
      </c>
      <c r="D211" s="25" t="inlineStr">
        <is>
          <t>Beverages</t>
        </is>
      </c>
      <c r="E211" s="26" t="n">
        <v>376.74</v>
      </c>
      <c r="F211" s="27" t="n">
        <v>126</v>
      </c>
      <c r="G211" s="26" t="n">
        <v>257.04</v>
      </c>
    </row>
    <row r="212">
      <c r="A212" s="24" t="n">
        <v>46159</v>
      </c>
      <c r="B212" s="25" t="inlineStr">
        <is>
          <t>DRY010</t>
        </is>
      </c>
      <c r="C212" s="25" t="inlineStr">
        <is>
          <t>Butter 500g</t>
        </is>
      </c>
      <c r="D212" s="25" t="inlineStr">
        <is>
          <t>Dairy</t>
        </is>
      </c>
      <c r="E212" s="26" t="n">
        <v>322.07</v>
      </c>
      <c r="F212" s="27" t="n">
        <v>43</v>
      </c>
      <c r="G212" s="26" t="n">
        <v>81.27</v>
      </c>
    </row>
    <row r="213">
      <c r="A213" s="24" t="n">
        <v>46159</v>
      </c>
      <c r="B213" s="25" t="inlineStr">
        <is>
          <t>DRY011</t>
        </is>
      </c>
      <c r="C213" s="25" t="inlineStr">
        <is>
          <t>Greek Yoghurt 1kg</t>
        </is>
      </c>
      <c r="D213" s="25" t="inlineStr">
        <is>
          <t>Dairy</t>
        </is>
      </c>
      <c r="E213" s="26" t="n">
        <v>287.64</v>
      </c>
      <c r="F213" s="27" t="n">
        <v>36</v>
      </c>
      <c r="G213" s="26" t="n">
        <v>104.04</v>
      </c>
    </row>
    <row r="214">
      <c r="A214" s="24" t="n">
        <v>46159</v>
      </c>
      <c r="B214" s="25" t="inlineStr">
        <is>
          <t>DRY012</t>
        </is>
      </c>
      <c r="C214" s="25" t="inlineStr">
        <is>
          <t>Cheese Block 1kg</t>
        </is>
      </c>
      <c r="D214" s="25" t="inlineStr">
        <is>
          <t>Dairy</t>
        </is>
      </c>
      <c r="E214" s="26" t="n">
        <v>601.5700000000001</v>
      </c>
      <c r="F214" s="27" t="n">
        <v>43</v>
      </c>
      <c r="G214" s="26" t="n">
        <v>154.37</v>
      </c>
    </row>
    <row r="215">
      <c r="A215" s="24" t="n">
        <v>46159</v>
      </c>
      <c r="B215" s="25" t="inlineStr">
        <is>
          <t>FRZ001</t>
        </is>
      </c>
      <c r="C215" s="25" t="inlineStr">
        <is>
          <t>Ice Cream Tub 2L</t>
        </is>
      </c>
      <c r="D215" s="25" t="inlineStr">
        <is>
          <t>Frozen</t>
        </is>
      </c>
      <c r="E215" s="26" t="n">
        <v>323.64</v>
      </c>
      <c r="F215" s="27" t="n">
        <v>36</v>
      </c>
      <c r="G215" s="26" t="n">
        <v>129.24</v>
      </c>
    </row>
    <row r="216">
      <c r="A216" s="24" t="n">
        <v>46159</v>
      </c>
      <c r="B216" s="25" t="inlineStr">
        <is>
          <t>FRZ002</t>
        </is>
      </c>
      <c r="C216" s="25" t="inlineStr">
        <is>
          <t>Ice Block Single</t>
        </is>
      </c>
      <c r="D216" s="25" t="inlineStr">
        <is>
          <t>Frozen</t>
        </is>
      </c>
      <c r="E216" s="26" t="n">
        <v>200.33</v>
      </c>
      <c r="F216" s="27" t="n">
        <v>67</v>
      </c>
      <c r="G216" s="26" t="n">
        <v>119.93</v>
      </c>
    </row>
    <row r="217">
      <c r="A217" s="24" t="n">
        <v>46159</v>
      </c>
      <c r="B217" s="25" t="inlineStr">
        <is>
          <t>FRZ003</t>
        </is>
      </c>
      <c r="C217" s="25" t="inlineStr">
        <is>
          <t>Frozen Pizza</t>
        </is>
      </c>
      <c r="D217" s="25" t="inlineStr">
        <is>
          <t>Frozen</t>
        </is>
      </c>
      <c r="E217" s="26" t="n">
        <v>327.59</v>
      </c>
      <c r="F217" s="27" t="n">
        <v>41</v>
      </c>
      <c r="G217" s="26" t="n">
        <v>134.89</v>
      </c>
    </row>
    <row r="218">
      <c r="A218" s="24" t="n">
        <v>46159</v>
      </c>
      <c r="B218" s="25" t="inlineStr">
        <is>
          <t>FRZ004</t>
        </is>
      </c>
      <c r="C218" s="25" t="inlineStr">
        <is>
          <t>Frozen Dumplings 1kg</t>
        </is>
      </c>
      <c r="D218" s="25" t="inlineStr">
        <is>
          <t>Frozen</t>
        </is>
      </c>
      <c r="E218" s="26" t="n">
        <v>419.65</v>
      </c>
      <c r="F218" s="27" t="n">
        <v>35</v>
      </c>
      <c r="G218" s="26" t="n">
        <v>171.15</v>
      </c>
    </row>
    <row r="219">
      <c r="A219" s="24" t="n">
        <v>46159</v>
      </c>
      <c r="B219" s="25" t="inlineStr">
        <is>
          <t>FTG001</t>
        </is>
      </c>
      <c r="C219" s="25" t="inlineStr">
        <is>
          <t>Chicken Sandwich</t>
        </is>
      </c>
      <c r="D219" s="25" t="inlineStr">
        <is>
          <t>Food To Go</t>
        </is>
      </c>
      <c r="E219" s="26" t="n">
        <v>1116.01</v>
      </c>
      <c r="F219" s="27" t="n">
        <v>149</v>
      </c>
      <c r="G219" s="26" t="n">
        <v>534.91</v>
      </c>
    </row>
    <row r="220">
      <c r="A220" s="24" t="n">
        <v>46159</v>
      </c>
      <c r="B220" s="25" t="inlineStr">
        <is>
          <t>FTG002</t>
        </is>
      </c>
      <c r="C220" s="25" t="inlineStr">
        <is>
          <t>Sushi Pack 8pc</t>
        </is>
      </c>
      <c r="D220" s="25" t="inlineStr">
        <is>
          <t>Food To Go</t>
        </is>
      </c>
      <c r="E220" s="26" t="n">
        <v>899.1</v>
      </c>
      <c r="F220" s="27" t="n">
        <v>90</v>
      </c>
      <c r="G220" s="26" t="n">
        <v>395.1</v>
      </c>
    </row>
    <row r="221">
      <c r="A221" s="24" t="n">
        <v>46159</v>
      </c>
      <c r="B221" s="25" t="inlineStr">
        <is>
          <t>FTG003</t>
        </is>
      </c>
      <c r="C221" s="25" t="inlineStr">
        <is>
          <t>Hot Pie Mince &amp; Cheese</t>
        </is>
      </c>
      <c r="D221" s="25" t="inlineStr">
        <is>
          <t>Food To Go</t>
        </is>
      </c>
      <c r="E221" s="26" t="n">
        <v>636.84</v>
      </c>
      <c r="F221" s="27" t="n">
        <v>116</v>
      </c>
      <c r="G221" s="26" t="n">
        <v>358.44</v>
      </c>
    </row>
    <row r="222">
      <c r="A222" s="24" t="n">
        <v>46159</v>
      </c>
      <c r="B222" s="25" t="inlineStr">
        <is>
          <t>FTG004</t>
        </is>
      </c>
      <c r="C222" s="25" t="inlineStr">
        <is>
          <t>Salad Bowl</t>
        </is>
      </c>
      <c r="D222" s="25" t="inlineStr">
        <is>
          <t>Food To Go</t>
        </is>
      </c>
      <c r="E222" s="26" t="n">
        <v>593.46</v>
      </c>
      <c r="F222" s="27" t="n">
        <v>54</v>
      </c>
      <c r="G222" s="26" t="n">
        <v>258.66</v>
      </c>
    </row>
    <row r="223">
      <c r="A223" s="24" t="n">
        <v>46159</v>
      </c>
      <c r="B223" s="25" t="inlineStr">
        <is>
          <t>FTG005</t>
        </is>
      </c>
      <c r="C223" s="25" t="inlineStr">
        <is>
          <t>Filled Roll</t>
        </is>
      </c>
      <c r="D223" s="25" t="inlineStr">
        <is>
          <t>Food To Go</t>
        </is>
      </c>
      <c r="E223" s="26" t="n">
        <v>350.46</v>
      </c>
      <c r="F223" s="27" t="n">
        <v>54</v>
      </c>
      <c r="G223" s="26" t="n">
        <v>177.66</v>
      </c>
    </row>
    <row r="224">
      <c r="A224" s="24" t="n">
        <v>46159</v>
      </c>
      <c r="B224" s="25" t="inlineStr">
        <is>
          <t>GRO001</t>
        </is>
      </c>
      <c r="C224" s="25" t="inlineStr">
        <is>
          <t>Instant Noodles 5pk</t>
        </is>
      </c>
      <c r="D224" s="25" t="inlineStr">
        <is>
          <t>Grocery</t>
        </is>
      </c>
      <c r="E224" s="26" t="n">
        <v>368.18</v>
      </c>
      <c r="F224" s="27" t="n">
        <v>82</v>
      </c>
      <c r="G224" s="26" t="n">
        <v>154.98</v>
      </c>
    </row>
    <row r="225">
      <c r="A225" s="24" t="n">
        <v>46159</v>
      </c>
      <c r="B225" s="25" t="inlineStr">
        <is>
          <t>GRO002</t>
        </is>
      </c>
      <c r="C225" s="25" t="inlineStr">
        <is>
          <t>Canned Soup 500g</t>
        </is>
      </c>
      <c r="D225" s="25" t="inlineStr">
        <is>
          <t>Grocery</t>
        </is>
      </c>
      <c r="E225" s="26" t="n">
        <v>157.92</v>
      </c>
      <c r="F225" s="27" t="n">
        <v>48</v>
      </c>
      <c r="G225" s="26" t="n">
        <v>66.72</v>
      </c>
    </row>
    <row r="226">
      <c r="A226" s="24" t="n">
        <v>46159</v>
      </c>
      <c r="B226" s="25" t="inlineStr">
        <is>
          <t>GRO003</t>
        </is>
      </c>
      <c r="C226" s="25" t="inlineStr">
        <is>
          <t>Pasta 500g</t>
        </is>
      </c>
      <c r="D226" s="25" t="inlineStr">
        <is>
          <t>Grocery</t>
        </is>
      </c>
      <c r="E226" s="26" t="n">
        <v>119.52</v>
      </c>
      <c r="F226" s="27" t="n">
        <v>48</v>
      </c>
      <c r="G226" s="26" t="n">
        <v>57.12</v>
      </c>
    </row>
    <row r="227">
      <c r="A227" s="24" t="n">
        <v>46159</v>
      </c>
      <c r="B227" s="25" t="inlineStr">
        <is>
          <t>GRO004</t>
        </is>
      </c>
      <c r="C227" s="25" t="inlineStr">
        <is>
          <t>Simmer Sauce 485g</t>
        </is>
      </c>
      <c r="D227" s="25" t="inlineStr">
        <is>
          <t>Grocery</t>
        </is>
      </c>
      <c r="E227" s="26" t="n">
        <v>171.57</v>
      </c>
      <c r="F227" s="27" t="n">
        <v>43</v>
      </c>
      <c r="G227" s="26" t="n">
        <v>72.67</v>
      </c>
    </row>
    <row r="228">
      <c r="A228" s="24" t="n">
        <v>46159</v>
      </c>
      <c r="B228" s="25" t="inlineStr">
        <is>
          <t>GRO005</t>
        </is>
      </c>
      <c r="C228" s="25" t="inlineStr">
        <is>
          <t>Salsa 300g</t>
        </is>
      </c>
      <c r="D228" s="25" t="inlineStr">
        <is>
          <t>Grocery</t>
        </is>
      </c>
      <c r="E228" s="26" t="n">
        <v>95.8</v>
      </c>
      <c r="F228" s="27" t="n">
        <v>20</v>
      </c>
      <c r="G228" s="26" t="n">
        <v>37.8</v>
      </c>
    </row>
    <row r="229">
      <c r="A229" s="24" t="n">
        <v>46159</v>
      </c>
      <c r="B229" s="25" t="inlineStr">
        <is>
          <t>GRO006</t>
        </is>
      </c>
      <c r="C229" s="25" t="inlineStr">
        <is>
          <t>Taco Kit</t>
        </is>
      </c>
      <c r="D229" s="25" t="inlineStr">
        <is>
          <t>Grocery</t>
        </is>
      </c>
      <c r="E229" s="26" t="n">
        <v>136.29</v>
      </c>
      <c r="F229" s="27" t="n">
        <v>21</v>
      </c>
      <c r="G229" s="26" t="n">
        <v>52.29</v>
      </c>
    </row>
    <row r="230">
      <c r="A230" s="24" t="n">
        <v>46159</v>
      </c>
      <c r="B230" s="25" t="inlineStr">
        <is>
          <t>GRO007</t>
        </is>
      </c>
      <c r="C230" s="25" t="inlineStr">
        <is>
          <t>Eggs Free Range 12pk</t>
        </is>
      </c>
      <c r="D230" s="25" t="inlineStr">
        <is>
          <t>Grocery</t>
        </is>
      </c>
      <c r="E230" s="26" t="n">
        <v>923.1600000000001</v>
      </c>
      <c r="F230" s="27" t="n">
        <v>84</v>
      </c>
      <c r="G230" s="26" t="n">
        <v>234.36</v>
      </c>
    </row>
    <row r="231">
      <c r="A231" s="24" t="n">
        <v>46159</v>
      </c>
      <c r="B231" s="25" t="inlineStr">
        <is>
          <t>GRO008</t>
        </is>
      </c>
      <c r="C231" s="25" t="inlineStr">
        <is>
          <t>Coffee Beans 200g</t>
        </is>
      </c>
      <c r="D231" s="25" t="inlineStr">
        <is>
          <t>Grocery</t>
        </is>
      </c>
      <c r="E231" s="26" t="n">
        <v>191.84</v>
      </c>
      <c r="F231" s="27" t="n">
        <v>16</v>
      </c>
      <c r="G231" s="26" t="n">
        <v>70.23999999999999</v>
      </c>
    </row>
    <row r="232">
      <c r="A232" s="24" t="n">
        <v>46159</v>
      </c>
      <c r="B232" s="25" t="inlineStr">
        <is>
          <t>HHD001</t>
        </is>
      </c>
      <c r="C232" s="25" t="inlineStr">
        <is>
          <t>Toilet Paper 6pk</t>
        </is>
      </c>
      <c r="D232" s="25" t="inlineStr">
        <is>
          <t>Household</t>
        </is>
      </c>
      <c r="E232" s="26" t="n">
        <v>332.63</v>
      </c>
      <c r="F232" s="27" t="n">
        <v>37</v>
      </c>
      <c r="G232" s="26" t="n">
        <v>114.33</v>
      </c>
    </row>
    <row r="233">
      <c r="A233" s="24" t="n">
        <v>46159</v>
      </c>
      <c r="B233" s="25" t="inlineStr">
        <is>
          <t>HHD002</t>
        </is>
      </c>
      <c r="C233" s="25" t="inlineStr">
        <is>
          <t>Dishwash Liquid</t>
        </is>
      </c>
      <c r="D233" s="25" t="inlineStr">
        <is>
          <t>Household</t>
        </is>
      </c>
      <c r="E233" s="26" t="n">
        <v>89.82000000000001</v>
      </c>
      <c r="F233" s="27" t="n">
        <v>18</v>
      </c>
      <c r="G233" s="26" t="n">
        <v>37.62</v>
      </c>
    </row>
    <row r="234">
      <c r="A234" s="24" t="n">
        <v>46159</v>
      </c>
      <c r="B234" s="25" t="inlineStr">
        <is>
          <t>HHD003</t>
        </is>
      </c>
      <c r="C234" s="25" t="inlineStr">
        <is>
          <t>Phone Charger Cable</t>
        </is>
      </c>
      <c r="D234" s="25" t="inlineStr">
        <is>
          <t>Household</t>
        </is>
      </c>
      <c r="E234" s="26" t="n">
        <v>179.88</v>
      </c>
      <c r="F234" s="27" t="n">
        <v>12</v>
      </c>
      <c r="G234" s="26" t="n">
        <v>113.88</v>
      </c>
    </row>
    <row r="235">
      <c r="A235" s="24" t="n">
        <v>46159</v>
      </c>
      <c r="B235" s="25" t="inlineStr">
        <is>
          <t>LIQ001</t>
        </is>
      </c>
      <c r="C235" s="25" t="inlineStr">
        <is>
          <t>Craft Beer 6pk</t>
        </is>
      </c>
      <c r="D235" s="25" t="inlineStr">
        <is>
          <t>Beer &amp; Wine</t>
        </is>
      </c>
      <c r="E235" s="26" t="n">
        <v>551.76</v>
      </c>
      <c r="F235" s="27" t="n">
        <v>24</v>
      </c>
      <c r="G235" s="26" t="n">
        <v>184.56</v>
      </c>
    </row>
    <row r="236">
      <c r="A236" s="24" t="n">
        <v>46159</v>
      </c>
      <c r="B236" s="25" t="inlineStr">
        <is>
          <t>LIQ002</t>
        </is>
      </c>
      <c r="C236" s="25" t="inlineStr">
        <is>
          <t>Sauvignon Blanc 750ml</t>
        </is>
      </c>
      <c r="D236" s="25" t="inlineStr">
        <is>
          <t>Beer &amp; Wine</t>
        </is>
      </c>
      <c r="E236" s="26" t="n">
        <v>511.68</v>
      </c>
      <c r="F236" s="27" t="n">
        <v>32</v>
      </c>
      <c r="G236" s="26" t="n">
        <v>185.28</v>
      </c>
    </row>
    <row r="237">
      <c r="A237" s="24" t="n">
        <v>46159</v>
      </c>
      <c r="B237" s="25" t="inlineStr">
        <is>
          <t>LIQ003</t>
        </is>
      </c>
      <c r="C237" s="25" t="inlineStr">
        <is>
          <t>RTD 4pk</t>
        </is>
      </c>
      <c r="D237" s="25" t="inlineStr">
        <is>
          <t>Beer &amp; Wine</t>
        </is>
      </c>
      <c r="E237" s="26" t="n">
        <v>611.66</v>
      </c>
      <c r="F237" s="27" t="n">
        <v>34</v>
      </c>
      <c r="G237" s="26" t="n">
        <v>207.06</v>
      </c>
    </row>
    <row r="238">
      <c r="A238" s="24" t="n">
        <v>46159</v>
      </c>
      <c r="B238" s="25" t="inlineStr">
        <is>
          <t>LIQ004</t>
        </is>
      </c>
      <c r="C238" s="25" t="inlineStr">
        <is>
          <t>Pinot Noir 750ml</t>
        </is>
      </c>
      <c r="D238" s="25" t="inlineStr">
        <is>
          <t>Beer &amp; Wine</t>
        </is>
      </c>
      <c r="E238" s="26" t="n">
        <v>359.82</v>
      </c>
      <c r="F238" s="27" t="n">
        <v>18</v>
      </c>
      <c r="G238" s="26" t="n">
        <v>129.42</v>
      </c>
    </row>
    <row r="239">
      <c r="A239" s="24" t="n">
        <v>46159</v>
      </c>
      <c r="B239" s="25" t="inlineStr">
        <is>
          <t>MLK001</t>
        </is>
      </c>
      <c r="C239" s="25" t="inlineStr">
        <is>
          <t>Milk Standard 2L</t>
        </is>
      </c>
      <c r="D239" s="25" t="inlineStr">
        <is>
          <t>Dairy</t>
        </is>
      </c>
      <c r="E239" s="26" t="n">
        <v>1295.5</v>
      </c>
      <c r="F239" s="27" t="n">
        <v>300</v>
      </c>
      <c r="G239" s="26" t="n">
        <v>230.5</v>
      </c>
    </row>
    <row r="240">
      <c r="A240" s="24" t="n">
        <v>46159</v>
      </c>
      <c r="B240" s="25" t="inlineStr">
        <is>
          <t>MLK002</t>
        </is>
      </c>
      <c r="C240" s="25" t="inlineStr">
        <is>
          <t>Milk Lite 2L</t>
        </is>
      </c>
      <c r="D240" s="25" t="inlineStr">
        <is>
          <t>Dairy</t>
        </is>
      </c>
      <c r="E240" s="26" t="n">
        <v>667.78</v>
      </c>
      <c r="F240" s="27" t="n">
        <v>156</v>
      </c>
      <c r="G240" s="26" t="n">
        <v>113.98</v>
      </c>
    </row>
    <row r="241">
      <c r="A241" s="24" t="n">
        <v>46159</v>
      </c>
      <c r="B241" s="25" t="inlineStr">
        <is>
          <t>MLK003</t>
        </is>
      </c>
      <c r="C241" s="25" t="inlineStr">
        <is>
          <t>Oat Milk 1L</t>
        </is>
      </c>
      <c r="D241" s="25" t="inlineStr">
        <is>
          <t>Dairy</t>
        </is>
      </c>
      <c r="E241" s="26" t="n">
        <v>218.72</v>
      </c>
      <c r="F241" s="27" t="n">
        <v>58</v>
      </c>
      <c r="G241" s="26" t="n">
        <v>62.12</v>
      </c>
    </row>
    <row r="242">
      <c r="A242" s="24" t="n">
        <v>46159</v>
      </c>
      <c r="B242" s="25" t="inlineStr">
        <is>
          <t>PHM001</t>
        </is>
      </c>
      <c r="C242" s="25" t="inlineStr">
        <is>
          <t>Paracetamol 20pk</t>
        </is>
      </c>
      <c r="D242" s="25" t="inlineStr">
        <is>
          <t>Health &amp; Beauty</t>
        </is>
      </c>
      <c r="E242" s="26" t="n">
        <v>151.62</v>
      </c>
      <c r="F242" s="27" t="n">
        <v>38</v>
      </c>
      <c r="G242" s="26" t="n">
        <v>90.81999999999999</v>
      </c>
    </row>
    <row r="243">
      <c r="A243" s="24" t="n">
        <v>46159</v>
      </c>
      <c r="B243" s="25" t="inlineStr">
        <is>
          <t>PHM002</t>
        </is>
      </c>
      <c r="C243" s="25" t="inlineStr">
        <is>
          <t>Sunscreen SPF50</t>
        </is>
      </c>
      <c r="D243" s="25" t="inlineStr">
        <is>
          <t>Health &amp; Beauty</t>
        </is>
      </c>
      <c r="E243" s="26" t="n">
        <v>134.91</v>
      </c>
      <c r="F243" s="27" t="n">
        <v>9</v>
      </c>
      <c r="G243" s="26" t="n">
        <v>61.11</v>
      </c>
    </row>
    <row r="244">
      <c r="A244" s="24" t="n">
        <v>46159</v>
      </c>
      <c r="B244" s="25" t="inlineStr">
        <is>
          <t>PRD001</t>
        </is>
      </c>
      <c r="C244" s="25" t="inlineStr">
        <is>
          <t>Bananas (each)</t>
        </is>
      </c>
      <c r="D244" s="25" t="inlineStr">
        <is>
          <t>Produce</t>
        </is>
      </c>
      <c r="E244" s="26" t="n">
        <v>147.66</v>
      </c>
      <c r="F244" s="27" t="n">
        <v>214</v>
      </c>
      <c r="G244" s="26" t="n">
        <v>66.34</v>
      </c>
    </row>
    <row r="245">
      <c r="A245" s="24" t="n">
        <v>46159</v>
      </c>
      <c r="B245" s="25" t="inlineStr">
        <is>
          <t>PRD002</t>
        </is>
      </c>
      <c r="C245" s="25" t="inlineStr">
        <is>
          <t>Avocado</t>
        </is>
      </c>
      <c r="D245" s="25" t="inlineStr">
        <is>
          <t>Produce</t>
        </is>
      </c>
      <c r="E245" s="26" t="n">
        <v>117.03</v>
      </c>
      <c r="F245" s="27" t="n">
        <v>47</v>
      </c>
      <c r="G245" s="26" t="n">
        <v>51.23</v>
      </c>
    </row>
    <row r="246">
      <c r="A246" s="24" t="n">
        <v>46159</v>
      </c>
      <c r="B246" s="25" t="inlineStr">
        <is>
          <t>PRD003</t>
        </is>
      </c>
      <c r="C246" s="25" t="inlineStr">
        <is>
          <t>Tomatoes 500g</t>
        </is>
      </c>
      <c r="D246" s="25" t="inlineStr">
        <is>
          <t>Produce</t>
        </is>
      </c>
      <c r="E246" s="26" t="n">
        <v>166.13</v>
      </c>
      <c r="F246" s="27" t="n">
        <v>37</v>
      </c>
      <c r="G246" s="26" t="n">
        <v>69.93000000000001</v>
      </c>
    </row>
    <row r="247">
      <c r="A247" s="24" t="n">
        <v>46159</v>
      </c>
      <c r="B247" s="25" t="inlineStr">
        <is>
          <t>SNK001</t>
        </is>
      </c>
      <c r="C247" s="25" t="inlineStr">
        <is>
          <t>Potato Chips 150g</t>
        </is>
      </c>
      <c r="D247" s="25" t="inlineStr">
        <is>
          <t>Snacks &amp; Confectionery</t>
        </is>
      </c>
      <c r="E247" s="26" t="n">
        <v>630.42</v>
      </c>
      <c r="F247" s="27" t="n">
        <v>158</v>
      </c>
      <c r="G247" s="26" t="n">
        <v>298.62</v>
      </c>
    </row>
    <row r="248">
      <c r="A248" s="24" t="n">
        <v>46159</v>
      </c>
      <c r="B248" s="25" t="inlineStr">
        <is>
          <t>SNK002</t>
        </is>
      </c>
      <c r="C248" s="25" t="inlineStr">
        <is>
          <t>Chocolate Block 200g</t>
        </is>
      </c>
      <c r="D248" s="25" t="inlineStr">
        <is>
          <t>Snacks &amp; Confectionery</t>
        </is>
      </c>
      <c r="E248" s="26" t="n">
        <v>669.78</v>
      </c>
      <c r="F248" s="27" t="n">
        <v>122</v>
      </c>
      <c r="G248" s="26" t="n">
        <v>279.38</v>
      </c>
    </row>
    <row r="249">
      <c r="A249" s="24" t="n">
        <v>46159</v>
      </c>
      <c r="B249" s="25" t="inlineStr">
        <is>
          <t>SNK003</t>
        </is>
      </c>
      <c r="C249" s="25" t="inlineStr">
        <is>
          <t>Muesli Bar 6pk</t>
        </is>
      </c>
      <c r="D249" s="25" t="inlineStr">
        <is>
          <t>Snacks &amp; Confectionery</t>
        </is>
      </c>
      <c r="E249" s="26" t="n">
        <v>231.59</v>
      </c>
      <c r="F249" s="27" t="n">
        <v>61</v>
      </c>
      <c r="G249" s="26" t="n">
        <v>72.98999999999999</v>
      </c>
    </row>
    <row r="250">
      <c r="A250" s="24" t="n">
        <v>46159</v>
      </c>
      <c r="B250" s="25" t="inlineStr">
        <is>
          <t>SNK004</t>
        </is>
      </c>
      <c r="C250" s="25" t="inlineStr">
        <is>
          <t>Corn Chips 230g</t>
        </is>
      </c>
      <c r="D250" s="25" t="inlineStr">
        <is>
          <t>Snacks &amp; Confectionery</t>
        </is>
      </c>
      <c r="E250" s="26" t="n">
        <v>291.85</v>
      </c>
      <c r="F250" s="27" t="n">
        <v>65</v>
      </c>
      <c r="G250" s="26" t="n">
        <v>135.85</v>
      </c>
    </row>
    <row r="251">
      <c r="A251" s="24" t="n">
        <v>46159</v>
      </c>
      <c r="B251" s="25" t="inlineStr">
        <is>
          <t>SNK005</t>
        </is>
      </c>
      <c r="C251" s="25" t="inlineStr">
        <is>
          <t>Lollies Bag 200g</t>
        </is>
      </c>
      <c r="D251" s="25" t="inlineStr">
        <is>
          <t>Snacks &amp; Confectionery</t>
        </is>
      </c>
      <c r="E251" s="26" t="n">
        <v>226.85</v>
      </c>
      <c r="F251" s="27" t="n">
        <v>65</v>
      </c>
      <c r="G251" s="26" t="n">
        <v>116.35</v>
      </c>
    </row>
    <row r="252">
      <c r="A252" s="24" t="n">
        <v>46166</v>
      </c>
      <c r="B252" s="25" t="inlineStr">
        <is>
          <t>BAK001</t>
        </is>
      </c>
      <c r="C252" s="25" t="inlineStr">
        <is>
          <t>Toast Bread White</t>
        </is>
      </c>
      <c r="D252" s="25" t="inlineStr">
        <is>
          <t>Bakery</t>
        </is>
      </c>
      <c r="E252" s="26" t="n">
        <v>464.17</v>
      </c>
      <c r="F252" s="27" t="n">
        <v>133</v>
      </c>
      <c r="G252" s="26" t="n">
        <v>171.57</v>
      </c>
    </row>
    <row r="253">
      <c r="A253" s="24" t="n">
        <v>46166</v>
      </c>
      <c r="B253" s="25" t="inlineStr">
        <is>
          <t>BAK002</t>
        </is>
      </c>
      <c r="C253" s="25" t="inlineStr">
        <is>
          <t>Wholemeal Loaf</t>
        </is>
      </c>
      <c r="D253" s="25" t="inlineStr">
        <is>
          <t>Bakery</t>
        </is>
      </c>
      <c r="E253" s="26" t="n">
        <v>300.3</v>
      </c>
      <c r="F253" s="27" t="n">
        <v>70</v>
      </c>
      <c r="G253" s="26" t="n">
        <v>111.3</v>
      </c>
    </row>
    <row r="254">
      <c r="A254" s="24" t="n">
        <v>46166</v>
      </c>
      <c r="B254" s="25" t="inlineStr">
        <is>
          <t>BAK003</t>
        </is>
      </c>
      <c r="C254" s="25" t="inlineStr">
        <is>
          <t>Croissant 4pk</t>
        </is>
      </c>
      <c r="D254" s="25" t="inlineStr">
        <is>
          <t>Bakery</t>
        </is>
      </c>
      <c r="E254" s="26" t="n">
        <v>293.51</v>
      </c>
      <c r="F254" s="27" t="n">
        <v>49</v>
      </c>
      <c r="G254" s="26" t="n">
        <v>131.81</v>
      </c>
    </row>
    <row r="255">
      <c r="A255" s="24" t="n">
        <v>46166</v>
      </c>
      <c r="B255" s="25" t="inlineStr">
        <is>
          <t>BBT001</t>
        </is>
      </c>
      <c r="C255" s="25" t="inlineStr">
        <is>
          <t>Bubble Tea Kit</t>
        </is>
      </c>
      <c r="D255" s="25" t="inlineStr">
        <is>
          <t>Beverages</t>
        </is>
      </c>
      <c r="E255" s="26" t="n">
        <v>229.23</v>
      </c>
      <c r="F255" s="27" t="n">
        <v>37</v>
      </c>
      <c r="G255" s="26" t="n">
        <v>84.93000000000001</v>
      </c>
    </row>
    <row r="256">
      <c r="A256" s="24" t="n">
        <v>46166</v>
      </c>
      <c r="B256" s="25" t="inlineStr">
        <is>
          <t>BEV001</t>
        </is>
      </c>
      <c r="C256" s="25" t="inlineStr">
        <is>
          <t>Energy Drink 500ml</t>
        </is>
      </c>
      <c r="D256" s="25" t="inlineStr">
        <is>
          <t>Beverages</t>
        </is>
      </c>
      <c r="E256" s="26" t="n">
        <v>884.34</v>
      </c>
      <c r="F256" s="27" t="n">
        <v>232</v>
      </c>
      <c r="G256" s="26" t="n">
        <v>385.54</v>
      </c>
    </row>
    <row r="257">
      <c r="A257" s="24" t="n">
        <v>46166</v>
      </c>
      <c r="B257" s="25" t="inlineStr">
        <is>
          <t>BEV002</t>
        </is>
      </c>
      <c r="C257" s="25" t="inlineStr">
        <is>
          <t>Cola 1.5L</t>
        </is>
      </c>
      <c r="D257" s="25" t="inlineStr">
        <is>
          <t>Beverages</t>
        </is>
      </c>
      <c r="E257" s="26" t="n">
        <v>341.24</v>
      </c>
      <c r="F257" s="27" t="n">
        <v>76</v>
      </c>
      <c r="G257" s="26" t="n">
        <v>166.44</v>
      </c>
    </row>
    <row r="258">
      <c r="A258" s="24" t="n">
        <v>46166</v>
      </c>
      <c r="B258" s="25" t="inlineStr">
        <is>
          <t>BEV003</t>
        </is>
      </c>
      <c r="C258" s="25" t="inlineStr">
        <is>
          <t>Sparkling Water 1L</t>
        </is>
      </c>
      <c r="D258" s="25" t="inlineStr">
        <is>
          <t>Beverages</t>
        </is>
      </c>
      <c r="E258" s="26" t="n">
        <v>176.79</v>
      </c>
      <c r="F258" s="27" t="n">
        <v>71</v>
      </c>
      <c r="G258" s="26" t="n">
        <v>98.69</v>
      </c>
    </row>
    <row r="259">
      <c r="A259" s="24" t="n">
        <v>46166</v>
      </c>
      <c r="B259" s="25" t="inlineStr">
        <is>
          <t>BEV004</t>
        </is>
      </c>
      <c r="C259" s="25" t="inlineStr">
        <is>
          <t>Iced Coffee 500ml</t>
        </is>
      </c>
      <c r="D259" s="25" t="inlineStr">
        <is>
          <t>Beverages</t>
        </is>
      </c>
      <c r="E259" s="26" t="n">
        <v>364.27</v>
      </c>
      <c r="F259" s="27" t="n">
        <v>73</v>
      </c>
      <c r="G259" s="26" t="n">
        <v>167.17</v>
      </c>
    </row>
    <row r="260">
      <c r="A260" s="24" t="n">
        <v>46166</v>
      </c>
      <c r="B260" s="25" t="inlineStr">
        <is>
          <t>BEV005</t>
        </is>
      </c>
      <c r="C260" s="25" t="inlineStr">
        <is>
          <t>Kombucha 330ml</t>
        </is>
      </c>
      <c r="D260" s="25" t="inlineStr">
        <is>
          <t>Beverages</t>
        </is>
      </c>
      <c r="E260" s="26" t="n">
        <v>172.44</v>
      </c>
      <c r="F260" s="27" t="n">
        <v>36</v>
      </c>
      <c r="G260" s="26" t="n">
        <v>78.84</v>
      </c>
    </row>
    <row r="261">
      <c r="A261" s="24" t="n">
        <v>46166</v>
      </c>
      <c r="B261" s="25" t="inlineStr">
        <is>
          <t>BEV006</t>
        </is>
      </c>
      <c r="C261" s="25" t="inlineStr">
        <is>
          <t>Bottled Water 750ml</t>
        </is>
      </c>
      <c r="D261" s="25" t="inlineStr">
        <is>
          <t>Beverages</t>
        </is>
      </c>
      <c r="E261" s="26" t="n">
        <v>340.86</v>
      </c>
      <c r="F261" s="27" t="n">
        <v>114</v>
      </c>
      <c r="G261" s="26" t="n">
        <v>232.56</v>
      </c>
    </row>
    <row r="262">
      <c r="A262" s="24" t="n">
        <v>46166</v>
      </c>
      <c r="B262" s="25" t="inlineStr">
        <is>
          <t>DRY010</t>
        </is>
      </c>
      <c r="C262" s="25" t="inlineStr">
        <is>
          <t>Butter 500g</t>
        </is>
      </c>
      <c r="D262" s="25" t="inlineStr">
        <is>
          <t>Dairy</t>
        </is>
      </c>
      <c r="E262" s="26" t="n">
        <v>389.48</v>
      </c>
      <c r="F262" s="27" t="n">
        <v>52</v>
      </c>
      <c r="G262" s="26" t="n">
        <v>98.28</v>
      </c>
    </row>
    <row r="263">
      <c r="A263" s="24" t="n">
        <v>46166</v>
      </c>
      <c r="B263" s="25" t="inlineStr">
        <is>
          <t>DRY011</t>
        </is>
      </c>
      <c r="C263" s="25" t="inlineStr">
        <is>
          <t>Greek Yoghurt 1kg</t>
        </is>
      </c>
      <c r="D263" s="25" t="inlineStr">
        <is>
          <t>Dairy</t>
        </is>
      </c>
      <c r="E263" s="26" t="n">
        <v>255.68</v>
      </c>
      <c r="F263" s="27" t="n">
        <v>32</v>
      </c>
      <c r="G263" s="26" t="n">
        <v>92.48</v>
      </c>
    </row>
    <row r="264">
      <c r="A264" s="24" t="n">
        <v>46166</v>
      </c>
      <c r="B264" s="25" t="inlineStr">
        <is>
          <t>DRY012</t>
        </is>
      </c>
      <c r="C264" s="25" t="inlineStr">
        <is>
          <t>Cheese Block 1kg</t>
        </is>
      </c>
      <c r="D264" s="25" t="inlineStr">
        <is>
          <t>Dairy</t>
        </is>
      </c>
      <c r="E264" s="26" t="n">
        <v>391.72</v>
      </c>
      <c r="F264" s="27" t="n">
        <v>28</v>
      </c>
      <c r="G264" s="26" t="n">
        <v>100.52</v>
      </c>
    </row>
    <row r="265">
      <c r="A265" s="24" t="n">
        <v>46166</v>
      </c>
      <c r="B265" s="25" t="inlineStr">
        <is>
          <t>FRZ001</t>
        </is>
      </c>
      <c r="C265" s="25" t="inlineStr">
        <is>
          <t>Ice Cream Tub 2L</t>
        </is>
      </c>
      <c r="D265" s="25" t="inlineStr">
        <is>
          <t>Frozen</t>
        </is>
      </c>
      <c r="E265" s="26" t="n">
        <v>431.52</v>
      </c>
      <c r="F265" s="27" t="n">
        <v>48</v>
      </c>
      <c r="G265" s="26" t="n">
        <v>172.32</v>
      </c>
    </row>
    <row r="266">
      <c r="A266" s="24" t="n">
        <v>46166</v>
      </c>
      <c r="B266" s="25" t="inlineStr">
        <is>
          <t>FRZ002</t>
        </is>
      </c>
      <c r="C266" s="25" t="inlineStr">
        <is>
          <t>Ice Block Single</t>
        </is>
      </c>
      <c r="D266" s="25" t="inlineStr">
        <is>
          <t>Frozen</t>
        </is>
      </c>
      <c r="E266" s="26" t="n">
        <v>182.39</v>
      </c>
      <c r="F266" s="27" t="n">
        <v>61</v>
      </c>
      <c r="G266" s="26" t="n">
        <v>109.19</v>
      </c>
    </row>
    <row r="267">
      <c r="A267" s="24" t="n">
        <v>46166</v>
      </c>
      <c r="B267" s="25" t="inlineStr">
        <is>
          <t>FRZ003</t>
        </is>
      </c>
      <c r="C267" s="25" t="inlineStr">
        <is>
          <t>Frozen Pizza</t>
        </is>
      </c>
      <c r="D267" s="25" t="inlineStr">
        <is>
          <t>Frozen</t>
        </is>
      </c>
      <c r="E267" s="26" t="n">
        <v>367.54</v>
      </c>
      <c r="F267" s="27" t="n">
        <v>46</v>
      </c>
      <c r="G267" s="26" t="n">
        <v>151.34</v>
      </c>
    </row>
    <row r="268">
      <c r="A268" s="24" t="n">
        <v>46166</v>
      </c>
      <c r="B268" s="25" t="inlineStr">
        <is>
          <t>FRZ004</t>
        </is>
      </c>
      <c r="C268" s="25" t="inlineStr">
        <is>
          <t>Frozen Dumplings 1kg</t>
        </is>
      </c>
      <c r="D268" s="25" t="inlineStr">
        <is>
          <t>Frozen</t>
        </is>
      </c>
      <c r="E268" s="26" t="n">
        <v>407.66</v>
      </c>
      <c r="F268" s="27" t="n">
        <v>34</v>
      </c>
      <c r="G268" s="26" t="n">
        <v>166.26</v>
      </c>
    </row>
    <row r="269">
      <c r="A269" s="24" t="n">
        <v>46166</v>
      </c>
      <c r="B269" s="25" t="inlineStr">
        <is>
          <t>FTG001</t>
        </is>
      </c>
      <c r="C269" s="25" t="inlineStr">
        <is>
          <t>Chicken Sandwich</t>
        </is>
      </c>
      <c r="D269" s="25" t="inlineStr">
        <is>
          <t>Food To Go</t>
        </is>
      </c>
      <c r="E269" s="26" t="n">
        <v>1109.82</v>
      </c>
      <c r="F269" s="27" t="n">
        <v>168</v>
      </c>
      <c r="G269" s="26" t="n">
        <v>454.62</v>
      </c>
    </row>
    <row r="270">
      <c r="A270" s="24" t="n">
        <v>46166</v>
      </c>
      <c r="B270" s="25" t="inlineStr">
        <is>
          <t>FTG002</t>
        </is>
      </c>
      <c r="C270" s="25" t="inlineStr">
        <is>
          <t>Sushi Pack 8pc</t>
        </is>
      </c>
      <c r="D270" s="25" t="inlineStr">
        <is>
          <t>Food To Go</t>
        </is>
      </c>
      <c r="E270" s="26" t="n">
        <v>1018.98</v>
      </c>
      <c r="F270" s="27" t="n">
        <v>102</v>
      </c>
      <c r="G270" s="26" t="n">
        <v>447.78</v>
      </c>
    </row>
    <row r="271">
      <c r="A271" s="24" t="n">
        <v>46166</v>
      </c>
      <c r="B271" s="25" t="inlineStr">
        <is>
          <t>FTG003</t>
        </is>
      </c>
      <c r="C271" s="25" t="inlineStr">
        <is>
          <t>Hot Pie Mince &amp; Cheese</t>
        </is>
      </c>
      <c r="D271" s="25" t="inlineStr">
        <is>
          <t>Food To Go</t>
        </is>
      </c>
      <c r="E271" s="26" t="n">
        <v>658.8</v>
      </c>
      <c r="F271" s="27" t="n">
        <v>120</v>
      </c>
      <c r="G271" s="26" t="n">
        <v>370.8</v>
      </c>
    </row>
    <row r="272">
      <c r="A272" s="24" t="n">
        <v>46166</v>
      </c>
      <c r="B272" s="25" t="inlineStr">
        <is>
          <t>FTG004</t>
        </is>
      </c>
      <c r="C272" s="25" t="inlineStr">
        <is>
          <t>Salad Bowl</t>
        </is>
      </c>
      <c r="D272" s="25" t="inlineStr">
        <is>
          <t>Food To Go</t>
        </is>
      </c>
      <c r="E272" s="26" t="n">
        <v>413.17</v>
      </c>
      <c r="F272" s="27" t="n">
        <v>43</v>
      </c>
      <c r="G272" s="26" t="n">
        <v>146.57</v>
      </c>
    </row>
    <row r="273">
      <c r="A273" s="24" t="n">
        <v>46166</v>
      </c>
      <c r="B273" s="25" t="inlineStr">
        <is>
          <t>FTG005</t>
        </is>
      </c>
      <c r="C273" s="25" t="inlineStr">
        <is>
          <t>Filled Roll</t>
        </is>
      </c>
      <c r="D273" s="25" t="inlineStr">
        <is>
          <t>Food To Go</t>
        </is>
      </c>
      <c r="E273" s="26" t="n">
        <v>454.3</v>
      </c>
      <c r="F273" s="27" t="n">
        <v>70</v>
      </c>
      <c r="G273" s="26" t="n">
        <v>230.3</v>
      </c>
    </row>
    <row r="274">
      <c r="A274" s="24" t="n">
        <v>46166</v>
      </c>
      <c r="B274" s="25" t="inlineStr">
        <is>
          <t>GRO001</t>
        </is>
      </c>
      <c r="C274" s="25" t="inlineStr">
        <is>
          <t>Instant Noodles 5pk</t>
        </is>
      </c>
      <c r="D274" s="25" t="inlineStr">
        <is>
          <t>Grocery</t>
        </is>
      </c>
      <c r="E274" s="26" t="n">
        <v>444.51</v>
      </c>
      <c r="F274" s="27" t="n">
        <v>99</v>
      </c>
      <c r="G274" s="26" t="n">
        <v>187.11</v>
      </c>
    </row>
    <row r="275">
      <c r="A275" s="24" t="n">
        <v>46166</v>
      </c>
      <c r="B275" s="25" t="inlineStr">
        <is>
          <t>GRO002</t>
        </is>
      </c>
      <c r="C275" s="25" t="inlineStr">
        <is>
          <t>Canned Soup 500g</t>
        </is>
      </c>
      <c r="D275" s="25" t="inlineStr">
        <is>
          <t>Grocery</t>
        </is>
      </c>
      <c r="E275" s="26" t="n">
        <v>128.31</v>
      </c>
      <c r="F275" s="27" t="n">
        <v>39</v>
      </c>
      <c r="G275" s="26" t="n">
        <v>54.21</v>
      </c>
    </row>
    <row r="276">
      <c r="A276" s="24" t="n">
        <v>46166</v>
      </c>
      <c r="B276" s="25" t="inlineStr">
        <is>
          <t>GRO003</t>
        </is>
      </c>
      <c r="C276" s="25" t="inlineStr">
        <is>
          <t>Pasta 500g</t>
        </is>
      </c>
      <c r="D276" s="25" t="inlineStr">
        <is>
          <t>Grocery</t>
        </is>
      </c>
      <c r="E276" s="26" t="n">
        <v>104.58</v>
      </c>
      <c r="F276" s="27" t="n">
        <v>42</v>
      </c>
      <c r="G276" s="26" t="n">
        <v>49.98</v>
      </c>
    </row>
    <row r="277">
      <c r="A277" s="24" t="n">
        <v>46166</v>
      </c>
      <c r="B277" s="25" t="inlineStr">
        <is>
          <t>GRO004</t>
        </is>
      </c>
      <c r="C277" s="25" t="inlineStr">
        <is>
          <t>Simmer Sauce 485g</t>
        </is>
      </c>
      <c r="D277" s="25" t="inlineStr">
        <is>
          <t>Grocery</t>
        </is>
      </c>
      <c r="E277" s="26" t="n">
        <v>163.59</v>
      </c>
      <c r="F277" s="27" t="n">
        <v>41</v>
      </c>
      <c r="G277" s="26" t="n">
        <v>69.29000000000001</v>
      </c>
    </row>
    <row r="278">
      <c r="A278" s="24" t="n">
        <v>46166</v>
      </c>
      <c r="B278" s="25" t="inlineStr">
        <is>
          <t>GRO005</t>
        </is>
      </c>
      <c r="C278" s="25" t="inlineStr">
        <is>
          <t>Salsa 300g</t>
        </is>
      </c>
      <c r="D278" s="25" t="inlineStr">
        <is>
          <t>Grocery</t>
        </is>
      </c>
      <c r="E278" s="26" t="n">
        <v>126.43</v>
      </c>
      <c r="F278" s="27" t="n">
        <v>29</v>
      </c>
      <c r="G278" s="26" t="n">
        <v>42.33</v>
      </c>
    </row>
    <row r="279">
      <c r="A279" s="24" t="n">
        <v>46166</v>
      </c>
      <c r="B279" s="25" t="inlineStr">
        <is>
          <t>GRO006</t>
        </is>
      </c>
      <c r="C279" s="25" t="inlineStr">
        <is>
          <t>Taco Kit</t>
        </is>
      </c>
      <c r="D279" s="25" t="inlineStr">
        <is>
          <t>Grocery</t>
        </is>
      </c>
      <c r="E279" s="26" t="n">
        <v>136.29</v>
      </c>
      <c r="F279" s="27" t="n">
        <v>21</v>
      </c>
      <c r="G279" s="26" t="n">
        <v>52.29</v>
      </c>
    </row>
    <row r="280">
      <c r="A280" s="24" t="n">
        <v>46166</v>
      </c>
      <c r="B280" s="25" t="inlineStr">
        <is>
          <t>GRO007</t>
        </is>
      </c>
      <c r="C280" s="25" t="inlineStr">
        <is>
          <t>Eggs Free Range 12pk</t>
        </is>
      </c>
      <c r="D280" s="25" t="inlineStr">
        <is>
          <t>Grocery</t>
        </is>
      </c>
      <c r="E280" s="26" t="n">
        <v>791.28</v>
      </c>
      <c r="F280" s="27" t="n">
        <v>72</v>
      </c>
      <c r="G280" s="26" t="n">
        <v>200.88</v>
      </c>
    </row>
    <row r="281">
      <c r="A281" s="24" t="n">
        <v>46166</v>
      </c>
      <c r="B281" s="25" t="inlineStr">
        <is>
          <t>GRO008</t>
        </is>
      </c>
      <c r="C281" s="25" t="inlineStr">
        <is>
          <t>Coffee Beans 200g</t>
        </is>
      </c>
      <c r="D281" s="25" t="inlineStr">
        <is>
          <t>Grocery</t>
        </is>
      </c>
      <c r="E281" s="26" t="n">
        <v>275.77</v>
      </c>
      <c r="F281" s="27" t="n">
        <v>23</v>
      </c>
      <c r="G281" s="26" t="n">
        <v>100.97</v>
      </c>
    </row>
    <row r="282">
      <c r="A282" s="24" t="n">
        <v>46166</v>
      </c>
      <c r="B282" s="25" t="inlineStr">
        <is>
          <t>HHD001</t>
        </is>
      </c>
      <c r="C282" s="25" t="inlineStr">
        <is>
          <t>Toilet Paper 6pk</t>
        </is>
      </c>
      <c r="D282" s="25" t="inlineStr">
        <is>
          <t>Household</t>
        </is>
      </c>
      <c r="E282" s="26" t="n">
        <v>323.64</v>
      </c>
      <c r="F282" s="27" t="n">
        <v>36</v>
      </c>
      <c r="G282" s="26" t="n">
        <v>111.24</v>
      </c>
    </row>
    <row r="283">
      <c r="A283" s="24" t="n">
        <v>46166</v>
      </c>
      <c r="B283" s="25" t="inlineStr">
        <is>
          <t>HHD002</t>
        </is>
      </c>
      <c r="C283" s="25" t="inlineStr">
        <is>
          <t>Dishwash Liquid</t>
        </is>
      </c>
      <c r="D283" s="25" t="inlineStr">
        <is>
          <t>Household</t>
        </is>
      </c>
      <c r="E283" s="26" t="n">
        <v>114.77</v>
      </c>
      <c r="F283" s="27" t="n">
        <v>23</v>
      </c>
      <c r="G283" s="26" t="n">
        <v>48.07</v>
      </c>
    </row>
    <row r="284">
      <c r="A284" s="24" t="n">
        <v>46166</v>
      </c>
      <c r="B284" s="25" t="inlineStr">
        <is>
          <t>HHD003</t>
        </is>
      </c>
      <c r="C284" s="25" t="inlineStr">
        <is>
          <t>Phone Charger Cable</t>
        </is>
      </c>
      <c r="D284" s="25" t="inlineStr">
        <is>
          <t>Household</t>
        </is>
      </c>
      <c r="E284" s="26" t="n">
        <v>59.96</v>
      </c>
      <c r="F284" s="27" t="n">
        <v>4</v>
      </c>
      <c r="G284" s="26" t="n">
        <v>37.96</v>
      </c>
    </row>
    <row r="285">
      <c r="A285" s="24" t="n">
        <v>46166</v>
      </c>
      <c r="B285" s="25" t="inlineStr">
        <is>
          <t>LIQ001</t>
        </is>
      </c>
      <c r="C285" s="25" t="inlineStr">
        <is>
          <t>Craft Beer 6pk</t>
        </is>
      </c>
      <c r="D285" s="25" t="inlineStr">
        <is>
          <t>Beer &amp; Wine</t>
        </is>
      </c>
      <c r="E285" s="26" t="n">
        <v>735.6800000000001</v>
      </c>
      <c r="F285" s="27" t="n">
        <v>32</v>
      </c>
      <c r="G285" s="26" t="n">
        <v>246.08</v>
      </c>
    </row>
    <row r="286">
      <c r="A286" s="24" t="n">
        <v>46166</v>
      </c>
      <c r="B286" s="25" t="inlineStr">
        <is>
          <t>LIQ002</t>
        </is>
      </c>
      <c r="C286" s="25" t="inlineStr">
        <is>
          <t>Sauvignon Blanc 750ml</t>
        </is>
      </c>
      <c r="D286" s="25" t="inlineStr">
        <is>
          <t>Beer &amp; Wine</t>
        </is>
      </c>
      <c r="E286" s="26" t="n">
        <v>463.71</v>
      </c>
      <c r="F286" s="27" t="n">
        <v>29</v>
      </c>
      <c r="G286" s="26" t="n">
        <v>167.91</v>
      </c>
    </row>
    <row r="287">
      <c r="A287" s="24" t="n">
        <v>46166</v>
      </c>
      <c r="B287" s="25" t="inlineStr">
        <is>
          <t>LIQ003</t>
        </is>
      </c>
      <c r="C287" s="25" t="inlineStr">
        <is>
          <t>RTD 4pk</t>
        </is>
      </c>
      <c r="D287" s="25" t="inlineStr">
        <is>
          <t>Beer &amp; Wine</t>
        </is>
      </c>
      <c r="E287" s="26" t="n">
        <v>773.5699999999999</v>
      </c>
      <c r="F287" s="27" t="n">
        <v>43</v>
      </c>
      <c r="G287" s="26" t="n">
        <v>261.87</v>
      </c>
    </row>
    <row r="288">
      <c r="A288" s="24" t="n">
        <v>46166</v>
      </c>
      <c r="B288" s="25" t="inlineStr">
        <is>
          <t>LIQ004</t>
        </is>
      </c>
      <c r="C288" s="25" t="inlineStr">
        <is>
          <t>Pinot Noir 750ml</t>
        </is>
      </c>
      <c r="D288" s="25" t="inlineStr">
        <is>
          <t>Beer &amp; Wine</t>
        </is>
      </c>
      <c r="E288" s="26" t="n">
        <v>319.84</v>
      </c>
      <c r="F288" s="27" t="n">
        <v>16</v>
      </c>
      <c r="G288" s="26" t="n">
        <v>115.04</v>
      </c>
    </row>
    <row r="289">
      <c r="A289" s="24" t="n">
        <v>46166</v>
      </c>
      <c r="B289" s="25" t="inlineStr">
        <is>
          <t>MLK001</t>
        </is>
      </c>
      <c r="C289" s="25" t="inlineStr">
        <is>
          <t>Milk Standard 2L</t>
        </is>
      </c>
      <c r="D289" s="25" t="inlineStr">
        <is>
          <t>Dairy</t>
        </is>
      </c>
      <c r="E289" s="26" t="n">
        <v>1364.31</v>
      </c>
      <c r="F289" s="27" t="n">
        <v>279</v>
      </c>
      <c r="G289" s="26" t="n">
        <v>373.86</v>
      </c>
    </row>
    <row r="290">
      <c r="A290" s="24" t="n">
        <v>46166</v>
      </c>
      <c r="B290" s="25" t="inlineStr">
        <is>
          <t>MLK002</t>
        </is>
      </c>
      <c r="C290" s="25" t="inlineStr">
        <is>
          <t>Milk Lite 2L</t>
        </is>
      </c>
      <c r="D290" s="25" t="inlineStr">
        <is>
          <t>Dairy</t>
        </is>
      </c>
      <c r="E290" s="26" t="n">
        <v>562.35</v>
      </c>
      <c r="F290" s="27" t="n">
        <v>115</v>
      </c>
      <c r="G290" s="26" t="n">
        <v>154.1</v>
      </c>
    </row>
    <row r="291">
      <c r="A291" s="24" t="n">
        <v>46166</v>
      </c>
      <c r="B291" s="25" t="inlineStr">
        <is>
          <t>MLK003</t>
        </is>
      </c>
      <c r="C291" s="25" t="inlineStr">
        <is>
          <t>Oat Milk 1L</t>
        </is>
      </c>
      <c r="D291" s="25" t="inlineStr">
        <is>
          <t>Dairy</t>
        </is>
      </c>
      <c r="E291" s="26" t="n">
        <v>214.5</v>
      </c>
      <c r="F291" s="27" t="n">
        <v>50</v>
      </c>
      <c r="G291" s="26" t="n">
        <v>79.5</v>
      </c>
    </row>
    <row r="292">
      <c r="A292" s="24" t="n">
        <v>46166</v>
      </c>
      <c r="B292" s="25" t="inlineStr">
        <is>
          <t>PHM001</t>
        </is>
      </c>
      <c r="C292" s="25" t="inlineStr">
        <is>
          <t>Paracetamol 20pk</t>
        </is>
      </c>
      <c r="D292" s="25" t="inlineStr">
        <is>
          <t>Health &amp; Beauty</t>
        </is>
      </c>
      <c r="E292" s="26" t="n">
        <v>121.26</v>
      </c>
      <c r="F292" s="27" t="n">
        <v>34</v>
      </c>
      <c r="G292" s="26" t="n">
        <v>66.86</v>
      </c>
    </row>
    <row r="293">
      <c r="A293" s="24" t="n">
        <v>46166</v>
      </c>
      <c r="B293" s="25" t="inlineStr">
        <is>
          <t>PHM002</t>
        </is>
      </c>
      <c r="C293" s="25" t="inlineStr">
        <is>
          <t>Sunscreen SPF50</t>
        </is>
      </c>
      <c r="D293" s="25" t="inlineStr">
        <is>
          <t>Health &amp; Beauty</t>
        </is>
      </c>
      <c r="E293" s="26" t="n">
        <v>269.82</v>
      </c>
      <c r="F293" s="27" t="n">
        <v>18</v>
      </c>
      <c r="G293" s="26" t="n">
        <v>122.22</v>
      </c>
    </row>
    <row r="294">
      <c r="A294" s="24" t="n">
        <v>46166</v>
      </c>
      <c r="B294" s="25" t="inlineStr">
        <is>
          <t>PRD001</t>
        </is>
      </c>
      <c r="C294" s="25" t="inlineStr">
        <is>
          <t>Bananas (each)</t>
        </is>
      </c>
      <c r="D294" s="25" t="inlineStr">
        <is>
          <t>Produce</t>
        </is>
      </c>
      <c r="E294" s="26" t="n">
        <v>160.77</v>
      </c>
      <c r="F294" s="27" t="n">
        <v>233</v>
      </c>
      <c r="G294" s="26" t="n">
        <v>72.23</v>
      </c>
    </row>
    <row r="295">
      <c r="A295" s="24" t="n">
        <v>46166</v>
      </c>
      <c r="B295" s="25" t="inlineStr">
        <is>
          <t>PRD002</t>
        </is>
      </c>
      <c r="C295" s="25" t="inlineStr">
        <is>
          <t>Avocado</t>
        </is>
      </c>
      <c r="D295" s="25" t="inlineStr">
        <is>
          <t>Produce</t>
        </is>
      </c>
      <c r="E295" s="26" t="n">
        <v>117.03</v>
      </c>
      <c r="F295" s="27" t="n">
        <v>47</v>
      </c>
      <c r="G295" s="26" t="n">
        <v>51.23</v>
      </c>
    </row>
    <row r="296">
      <c r="A296" s="24" t="n">
        <v>46166</v>
      </c>
      <c r="B296" s="25" t="inlineStr">
        <is>
          <t>PRD003</t>
        </is>
      </c>
      <c r="C296" s="25" t="inlineStr">
        <is>
          <t>Tomatoes 500g</t>
        </is>
      </c>
      <c r="D296" s="25" t="inlineStr">
        <is>
          <t>Produce</t>
        </is>
      </c>
      <c r="E296" s="26" t="n">
        <v>188.58</v>
      </c>
      <c r="F296" s="27" t="n">
        <v>42</v>
      </c>
      <c r="G296" s="26" t="n">
        <v>79.38</v>
      </c>
    </row>
    <row r="297">
      <c r="A297" s="24" t="n">
        <v>46166</v>
      </c>
      <c r="B297" s="25" t="inlineStr">
        <is>
          <t>SNK001</t>
        </is>
      </c>
      <c r="C297" s="25" t="inlineStr">
        <is>
          <t>Potato Chips 150g</t>
        </is>
      </c>
      <c r="D297" s="25" t="inlineStr">
        <is>
          <t>Snacks &amp; Confectionery</t>
        </is>
      </c>
      <c r="E297" s="26" t="n">
        <v>518.7</v>
      </c>
      <c r="F297" s="27" t="n">
        <v>130</v>
      </c>
      <c r="G297" s="26" t="n">
        <v>245.7</v>
      </c>
    </row>
    <row r="298">
      <c r="A298" s="24" t="n">
        <v>46166</v>
      </c>
      <c r="B298" s="25" t="inlineStr">
        <is>
          <t>SNK002</t>
        </is>
      </c>
      <c r="C298" s="25" t="inlineStr">
        <is>
          <t>Chocolate Block 200g</t>
        </is>
      </c>
      <c r="D298" s="25" t="inlineStr">
        <is>
          <t>Snacks &amp; Confectionery</t>
        </is>
      </c>
      <c r="E298" s="26" t="n">
        <v>647.64</v>
      </c>
      <c r="F298" s="27" t="n">
        <v>136</v>
      </c>
      <c r="G298" s="26" t="n">
        <v>212.44</v>
      </c>
    </row>
    <row r="299">
      <c r="A299" s="24" t="n">
        <v>46166</v>
      </c>
      <c r="B299" s="25" t="inlineStr">
        <is>
          <t>SNK003</t>
        </is>
      </c>
      <c r="C299" s="25" t="inlineStr">
        <is>
          <t>Muesli Bar 6pk</t>
        </is>
      </c>
      <c r="D299" s="25" t="inlineStr">
        <is>
          <t>Snacks &amp; Confectionery</t>
        </is>
      </c>
      <c r="E299" s="26" t="n">
        <v>214.5</v>
      </c>
      <c r="F299" s="27" t="n">
        <v>50</v>
      </c>
      <c r="G299" s="26" t="n">
        <v>84.5</v>
      </c>
    </row>
    <row r="300">
      <c r="A300" s="24" t="n">
        <v>46166</v>
      </c>
      <c r="B300" s="25" t="inlineStr">
        <is>
          <t>SNK004</t>
        </is>
      </c>
      <c r="C300" s="25" t="inlineStr">
        <is>
          <t>Corn Chips 230g</t>
        </is>
      </c>
      <c r="D300" s="25" t="inlineStr">
        <is>
          <t>Snacks &amp; Confectionery</t>
        </is>
      </c>
      <c r="E300" s="26" t="n">
        <v>269.4</v>
      </c>
      <c r="F300" s="27" t="n">
        <v>60</v>
      </c>
      <c r="G300" s="26" t="n">
        <v>125.4</v>
      </c>
    </row>
    <row r="301">
      <c r="A301" s="24" t="n">
        <v>46166</v>
      </c>
      <c r="B301" s="25" t="inlineStr">
        <is>
          <t>SNK005</t>
        </is>
      </c>
      <c r="C301" s="25" t="inlineStr">
        <is>
          <t>Lollies Bag 200g</t>
        </is>
      </c>
      <c r="D301" s="25" t="inlineStr">
        <is>
          <t>Snacks &amp; Confectionery</t>
        </is>
      </c>
      <c r="E301" s="26" t="n">
        <v>223.36</v>
      </c>
      <c r="F301" s="27" t="n">
        <v>64</v>
      </c>
      <c r="G301" s="26" t="n">
        <v>114.56</v>
      </c>
    </row>
    <row r="302">
      <c r="A302" s="24" t="n">
        <v>46173</v>
      </c>
      <c r="B302" s="25" t="inlineStr">
        <is>
          <t>BAK001</t>
        </is>
      </c>
      <c r="C302" s="25" t="inlineStr">
        <is>
          <t>Toast Bread White</t>
        </is>
      </c>
      <c r="D302" s="25" t="inlineStr">
        <is>
          <t>Bakery</t>
        </is>
      </c>
      <c r="E302" s="26" t="n">
        <v>533.97</v>
      </c>
      <c r="F302" s="27" t="n">
        <v>153</v>
      </c>
      <c r="G302" s="26" t="n">
        <v>197.37</v>
      </c>
    </row>
    <row r="303">
      <c r="A303" s="24" t="n">
        <v>46173</v>
      </c>
      <c r="B303" s="25" t="inlineStr">
        <is>
          <t>BAK002</t>
        </is>
      </c>
      <c r="C303" s="25" t="inlineStr">
        <is>
          <t>Wholemeal Loaf</t>
        </is>
      </c>
      <c r="D303" s="25" t="inlineStr">
        <is>
          <t>Bakery</t>
        </is>
      </c>
      <c r="E303" s="26" t="n">
        <v>253.11</v>
      </c>
      <c r="F303" s="27" t="n">
        <v>59</v>
      </c>
      <c r="G303" s="26" t="n">
        <v>93.81</v>
      </c>
    </row>
    <row r="304">
      <c r="A304" s="24" t="n">
        <v>46173</v>
      </c>
      <c r="B304" s="25" t="inlineStr">
        <is>
          <t>BAK003</t>
        </is>
      </c>
      <c r="C304" s="25" t="inlineStr">
        <is>
          <t>Croissant 4pk</t>
        </is>
      </c>
      <c r="D304" s="25" t="inlineStr">
        <is>
          <t>Bakery</t>
        </is>
      </c>
      <c r="E304" s="26" t="n">
        <v>161.73</v>
      </c>
      <c r="F304" s="27" t="n">
        <v>27</v>
      </c>
      <c r="G304" s="26" t="n">
        <v>72.63</v>
      </c>
    </row>
    <row r="305">
      <c r="A305" s="24" t="n">
        <v>46173</v>
      </c>
      <c r="B305" s="25" t="inlineStr">
        <is>
          <t>BBT001</t>
        </is>
      </c>
      <c r="C305" s="25" t="inlineStr">
        <is>
          <t>Bubble Tea Kit</t>
        </is>
      </c>
      <c r="D305" s="25" t="inlineStr">
        <is>
          <t>Beverages</t>
        </is>
      </c>
      <c r="E305" s="26" t="n">
        <v>223.68</v>
      </c>
      <c r="F305" s="27" t="n">
        <v>32</v>
      </c>
      <c r="G305" s="26" t="n">
        <v>98.88</v>
      </c>
    </row>
    <row r="306">
      <c r="A306" s="24" t="n">
        <v>46173</v>
      </c>
      <c r="B306" s="25" t="inlineStr">
        <is>
          <t>BEV001</t>
        </is>
      </c>
      <c r="C306" s="25" t="inlineStr">
        <is>
          <t>Energy Drink 500ml</t>
        </is>
      </c>
      <c r="D306" s="25" t="inlineStr">
        <is>
          <t>Beverages</t>
        </is>
      </c>
      <c r="E306" s="26" t="n">
        <v>583.4400000000001</v>
      </c>
      <c r="F306" s="27" t="n">
        <v>136</v>
      </c>
      <c r="G306" s="26" t="n">
        <v>291.04</v>
      </c>
    </row>
    <row r="307">
      <c r="A307" s="24" t="n">
        <v>46173</v>
      </c>
      <c r="B307" s="25" t="inlineStr">
        <is>
          <t>BEV002</t>
        </is>
      </c>
      <c r="C307" s="25" t="inlineStr">
        <is>
          <t>Cola 1.5L</t>
        </is>
      </c>
      <c r="D307" s="25" t="inlineStr">
        <is>
          <t>Beverages</t>
        </is>
      </c>
      <c r="E307" s="26" t="n">
        <v>413.08</v>
      </c>
      <c r="F307" s="27" t="n">
        <v>92</v>
      </c>
      <c r="G307" s="26" t="n">
        <v>201.48</v>
      </c>
    </row>
    <row r="308">
      <c r="A308" s="24" t="n">
        <v>46173</v>
      </c>
      <c r="B308" s="25" t="inlineStr">
        <is>
          <t>BEV003</t>
        </is>
      </c>
      <c r="C308" s="25" t="inlineStr">
        <is>
          <t>Sparkling Water 1L</t>
        </is>
      </c>
      <c r="D308" s="25" t="inlineStr">
        <is>
          <t>Beverages</t>
        </is>
      </c>
      <c r="E308" s="26" t="n">
        <v>179.28</v>
      </c>
      <c r="F308" s="27" t="n">
        <v>72</v>
      </c>
      <c r="G308" s="26" t="n">
        <v>100.08</v>
      </c>
    </row>
    <row r="309">
      <c r="A309" s="24" t="n">
        <v>46173</v>
      </c>
      <c r="B309" s="25" t="inlineStr">
        <is>
          <t>BEV004</t>
        </is>
      </c>
      <c r="C309" s="25" t="inlineStr">
        <is>
          <t>Iced Coffee 500ml</t>
        </is>
      </c>
      <c r="D309" s="25" t="inlineStr">
        <is>
          <t>Beverages</t>
        </is>
      </c>
      <c r="E309" s="26" t="n">
        <v>469.06</v>
      </c>
      <c r="F309" s="27" t="n">
        <v>94</v>
      </c>
      <c r="G309" s="26" t="n">
        <v>215.26</v>
      </c>
    </row>
    <row r="310">
      <c r="A310" s="24" t="n">
        <v>46173</v>
      </c>
      <c r="B310" s="25" t="inlineStr">
        <is>
          <t>BEV005</t>
        </is>
      </c>
      <c r="C310" s="25" t="inlineStr">
        <is>
          <t>Kombucha 330ml</t>
        </is>
      </c>
      <c r="D310" s="25" t="inlineStr">
        <is>
          <t>Beverages</t>
        </is>
      </c>
      <c r="E310" s="26" t="n">
        <v>177.23</v>
      </c>
      <c r="F310" s="27" t="n">
        <v>37</v>
      </c>
      <c r="G310" s="26" t="n">
        <v>81.03</v>
      </c>
    </row>
    <row r="311">
      <c r="A311" s="24" t="n">
        <v>46173</v>
      </c>
      <c r="B311" s="25" t="inlineStr">
        <is>
          <t>BEV006</t>
        </is>
      </c>
      <c r="C311" s="25" t="inlineStr">
        <is>
          <t>Bottled Water 750ml</t>
        </is>
      </c>
      <c r="D311" s="25" t="inlineStr">
        <is>
          <t>Beverages</t>
        </is>
      </c>
      <c r="E311" s="26" t="n">
        <v>334.88</v>
      </c>
      <c r="F311" s="27" t="n">
        <v>112</v>
      </c>
      <c r="G311" s="26" t="n">
        <v>228.48</v>
      </c>
    </row>
    <row r="312">
      <c r="A312" s="24" t="n">
        <v>46173</v>
      </c>
      <c r="B312" s="25" t="inlineStr">
        <is>
          <t>DRY010</t>
        </is>
      </c>
      <c r="C312" s="25" t="inlineStr">
        <is>
          <t>Butter 500g</t>
        </is>
      </c>
      <c r="D312" s="25" t="inlineStr">
        <is>
          <t>Dairy</t>
        </is>
      </c>
      <c r="E312" s="26" t="n">
        <v>419.44</v>
      </c>
      <c r="F312" s="27" t="n">
        <v>56</v>
      </c>
      <c r="G312" s="26" t="n">
        <v>105.84</v>
      </c>
    </row>
    <row r="313">
      <c r="A313" s="24" t="n">
        <v>46173</v>
      </c>
      <c r="B313" s="25" t="inlineStr">
        <is>
          <t>DRY011</t>
        </is>
      </c>
      <c r="C313" s="25" t="inlineStr">
        <is>
          <t>Greek Yoghurt 1kg</t>
        </is>
      </c>
      <c r="D313" s="25" t="inlineStr">
        <is>
          <t>Dairy</t>
        </is>
      </c>
      <c r="E313" s="26" t="n">
        <v>255.68</v>
      </c>
      <c r="F313" s="27" t="n">
        <v>32</v>
      </c>
      <c r="G313" s="26" t="n">
        <v>92.48</v>
      </c>
    </row>
    <row r="314">
      <c r="A314" s="24" t="n">
        <v>46173</v>
      </c>
      <c r="B314" s="25" t="inlineStr">
        <is>
          <t>DRY012</t>
        </is>
      </c>
      <c r="C314" s="25" t="inlineStr">
        <is>
          <t>Cheese Block 1kg</t>
        </is>
      </c>
      <c r="D314" s="25" t="inlineStr">
        <is>
          <t>Dairy</t>
        </is>
      </c>
      <c r="E314" s="26" t="n">
        <v>601.5699999999999</v>
      </c>
      <c r="F314" s="27" t="n">
        <v>43</v>
      </c>
      <c r="G314" s="26" t="n">
        <v>154.37</v>
      </c>
    </row>
    <row r="315">
      <c r="A315" s="24" t="n">
        <v>46173</v>
      </c>
      <c r="B315" s="25" t="inlineStr">
        <is>
          <t>FRZ001</t>
        </is>
      </c>
      <c r="C315" s="25" t="inlineStr">
        <is>
          <t>Ice Cream Tub 2L</t>
        </is>
      </c>
      <c r="D315" s="25" t="inlineStr">
        <is>
          <t>Frozen</t>
        </is>
      </c>
      <c r="E315" s="26" t="n">
        <v>404.55</v>
      </c>
      <c r="F315" s="27" t="n">
        <v>45</v>
      </c>
      <c r="G315" s="26" t="n">
        <v>161.55</v>
      </c>
    </row>
    <row r="316">
      <c r="A316" s="24" t="n">
        <v>46173</v>
      </c>
      <c r="B316" s="25" t="inlineStr">
        <is>
          <t>FRZ002</t>
        </is>
      </c>
      <c r="C316" s="25" t="inlineStr">
        <is>
          <t>Ice Block Single</t>
        </is>
      </c>
      <c r="D316" s="25" t="inlineStr">
        <is>
          <t>Frozen</t>
        </is>
      </c>
      <c r="E316" s="26" t="n">
        <v>170.43</v>
      </c>
      <c r="F316" s="27" t="n">
        <v>57</v>
      </c>
      <c r="G316" s="26" t="n">
        <v>102.03</v>
      </c>
    </row>
    <row r="317">
      <c r="A317" s="24" t="n">
        <v>46173</v>
      </c>
      <c r="B317" s="25" t="inlineStr">
        <is>
          <t>FRZ003</t>
        </is>
      </c>
      <c r="C317" s="25" t="inlineStr">
        <is>
          <t>Frozen Pizza</t>
        </is>
      </c>
      <c r="D317" s="25" t="inlineStr">
        <is>
          <t>Frozen</t>
        </is>
      </c>
      <c r="E317" s="26" t="n">
        <v>479.4</v>
      </c>
      <c r="F317" s="27" t="n">
        <v>60</v>
      </c>
      <c r="G317" s="26" t="n">
        <v>197.4</v>
      </c>
    </row>
    <row r="318">
      <c r="A318" s="24" t="n">
        <v>46173</v>
      </c>
      <c r="B318" s="25" t="inlineStr">
        <is>
          <t>FRZ004</t>
        </is>
      </c>
      <c r="C318" s="25" t="inlineStr">
        <is>
          <t>Frozen Dumplings 1kg</t>
        </is>
      </c>
      <c r="D318" s="25" t="inlineStr">
        <is>
          <t>Frozen</t>
        </is>
      </c>
      <c r="E318" s="26" t="n">
        <v>539.55</v>
      </c>
      <c r="F318" s="27" t="n">
        <v>45</v>
      </c>
      <c r="G318" s="26" t="n">
        <v>220.05</v>
      </c>
    </row>
    <row r="319">
      <c r="A319" s="24" t="n">
        <v>46173</v>
      </c>
      <c r="B319" s="25" t="inlineStr">
        <is>
          <t>FTG001</t>
        </is>
      </c>
      <c r="C319" s="25" t="inlineStr">
        <is>
          <t>Chicken Sandwich</t>
        </is>
      </c>
      <c r="D319" s="25" t="inlineStr">
        <is>
          <t>Food To Go</t>
        </is>
      </c>
      <c r="E319" s="26" t="n">
        <v>1071.07</v>
      </c>
      <c r="F319" s="27" t="n">
        <v>143</v>
      </c>
      <c r="G319" s="26" t="n">
        <v>513.37</v>
      </c>
    </row>
    <row r="320">
      <c r="A320" s="24" t="n">
        <v>46173</v>
      </c>
      <c r="B320" s="25" t="inlineStr">
        <is>
          <t>FTG002</t>
        </is>
      </c>
      <c r="C320" s="25" t="inlineStr">
        <is>
          <t>Sushi Pack 8pc</t>
        </is>
      </c>
      <c r="D320" s="25" t="inlineStr">
        <is>
          <t>Food To Go</t>
        </is>
      </c>
      <c r="E320" s="26" t="n">
        <v>989.01</v>
      </c>
      <c r="F320" s="27" t="n">
        <v>99</v>
      </c>
      <c r="G320" s="26" t="n">
        <v>434.61</v>
      </c>
    </row>
    <row r="321">
      <c r="A321" s="24" t="n">
        <v>46173</v>
      </c>
      <c r="B321" s="25" t="inlineStr">
        <is>
          <t>FTG003</t>
        </is>
      </c>
      <c r="C321" s="25" t="inlineStr">
        <is>
          <t>Hot Pie Mince &amp; Cheese</t>
        </is>
      </c>
      <c r="D321" s="25" t="inlineStr">
        <is>
          <t>Food To Go</t>
        </is>
      </c>
      <c r="E321" s="26" t="n">
        <v>938.7900000000001</v>
      </c>
      <c r="F321" s="27" t="n">
        <v>171</v>
      </c>
      <c r="G321" s="26" t="n">
        <v>528.39</v>
      </c>
    </row>
    <row r="322">
      <c r="A322" s="24" t="n">
        <v>46173</v>
      </c>
      <c r="B322" s="25" t="inlineStr">
        <is>
          <t>FTG004</t>
        </is>
      </c>
      <c r="C322" s="25" t="inlineStr">
        <is>
          <t>Salad Bowl</t>
        </is>
      </c>
      <c r="D322" s="25" t="inlineStr">
        <is>
          <t>Food To Go</t>
        </is>
      </c>
      <c r="E322" s="26" t="n">
        <v>571.48</v>
      </c>
      <c r="F322" s="27" t="n">
        <v>52</v>
      </c>
      <c r="G322" s="26" t="n">
        <v>249.08</v>
      </c>
    </row>
    <row r="323">
      <c r="A323" s="24" t="n">
        <v>46173</v>
      </c>
      <c r="B323" s="25" t="inlineStr">
        <is>
          <t>FTG005</t>
        </is>
      </c>
      <c r="C323" s="25" t="inlineStr">
        <is>
          <t>Filled Roll</t>
        </is>
      </c>
      <c r="D323" s="25" t="inlineStr">
        <is>
          <t>Food To Go</t>
        </is>
      </c>
      <c r="E323" s="26" t="n">
        <v>454.3</v>
      </c>
      <c r="F323" s="27" t="n">
        <v>70</v>
      </c>
      <c r="G323" s="26" t="n">
        <v>230.3</v>
      </c>
    </row>
    <row r="324">
      <c r="A324" s="24" t="n">
        <v>46173</v>
      </c>
      <c r="B324" s="25" t="inlineStr">
        <is>
          <t>GRO001</t>
        </is>
      </c>
      <c r="C324" s="25" t="inlineStr">
        <is>
          <t>Instant Noodles 5pk</t>
        </is>
      </c>
      <c r="D324" s="25" t="inlineStr">
        <is>
          <t>Grocery</t>
        </is>
      </c>
      <c r="E324" s="26" t="n">
        <v>336.75</v>
      </c>
      <c r="F324" s="27" t="n">
        <v>75</v>
      </c>
      <c r="G324" s="26" t="n">
        <v>141.75</v>
      </c>
    </row>
    <row r="325">
      <c r="A325" s="24" t="n">
        <v>46173</v>
      </c>
      <c r="B325" s="25" t="inlineStr">
        <is>
          <t>GRO002</t>
        </is>
      </c>
      <c r="C325" s="25" t="inlineStr">
        <is>
          <t>Canned Soup 500g</t>
        </is>
      </c>
      <c r="D325" s="25" t="inlineStr">
        <is>
          <t>Grocery</t>
        </is>
      </c>
      <c r="E325" s="26" t="n">
        <v>154.63</v>
      </c>
      <c r="F325" s="27" t="n">
        <v>47</v>
      </c>
      <c r="G325" s="26" t="n">
        <v>65.33</v>
      </c>
    </row>
    <row r="326">
      <c r="A326" s="24" t="n">
        <v>46173</v>
      </c>
      <c r="B326" s="25" t="inlineStr">
        <is>
          <t>GRO003</t>
        </is>
      </c>
      <c r="C326" s="25" t="inlineStr">
        <is>
          <t>Pasta 500g</t>
        </is>
      </c>
      <c r="D326" s="25" t="inlineStr">
        <is>
          <t>Grocery</t>
        </is>
      </c>
      <c r="E326" s="26" t="n">
        <v>89.64</v>
      </c>
      <c r="F326" s="27" t="n">
        <v>36</v>
      </c>
      <c r="G326" s="26" t="n">
        <v>42.84</v>
      </c>
    </row>
    <row r="327">
      <c r="A327" s="24" t="n">
        <v>46173</v>
      </c>
      <c r="B327" s="25" t="inlineStr">
        <is>
          <t>GRO004</t>
        </is>
      </c>
      <c r="C327" s="25" t="inlineStr">
        <is>
          <t>Simmer Sauce 485g</t>
        </is>
      </c>
      <c r="D327" s="25" t="inlineStr">
        <is>
          <t>Grocery</t>
        </is>
      </c>
      <c r="E327" s="26" t="n">
        <v>155.61</v>
      </c>
      <c r="F327" s="27" t="n">
        <v>39</v>
      </c>
      <c r="G327" s="26" t="n">
        <v>65.91</v>
      </c>
    </row>
    <row r="328">
      <c r="A328" s="24" t="n">
        <v>46173</v>
      </c>
      <c r="B328" s="25" t="inlineStr">
        <is>
          <t>GRO005</t>
        </is>
      </c>
      <c r="C328" s="25" t="inlineStr">
        <is>
          <t>Salsa 300g</t>
        </is>
      </c>
      <c r="D328" s="25" t="inlineStr">
        <is>
          <t>Grocery</t>
        </is>
      </c>
      <c r="E328" s="26" t="n">
        <v>52.69</v>
      </c>
      <c r="F328" s="27" t="n">
        <v>11</v>
      </c>
      <c r="G328" s="26" t="n">
        <v>20.79</v>
      </c>
    </row>
    <row r="329">
      <c r="A329" s="24" t="n">
        <v>46173</v>
      </c>
      <c r="B329" s="25" t="inlineStr">
        <is>
          <t>GRO006</t>
        </is>
      </c>
      <c r="C329" s="25" t="inlineStr">
        <is>
          <t>Taco Kit</t>
        </is>
      </c>
      <c r="D329" s="25" t="inlineStr">
        <is>
          <t>Grocery</t>
        </is>
      </c>
      <c r="E329" s="26" t="n">
        <v>129.8</v>
      </c>
      <c r="F329" s="27" t="n">
        <v>20</v>
      </c>
      <c r="G329" s="26" t="n">
        <v>49.8</v>
      </c>
    </row>
    <row r="330">
      <c r="A330" s="24" t="n">
        <v>46173</v>
      </c>
      <c r="B330" s="25" t="inlineStr">
        <is>
          <t>GRO007</t>
        </is>
      </c>
      <c r="C330" s="25" t="inlineStr">
        <is>
          <t>Eggs Free Range 12pk</t>
        </is>
      </c>
      <c r="D330" s="25" t="inlineStr">
        <is>
          <t>Grocery</t>
        </is>
      </c>
      <c r="E330" s="26" t="n">
        <v>494.55</v>
      </c>
      <c r="F330" s="27" t="n">
        <v>45</v>
      </c>
      <c r="G330" s="26" t="n">
        <v>125.55</v>
      </c>
    </row>
    <row r="331">
      <c r="A331" s="24" t="n">
        <v>46173</v>
      </c>
      <c r="B331" s="25" t="inlineStr">
        <is>
          <t>GRO008</t>
        </is>
      </c>
      <c r="C331" s="25" t="inlineStr">
        <is>
          <t>Coffee Beans 200g</t>
        </is>
      </c>
      <c r="D331" s="25" t="inlineStr">
        <is>
          <t>Grocery</t>
        </is>
      </c>
      <c r="E331" s="26" t="n">
        <v>203.83</v>
      </c>
      <c r="F331" s="27" t="n">
        <v>17</v>
      </c>
      <c r="G331" s="26" t="n">
        <v>74.63</v>
      </c>
    </row>
    <row r="332">
      <c r="A332" s="24" t="n">
        <v>46173</v>
      </c>
      <c r="B332" s="25" t="inlineStr">
        <is>
          <t>HHD001</t>
        </is>
      </c>
      <c r="C332" s="25" t="inlineStr">
        <is>
          <t>Toilet Paper 6pk</t>
        </is>
      </c>
      <c r="D332" s="25" t="inlineStr">
        <is>
          <t>Household</t>
        </is>
      </c>
      <c r="E332" s="26" t="n">
        <v>287.68</v>
      </c>
      <c r="F332" s="27" t="n">
        <v>32</v>
      </c>
      <c r="G332" s="26" t="n">
        <v>98.88</v>
      </c>
    </row>
    <row r="333">
      <c r="A333" s="24" t="n">
        <v>46173</v>
      </c>
      <c r="B333" s="25" t="inlineStr">
        <is>
          <t>HHD002</t>
        </is>
      </c>
      <c r="C333" s="25" t="inlineStr">
        <is>
          <t>Dishwash Liquid</t>
        </is>
      </c>
      <c r="D333" s="25" t="inlineStr">
        <is>
          <t>Household</t>
        </is>
      </c>
      <c r="E333" s="26" t="n">
        <v>84.83000000000001</v>
      </c>
      <c r="F333" s="27" t="n">
        <v>17</v>
      </c>
      <c r="G333" s="26" t="n">
        <v>35.53</v>
      </c>
    </row>
    <row r="334">
      <c r="A334" s="24" t="n">
        <v>46173</v>
      </c>
      <c r="B334" s="25" t="inlineStr">
        <is>
          <t>HHD003</t>
        </is>
      </c>
      <c r="C334" s="25" t="inlineStr">
        <is>
          <t>Phone Charger Cable</t>
        </is>
      </c>
      <c r="D334" s="25" t="inlineStr">
        <is>
          <t>Household</t>
        </is>
      </c>
      <c r="E334" s="26" t="n">
        <v>104.93</v>
      </c>
      <c r="F334" s="27" t="n">
        <v>7</v>
      </c>
      <c r="G334" s="26" t="n">
        <v>66.43000000000001</v>
      </c>
    </row>
    <row r="335">
      <c r="A335" s="24" t="n">
        <v>46173</v>
      </c>
      <c r="B335" s="25" t="inlineStr">
        <is>
          <t>LIQ001</t>
        </is>
      </c>
      <c r="C335" s="25" t="inlineStr">
        <is>
          <t>Craft Beer 6pk</t>
        </is>
      </c>
      <c r="D335" s="25" t="inlineStr">
        <is>
          <t>Beer &amp; Wine</t>
        </is>
      </c>
      <c r="E335" s="26" t="n">
        <v>988.5699999999999</v>
      </c>
      <c r="F335" s="27" t="n">
        <v>43</v>
      </c>
      <c r="G335" s="26" t="n">
        <v>330.67</v>
      </c>
    </row>
    <row r="336">
      <c r="A336" s="24" t="n">
        <v>46173</v>
      </c>
      <c r="B336" s="25" t="inlineStr">
        <is>
          <t>LIQ002</t>
        </is>
      </c>
      <c r="C336" s="25" t="inlineStr">
        <is>
          <t>Sauvignon Blanc 750ml</t>
        </is>
      </c>
      <c r="D336" s="25" t="inlineStr">
        <is>
          <t>Beer &amp; Wine</t>
        </is>
      </c>
      <c r="E336" s="26" t="n">
        <v>463.71</v>
      </c>
      <c r="F336" s="27" t="n">
        <v>29</v>
      </c>
      <c r="G336" s="26" t="n">
        <v>167.91</v>
      </c>
    </row>
    <row r="337">
      <c r="A337" s="24" t="n">
        <v>46173</v>
      </c>
      <c r="B337" s="25" t="inlineStr">
        <is>
          <t>LIQ003</t>
        </is>
      </c>
      <c r="C337" s="25" t="inlineStr">
        <is>
          <t>RTD 4pk</t>
        </is>
      </c>
      <c r="D337" s="25" t="inlineStr">
        <is>
          <t>Beer &amp; Wine</t>
        </is>
      </c>
      <c r="E337" s="26" t="n">
        <v>287.84</v>
      </c>
      <c r="F337" s="27" t="n">
        <v>16</v>
      </c>
      <c r="G337" s="26" t="n">
        <v>97.44</v>
      </c>
    </row>
    <row r="338">
      <c r="A338" s="24" t="n">
        <v>46173</v>
      </c>
      <c r="B338" s="25" t="inlineStr">
        <is>
          <t>LIQ004</t>
        </is>
      </c>
      <c r="C338" s="25" t="inlineStr">
        <is>
          <t>Pinot Noir 750ml</t>
        </is>
      </c>
      <c r="D338" s="25" t="inlineStr">
        <is>
          <t>Beer &amp; Wine</t>
        </is>
      </c>
      <c r="E338" s="26" t="n">
        <v>439.78</v>
      </c>
      <c r="F338" s="27" t="n">
        <v>22</v>
      </c>
      <c r="G338" s="26" t="n">
        <v>158.18</v>
      </c>
    </row>
    <row r="339">
      <c r="A339" s="24" t="n">
        <v>46173</v>
      </c>
      <c r="B339" s="25" t="inlineStr">
        <is>
          <t>MLK001</t>
        </is>
      </c>
      <c r="C339" s="25" t="inlineStr">
        <is>
          <t>Milk Standard 2L</t>
        </is>
      </c>
      <c r="D339" s="25" t="inlineStr">
        <is>
          <t>Dairy</t>
        </is>
      </c>
      <c r="E339" s="26" t="n">
        <v>1286.07</v>
      </c>
      <c r="F339" s="27" t="n">
        <v>263</v>
      </c>
      <c r="G339" s="26" t="n">
        <v>352.42</v>
      </c>
    </row>
    <row r="340">
      <c r="A340" s="24" t="n">
        <v>46173</v>
      </c>
      <c r="B340" s="25" t="inlineStr">
        <is>
          <t>MLK002</t>
        </is>
      </c>
      <c r="C340" s="25" t="inlineStr">
        <is>
          <t>Milk Lite 2L</t>
        </is>
      </c>
      <c r="D340" s="25" t="inlineStr">
        <is>
          <t>Dairy</t>
        </is>
      </c>
      <c r="E340" s="26" t="n">
        <v>493.89</v>
      </c>
      <c r="F340" s="27" t="n">
        <v>101</v>
      </c>
      <c r="G340" s="26" t="n">
        <v>135.34</v>
      </c>
    </row>
    <row r="341">
      <c r="A341" s="24" t="n">
        <v>46173</v>
      </c>
      <c r="B341" s="25" t="inlineStr">
        <is>
          <t>MLK003</t>
        </is>
      </c>
      <c r="C341" s="25" t="inlineStr">
        <is>
          <t>Oat Milk 1L</t>
        </is>
      </c>
      <c r="D341" s="25" t="inlineStr">
        <is>
          <t>Dairy</t>
        </is>
      </c>
      <c r="E341" s="26" t="n">
        <v>227.37</v>
      </c>
      <c r="F341" s="27" t="n">
        <v>53</v>
      </c>
      <c r="G341" s="26" t="n">
        <v>84.27</v>
      </c>
    </row>
    <row r="342">
      <c r="A342" s="24" t="n">
        <v>46173</v>
      </c>
      <c r="B342" s="25" t="inlineStr">
        <is>
          <t>PHM001</t>
        </is>
      </c>
      <c r="C342" s="25" t="inlineStr">
        <is>
          <t>Paracetamol 20pk</t>
        </is>
      </c>
      <c r="D342" s="25" t="inlineStr">
        <is>
          <t>Health &amp; Beauty</t>
        </is>
      </c>
      <c r="E342" s="26" t="n">
        <v>191.52</v>
      </c>
      <c r="F342" s="27" t="n">
        <v>48</v>
      </c>
      <c r="G342" s="26" t="n">
        <v>114.72</v>
      </c>
    </row>
    <row r="343">
      <c r="A343" s="24" t="n">
        <v>46173</v>
      </c>
      <c r="B343" s="25" t="inlineStr">
        <is>
          <t>PHM002</t>
        </is>
      </c>
      <c r="C343" s="25" t="inlineStr">
        <is>
          <t>Sunscreen SPF50</t>
        </is>
      </c>
      <c r="D343" s="25" t="inlineStr">
        <is>
          <t>Health &amp; Beauty</t>
        </is>
      </c>
      <c r="E343" s="26" t="n">
        <v>179.88</v>
      </c>
      <c r="F343" s="27" t="n">
        <v>12</v>
      </c>
      <c r="G343" s="26" t="n">
        <v>81.48</v>
      </c>
    </row>
    <row r="344">
      <c r="A344" s="24" t="n">
        <v>46173</v>
      </c>
      <c r="B344" s="25" t="inlineStr">
        <is>
          <t>PRD001</t>
        </is>
      </c>
      <c r="C344" s="25" t="inlineStr">
        <is>
          <t>Bananas (each)</t>
        </is>
      </c>
      <c r="D344" s="25" t="inlineStr">
        <is>
          <t>Produce</t>
        </is>
      </c>
      <c r="E344" s="26" t="n">
        <v>151.92</v>
      </c>
      <c r="F344" s="27" t="n">
        <v>250</v>
      </c>
      <c r="G344" s="26" t="n">
        <v>56.92</v>
      </c>
    </row>
    <row r="345">
      <c r="A345" s="24" t="n">
        <v>46173</v>
      </c>
      <c r="B345" s="25" t="inlineStr">
        <is>
          <t>PRD002</t>
        </is>
      </c>
      <c r="C345" s="25" t="inlineStr">
        <is>
          <t>Avocado</t>
        </is>
      </c>
      <c r="D345" s="25" t="inlineStr">
        <is>
          <t>Produce</t>
        </is>
      </c>
      <c r="E345" s="26" t="n">
        <v>131.97</v>
      </c>
      <c r="F345" s="27" t="n">
        <v>53</v>
      </c>
      <c r="G345" s="26" t="n">
        <v>57.77</v>
      </c>
    </row>
    <row r="346">
      <c r="A346" s="24" t="n">
        <v>46173</v>
      </c>
      <c r="B346" s="25" t="inlineStr">
        <is>
          <t>PRD003</t>
        </is>
      </c>
      <c r="C346" s="25" t="inlineStr">
        <is>
          <t>Tomatoes 500g</t>
        </is>
      </c>
      <c r="D346" s="25" t="inlineStr">
        <is>
          <t>Produce</t>
        </is>
      </c>
      <c r="E346" s="26" t="n">
        <v>228.99</v>
      </c>
      <c r="F346" s="27" t="n">
        <v>51</v>
      </c>
      <c r="G346" s="26" t="n">
        <v>96.39</v>
      </c>
    </row>
    <row r="347">
      <c r="A347" s="24" t="n">
        <v>46173</v>
      </c>
      <c r="B347" s="25" t="inlineStr">
        <is>
          <t>SNK001</t>
        </is>
      </c>
      <c r="C347" s="25" t="inlineStr">
        <is>
          <t>Potato Chips 150g</t>
        </is>
      </c>
      <c r="D347" s="25" t="inlineStr">
        <is>
          <t>Snacks &amp; Confectionery</t>
        </is>
      </c>
      <c r="E347" s="26" t="n">
        <v>562.59</v>
      </c>
      <c r="F347" s="27" t="n">
        <v>141</v>
      </c>
      <c r="G347" s="26" t="n">
        <v>266.49</v>
      </c>
    </row>
    <row r="348">
      <c r="A348" s="24" t="n">
        <v>46173</v>
      </c>
      <c r="B348" s="25" t="inlineStr">
        <is>
          <t>SNK002</t>
        </is>
      </c>
      <c r="C348" s="25" t="inlineStr">
        <is>
          <t>Chocolate Block 200g</t>
        </is>
      </c>
      <c r="D348" s="25" t="inlineStr">
        <is>
          <t>Snacks &amp; Confectionery</t>
        </is>
      </c>
      <c r="E348" s="26" t="n">
        <v>543.51</v>
      </c>
      <c r="F348" s="27" t="n">
        <v>99</v>
      </c>
      <c r="G348" s="26" t="n">
        <v>226.71</v>
      </c>
    </row>
    <row r="349">
      <c r="A349" s="24" t="n">
        <v>46173</v>
      </c>
      <c r="B349" s="25" t="inlineStr">
        <is>
          <t>SNK003</t>
        </is>
      </c>
      <c r="C349" s="25" t="inlineStr">
        <is>
          <t>Muesli Bar 6pk</t>
        </is>
      </c>
      <c r="D349" s="25" t="inlineStr">
        <is>
          <t>Snacks &amp; Confectionery</t>
        </is>
      </c>
      <c r="E349" s="26" t="n">
        <v>244.53</v>
      </c>
      <c r="F349" s="27" t="n">
        <v>57</v>
      </c>
      <c r="G349" s="26" t="n">
        <v>96.33</v>
      </c>
    </row>
    <row r="350">
      <c r="A350" s="24" t="n">
        <v>46173</v>
      </c>
      <c r="B350" s="25" t="inlineStr">
        <is>
          <t>SNK004</t>
        </is>
      </c>
      <c r="C350" s="25" t="inlineStr">
        <is>
          <t>Corn Chips 230g</t>
        </is>
      </c>
      <c r="D350" s="25" t="inlineStr">
        <is>
          <t>Snacks &amp; Confectionery</t>
        </is>
      </c>
      <c r="E350" s="26" t="n">
        <v>273.89</v>
      </c>
      <c r="F350" s="27" t="n">
        <v>61</v>
      </c>
      <c r="G350" s="26" t="n">
        <v>127.49</v>
      </c>
    </row>
    <row r="351">
      <c r="A351" s="24" t="n">
        <v>46173</v>
      </c>
      <c r="B351" s="25" t="inlineStr">
        <is>
          <t>SNK005</t>
        </is>
      </c>
      <c r="C351" s="25" t="inlineStr">
        <is>
          <t>Lollies Bag 200g</t>
        </is>
      </c>
      <c r="D351" s="25" t="inlineStr">
        <is>
          <t>Snacks &amp; Confectionery</t>
        </is>
      </c>
      <c r="E351" s="26" t="n">
        <v>233.83</v>
      </c>
      <c r="F351" s="27" t="n">
        <v>67</v>
      </c>
      <c r="G351" s="26" t="n">
        <v>119.93</v>
      </c>
    </row>
    <row r="352">
      <c r="A352" s="24" t="n">
        <v>46180</v>
      </c>
      <c r="B352" s="25" t="inlineStr">
        <is>
          <t>BAK001</t>
        </is>
      </c>
      <c r="C352" s="25" t="inlineStr">
        <is>
          <t>Toast Bread White</t>
        </is>
      </c>
      <c r="D352" s="25" t="inlineStr">
        <is>
          <t>Bakery</t>
        </is>
      </c>
      <c r="E352" s="26" t="n">
        <v>443.23</v>
      </c>
      <c r="F352" s="27" t="n">
        <v>127</v>
      </c>
      <c r="G352" s="26" t="n">
        <v>163.83</v>
      </c>
    </row>
    <row r="353">
      <c r="A353" s="24" t="n">
        <v>46180</v>
      </c>
      <c r="B353" s="25" t="inlineStr">
        <is>
          <t>BAK002</t>
        </is>
      </c>
      <c r="C353" s="25" t="inlineStr">
        <is>
          <t>Wholemeal Loaf</t>
        </is>
      </c>
      <c r="D353" s="25" t="inlineStr">
        <is>
          <t>Bakery</t>
        </is>
      </c>
      <c r="E353" s="26" t="n">
        <v>390.39</v>
      </c>
      <c r="F353" s="27" t="n">
        <v>91</v>
      </c>
      <c r="G353" s="26" t="n">
        <v>144.69</v>
      </c>
    </row>
    <row r="354">
      <c r="A354" s="24" t="n">
        <v>46180</v>
      </c>
      <c r="B354" s="25" t="inlineStr">
        <is>
          <t>BAK003</t>
        </is>
      </c>
      <c r="C354" s="25" t="inlineStr">
        <is>
          <t>Croissant 4pk</t>
        </is>
      </c>
      <c r="D354" s="25" t="inlineStr">
        <is>
          <t>Bakery</t>
        </is>
      </c>
      <c r="E354" s="26" t="n">
        <v>257.57</v>
      </c>
      <c r="F354" s="27" t="n">
        <v>43</v>
      </c>
      <c r="G354" s="26" t="n">
        <v>115.67</v>
      </c>
    </row>
    <row r="355">
      <c r="A355" s="24" t="n">
        <v>46180</v>
      </c>
      <c r="B355" s="25" t="inlineStr">
        <is>
          <t>BBT001</t>
        </is>
      </c>
      <c r="C355" s="25" t="inlineStr">
        <is>
          <t>Bubble Tea Kit</t>
        </is>
      </c>
      <c r="D355" s="25" t="inlineStr">
        <is>
          <t>Beverages</t>
        </is>
      </c>
      <c r="E355" s="26" t="n">
        <v>237.66</v>
      </c>
      <c r="F355" s="27" t="n">
        <v>34</v>
      </c>
      <c r="G355" s="26" t="n">
        <v>105.06</v>
      </c>
    </row>
    <row r="356">
      <c r="A356" s="24" t="n">
        <v>46180</v>
      </c>
      <c r="B356" s="25" t="inlineStr">
        <is>
          <t>BEV001</t>
        </is>
      </c>
      <c r="C356" s="25" t="inlineStr">
        <is>
          <t>Energy Drink 500ml</t>
        </is>
      </c>
      <c r="D356" s="25" t="inlineStr">
        <is>
          <t>Beverages</t>
        </is>
      </c>
      <c r="E356" s="26" t="n">
        <v>737.88</v>
      </c>
      <c r="F356" s="27" t="n">
        <v>172</v>
      </c>
      <c r="G356" s="26" t="n">
        <v>368.08</v>
      </c>
    </row>
    <row r="357">
      <c r="A357" s="24" t="n">
        <v>46180</v>
      </c>
      <c r="B357" s="25" t="inlineStr">
        <is>
          <t>BEV002</t>
        </is>
      </c>
      <c r="C357" s="25" t="inlineStr">
        <is>
          <t>Cola 1.5L</t>
        </is>
      </c>
      <c r="D357" s="25" t="inlineStr">
        <is>
          <t>Beverages</t>
        </is>
      </c>
      <c r="E357" s="26" t="n">
        <v>359.2</v>
      </c>
      <c r="F357" s="27" t="n">
        <v>80</v>
      </c>
      <c r="G357" s="26" t="n">
        <v>175.2</v>
      </c>
    </row>
    <row r="358">
      <c r="A358" s="24" t="n">
        <v>46180</v>
      </c>
      <c r="B358" s="25" t="inlineStr">
        <is>
          <t>BEV003</t>
        </is>
      </c>
      <c r="C358" s="25" t="inlineStr">
        <is>
          <t>Sparkling Water 1L</t>
        </is>
      </c>
      <c r="D358" s="25" t="inlineStr">
        <is>
          <t>Beverages</t>
        </is>
      </c>
      <c r="E358" s="26" t="n">
        <v>169.32</v>
      </c>
      <c r="F358" s="27" t="n">
        <v>68</v>
      </c>
      <c r="G358" s="26" t="n">
        <v>94.52</v>
      </c>
    </row>
    <row r="359">
      <c r="A359" s="24" t="n">
        <v>46180</v>
      </c>
      <c r="B359" s="25" t="inlineStr">
        <is>
          <t>BEV004</t>
        </is>
      </c>
      <c r="C359" s="25" t="inlineStr">
        <is>
          <t>Iced Coffee 500ml</t>
        </is>
      </c>
      <c r="D359" s="25" t="inlineStr">
        <is>
          <t>Beverages</t>
        </is>
      </c>
      <c r="E359" s="26" t="n">
        <v>424.15</v>
      </c>
      <c r="F359" s="27" t="n">
        <v>85</v>
      </c>
      <c r="G359" s="26" t="n">
        <v>194.65</v>
      </c>
    </row>
    <row r="360">
      <c r="A360" s="24" t="n">
        <v>46180</v>
      </c>
      <c r="B360" s="25" t="inlineStr">
        <is>
          <t>BEV005</t>
        </is>
      </c>
      <c r="C360" s="25" t="inlineStr">
        <is>
          <t>Kombucha 330ml</t>
        </is>
      </c>
      <c r="D360" s="25" t="inlineStr">
        <is>
          <t>Beverages</t>
        </is>
      </c>
      <c r="E360" s="26" t="n">
        <v>138.91</v>
      </c>
      <c r="F360" s="27" t="n">
        <v>29</v>
      </c>
      <c r="G360" s="26" t="n">
        <v>63.51</v>
      </c>
    </row>
    <row r="361">
      <c r="A361" s="24" t="n">
        <v>46180</v>
      </c>
      <c r="B361" s="25" t="inlineStr">
        <is>
          <t>BEV006</t>
        </is>
      </c>
      <c r="C361" s="25" t="inlineStr">
        <is>
          <t>Bottled Water 750ml</t>
        </is>
      </c>
      <c r="D361" s="25" t="inlineStr">
        <is>
          <t>Beverages</t>
        </is>
      </c>
      <c r="E361" s="26" t="n">
        <v>418.6</v>
      </c>
      <c r="F361" s="27" t="n">
        <v>140</v>
      </c>
      <c r="G361" s="26" t="n">
        <v>285.6</v>
      </c>
    </row>
    <row r="362">
      <c r="A362" s="24" t="n">
        <v>46180</v>
      </c>
      <c r="B362" s="25" t="inlineStr">
        <is>
          <t>DRY010</t>
        </is>
      </c>
      <c r="C362" s="25" t="inlineStr">
        <is>
          <t>Butter 500g</t>
        </is>
      </c>
      <c r="D362" s="25" t="inlineStr">
        <is>
          <t>Dairy</t>
        </is>
      </c>
      <c r="E362" s="26" t="n">
        <v>254.66</v>
      </c>
      <c r="F362" s="27" t="n">
        <v>34</v>
      </c>
      <c r="G362" s="26" t="n">
        <v>64.26000000000001</v>
      </c>
    </row>
    <row r="363">
      <c r="A363" s="24" t="n">
        <v>46180</v>
      </c>
      <c r="B363" s="25" t="inlineStr">
        <is>
          <t>DRY011</t>
        </is>
      </c>
      <c r="C363" s="25" t="inlineStr">
        <is>
          <t>Greek Yoghurt 1kg</t>
        </is>
      </c>
      <c r="D363" s="25" t="inlineStr">
        <is>
          <t>Dairy</t>
        </is>
      </c>
      <c r="E363" s="26" t="n">
        <v>175.78</v>
      </c>
      <c r="F363" s="27" t="n">
        <v>22</v>
      </c>
      <c r="G363" s="26" t="n">
        <v>63.58</v>
      </c>
    </row>
    <row r="364">
      <c r="A364" s="24" t="n">
        <v>46180</v>
      </c>
      <c r="B364" s="25" t="inlineStr">
        <is>
          <t>DRY012</t>
        </is>
      </c>
      <c r="C364" s="25" t="inlineStr">
        <is>
          <t>Cheese Block 1kg</t>
        </is>
      </c>
      <c r="D364" s="25" t="inlineStr">
        <is>
          <t>Dairy</t>
        </is>
      </c>
      <c r="E364" s="26" t="n">
        <v>503.64</v>
      </c>
      <c r="F364" s="27" t="n">
        <v>36</v>
      </c>
      <c r="G364" s="26" t="n">
        <v>129.24</v>
      </c>
    </row>
    <row r="365">
      <c r="A365" s="24" t="n">
        <v>46180</v>
      </c>
      <c r="B365" s="25" t="inlineStr">
        <is>
          <t>FRZ001</t>
        </is>
      </c>
      <c r="C365" s="25" t="inlineStr">
        <is>
          <t>Ice Cream Tub 2L</t>
        </is>
      </c>
      <c r="D365" s="25" t="inlineStr">
        <is>
          <t>Frozen</t>
        </is>
      </c>
      <c r="E365" s="26" t="n">
        <v>287.68</v>
      </c>
      <c r="F365" s="27" t="n">
        <v>32</v>
      </c>
      <c r="G365" s="26" t="n">
        <v>114.88</v>
      </c>
    </row>
    <row r="366">
      <c r="A366" s="24" t="n">
        <v>46180</v>
      </c>
      <c r="B366" s="25" t="inlineStr">
        <is>
          <t>FRZ002</t>
        </is>
      </c>
      <c r="C366" s="25" t="inlineStr">
        <is>
          <t>Ice Block Single</t>
        </is>
      </c>
      <c r="D366" s="25" t="inlineStr">
        <is>
          <t>Frozen</t>
        </is>
      </c>
      <c r="E366" s="26" t="n">
        <v>227.24</v>
      </c>
      <c r="F366" s="27" t="n">
        <v>76</v>
      </c>
      <c r="G366" s="26" t="n">
        <v>136.04</v>
      </c>
    </row>
    <row r="367">
      <c r="A367" s="24" t="n">
        <v>46180</v>
      </c>
      <c r="B367" s="25" t="inlineStr">
        <is>
          <t>FRZ003</t>
        </is>
      </c>
      <c r="C367" s="25" t="inlineStr">
        <is>
          <t>Frozen Pizza</t>
        </is>
      </c>
      <c r="D367" s="25" t="inlineStr">
        <is>
          <t>Frozen</t>
        </is>
      </c>
      <c r="E367" s="26" t="n">
        <v>303.62</v>
      </c>
      <c r="F367" s="27" t="n">
        <v>38</v>
      </c>
      <c r="G367" s="26" t="n">
        <v>125.02</v>
      </c>
    </row>
    <row r="368">
      <c r="A368" s="24" t="n">
        <v>46180</v>
      </c>
      <c r="B368" s="25" t="inlineStr">
        <is>
          <t>FRZ004</t>
        </is>
      </c>
      <c r="C368" s="25" t="inlineStr">
        <is>
          <t>Frozen Dumplings 1kg</t>
        </is>
      </c>
      <c r="D368" s="25" t="inlineStr">
        <is>
          <t>Frozen</t>
        </is>
      </c>
      <c r="E368" s="26" t="n">
        <v>407.66</v>
      </c>
      <c r="F368" s="27" t="n">
        <v>34</v>
      </c>
      <c r="G368" s="26" t="n">
        <v>166.26</v>
      </c>
    </row>
    <row r="369">
      <c r="A369" s="24" t="n">
        <v>46180</v>
      </c>
      <c r="B369" s="25" t="inlineStr">
        <is>
          <t>FTG001</t>
        </is>
      </c>
      <c r="C369" s="25" t="inlineStr">
        <is>
          <t>Chicken Sandwich</t>
        </is>
      </c>
      <c r="D369" s="25" t="inlineStr">
        <is>
          <t>Food To Go</t>
        </is>
      </c>
      <c r="E369" s="26" t="n">
        <v>936.25</v>
      </c>
      <c r="F369" s="27" t="n">
        <v>125</v>
      </c>
      <c r="G369" s="26" t="n">
        <v>448.75</v>
      </c>
    </row>
    <row r="370">
      <c r="A370" s="24" t="n">
        <v>46180</v>
      </c>
      <c r="B370" s="25" t="inlineStr">
        <is>
          <t>FTG002</t>
        </is>
      </c>
      <c r="C370" s="25" t="inlineStr">
        <is>
          <t>Sushi Pack 8pc</t>
        </is>
      </c>
      <c r="D370" s="25" t="inlineStr">
        <is>
          <t>Food To Go</t>
        </is>
      </c>
      <c r="E370" s="26" t="n">
        <v>819.1800000000001</v>
      </c>
      <c r="F370" s="27" t="n">
        <v>82</v>
      </c>
      <c r="G370" s="26" t="n">
        <v>359.98</v>
      </c>
    </row>
    <row r="371">
      <c r="A371" s="24" t="n">
        <v>46180</v>
      </c>
      <c r="B371" s="25" t="inlineStr">
        <is>
          <t>FTG003</t>
        </is>
      </c>
      <c r="C371" s="25" t="inlineStr">
        <is>
          <t>Hot Pie Mince &amp; Cheese</t>
        </is>
      </c>
      <c r="D371" s="25" t="inlineStr">
        <is>
          <t>Food To Go</t>
        </is>
      </c>
      <c r="E371" s="26" t="n">
        <v>724.6800000000001</v>
      </c>
      <c r="F371" s="27" t="n">
        <v>132</v>
      </c>
      <c r="G371" s="26" t="n">
        <v>407.88</v>
      </c>
    </row>
    <row r="372">
      <c r="A372" s="24" t="n">
        <v>46180</v>
      </c>
      <c r="B372" s="25" t="inlineStr">
        <is>
          <t>FTG004</t>
        </is>
      </c>
      <c r="C372" s="25" t="inlineStr">
        <is>
          <t>Salad Bowl</t>
        </is>
      </c>
      <c r="D372" s="25" t="inlineStr">
        <is>
          <t>Food To Go</t>
        </is>
      </c>
      <c r="E372" s="26" t="n">
        <v>384.65</v>
      </c>
      <c r="F372" s="27" t="n">
        <v>35</v>
      </c>
      <c r="G372" s="26" t="n">
        <v>167.65</v>
      </c>
    </row>
    <row r="373">
      <c r="A373" s="24" t="n">
        <v>46180</v>
      </c>
      <c r="B373" s="25" t="inlineStr">
        <is>
          <t>FTG005</t>
        </is>
      </c>
      <c r="C373" s="25" t="inlineStr">
        <is>
          <t>Filled Roll</t>
        </is>
      </c>
      <c r="D373" s="25" t="inlineStr">
        <is>
          <t>Food To Go</t>
        </is>
      </c>
      <c r="E373" s="26" t="n">
        <v>337.48</v>
      </c>
      <c r="F373" s="27" t="n">
        <v>52</v>
      </c>
      <c r="G373" s="26" t="n">
        <v>171.08</v>
      </c>
    </row>
    <row r="374">
      <c r="A374" s="24" t="n">
        <v>46180</v>
      </c>
      <c r="B374" s="25" t="inlineStr">
        <is>
          <t>GRO001</t>
        </is>
      </c>
      <c r="C374" s="25" t="inlineStr">
        <is>
          <t>Instant Noodles 5pk</t>
        </is>
      </c>
      <c r="D374" s="25" t="inlineStr">
        <is>
          <t>Grocery</t>
        </is>
      </c>
      <c r="E374" s="26" t="n">
        <v>426.55</v>
      </c>
      <c r="F374" s="27" t="n">
        <v>95</v>
      </c>
      <c r="G374" s="26" t="n">
        <v>179.55</v>
      </c>
    </row>
    <row r="375">
      <c r="A375" s="24" t="n">
        <v>46180</v>
      </c>
      <c r="B375" s="25" t="inlineStr">
        <is>
          <t>GRO002</t>
        </is>
      </c>
      <c r="C375" s="25" t="inlineStr">
        <is>
          <t>Canned Soup 500g</t>
        </is>
      </c>
      <c r="D375" s="25" t="inlineStr">
        <is>
          <t>Grocery</t>
        </is>
      </c>
      <c r="E375" s="26" t="n">
        <v>98.69999999999999</v>
      </c>
      <c r="F375" s="27" t="n">
        <v>30</v>
      </c>
      <c r="G375" s="26" t="n">
        <v>41.7</v>
      </c>
    </row>
    <row r="376">
      <c r="A376" s="24" t="n">
        <v>46180</v>
      </c>
      <c r="B376" s="25" t="inlineStr">
        <is>
          <t>GRO003</t>
        </is>
      </c>
      <c r="C376" s="25" t="inlineStr">
        <is>
          <t>Pasta 500g</t>
        </is>
      </c>
      <c r="D376" s="25" t="inlineStr">
        <is>
          <t>Grocery</t>
        </is>
      </c>
      <c r="E376" s="26" t="n">
        <v>77.19</v>
      </c>
      <c r="F376" s="27" t="n">
        <v>31</v>
      </c>
      <c r="G376" s="26" t="n">
        <v>36.89</v>
      </c>
    </row>
    <row r="377">
      <c r="A377" s="24" t="n">
        <v>46180</v>
      </c>
      <c r="B377" s="25" t="inlineStr">
        <is>
          <t>GRO004</t>
        </is>
      </c>
      <c r="C377" s="25" t="inlineStr">
        <is>
          <t>Simmer Sauce 485g</t>
        </is>
      </c>
      <c r="D377" s="25" t="inlineStr">
        <is>
          <t>Grocery</t>
        </is>
      </c>
      <c r="E377" s="26" t="n">
        <v>171.57</v>
      </c>
      <c r="F377" s="27" t="n">
        <v>43</v>
      </c>
      <c r="G377" s="26" t="n">
        <v>72.67</v>
      </c>
    </row>
    <row r="378">
      <c r="A378" s="24" t="n">
        <v>46180</v>
      </c>
      <c r="B378" s="25" t="inlineStr">
        <is>
          <t>GRO005</t>
        </is>
      </c>
      <c r="C378" s="25" t="inlineStr">
        <is>
          <t>Salsa 300g</t>
        </is>
      </c>
      <c r="D378" s="25" t="inlineStr">
        <is>
          <t>Grocery</t>
        </is>
      </c>
      <c r="E378" s="26" t="n">
        <v>86.22</v>
      </c>
      <c r="F378" s="27" t="n">
        <v>18</v>
      </c>
      <c r="G378" s="26" t="n">
        <v>34.02</v>
      </c>
    </row>
    <row r="379">
      <c r="A379" s="24" t="n">
        <v>46180</v>
      </c>
      <c r="B379" s="25" t="inlineStr">
        <is>
          <t>GRO006</t>
        </is>
      </c>
      <c r="C379" s="25" t="inlineStr">
        <is>
          <t>Taco Kit</t>
        </is>
      </c>
      <c r="D379" s="25" t="inlineStr">
        <is>
          <t>Grocery</t>
        </is>
      </c>
      <c r="E379" s="26" t="n">
        <v>90.86000000000001</v>
      </c>
      <c r="F379" s="27" t="n">
        <v>14</v>
      </c>
      <c r="G379" s="26" t="n">
        <v>34.86</v>
      </c>
    </row>
    <row r="380">
      <c r="A380" s="24" t="n">
        <v>46180</v>
      </c>
      <c r="B380" s="25" t="inlineStr">
        <is>
          <t>GRO007</t>
        </is>
      </c>
      <c r="C380" s="25" t="inlineStr">
        <is>
          <t>Eggs Free Range 12pk</t>
        </is>
      </c>
      <c r="D380" s="25" t="inlineStr">
        <is>
          <t>Grocery</t>
        </is>
      </c>
      <c r="E380" s="26" t="n">
        <v>857.22</v>
      </c>
      <c r="F380" s="27" t="n">
        <v>78</v>
      </c>
      <c r="G380" s="26" t="n">
        <v>217.62</v>
      </c>
    </row>
    <row r="381">
      <c r="A381" s="24" t="n">
        <v>46180</v>
      </c>
      <c r="B381" s="25" t="inlineStr">
        <is>
          <t>GRO008</t>
        </is>
      </c>
      <c r="C381" s="25" t="inlineStr">
        <is>
          <t>Coffee Beans 200g</t>
        </is>
      </c>
      <c r="D381" s="25" t="inlineStr">
        <is>
          <t>Grocery</t>
        </is>
      </c>
      <c r="E381" s="26" t="n">
        <v>299.75</v>
      </c>
      <c r="F381" s="27" t="n">
        <v>25</v>
      </c>
      <c r="G381" s="26" t="n">
        <v>109.75</v>
      </c>
    </row>
    <row r="382">
      <c r="A382" s="24" t="n">
        <v>46180</v>
      </c>
      <c r="B382" s="25" t="inlineStr">
        <is>
          <t>HHD001</t>
        </is>
      </c>
      <c r="C382" s="25" t="inlineStr">
        <is>
          <t>Toilet Paper 6pk</t>
        </is>
      </c>
      <c r="D382" s="25" t="inlineStr">
        <is>
          <t>Household</t>
        </is>
      </c>
      <c r="E382" s="26" t="n">
        <v>269.7</v>
      </c>
      <c r="F382" s="27" t="n">
        <v>30</v>
      </c>
      <c r="G382" s="26" t="n">
        <v>92.7</v>
      </c>
    </row>
    <row r="383">
      <c r="A383" s="24" t="n">
        <v>46180</v>
      </c>
      <c r="B383" s="25" t="inlineStr">
        <is>
          <t>HHD002</t>
        </is>
      </c>
      <c r="C383" s="25" t="inlineStr">
        <is>
          <t>Dishwash Liquid</t>
        </is>
      </c>
      <c r="D383" s="25" t="inlineStr">
        <is>
          <t>Household</t>
        </is>
      </c>
      <c r="E383" s="26" t="n">
        <v>114.77</v>
      </c>
      <c r="F383" s="27" t="n">
        <v>23</v>
      </c>
      <c r="G383" s="26" t="n">
        <v>48.07</v>
      </c>
    </row>
    <row r="384">
      <c r="A384" s="24" t="n">
        <v>46180</v>
      </c>
      <c r="B384" s="25" t="inlineStr">
        <is>
          <t>HHD003</t>
        </is>
      </c>
      <c r="C384" s="25" t="inlineStr">
        <is>
          <t>Phone Charger Cable</t>
        </is>
      </c>
      <c r="D384" s="25" t="inlineStr">
        <is>
          <t>Household</t>
        </is>
      </c>
      <c r="E384" s="26" t="n">
        <v>179.88</v>
      </c>
      <c r="F384" s="27" t="n">
        <v>12</v>
      </c>
      <c r="G384" s="26" t="n">
        <v>113.88</v>
      </c>
    </row>
    <row r="385">
      <c r="A385" s="24" t="n">
        <v>46180</v>
      </c>
      <c r="B385" s="25" t="inlineStr">
        <is>
          <t>LIQ001</t>
        </is>
      </c>
      <c r="C385" s="25" t="inlineStr">
        <is>
          <t>Craft Beer 6pk</t>
        </is>
      </c>
      <c r="D385" s="25" t="inlineStr">
        <is>
          <t>Beer &amp; Wine</t>
        </is>
      </c>
      <c r="E385" s="26" t="n">
        <v>620.73</v>
      </c>
      <c r="F385" s="27" t="n">
        <v>27</v>
      </c>
      <c r="G385" s="26" t="n">
        <v>207.63</v>
      </c>
    </row>
    <row r="386">
      <c r="A386" s="24" t="n">
        <v>46180</v>
      </c>
      <c r="B386" s="25" t="inlineStr">
        <is>
          <t>LIQ002</t>
        </is>
      </c>
      <c r="C386" s="25" t="inlineStr">
        <is>
          <t>Sauvignon Blanc 750ml</t>
        </is>
      </c>
      <c r="D386" s="25" t="inlineStr">
        <is>
          <t>Beer &amp; Wine</t>
        </is>
      </c>
      <c r="E386" s="26" t="n">
        <v>511.68</v>
      </c>
      <c r="F386" s="27" t="n">
        <v>32</v>
      </c>
      <c r="G386" s="26" t="n">
        <v>185.28</v>
      </c>
    </row>
    <row r="387">
      <c r="A387" s="24" t="n">
        <v>46180</v>
      </c>
      <c r="B387" s="25" t="inlineStr">
        <is>
          <t>LIQ003</t>
        </is>
      </c>
      <c r="C387" s="25" t="inlineStr">
        <is>
          <t>RTD 4pk</t>
        </is>
      </c>
      <c r="D387" s="25" t="inlineStr">
        <is>
          <t>Beer &amp; Wine</t>
        </is>
      </c>
      <c r="E387" s="26" t="n">
        <v>359.8</v>
      </c>
      <c r="F387" s="27" t="n">
        <v>20</v>
      </c>
      <c r="G387" s="26" t="n">
        <v>121.8</v>
      </c>
    </row>
    <row r="388">
      <c r="A388" s="24" t="n">
        <v>46180</v>
      </c>
      <c r="B388" s="25" t="inlineStr">
        <is>
          <t>LIQ004</t>
        </is>
      </c>
      <c r="C388" s="25" t="inlineStr">
        <is>
          <t>Pinot Noir 750ml</t>
        </is>
      </c>
      <c r="D388" s="25" t="inlineStr">
        <is>
          <t>Beer &amp; Wine</t>
        </is>
      </c>
      <c r="E388" s="26" t="n">
        <v>319.84</v>
      </c>
      <c r="F388" s="27" t="n">
        <v>16</v>
      </c>
      <c r="G388" s="26" t="n">
        <v>115.04</v>
      </c>
    </row>
    <row r="389">
      <c r="A389" s="24" t="n">
        <v>46180</v>
      </c>
      <c r="B389" s="25" t="inlineStr">
        <is>
          <t>MLK001</t>
        </is>
      </c>
      <c r="C389" s="25" t="inlineStr">
        <is>
          <t>Milk Standard 2L</t>
        </is>
      </c>
      <c r="D389" s="25" t="inlineStr">
        <is>
          <t>Dairy</t>
        </is>
      </c>
      <c r="E389" s="26" t="n">
        <v>1452.33</v>
      </c>
      <c r="F389" s="27" t="n">
        <v>297</v>
      </c>
      <c r="G389" s="26" t="n">
        <v>397.98</v>
      </c>
    </row>
    <row r="390">
      <c r="A390" s="24" t="n">
        <v>46180</v>
      </c>
      <c r="B390" s="25" t="inlineStr">
        <is>
          <t>MLK002</t>
        </is>
      </c>
      <c r="C390" s="25" t="inlineStr">
        <is>
          <t>Milk Lite 2L</t>
        </is>
      </c>
      <c r="D390" s="25" t="inlineStr">
        <is>
          <t>Dairy</t>
        </is>
      </c>
      <c r="E390" s="26" t="n">
        <v>518.3399999999999</v>
      </c>
      <c r="F390" s="27" t="n">
        <v>106</v>
      </c>
      <c r="G390" s="26" t="n">
        <v>142.04</v>
      </c>
    </row>
    <row r="391">
      <c r="A391" s="24" t="n">
        <v>46180</v>
      </c>
      <c r="B391" s="25" t="inlineStr">
        <is>
          <t>MLK003</t>
        </is>
      </c>
      <c r="C391" s="25" t="inlineStr">
        <is>
          <t>Oat Milk 1L</t>
        </is>
      </c>
      <c r="D391" s="25" t="inlineStr">
        <is>
          <t>Dairy</t>
        </is>
      </c>
      <c r="E391" s="26" t="n">
        <v>210.21</v>
      </c>
      <c r="F391" s="27" t="n">
        <v>49</v>
      </c>
      <c r="G391" s="26" t="n">
        <v>77.91</v>
      </c>
    </row>
    <row r="392">
      <c r="A392" s="24" t="n">
        <v>46180</v>
      </c>
      <c r="B392" s="25" t="inlineStr">
        <is>
          <t>PHM001</t>
        </is>
      </c>
      <c r="C392" s="25" t="inlineStr">
        <is>
          <t>Paracetamol 20pk</t>
        </is>
      </c>
      <c r="D392" s="25" t="inlineStr">
        <is>
          <t>Health &amp; Beauty</t>
        </is>
      </c>
      <c r="E392" s="26" t="n">
        <v>155.61</v>
      </c>
      <c r="F392" s="27" t="n">
        <v>39</v>
      </c>
      <c r="G392" s="26" t="n">
        <v>93.20999999999999</v>
      </c>
    </row>
    <row r="393">
      <c r="A393" s="24" t="n">
        <v>46180</v>
      </c>
      <c r="B393" s="25" t="inlineStr">
        <is>
          <t>PHM002</t>
        </is>
      </c>
      <c r="C393" s="25" t="inlineStr">
        <is>
          <t>Sunscreen SPF50</t>
        </is>
      </c>
      <c r="D393" s="25" t="inlineStr">
        <is>
          <t>Health &amp; Beauty</t>
        </is>
      </c>
      <c r="E393" s="26" t="n">
        <v>104.93</v>
      </c>
      <c r="F393" s="27" t="n">
        <v>7</v>
      </c>
      <c r="G393" s="26" t="n">
        <v>47.53</v>
      </c>
    </row>
    <row r="394">
      <c r="A394" s="24" t="n">
        <v>46180</v>
      </c>
      <c r="B394" s="25" t="inlineStr">
        <is>
          <t>PRD001</t>
        </is>
      </c>
      <c r="C394" s="25" t="inlineStr">
        <is>
          <t>Bananas (each)</t>
        </is>
      </c>
      <c r="D394" s="25" t="inlineStr">
        <is>
          <t>Produce</t>
        </is>
      </c>
      <c r="E394" s="26" t="n">
        <v>152.91</v>
      </c>
      <c r="F394" s="27" t="n">
        <v>249</v>
      </c>
      <c r="G394" s="26" t="n">
        <v>58.29</v>
      </c>
    </row>
    <row r="395">
      <c r="A395" s="24" t="n">
        <v>46180</v>
      </c>
      <c r="B395" s="25" t="inlineStr">
        <is>
          <t>PRD002</t>
        </is>
      </c>
      <c r="C395" s="25" t="inlineStr">
        <is>
          <t>Avocado</t>
        </is>
      </c>
      <c r="D395" s="25" t="inlineStr">
        <is>
          <t>Produce</t>
        </is>
      </c>
      <c r="E395" s="26" t="n">
        <v>109.56</v>
      </c>
      <c r="F395" s="27" t="n">
        <v>44</v>
      </c>
      <c r="G395" s="26" t="n">
        <v>47.96</v>
      </c>
    </row>
    <row r="396">
      <c r="A396" s="24" t="n">
        <v>46180</v>
      </c>
      <c r="B396" s="25" t="inlineStr">
        <is>
          <t>PRD003</t>
        </is>
      </c>
      <c r="C396" s="25" t="inlineStr">
        <is>
          <t>Tomatoes 500g</t>
        </is>
      </c>
      <c r="D396" s="25" t="inlineStr">
        <is>
          <t>Produce</t>
        </is>
      </c>
      <c r="E396" s="26" t="n">
        <v>134.7</v>
      </c>
      <c r="F396" s="27" t="n">
        <v>30</v>
      </c>
      <c r="G396" s="26" t="n">
        <v>56.7</v>
      </c>
    </row>
    <row r="397">
      <c r="A397" s="24" t="n">
        <v>46180</v>
      </c>
      <c r="B397" s="25" t="inlineStr">
        <is>
          <t>SNK001</t>
        </is>
      </c>
      <c r="C397" s="25" t="inlineStr">
        <is>
          <t>Potato Chips 150g</t>
        </is>
      </c>
      <c r="D397" s="25" t="inlineStr">
        <is>
          <t>Snacks &amp; Confectionery</t>
        </is>
      </c>
      <c r="E397" s="26" t="n">
        <v>526.6800000000001</v>
      </c>
      <c r="F397" s="27" t="n">
        <v>132</v>
      </c>
      <c r="G397" s="26" t="n">
        <v>249.48</v>
      </c>
    </row>
    <row r="398">
      <c r="A398" s="24" t="n">
        <v>46180</v>
      </c>
      <c r="B398" s="25" t="inlineStr">
        <is>
          <t>SNK002</t>
        </is>
      </c>
      <c r="C398" s="25" t="inlineStr">
        <is>
          <t>Chocolate Block 200g</t>
        </is>
      </c>
      <c r="D398" s="25" t="inlineStr">
        <is>
          <t>Snacks &amp; Confectionery</t>
        </is>
      </c>
      <c r="E398" s="26" t="n">
        <v>625.86</v>
      </c>
      <c r="F398" s="27" t="n">
        <v>114</v>
      </c>
      <c r="G398" s="26" t="n">
        <v>261.06</v>
      </c>
    </row>
    <row r="399">
      <c r="A399" s="24" t="n">
        <v>46180</v>
      </c>
      <c r="B399" s="25" t="inlineStr">
        <is>
          <t>SNK003</t>
        </is>
      </c>
      <c r="C399" s="25" t="inlineStr">
        <is>
          <t>Muesli Bar 6pk</t>
        </is>
      </c>
      <c r="D399" s="25" t="inlineStr">
        <is>
          <t>Snacks &amp; Confectionery</t>
        </is>
      </c>
      <c r="E399" s="26" t="n">
        <v>304.59</v>
      </c>
      <c r="F399" s="27" t="n">
        <v>71</v>
      </c>
      <c r="G399" s="26" t="n">
        <v>119.99</v>
      </c>
    </row>
    <row r="400">
      <c r="A400" s="24" t="n">
        <v>46180</v>
      </c>
      <c r="B400" s="25" t="inlineStr">
        <is>
          <t>SNK004</t>
        </is>
      </c>
      <c r="C400" s="25" t="inlineStr">
        <is>
          <t>Corn Chips 230g</t>
        </is>
      </c>
      <c r="D400" s="25" t="inlineStr">
        <is>
          <t>Snacks &amp; Confectionery</t>
        </is>
      </c>
      <c r="E400" s="26" t="n">
        <v>228.99</v>
      </c>
      <c r="F400" s="27" t="n">
        <v>51</v>
      </c>
      <c r="G400" s="26" t="n">
        <v>106.59</v>
      </c>
    </row>
    <row r="401">
      <c r="A401" s="24" t="n">
        <v>46180</v>
      </c>
      <c r="B401" s="25" t="inlineStr">
        <is>
          <t>SNK005</t>
        </is>
      </c>
      <c r="C401" s="25" t="inlineStr">
        <is>
          <t>Lollies Bag 200g</t>
        </is>
      </c>
      <c r="D401" s="25" t="inlineStr">
        <is>
          <t>Snacks &amp; Confectionery</t>
        </is>
      </c>
      <c r="E401" s="26" t="n">
        <v>303.63</v>
      </c>
      <c r="F401" s="27" t="n">
        <v>87</v>
      </c>
      <c r="G401" s="26" t="n">
        <v>155.73</v>
      </c>
    </row>
    <row r="402">
      <c r="A402" s="24" t="n">
        <v>46187</v>
      </c>
      <c r="B402" s="25" t="inlineStr">
        <is>
          <t>BAK001</t>
        </is>
      </c>
      <c r="C402" s="25" t="inlineStr">
        <is>
          <t>Toast Bread White</t>
        </is>
      </c>
      <c r="D402" s="25" t="inlineStr">
        <is>
          <t>Bakery</t>
        </is>
      </c>
      <c r="E402" s="26" t="n">
        <v>478.13</v>
      </c>
      <c r="F402" s="27" t="n">
        <v>137</v>
      </c>
      <c r="G402" s="26" t="n">
        <v>176.73</v>
      </c>
    </row>
    <row r="403">
      <c r="A403" s="24" t="n">
        <v>46187</v>
      </c>
      <c r="B403" s="25" t="inlineStr">
        <is>
          <t>BAK002</t>
        </is>
      </c>
      <c r="C403" s="25" t="inlineStr">
        <is>
          <t>Wholemeal Loaf</t>
        </is>
      </c>
      <c r="D403" s="25" t="inlineStr">
        <is>
          <t>Bakery</t>
        </is>
      </c>
      <c r="E403" s="26" t="n">
        <v>356.07</v>
      </c>
      <c r="F403" s="27" t="n">
        <v>83</v>
      </c>
      <c r="G403" s="26" t="n">
        <v>131.97</v>
      </c>
    </row>
    <row r="404">
      <c r="A404" s="24" t="n">
        <v>46187</v>
      </c>
      <c r="B404" s="25" t="inlineStr">
        <is>
          <t>BAK003</t>
        </is>
      </c>
      <c r="C404" s="25" t="inlineStr">
        <is>
          <t>Croissant 4pk</t>
        </is>
      </c>
      <c r="D404" s="25" t="inlineStr">
        <is>
          <t>Bakery</t>
        </is>
      </c>
      <c r="E404" s="26" t="n">
        <v>251.58</v>
      </c>
      <c r="F404" s="27" t="n">
        <v>42</v>
      </c>
      <c r="G404" s="26" t="n">
        <v>112.98</v>
      </c>
    </row>
    <row r="405">
      <c r="A405" s="24" t="n">
        <v>46187</v>
      </c>
      <c r="B405" s="25" t="inlineStr">
        <is>
          <t>BBT001</t>
        </is>
      </c>
      <c r="C405" s="25" t="inlineStr">
        <is>
          <t>Bubble Tea Kit</t>
        </is>
      </c>
      <c r="D405" s="25" t="inlineStr">
        <is>
          <t>Beverages</t>
        </is>
      </c>
      <c r="E405" s="26" t="n">
        <v>209.7</v>
      </c>
      <c r="F405" s="27" t="n">
        <v>30</v>
      </c>
      <c r="G405" s="26" t="n">
        <v>92.7</v>
      </c>
    </row>
    <row r="406">
      <c r="A406" s="24" t="n">
        <v>46187</v>
      </c>
      <c r="B406" s="25" t="inlineStr">
        <is>
          <t>BEV001</t>
        </is>
      </c>
      <c r="C406" s="25" t="inlineStr">
        <is>
          <t>Energy Drink 500ml</t>
        </is>
      </c>
      <c r="D406" s="25" t="inlineStr">
        <is>
          <t>Beverages</t>
        </is>
      </c>
      <c r="E406" s="26" t="n">
        <v>686.4</v>
      </c>
      <c r="F406" s="27" t="n">
        <v>160</v>
      </c>
      <c r="G406" s="26" t="n">
        <v>342.4</v>
      </c>
    </row>
    <row r="407">
      <c r="A407" s="24" t="n">
        <v>46187</v>
      </c>
      <c r="B407" s="25" t="inlineStr">
        <is>
          <t>BEV002</t>
        </is>
      </c>
      <c r="C407" s="25" t="inlineStr">
        <is>
          <t>Cola 1.5L</t>
        </is>
      </c>
      <c r="D407" s="25" t="inlineStr">
        <is>
          <t>Beverages</t>
        </is>
      </c>
      <c r="E407" s="26" t="n">
        <v>471.45</v>
      </c>
      <c r="F407" s="27" t="n">
        <v>105</v>
      </c>
      <c r="G407" s="26" t="n">
        <v>229.95</v>
      </c>
    </row>
    <row r="408">
      <c r="A408" s="24" t="n">
        <v>46187</v>
      </c>
      <c r="B408" s="25" t="inlineStr">
        <is>
          <t>BEV003</t>
        </is>
      </c>
      <c r="C408" s="25" t="inlineStr">
        <is>
          <t>Sparkling Water 1L</t>
        </is>
      </c>
      <c r="D408" s="25" t="inlineStr">
        <is>
          <t>Beverages</t>
        </is>
      </c>
      <c r="E408" s="26" t="n">
        <v>171.81</v>
      </c>
      <c r="F408" s="27" t="n">
        <v>69</v>
      </c>
      <c r="G408" s="26" t="n">
        <v>95.91</v>
      </c>
    </row>
    <row r="409">
      <c r="A409" s="24" t="n">
        <v>46187</v>
      </c>
      <c r="B409" s="25" t="inlineStr">
        <is>
          <t>BEV004</t>
        </is>
      </c>
      <c r="C409" s="25" t="inlineStr">
        <is>
          <t>Iced Coffee 500ml</t>
        </is>
      </c>
      <c r="D409" s="25" t="inlineStr">
        <is>
          <t>Beverages</t>
        </is>
      </c>
      <c r="E409" s="26" t="n">
        <v>364.27</v>
      </c>
      <c r="F409" s="27" t="n">
        <v>73</v>
      </c>
      <c r="G409" s="26" t="n">
        <v>167.17</v>
      </c>
    </row>
    <row r="410">
      <c r="A410" s="24" t="n">
        <v>46187</v>
      </c>
      <c r="B410" s="25" t="inlineStr">
        <is>
          <t>BEV005</t>
        </is>
      </c>
      <c r="C410" s="25" t="inlineStr">
        <is>
          <t>Kombucha 330ml</t>
        </is>
      </c>
      <c r="D410" s="25" t="inlineStr">
        <is>
          <t>Beverages</t>
        </is>
      </c>
      <c r="E410" s="26" t="n">
        <v>186.81</v>
      </c>
      <c r="F410" s="27" t="n">
        <v>39</v>
      </c>
      <c r="G410" s="26" t="n">
        <v>85.41</v>
      </c>
    </row>
    <row r="411">
      <c r="A411" s="24" t="n">
        <v>46187</v>
      </c>
      <c r="B411" s="25" t="inlineStr">
        <is>
          <t>BEV006</t>
        </is>
      </c>
      <c r="C411" s="25" t="inlineStr">
        <is>
          <t>Bottled Water 750ml</t>
        </is>
      </c>
      <c r="D411" s="25" t="inlineStr">
        <is>
          <t>Beverages</t>
        </is>
      </c>
      <c r="E411" s="26" t="n">
        <v>281.06</v>
      </c>
      <c r="F411" s="27" t="n">
        <v>94</v>
      </c>
      <c r="G411" s="26" t="n">
        <v>191.76</v>
      </c>
    </row>
    <row r="412">
      <c r="A412" s="24" t="n">
        <v>46187</v>
      </c>
      <c r="B412" s="25" t="inlineStr">
        <is>
          <t>DRY010</t>
        </is>
      </c>
      <c r="C412" s="25" t="inlineStr">
        <is>
          <t>Butter 500g</t>
        </is>
      </c>
      <c r="D412" s="25" t="inlineStr">
        <is>
          <t>Dairy</t>
        </is>
      </c>
      <c r="E412" s="26" t="n">
        <v>179.76</v>
      </c>
      <c r="F412" s="27" t="n">
        <v>24</v>
      </c>
      <c r="G412" s="26" t="n">
        <v>45.36</v>
      </c>
    </row>
    <row r="413">
      <c r="A413" s="24" t="n">
        <v>46187</v>
      </c>
      <c r="B413" s="25" t="inlineStr">
        <is>
          <t>DRY011</t>
        </is>
      </c>
      <c r="C413" s="25" t="inlineStr">
        <is>
          <t>Greek Yoghurt 1kg</t>
        </is>
      </c>
      <c r="D413" s="25" t="inlineStr">
        <is>
          <t>Dairy</t>
        </is>
      </c>
      <c r="E413" s="26" t="n">
        <v>247.65</v>
      </c>
      <c r="F413" s="27" t="n">
        <v>35</v>
      </c>
      <c r="G413" s="26" t="n">
        <v>69.15000000000001</v>
      </c>
    </row>
    <row r="414">
      <c r="A414" s="24" t="n">
        <v>46187</v>
      </c>
      <c r="B414" s="25" t="inlineStr">
        <is>
          <t>DRY012</t>
        </is>
      </c>
      <c r="C414" s="25" t="inlineStr">
        <is>
          <t>Cheese Block 1kg</t>
        </is>
      </c>
      <c r="D414" s="25" t="inlineStr">
        <is>
          <t>Dairy</t>
        </is>
      </c>
      <c r="E414" s="26" t="n">
        <v>467.23</v>
      </c>
      <c r="F414" s="27" t="n">
        <v>37</v>
      </c>
      <c r="G414" s="26" t="n">
        <v>82.43000000000001</v>
      </c>
    </row>
    <row r="415">
      <c r="A415" s="24" t="n">
        <v>46187</v>
      </c>
      <c r="B415" s="25" t="inlineStr">
        <is>
          <t>FRZ001</t>
        </is>
      </c>
      <c r="C415" s="25" t="inlineStr">
        <is>
          <t>Ice Cream Tub 2L</t>
        </is>
      </c>
      <c r="D415" s="25" t="inlineStr">
        <is>
          <t>Frozen</t>
        </is>
      </c>
      <c r="E415" s="26" t="n">
        <v>377.58</v>
      </c>
      <c r="F415" s="27" t="n">
        <v>42</v>
      </c>
      <c r="G415" s="26" t="n">
        <v>150.78</v>
      </c>
    </row>
    <row r="416">
      <c r="A416" s="24" t="n">
        <v>46187</v>
      </c>
      <c r="B416" s="25" t="inlineStr">
        <is>
          <t>FRZ002</t>
        </is>
      </c>
      <c r="C416" s="25" t="inlineStr">
        <is>
          <t>Ice Block Single</t>
        </is>
      </c>
      <c r="D416" s="25" t="inlineStr">
        <is>
          <t>Frozen</t>
        </is>
      </c>
      <c r="E416" s="26" t="n">
        <v>125.58</v>
      </c>
      <c r="F416" s="27" t="n">
        <v>42</v>
      </c>
      <c r="G416" s="26" t="n">
        <v>75.18000000000001</v>
      </c>
    </row>
    <row r="417">
      <c r="A417" s="24" t="n">
        <v>46187</v>
      </c>
      <c r="B417" s="25" t="inlineStr">
        <is>
          <t>FRZ003</t>
        </is>
      </c>
      <c r="C417" s="25" t="inlineStr">
        <is>
          <t>Frozen Pizza</t>
        </is>
      </c>
      <c r="D417" s="25" t="inlineStr">
        <is>
          <t>Frozen</t>
        </is>
      </c>
      <c r="E417" s="26" t="n">
        <v>423.47</v>
      </c>
      <c r="F417" s="27" t="n">
        <v>53</v>
      </c>
      <c r="G417" s="26" t="n">
        <v>174.37</v>
      </c>
    </row>
    <row r="418">
      <c r="A418" s="24" t="n">
        <v>46187</v>
      </c>
      <c r="B418" s="25" t="inlineStr">
        <is>
          <t>FRZ004</t>
        </is>
      </c>
      <c r="C418" s="25" t="inlineStr">
        <is>
          <t>Frozen Dumplings 1kg</t>
        </is>
      </c>
      <c r="D418" s="25" t="inlineStr">
        <is>
          <t>Frozen</t>
        </is>
      </c>
      <c r="E418" s="26" t="n">
        <v>431.64</v>
      </c>
      <c r="F418" s="27" t="n">
        <v>36</v>
      </c>
      <c r="G418" s="26" t="n">
        <v>176.04</v>
      </c>
    </row>
    <row r="419">
      <c r="A419" s="24" t="n">
        <v>46187</v>
      </c>
      <c r="B419" s="25" t="inlineStr">
        <is>
          <t>FTG001</t>
        </is>
      </c>
      <c r="C419" s="25" t="inlineStr">
        <is>
          <t>Chicken Sandwich</t>
        </is>
      </c>
      <c r="D419" s="25" t="inlineStr">
        <is>
          <t>Food To Go</t>
        </is>
      </c>
      <c r="E419" s="26" t="n">
        <v>1078.56</v>
      </c>
      <c r="F419" s="27" t="n">
        <v>144</v>
      </c>
      <c r="G419" s="26" t="n">
        <v>516.96</v>
      </c>
    </row>
    <row r="420">
      <c r="A420" s="24" t="n">
        <v>46187</v>
      </c>
      <c r="B420" s="25" t="inlineStr">
        <is>
          <t>FTG002</t>
        </is>
      </c>
      <c r="C420" s="25" t="inlineStr">
        <is>
          <t>Sushi Pack 8pc</t>
        </is>
      </c>
      <c r="D420" s="25" t="inlineStr">
        <is>
          <t>Food To Go</t>
        </is>
      </c>
      <c r="E420" s="26" t="n">
        <v>829.17</v>
      </c>
      <c r="F420" s="27" t="n">
        <v>83</v>
      </c>
      <c r="G420" s="26" t="n">
        <v>364.37</v>
      </c>
    </row>
    <row r="421">
      <c r="A421" s="24" t="n">
        <v>46187</v>
      </c>
      <c r="B421" s="25" t="inlineStr">
        <is>
          <t>FTG003</t>
        </is>
      </c>
      <c r="C421" s="25" t="inlineStr">
        <is>
          <t>Hot Pie Mince &amp; Cheese</t>
        </is>
      </c>
      <c r="D421" s="25" t="inlineStr">
        <is>
          <t>Food To Go</t>
        </is>
      </c>
      <c r="E421" s="26" t="n">
        <v>816.6999999999999</v>
      </c>
      <c r="F421" s="27" t="n">
        <v>170</v>
      </c>
      <c r="G421" s="26" t="n">
        <v>408.7</v>
      </c>
    </row>
    <row r="422">
      <c r="A422" s="24" t="n">
        <v>46187</v>
      </c>
      <c r="B422" s="25" t="inlineStr">
        <is>
          <t>FTG004</t>
        </is>
      </c>
      <c r="C422" s="25" t="inlineStr">
        <is>
          <t>Salad Bowl</t>
        </is>
      </c>
      <c r="D422" s="25" t="inlineStr">
        <is>
          <t>Food To Go</t>
        </is>
      </c>
      <c r="E422" s="26" t="n">
        <v>450.59</v>
      </c>
      <c r="F422" s="27" t="n">
        <v>41</v>
      </c>
      <c r="G422" s="26" t="n">
        <v>196.39</v>
      </c>
    </row>
    <row r="423">
      <c r="A423" s="24" t="n">
        <v>46187</v>
      </c>
      <c r="B423" s="25" t="inlineStr">
        <is>
          <t>FTG005</t>
        </is>
      </c>
      <c r="C423" s="25" t="inlineStr">
        <is>
          <t>Filled Roll</t>
        </is>
      </c>
      <c r="D423" s="25" t="inlineStr">
        <is>
          <t>Food To Go</t>
        </is>
      </c>
      <c r="E423" s="26" t="n">
        <v>597.08</v>
      </c>
      <c r="F423" s="27" t="n">
        <v>92</v>
      </c>
      <c r="G423" s="26" t="n">
        <v>302.68</v>
      </c>
    </row>
    <row r="424">
      <c r="A424" s="24" t="n">
        <v>46187</v>
      </c>
      <c r="B424" s="25" t="inlineStr">
        <is>
          <t>GRO001</t>
        </is>
      </c>
      <c r="C424" s="25" t="inlineStr">
        <is>
          <t>Instant Noodles 5pk</t>
        </is>
      </c>
      <c r="D424" s="25" t="inlineStr">
        <is>
          <t>Grocery</t>
        </is>
      </c>
      <c r="E424" s="26" t="n">
        <v>426.55</v>
      </c>
      <c r="F424" s="27" t="n">
        <v>95</v>
      </c>
      <c r="G424" s="26" t="n">
        <v>179.55</v>
      </c>
    </row>
    <row r="425">
      <c r="A425" s="24" t="n">
        <v>46187</v>
      </c>
      <c r="B425" s="25" t="inlineStr">
        <is>
          <t>GRO002</t>
        </is>
      </c>
      <c r="C425" s="25" t="inlineStr">
        <is>
          <t>Canned Soup 500g</t>
        </is>
      </c>
      <c r="D425" s="25" t="inlineStr">
        <is>
          <t>Grocery</t>
        </is>
      </c>
      <c r="E425" s="26" t="n">
        <v>164.44</v>
      </c>
      <c r="F425" s="27" t="n">
        <v>56</v>
      </c>
      <c r="G425" s="26" t="n">
        <v>58.04</v>
      </c>
    </row>
    <row r="426">
      <c r="A426" s="24" t="n">
        <v>46187</v>
      </c>
      <c r="B426" s="25" t="inlineStr">
        <is>
          <t>GRO003</t>
        </is>
      </c>
      <c r="C426" s="25" t="inlineStr">
        <is>
          <t>Pasta 500g</t>
        </is>
      </c>
      <c r="D426" s="25" t="inlineStr">
        <is>
          <t>Grocery</t>
        </is>
      </c>
      <c r="E426" s="26" t="n">
        <v>109.56</v>
      </c>
      <c r="F426" s="27" t="n">
        <v>44</v>
      </c>
      <c r="G426" s="26" t="n">
        <v>52.36</v>
      </c>
    </row>
    <row r="427">
      <c r="A427" s="24" t="n">
        <v>46187</v>
      </c>
      <c r="B427" s="25" t="inlineStr">
        <is>
          <t>GRO004</t>
        </is>
      </c>
      <c r="C427" s="25" t="inlineStr">
        <is>
          <t>Simmer Sauce 485g</t>
        </is>
      </c>
      <c r="D427" s="25" t="inlineStr">
        <is>
          <t>Grocery</t>
        </is>
      </c>
      <c r="E427" s="26" t="n">
        <v>179.55</v>
      </c>
      <c r="F427" s="27" t="n">
        <v>45</v>
      </c>
      <c r="G427" s="26" t="n">
        <v>76.05</v>
      </c>
    </row>
    <row r="428">
      <c r="A428" s="24" t="n">
        <v>46187</v>
      </c>
      <c r="B428" s="25" t="inlineStr">
        <is>
          <t>GRO005</t>
        </is>
      </c>
      <c r="C428" s="25" t="inlineStr">
        <is>
          <t>Salsa 300g</t>
        </is>
      </c>
      <c r="D428" s="25" t="inlineStr">
        <is>
          <t>Grocery</t>
        </is>
      </c>
      <c r="E428" s="26" t="n">
        <v>95.8</v>
      </c>
      <c r="F428" s="27" t="n">
        <v>20</v>
      </c>
      <c r="G428" s="26" t="n">
        <v>37.8</v>
      </c>
    </row>
    <row r="429">
      <c r="A429" s="24" t="n">
        <v>46187</v>
      </c>
      <c r="B429" s="25" t="inlineStr">
        <is>
          <t>GRO006</t>
        </is>
      </c>
      <c r="C429" s="25" t="inlineStr">
        <is>
          <t>Taco Kit</t>
        </is>
      </c>
      <c r="D429" s="25" t="inlineStr">
        <is>
          <t>Grocery</t>
        </is>
      </c>
      <c r="E429" s="26" t="n">
        <v>136.29</v>
      </c>
      <c r="F429" s="27" t="n">
        <v>21</v>
      </c>
      <c r="G429" s="26" t="n">
        <v>52.29</v>
      </c>
    </row>
    <row r="430">
      <c r="A430" s="24" t="n">
        <v>46187</v>
      </c>
      <c r="B430" s="25" t="inlineStr">
        <is>
          <t>GRO007</t>
        </is>
      </c>
      <c r="C430" s="25" t="inlineStr">
        <is>
          <t>Eggs Free Range 12pk</t>
        </is>
      </c>
      <c r="D430" s="25" t="inlineStr">
        <is>
          <t>Grocery</t>
        </is>
      </c>
      <c r="E430" s="26" t="n">
        <v>637.4200000000001</v>
      </c>
      <c r="F430" s="27" t="n">
        <v>58</v>
      </c>
      <c r="G430" s="26" t="n">
        <v>161.82</v>
      </c>
    </row>
    <row r="431">
      <c r="A431" s="24" t="n">
        <v>46187</v>
      </c>
      <c r="B431" s="25" t="inlineStr">
        <is>
          <t>GRO008</t>
        </is>
      </c>
      <c r="C431" s="25" t="inlineStr">
        <is>
          <t>Coffee Beans 200g</t>
        </is>
      </c>
      <c r="D431" s="25" t="inlineStr">
        <is>
          <t>Grocery</t>
        </is>
      </c>
      <c r="E431" s="26" t="n">
        <v>419.65</v>
      </c>
      <c r="F431" s="27" t="n">
        <v>35</v>
      </c>
      <c r="G431" s="26" t="n">
        <v>153.65</v>
      </c>
    </row>
    <row r="432">
      <c r="A432" s="24" t="n">
        <v>46187</v>
      </c>
      <c r="B432" s="25" t="inlineStr">
        <is>
          <t>HHD001</t>
        </is>
      </c>
      <c r="C432" s="25" t="inlineStr">
        <is>
          <t>Toilet Paper 6pk</t>
        </is>
      </c>
      <c r="D432" s="25" t="inlineStr">
        <is>
          <t>Household</t>
        </is>
      </c>
      <c r="E432" s="26" t="n">
        <v>359.6</v>
      </c>
      <c r="F432" s="27" t="n">
        <v>40</v>
      </c>
      <c r="G432" s="26" t="n">
        <v>123.6</v>
      </c>
    </row>
    <row r="433">
      <c r="A433" s="24" t="n">
        <v>46187</v>
      </c>
      <c r="B433" s="25" t="inlineStr">
        <is>
          <t>HHD002</t>
        </is>
      </c>
      <c r="C433" s="25" t="inlineStr">
        <is>
          <t>Dishwash Liquid</t>
        </is>
      </c>
      <c r="D433" s="25" t="inlineStr">
        <is>
          <t>Household</t>
        </is>
      </c>
      <c r="E433" s="26" t="n">
        <v>109.78</v>
      </c>
      <c r="F433" s="27" t="n">
        <v>22</v>
      </c>
      <c r="G433" s="26" t="n">
        <v>45.98</v>
      </c>
    </row>
    <row r="434">
      <c r="A434" s="24" t="n">
        <v>46187</v>
      </c>
      <c r="B434" s="25" t="inlineStr">
        <is>
          <t>HHD003</t>
        </is>
      </c>
      <c r="C434" s="25" t="inlineStr">
        <is>
          <t>Phone Charger Cable</t>
        </is>
      </c>
      <c r="D434" s="25" t="inlineStr">
        <is>
          <t>Household</t>
        </is>
      </c>
      <c r="E434" s="26" t="n">
        <v>119.92</v>
      </c>
      <c r="F434" s="27" t="n">
        <v>8</v>
      </c>
      <c r="G434" s="26" t="n">
        <v>75.92</v>
      </c>
    </row>
    <row r="435">
      <c r="A435" s="24" t="n">
        <v>46187</v>
      </c>
      <c r="B435" s="25" t="inlineStr">
        <is>
          <t>LIQ001</t>
        </is>
      </c>
      <c r="C435" s="25" t="inlineStr">
        <is>
          <t>Craft Beer 6pk</t>
        </is>
      </c>
      <c r="D435" s="25" t="inlineStr">
        <is>
          <t>Beer &amp; Wine</t>
        </is>
      </c>
      <c r="E435" s="26" t="n">
        <v>620.73</v>
      </c>
      <c r="F435" s="27" t="n">
        <v>27</v>
      </c>
      <c r="G435" s="26" t="n">
        <v>207.63</v>
      </c>
    </row>
    <row r="436">
      <c r="A436" s="24" t="n">
        <v>46187</v>
      </c>
      <c r="B436" s="25" t="inlineStr">
        <is>
          <t>LIQ002</t>
        </is>
      </c>
      <c r="C436" s="25" t="inlineStr">
        <is>
          <t>Sauvignon Blanc 750ml</t>
        </is>
      </c>
      <c r="D436" s="25" t="inlineStr">
        <is>
          <t>Beer &amp; Wine</t>
        </is>
      </c>
      <c r="E436" s="26" t="n">
        <v>447.72</v>
      </c>
      <c r="F436" s="27" t="n">
        <v>28</v>
      </c>
      <c r="G436" s="26" t="n">
        <v>162.12</v>
      </c>
    </row>
    <row r="437">
      <c r="A437" s="24" t="n">
        <v>46187</v>
      </c>
      <c r="B437" s="25" t="inlineStr">
        <is>
          <t>LIQ003</t>
        </is>
      </c>
      <c r="C437" s="25" t="inlineStr">
        <is>
          <t>RTD 4pk</t>
        </is>
      </c>
      <c r="D437" s="25" t="inlineStr">
        <is>
          <t>Beer &amp; Wine</t>
        </is>
      </c>
      <c r="E437" s="26" t="n">
        <v>449.75</v>
      </c>
      <c r="F437" s="27" t="n">
        <v>25</v>
      </c>
      <c r="G437" s="26" t="n">
        <v>152.25</v>
      </c>
    </row>
    <row r="438">
      <c r="A438" s="24" t="n">
        <v>46187</v>
      </c>
      <c r="B438" s="25" t="inlineStr">
        <is>
          <t>LIQ004</t>
        </is>
      </c>
      <c r="C438" s="25" t="inlineStr">
        <is>
          <t>Pinot Noir 750ml</t>
        </is>
      </c>
      <c r="D438" s="25" t="inlineStr">
        <is>
          <t>Beer &amp; Wine</t>
        </is>
      </c>
      <c r="E438" s="26" t="n">
        <v>219.89</v>
      </c>
      <c r="F438" s="27" t="n">
        <v>11</v>
      </c>
      <c r="G438" s="26" t="n">
        <v>79.09</v>
      </c>
    </row>
    <row r="439">
      <c r="A439" s="24" t="n">
        <v>46187</v>
      </c>
      <c r="B439" s="25" t="inlineStr">
        <is>
          <t>MLK001</t>
        </is>
      </c>
      <c r="C439" s="25" t="inlineStr">
        <is>
          <t>Milk Standard 2L</t>
        </is>
      </c>
      <c r="D439" s="25" t="inlineStr">
        <is>
          <t>Dairy</t>
        </is>
      </c>
      <c r="E439" s="26" t="n">
        <v>1418.1</v>
      </c>
      <c r="F439" s="27" t="n">
        <v>290</v>
      </c>
      <c r="G439" s="26" t="n">
        <v>388.6</v>
      </c>
    </row>
    <row r="440">
      <c r="A440" s="24" t="n">
        <v>46187</v>
      </c>
      <c r="B440" s="25" t="inlineStr">
        <is>
          <t>MLK002</t>
        </is>
      </c>
      <c r="C440" s="25" t="inlineStr">
        <is>
          <t>Milk Lite 2L</t>
        </is>
      </c>
      <c r="D440" s="25" t="inlineStr">
        <is>
          <t>Dairy</t>
        </is>
      </c>
      <c r="E440" s="26" t="n">
        <v>699.27</v>
      </c>
      <c r="F440" s="27" t="n">
        <v>143</v>
      </c>
      <c r="G440" s="26" t="n">
        <v>191.62</v>
      </c>
    </row>
    <row r="441">
      <c r="A441" s="24" t="n">
        <v>46187</v>
      </c>
      <c r="B441" s="25" t="inlineStr">
        <is>
          <t>MLK003</t>
        </is>
      </c>
      <c r="C441" s="25" t="inlineStr">
        <is>
          <t>Oat Milk 1L</t>
        </is>
      </c>
      <c r="D441" s="25" t="inlineStr">
        <is>
          <t>Dairy</t>
        </is>
      </c>
      <c r="E441" s="26" t="n">
        <v>300.21</v>
      </c>
      <c r="F441" s="27" t="n">
        <v>79</v>
      </c>
      <c r="G441" s="26" t="n">
        <v>86.91</v>
      </c>
    </row>
    <row r="442">
      <c r="A442" s="24" t="n">
        <v>46187</v>
      </c>
      <c r="B442" s="25" t="inlineStr">
        <is>
          <t>PHM001</t>
        </is>
      </c>
      <c r="C442" s="25" t="inlineStr">
        <is>
          <t>Paracetamol 20pk</t>
        </is>
      </c>
      <c r="D442" s="25" t="inlineStr">
        <is>
          <t>Health &amp; Beauty</t>
        </is>
      </c>
      <c r="E442" s="26" t="n">
        <v>115.71</v>
      </c>
      <c r="F442" s="27" t="n">
        <v>29</v>
      </c>
      <c r="G442" s="26" t="n">
        <v>69.31</v>
      </c>
    </row>
    <row r="443">
      <c r="A443" s="24" t="n">
        <v>46187</v>
      </c>
      <c r="B443" s="25" t="inlineStr">
        <is>
          <t>PHM002</t>
        </is>
      </c>
      <c r="C443" s="25" t="inlineStr">
        <is>
          <t>Sunscreen SPF50</t>
        </is>
      </c>
      <c r="D443" s="25" t="inlineStr">
        <is>
          <t>Health &amp; Beauty</t>
        </is>
      </c>
      <c r="E443" s="26" t="n">
        <v>209.86</v>
      </c>
      <c r="F443" s="27" t="n">
        <v>14</v>
      </c>
      <c r="G443" s="26" t="n">
        <v>95.06</v>
      </c>
    </row>
    <row r="444">
      <c r="A444" s="24" t="n">
        <v>46187</v>
      </c>
      <c r="B444" s="25" t="inlineStr">
        <is>
          <t>PRD001</t>
        </is>
      </c>
      <c r="C444" s="25" t="inlineStr">
        <is>
          <t>Bananas (each)</t>
        </is>
      </c>
      <c r="D444" s="25" t="inlineStr">
        <is>
          <t>Produce</t>
        </is>
      </c>
      <c r="E444" s="26" t="n">
        <v>178.02</v>
      </c>
      <c r="F444" s="27" t="n">
        <v>258</v>
      </c>
      <c r="G444" s="26" t="n">
        <v>79.98</v>
      </c>
    </row>
    <row r="445">
      <c r="A445" s="24" t="n">
        <v>46187</v>
      </c>
      <c r="B445" s="25" t="inlineStr">
        <is>
          <t>PRD002</t>
        </is>
      </c>
      <c r="C445" s="25" t="inlineStr">
        <is>
          <t>Avocado</t>
        </is>
      </c>
      <c r="D445" s="25" t="inlineStr">
        <is>
          <t>Produce</t>
        </is>
      </c>
      <c r="E445" s="26" t="n">
        <v>124.5</v>
      </c>
      <c r="F445" s="27" t="n">
        <v>50</v>
      </c>
      <c r="G445" s="26" t="n">
        <v>54.5</v>
      </c>
    </row>
    <row r="446">
      <c r="A446" s="24" t="n">
        <v>46187</v>
      </c>
      <c r="B446" s="25" t="inlineStr">
        <is>
          <t>PRD003</t>
        </is>
      </c>
      <c r="C446" s="25" t="inlineStr">
        <is>
          <t>Tomatoes 500g</t>
        </is>
      </c>
      <c r="D446" s="25" t="inlineStr">
        <is>
          <t>Produce</t>
        </is>
      </c>
      <c r="E446" s="26" t="n">
        <v>94.29000000000001</v>
      </c>
      <c r="F446" s="27" t="n">
        <v>21</v>
      </c>
      <c r="G446" s="26" t="n">
        <v>39.69</v>
      </c>
    </row>
    <row r="447">
      <c r="A447" s="24" t="n">
        <v>46187</v>
      </c>
      <c r="B447" s="25" t="inlineStr">
        <is>
          <t>SNK001</t>
        </is>
      </c>
      <c r="C447" s="25" t="inlineStr">
        <is>
          <t>Potato Chips 150g</t>
        </is>
      </c>
      <c r="D447" s="25" t="inlineStr">
        <is>
          <t>Snacks &amp; Confectionery</t>
        </is>
      </c>
      <c r="E447" s="26" t="n">
        <v>586.53</v>
      </c>
      <c r="F447" s="27" t="n">
        <v>147</v>
      </c>
      <c r="G447" s="26" t="n">
        <v>277.83</v>
      </c>
    </row>
    <row r="448">
      <c r="A448" s="24" t="n">
        <v>46187</v>
      </c>
      <c r="B448" s="25" t="inlineStr">
        <is>
          <t>SNK002</t>
        </is>
      </c>
      <c r="C448" s="25" t="inlineStr">
        <is>
          <t>Chocolate Block 200g</t>
        </is>
      </c>
      <c r="D448" s="25" t="inlineStr">
        <is>
          <t>Snacks &amp; Confectionery</t>
        </is>
      </c>
      <c r="E448" s="26" t="n">
        <v>675.27</v>
      </c>
      <c r="F448" s="27" t="n">
        <v>123</v>
      </c>
      <c r="G448" s="26" t="n">
        <v>281.67</v>
      </c>
    </row>
    <row r="449">
      <c r="A449" s="24" t="n">
        <v>46187</v>
      </c>
      <c r="B449" s="25" t="inlineStr">
        <is>
          <t>SNK003</t>
        </is>
      </c>
      <c r="C449" s="25" t="inlineStr">
        <is>
          <t>Muesli Bar 6pk</t>
        </is>
      </c>
      <c r="D449" s="25" t="inlineStr">
        <is>
          <t>Snacks &amp; Confectionery</t>
        </is>
      </c>
      <c r="E449" s="26" t="n">
        <v>205.92</v>
      </c>
      <c r="F449" s="27" t="n">
        <v>48</v>
      </c>
      <c r="G449" s="26" t="n">
        <v>81.12</v>
      </c>
    </row>
    <row r="450">
      <c r="A450" s="24" t="n">
        <v>46187</v>
      </c>
      <c r="B450" s="25" t="inlineStr">
        <is>
          <t>SNK004</t>
        </is>
      </c>
      <c r="C450" s="25" t="inlineStr">
        <is>
          <t>Corn Chips 230g</t>
        </is>
      </c>
      <c r="D450" s="25" t="inlineStr">
        <is>
          <t>Snacks &amp; Confectionery</t>
        </is>
      </c>
      <c r="E450" s="26" t="n">
        <v>345.73</v>
      </c>
      <c r="F450" s="27" t="n">
        <v>77</v>
      </c>
      <c r="G450" s="26" t="n">
        <v>160.93</v>
      </c>
    </row>
    <row r="451">
      <c r="A451" s="24" t="n">
        <v>46187</v>
      </c>
      <c r="B451" s="25" t="inlineStr">
        <is>
          <t>SNK005</t>
        </is>
      </c>
      <c r="C451" s="25" t="inlineStr">
        <is>
          <t>Lollies Bag 200g</t>
        </is>
      </c>
      <c r="D451" s="25" t="inlineStr">
        <is>
          <t>Snacks &amp; Confectionery</t>
        </is>
      </c>
      <c r="E451" s="26" t="n">
        <v>230.34</v>
      </c>
      <c r="F451" s="27" t="n">
        <v>66</v>
      </c>
      <c r="G451" s="26" t="n">
        <v>118.14</v>
      </c>
    </row>
    <row r="452">
      <c r="A452" s="24" t="n">
        <v>46194</v>
      </c>
      <c r="B452" s="25" t="inlineStr">
        <is>
          <t>BAK001</t>
        </is>
      </c>
      <c r="C452" s="25" t="inlineStr">
        <is>
          <t>Toast Bread White</t>
        </is>
      </c>
      <c r="D452" s="25" t="inlineStr">
        <is>
          <t>Bakery</t>
        </is>
      </c>
      <c r="E452" s="26" t="n">
        <v>492.09</v>
      </c>
      <c r="F452" s="27" t="n">
        <v>141</v>
      </c>
      <c r="G452" s="26" t="n">
        <v>181.89</v>
      </c>
    </row>
    <row r="453">
      <c r="A453" s="24" t="n">
        <v>46194</v>
      </c>
      <c r="B453" s="25" t="inlineStr">
        <is>
          <t>BAK002</t>
        </is>
      </c>
      <c r="C453" s="25" t="inlineStr">
        <is>
          <t>Wholemeal Loaf</t>
        </is>
      </c>
      <c r="D453" s="25" t="inlineStr">
        <is>
          <t>Bakery</t>
        </is>
      </c>
      <c r="E453" s="26" t="n">
        <v>383.43</v>
      </c>
      <c r="F453" s="27" t="n">
        <v>99</v>
      </c>
      <c r="G453" s="26" t="n">
        <v>116.13</v>
      </c>
    </row>
    <row r="454">
      <c r="A454" s="24" t="n">
        <v>46194</v>
      </c>
      <c r="B454" s="25" t="inlineStr">
        <is>
          <t>BAK003</t>
        </is>
      </c>
      <c r="C454" s="25" t="inlineStr">
        <is>
          <t>Croissant 4pk</t>
        </is>
      </c>
      <c r="D454" s="25" t="inlineStr">
        <is>
          <t>Bakery</t>
        </is>
      </c>
      <c r="E454" s="26" t="n">
        <v>293.51</v>
      </c>
      <c r="F454" s="27" t="n">
        <v>49</v>
      </c>
      <c r="G454" s="26" t="n">
        <v>131.81</v>
      </c>
    </row>
    <row r="455">
      <c r="A455" s="24" t="n">
        <v>46194</v>
      </c>
      <c r="B455" s="25" t="inlineStr">
        <is>
          <t>BBT001</t>
        </is>
      </c>
      <c r="C455" s="25" t="inlineStr">
        <is>
          <t>Bubble Tea Kit</t>
        </is>
      </c>
      <c r="D455" s="25" t="inlineStr">
        <is>
          <t>Beverages</t>
        </is>
      </c>
      <c r="E455" s="26" t="n">
        <v>244.65</v>
      </c>
      <c r="F455" s="27" t="n">
        <v>35</v>
      </c>
      <c r="G455" s="26" t="n">
        <v>108.15</v>
      </c>
    </row>
    <row r="456">
      <c r="A456" s="24" t="n">
        <v>46194</v>
      </c>
      <c r="B456" s="25" t="inlineStr">
        <is>
          <t>BEV001</t>
        </is>
      </c>
      <c r="C456" s="25" t="inlineStr">
        <is>
          <t>Energy Drink 500ml</t>
        </is>
      </c>
      <c r="D456" s="25" t="inlineStr">
        <is>
          <t>Beverages</t>
        </is>
      </c>
      <c r="E456" s="26" t="n">
        <v>592.02</v>
      </c>
      <c r="F456" s="27" t="n">
        <v>138</v>
      </c>
      <c r="G456" s="26" t="n">
        <v>295.32</v>
      </c>
    </row>
    <row r="457">
      <c r="A457" s="24" t="n">
        <v>46194</v>
      </c>
      <c r="B457" s="25" t="inlineStr">
        <is>
          <t>BEV002</t>
        </is>
      </c>
      <c r="C457" s="25" t="inlineStr">
        <is>
          <t>Cola 1.5L</t>
        </is>
      </c>
      <c r="D457" s="25" t="inlineStr">
        <is>
          <t>Beverages</t>
        </is>
      </c>
      <c r="E457" s="26" t="n">
        <v>354.71</v>
      </c>
      <c r="F457" s="27" t="n">
        <v>79</v>
      </c>
      <c r="G457" s="26" t="n">
        <v>173.01</v>
      </c>
    </row>
    <row r="458">
      <c r="A458" s="24" t="n">
        <v>46194</v>
      </c>
      <c r="B458" s="25" t="inlineStr">
        <is>
          <t>BEV003</t>
        </is>
      </c>
      <c r="C458" s="25" t="inlineStr">
        <is>
          <t>Sparkling Water 1L</t>
        </is>
      </c>
      <c r="D458" s="25" t="inlineStr">
        <is>
          <t>Beverages</t>
        </is>
      </c>
      <c r="E458" s="26" t="n">
        <v>107.07</v>
      </c>
      <c r="F458" s="27" t="n">
        <v>43</v>
      </c>
      <c r="G458" s="26" t="n">
        <v>59.77</v>
      </c>
    </row>
    <row r="459">
      <c r="A459" s="24" t="n">
        <v>46194</v>
      </c>
      <c r="B459" s="25" t="inlineStr">
        <is>
          <t>BEV004</t>
        </is>
      </c>
      <c r="C459" s="25" t="inlineStr">
        <is>
          <t>Iced Coffee 500ml</t>
        </is>
      </c>
      <c r="D459" s="25" t="inlineStr">
        <is>
          <t>Beverages</t>
        </is>
      </c>
      <c r="E459" s="26" t="n">
        <v>419.16</v>
      </c>
      <c r="F459" s="27" t="n">
        <v>84</v>
      </c>
      <c r="G459" s="26" t="n">
        <v>192.36</v>
      </c>
    </row>
    <row r="460">
      <c r="A460" s="24" t="n">
        <v>46194</v>
      </c>
      <c r="B460" s="25" t="inlineStr">
        <is>
          <t>BEV005</t>
        </is>
      </c>
      <c r="C460" s="25" t="inlineStr">
        <is>
          <t>Kombucha 330ml</t>
        </is>
      </c>
      <c r="D460" s="25" t="inlineStr">
        <is>
          <t>Beverages</t>
        </is>
      </c>
      <c r="E460" s="26" t="n">
        <v>148.49</v>
      </c>
      <c r="F460" s="27" t="n">
        <v>31</v>
      </c>
      <c r="G460" s="26" t="n">
        <v>67.89</v>
      </c>
    </row>
    <row r="461">
      <c r="A461" s="24" t="n">
        <v>46194</v>
      </c>
      <c r="B461" s="25" t="inlineStr">
        <is>
          <t>BEV006</t>
        </is>
      </c>
      <c r="C461" s="25" t="inlineStr">
        <is>
          <t>Bottled Water 750ml</t>
        </is>
      </c>
      <c r="D461" s="25" t="inlineStr">
        <is>
          <t>Beverages</t>
        </is>
      </c>
      <c r="E461" s="26" t="n">
        <v>433.55</v>
      </c>
      <c r="F461" s="27" t="n">
        <v>145</v>
      </c>
      <c r="G461" s="26" t="n">
        <v>295.8</v>
      </c>
    </row>
    <row r="462">
      <c r="A462" s="24" t="n">
        <v>46194</v>
      </c>
      <c r="B462" s="25" t="inlineStr">
        <is>
          <t>DRY010</t>
        </is>
      </c>
      <c r="C462" s="25" t="inlineStr">
        <is>
          <t>Butter 500g</t>
        </is>
      </c>
      <c r="D462" s="25" t="inlineStr">
        <is>
          <t>Dairy</t>
        </is>
      </c>
      <c r="E462" s="26" t="n">
        <v>367.01</v>
      </c>
      <c r="F462" s="27" t="n">
        <v>49</v>
      </c>
      <c r="G462" s="26" t="n">
        <v>92.61</v>
      </c>
    </row>
    <row r="463">
      <c r="A463" s="24" t="n">
        <v>46194</v>
      </c>
      <c r="B463" s="25" t="inlineStr">
        <is>
          <t>DRY011</t>
        </is>
      </c>
      <c r="C463" s="25" t="inlineStr">
        <is>
          <t>Greek Yoghurt 1kg</t>
        </is>
      </c>
      <c r="D463" s="25" t="inlineStr">
        <is>
          <t>Dairy</t>
        </is>
      </c>
      <c r="E463" s="26" t="n">
        <v>247.69</v>
      </c>
      <c r="F463" s="27" t="n">
        <v>31</v>
      </c>
      <c r="G463" s="26" t="n">
        <v>89.59</v>
      </c>
    </row>
    <row r="464">
      <c r="A464" s="24" t="n">
        <v>46194</v>
      </c>
      <c r="B464" s="25" t="inlineStr">
        <is>
          <t>DRY012</t>
        </is>
      </c>
      <c r="C464" s="25" t="inlineStr">
        <is>
          <t>Cheese Block 1kg</t>
        </is>
      </c>
      <c r="D464" s="25" t="inlineStr">
        <is>
          <t>Dairy</t>
        </is>
      </c>
      <c r="E464" s="26" t="n">
        <v>447.68</v>
      </c>
      <c r="F464" s="27" t="n">
        <v>32</v>
      </c>
      <c r="G464" s="26" t="n">
        <v>114.88</v>
      </c>
    </row>
    <row r="465">
      <c r="A465" s="24" t="n">
        <v>46194</v>
      </c>
      <c r="B465" s="25" t="inlineStr">
        <is>
          <t>FRZ001</t>
        </is>
      </c>
      <c r="C465" s="25" t="inlineStr">
        <is>
          <t>Ice Cream Tub 2L</t>
        </is>
      </c>
      <c r="D465" s="25" t="inlineStr">
        <is>
          <t>Frozen</t>
        </is>
      </c>
      <c r="E465" s="26" t="n">
        <v>215.76</v>
      </c>
      <c r="F465" s="27" t="n">
        <v>24</v>
      </c>
      <c r="G465" s="26" t="n">
        <v>86.16</v>
      </c>
    </row>
    <row r="466">
      <c r="A466" s="24" t="n">
        <v>46194</v>
      </c>
      <c r="B466" s="25" t="inlineStr">
        <is>
          <t>FRZ002</t>
        </is>
      </c>
      <c r="C466" s="25" t="inlineStr">
        <is>
          <t>Ice Block Single</t>
        </is>
      </c>
      <c r="D466" s="25" t="inlineStr">
        <is>
          <t>Frozen</t>
        </is>
      </c>
      <c r="E466" s="26" t="n">
        <v>224.25</v>
      </c>
      <c r="F466" s="27" t="n">
        <v>75</v>
      </c>
      <c r="G466" s="26" t="n">
        <v>134.25</v>
      </c>
    </row>
    <row r="467">
      <c r="A467" s="24" t="n">
        <v>46194</v>
      </c>
      <c r="B467" s="25" t="inlineStr">
        <is>
          <t>FRZ003</t>
        </is>
      </c>
      <c r="C467" s="25" t="inlineStr">
        <is>
          <t>Frozen Pizza</t>
        </is>
      </c>
      <c r="D467" s="25" t="inlineStr">
        <is>
          <t>Frozen</t>
        </is>
      </c>
      <c r="E467" s="26" t="n">
        <v>415.48</v>
      </c>
      <c r="F467" s="27" t="n">
        <v>52</v>
      </c>
      <c r="G467" s="26" t="n">
        <v>171.08</v>
      </c>
    </row>
    <row r="468">
      <c r="A468" s="24" t="n">
        <v>46194</v>
      </c>
      <c r="B468" s="25" t="inlineStr">
        <is>
          <t>FRZ004</t>
        </is>
      </c>
      <c r="C468" s="25" t="inlineStr">
        <is>
          <t>Frozen Dumplings 1kg</t>
        </is>
      </c>
      <c r="D468" s="25" t="inlineStr">
        <is>
          <t>Frozen</t>
        </is>
      </c>
      <c r="E468" s="26" t="n">
        <v>431.64</v>
      </c>
      <c r="F468" s="27" t="n">
        <v>36</v>
      </c>
      <c r="G468" s="26" t="n">
        <v>176.04</v>
      </c>
    </row>
    <row r="469">
      <c r="A469" s="24" t="n">
        <v>46194</v>
      </c>
      <c r="B469" s="25" t="inlineStr">
        <is>
          <t>FTG001</t>
        </is>
      </c>
      <c r="C469" s="25" t="inlineStr">
        <is>
          <t>Chicken Sandwich</t>
        </is>
      </c>
      <c r="D469" s="25" t="inlineStr">
        <is>
          <t>Food To Go</t>
        </is>
      </c>
      <c r="E469" s="26" t="n">
        <v>1033.45</v>
      </c>
      <c r="F469" s="27" t="n">
        <v>155</v>
      </c>
      <c r="G469" s="26" t="n">
        <v>428.95</v>
      </c>
    </row>
    <row r="470">
      <c r="A470" s="24" t="n">
        <v>46194</v>
      </c>
      <c r="B470" s="25" t="inlineStr">
        <is>
          <t>FTG002</t>
        </is>
      </c>
      <c r="C470" s="25" t="inlineStr">
        <is>
          <t>Sushi Pack 8pc</t>
        </is>
      </c>
      <c r="D470" s="25" t="inlineStr">
        <is>
          <t>Food To Go</t>
        </is>
      </c>
      <c r="E470" s="26" t="n">
        <v>599.4</v>
      </c>
      <c r="F470" s="27" t="n">
        <v>60</v>
      </c>
      <c r="G470" s="26" t="n">
        <v>263.4</v>
      </c>
    </row>
    <row r="471">
      <c r="A471" s="24" t="n">
        <v>46194</v>
      </c>
      <c r="B471" s="25" t="inlineStr">
        <is>
          <t>FTG003</t>
        </is>
      </c>
      <c r="C471" s="25" t="inlineStr">
        <is>
          <t>Hot Pie Mince &amp; Cheese</t>
        </is>
      </c>
      <c r="D471" s="25" t="inlineStr">
        <is>
          <t>Food To Go</t>
        </is>
      </c>
      <c r="E471" s="26" t="n">
        <v>669.78</v>
      </c>
      <c r="F471" s="27" t="n">
        <v>122</v>
      </c>
      <c r="G471" s="26" t="n">
        <v>376.98</v>
      </c>
    </row>
    <row r="472">
      <c r="A472" s="24" t="n">
        <v>46194</v>
      </c>
      <c r="B472" s="25" t="inlineStr">
        <is>
          <t>FTG004</t>
        </is>
      </c>
      <c r="C472" s="25" t="inlineStr">
        <is>
          <t>Salad Bowl</t>
        </is>
      </c>
      <c r="D472" s="25" t="inlineStr">
        <is>
          <t>Food To Go</t>
        </is>
      </c>
      <c r="E472" s="26" t="n">
        <v>417.62</v>
      </c>
      <c r="F472" s="27" t="n">
        <v>38</v>
      </c>
      <c r="G472" s="26" t="n">
        <v>182.02</v>
      </c>
    </row>
    <row r="473">
      <c r="A473" s="24" t="n">
        <v>46194</v>
      </c>
      <c r="B473" s="25" t="inlineStr">
        <is>
          <t>FTG005</t>
        </is>
      </c>
      <c r="C473" s="25" t="inlineStr">
        <is>
          <t>Filled Roll</t>
        </is>
      </c>
      <c r="D473" s="25" t="inlineStr">
        <is>
          <t>Food To Go</t>
        </is>
      </c>
      <c r="E473" s="26" t="n">
        <v>512.71</v>
      </c>
      <c r="F473" s="27" t="n">
        <v>79</v>
      </c>
      <c r="G473" s="26" t="n">
        <v>259.91</v>
      </c>
    </row>
    <row r="474">
      <c r="A474" s="24" t="n">
        <v>46194</v>
      </c>
      <c r="B474" s="25" t="inlineStr">
        <is>
          <t>GRO001</t>
        </is>
      </c>
      <c r="C474" s="25" t="inlineStr">
        <is>
          <t>Instant Noodles 5pk</t>
        </is>
      </c>
      <c r="D474" s="25" t="inlineStr">
        <is>
          <t>Grocery</t>
        </is>
      </c>
      <c r="E474" s="26" t="n">
        <v>440.02</v>
      </c>
      <c r="F474" s="27" t="n">
        <v>98</v>
      </c>
      <c r="G474" s="26" t="n">
        <v>185.22</v>
      </c>
    </row>
    <row r="475">
      <c r="A475" s="24" t="n">
        <v>46194</v>
      </c>
      <c r="B475" s="25" t="inlineStr">
        <is>
          <t>GRO002</t>
        </is>
      </c>
      <c r="C475" s="25" t="inlineStr">
        <is>
          <t>Canned Soup 500g</t>
        </is>
      </c>
      <c r="D475" s="25" t="inlineStr">
        <is>
          <t>Grocery</t>
        </is>
      </c>
      <c r="E475" s="26" t="n">
        <v>148.05</v>
      </c>
      <c r="F475" s="27" t="n">
        <v>45</v>
      </c>
      <c r="G475" s="26" t="n">
        <v>62.55</v>
      </c>
    </row>
    <row r="476">
      <c r="A476" s="24" t="n">
        <v>46194</v>
      </c>
      <c r="B476" s="25" t="inlineStr">
        <is>
          <t>GRO003</t>
        </is>
      </c>
      <c r="C476" s="25" t="inlineStr">
        <is>
          <t>Pasta 500g</t>
        </is>
      </c>
      <c r="D476" s="25" t="inlineStr">
        <is>
          <t>Grocery</t>
        </is>
      </c>
      <c r="E476" s="26" t="n">
        <v>114.54</v>
      </c>
      <c r="F476" s="27" t="n">
        <v>46</v>
      </c>
      <c r="G476" s="26" t="n">
        <v>54.74</v>
      </c>
    </row>
    <row r="477">
      <c r="A477" s="24" t="n">
        <v>46194</v>
      </c>
      <c r="B477" s="25" t="inlineStr">
        <is>
          <t>GRO004</t>
        </is>
      </c>
      <c r="C477" s="25" t="inlineStr">
        <is>
          <t>Simmer Sauce 485g</t>
        </is>
      </c>
      <c r="D477" s="25" t="inlineStr">
        <is>
          <t>Grocery</t>
        </is>
      </c>
      <c r="E477" s="26" t="n">
        <v>115.71</v>
      </c>
      <c r="F477" s="27" t="n">
        <v>29</v>
      </c>
      <c r="G477" s="26" t="n">
        <v>49.01</v>
      </c>
    </row>
    <row r="478">
      <c r="A478" s="24" t="n">
        <v>46194</v>
      </c>
      <c r="B478" s="25" t="inlineStr">
        <is>
          <t>GRO005</t>
        </is>
      </c>
      <c r="C478" s="25" t="inlineStr">
        <is>
          <t>Salsa 300g</t>
        </is>
      </c>
      <c r="D478" s="25" t="inlineStr">
        <is>
          <t>Grocery</t>
        </is>
      </c>
      <c r="E478" s="26" t="n">
        <v>86.22</v>
      </c>
      <c r="F478" s="27" t="n">
        <v>18</v>
      </c>
      <c r="G478" s="26" t="n">
        <v>34.02</v>
      </c>
    </row>
    <row r="479">
      <c r="A479" s="24" t="n">
        <v>46194</v>
      </c>
      <c r="B479" s="25" t="inlineStr">
        <is>
          <t>GRO006</t>
        </is>
      </c>
      <c r="C479" s="25" t="inlineStr">
        <is>
          <t>Taco Kit</t>
        </is>
      </c>
      <c r="D479" s="25" t="inlineStr">
        <is>
          <t>Grocery</t>
        </is>
      </c>
      <c r="E479" s="26" t="n">
        <v>116.82</v>
      </c>
      <c r="F479" s="27" t="n">
        <v>18</v>
      </c>
      <c r="G479" s="26" t="n">
        <v>44.82</v>
      </c>
    </row>
    <row r="480">
      <c r="A480" s="24" t="n">
        <v>46194</v>
      </c>
      <c r="B480" s="25" t="inlineStr">
        <is>
          <t>GRO007</t>
        </is>
      </c>
      <c r="C480" s="25" t="inlineStr">
        <is>
          <t>Eggs Free Range 12pk</t>
        </is>
      </c>
      <c r="D480" s="25" t="inlineStr">
        <is>
          <t>Grocery</t>
        </is>
      </c>
      <c r="E480" s="26" t="n">
        <v>736.33</v>
      </c>
      <c r="F480" s="27" t="n">
        <v>67</v>
      </c>
      <c r="G480" s="26" t="n">
        <v>186.93</v>
      </c>
    </row>
    <row r="481">
      <c r="A481" s="24" t="n">
        <v>46194</v>
      </c>
      <c r="B481" s="25" t="inlineStr">
        <is>
          <t>GRO008</t>
        </is>
      </c>
      <c r="C481" s="25" t="inlineStr">
        <is>
          <t>Coffee Beans 200g</t>
        </is>
      </c>
      <c r="D481" s="25" t="inlineStr">
        <is>
          <t>Grocery</t>
        </is>
      </c>
      <c r="E481" s="26" t="n">
        <v>143.88</v>
      </c>
      <c r="F481" s="27" t="n">
        <v>12</v>
      </c>
      <c r="G481" s="26" t="n">
        <v>52.68</v>
      </c>
    </row>
    <row r="482">
      <c r="A482" s="24" t="n">
        <v>46194</v>
      </c>
      <c r="B482" s="25" t="inlineStr">
        <is>
          <t>HHD001</t>
        </is>
      </c>
      <c r="C482" s="25" t="inlineStr">
        <is>
          <t>Toilet Paper 6pk</t>
        </is>
      </c>
      <c r="D482" s="25" t="inlineStr">
        <is>
          <t>Household</t>
        </is>
      </c>
      <c r="E482" s="26" t="n">
        <v>260.71</v>
      </c>
      <c r="F482" s="27" t="n">
        <v>29</v>
      </c>
      <c r="G482" s="26" t="n">
        <v>89.61</v>
      </c>
    </row>
    <row r="483">
      <c r="A483" s="24" t="n">
        <v>46194</v>
      </c>
      <c r="B483" s="25" t="inlineStr">
        <is>
          <t>HHD002</t>
        </is>
      </c>
      <c r="C483" s="25" t="inlineStr">
        <is>
          <t>Dishwash Liquid</t>
        </is>
      </c>
      <c r="D483" s="25" t="inlineStr">
        <is>
          <t>Household</t>
        </is>
      </c>
      <c r="E483" s="26" t="n">
        <v>74.85000000000001</v>
      </c>
      <c r="F483" s="27" t="n">
        <v>15</v>
      </c>
      <c r="G483" s="26" t="n">
        <v>31.35</v>
      </c>
    </row>
    <row r="484">
      <c r="A484" s="24" t="n">
        <v>46194</v>
      </c>
      <c r="B484" s="25" t="inlineStr">
        <is>
          <t>HHD003</t>
        </is>
      </c>
      <c r="C484" s="25" t="inlineStr">
        <is>
          <t>Phone Charger Cable</t>
        </is>
      </c>
      <c r="D484" s="25" t="inlineStr">
        <is>
          <t>Household</t>
        </is>
      </c>
      <c r="E484" s="26" t="n">
        <v>44.97</v>
      </c>
      <c r="F484" s="27" t="n">
        <v>3</v>
      </c>
      <c r="G484" s="26" t="n">
        <v>28.47</v>
      </c>
    </row>
    <row r="485">
      <c r="A485" s="24" t="n">
        <v>46194</v>
      </c>
      <c r="B485" s="25" t="inlineStr">
        <is>
          <t>LIQ001</t>
        </is>
      </c>
      <c r="C485" s="25" t="inlineStr">
        <is>
          <t>Craft Beer 6pk</t>
        </is>
      </c>
      <c r="D485" s="25" t="inlineStr">
        <is>
          <t>Beer &amp; Wine</t>
        </is>
      </c>
      <c r="E485" s="26" t="n">
        <v>574.75</v>
      </c>
      <c r="F485" s="27" t="n">
        <v>25</v>
      </c>
      <c r="G485" s="26" t="n">
        <v>192.25</v>
      </c>
    </row>
    <row r="486">
      <c r="A486" s="24" t="n">
        <v>46194</v>
      </c>
      <c r="B486" s="25" t="inlineStr">
        <is>
          <t>LIQ002</t>
        </is>
      </c>
      <c r="C486" s="25" t="inlineStr">
        <is>
          <t>Sauvignon Blanc 750ml</t>
        </is>
      </c>
      <c r="D486" s="25" t="inlineStr">
        <is>
          <t>Beer &amp; Wine</t>
        </is>
      </c>
      <c r="E486" s="26" t="n">
        <v>479.7</v>
      </c>
      <c r="F486" s="27" t="n">
        <v>30</v>
      </c>
      <c r="G486" s="26" t="n">
        <v>173.7</v>
      </c>
    </row>
    <row r="487">
      <c r="A487" s="24" t="n">
        <v>46194</v>
      </c>
      <c r="B487" s="25" t="inlineStr">
        <is>
          <t>LIQ003</t>
        </is>
      </c>
      <c r="C487" s="25" t="inlineStr">
        <is>
          <t>RTD 4pk</t>
        </is>
      </c>
      <c r="D487" s="25" t="inlineStr">
        <is>
          <t>Beer &amp; Wine</t>
        </is>
      </c>
      <c r="E487" s="26" t="n">
        <v>611.66</v>
      </c>
      <c r="F487" s="27" t="n">
        <v>34</v>
      </c>
      <c r="G487" s="26" t="n">
        <v>207.06</v>
      </c>
    </row>
    <row r="488">
      <c r="A488" s="24" t="n">
        <v>46194</v>
      </c>
      <c r="B488" s="25" t="inlineStr">
        <is>
          <t>LIQ004</t>
        </is>
      </c>
      <c r="C488" s="25" t="inlineStr">
        <is>
          <t>Pinot Noir 750ml</t>
        </is>
      </c>
      <c r="D488" s="25" t="inlineStr">
        <is>
          <t>Beer &amp; Wine</t>
        </is>
      </c>
      <c r="E488" s="26" t="n">
        <v>399.77</v>
      </c>
      <c r="F488" s="27" t="n">
        <v>23</v>
      </c>
      <c r="G488" s="26" t="n">
        <v>105.37</v>
      </c>
    </row>
    <row r="489">
      <c r="A489" s="24" t="n">
        <v>46194</v>
      </c>
      <c r="B489" s="25" t="inlineStr">
        <is>
          <t>MLK001</t>
        </is>
      </c>
      <c r="C489" s="25" t="inlineStr">
        <is>
          <t>Milk Standard 2L</t>
        </is>
      </c>
      <c r="D489" s="25" t="inlineStr">
        <is>
          <t>Dairy</t>
        </is>
      </c>
      <c r="E489" s="26" t="n">
        <v>1242.06</v>
      </c>
      <c r="F489" s="27" t="n">
        <v>254</v>
      </c>
      <c r="G489" s="26" t="n">
        <v>340.36</v>
      </c>
    </row>
    <row r="490">
      <c r="A490" s="24" t="n">
        <v>46194</v>
      </c>
      <c r="B490" s="25" t="inlineStr">
        <is>
          <t>MLK002</t>
        </is>
      </c>
      <c r="C490" s="25" t="inlineStr">
        <is>
          <t>Milk Lite 2L</t>
        </is>
      </c>
      <c r="D490" s="25" t="inlineStr">
        <is>
          <t>Dairy</t>
        </is>
      </c>
      <c r="E490" s="26" t="n">
        <v>665.04</v>
      </c>
      <c r="F490" s="27" t="n">
        <v>136</v>
      </c>
      <c r="G490" s="26" t="n">
        <v>182.24</v>
      </c>
    </row>
    <row r="491">
      <c r="A491" s="24" t="n">
        <v>46194</v>
      </c>
      <c r="B491" s="25" t="inlineStr">
        <is>
          <t>MLK003</t>
        </is>
      </c>
      <c r="C491" s="25" t="inlineStr">
        <is>
          <t>Oat Milk 1L</t>
        </is>
      </c>
      <c r="D491" s="25" t="inlineStr">
        <is>
          <t>Dairy</t>
        </is>
      </c>
      <c r="E491" s="26" t="n">
        <v>180.18</v>
      </c>
      <c r="F491" s="27" t="n">
        <v>42</v>
      </c>
      <c r="G491" s="26" t="n">
        <v>66.78</v>
      </c>
    </row>
    <row r="492">
      <c r="A492" s="24" t="n">
        <v>46194</v>
      </c>
      <c r="B492" s="25" t="inlineStr">
        <is>
          <t>PHM001</t>
        </is>
      </c>
      <c r="C492" s="25" t="inlineStr">
        <is>
          <t>Paracetamol 20pk</t>
        </is>
      </c>
      <c r="D492" s="25" t="inlineStr">
        <is>
          <t>Health &amp; Beauty</t>
        </is>
      </c>
      <c r="E492" s="26" t="n">
        <v>175.56</v>
      </c>
      <c r="F492" s="27" t="n">
        <v>44</v>
      </c>
      <c r="G492" s="26" t="n">
        <v>105.16</v>
      </c>
    </row>
    <row r="493">
      <c r="A493" s="24" t="n">
        <v>46194</v>
      </c>
      <c r="B493" s="25" t="inlineStr">
        <is>
          <t>PHM002</t>
        </is>
      </c>
      <c r="C493" s="25" t="inlineStr">
        <is>
          <t>Sunscreen SPF50</t>
        </is>
      </c>
      <c r="D493" s="25" t="inlineStr">
        <is>
          <t>Health &amp; Beauty</t>
        </is>
      </c>
      <c r="E493" s="26" t="n">
        <v>164.89</v>
      </c>
      <c r="F493" s="27" t="n">
        <v>11</v>
      </c>
      <c r="G493" s="26" t="n">
        <v>74.69</v>
      </c>
    </row>
    <row r="494">
      <c r="A494" s="24" t="n">
        <v>46194</v>
      </c>
      <c r="B494" s="25" t="inlineStr">
        <is>
          <t>PRD001</t>
        </is>
      </c>
      <c r="C494" s="25" t="inlineStr">
        <is>
          <t>Bananas (each)</t>
        </is>
      </c>
      <c r="D494" s="25" t="inlineStr">
        <is>
          <t>Produce</t>
        </is>
      </c>
      <c r="E494" s="26" t="n">
        <v>155.25</v>
      </c>
      <c r="F494" s="27" t="n">
        <v>225</v>
      </c>
      <c r="G494" s="26" t="n">
        <v>69.75</v>
      </c>
    </row>
    <row r="495">
      <c r="A495" s="24" t="n">
        <v>46194</v>
      </c>
      <c r="B495" s="25" t="inlineStr">
        <is>
          <t>PRD002</t>
        </is>
      </c>
      <c r="C495" s="25" t="inlineStr">
        <is>
          <t>Avocado</t>
        </is>
      </c>
      <c r="D495" s="25" t="inlineStr">
        <is>
          <t>Produce</t>
        </is>
      </c>
      <c r="E495" s="26" t="n">
        <v>126.99</v>
      </c>
      <c r="F495" s="27" t="n">
        <v>51</v>
      </c>
      <c r="G495" s="26" t="n">
        <v>55.59</v>
      </c>
    </row>
    <row r="496">
      <c r="A496" s="24" t="n">
        <v>46194</v>
      </c>
      <c r="B496" s="25" t="inlineStr">
        <is>
          <t>PRD003</t>
        </is>
      </c>
      <c r="C496" s="25" t="inlineStr">
        <is>
          <t>Tomatoes 500g</t>
        </is>
      </c>
      <c r="D496" s="25" t="inlineStr">
        <is>
          <t>Produce</t>
        </is>
      </c>
      <c r="E496" s="26" t="n">
        <v>85.31</v>
      </c>
      <c r="F496" s="27" t="n">
        <v>19</v>
      </c>
      <c r="G496" s="26" t="n">
        <v>35.91</v>
      </c>
    </row>
    <row r="497">
      <c r="A497" s="24" t="n">
        <v>46194</v>
      </c>
      <c r="B497" s="25" t="inlineStr">
        <is>
          <t>SNK001</t>
        </is>
      </c>
      <c r="C497" s="25" t="inlineStr">
        <is>
          <t>Potato Chips 150g</t>
        </is>
      </c>
      <c r="D497" s="25" t="inlineStr">
        <is>
          <t>Snacks &amp; Confectionery</t>
        </is>
      </c>
      <c r="E497" s="26" t="n">
        <v>502.74</v>
      </c>
      <c r="F497" s="27" t="n">
        <v>126</v>
      </c>
      <c r="G497" s="26" t="n">
        <v>238.14</v>
      </c>
    </row>
    <row r="498">
      <c r="A498" s="24" t="n">
        <v>46194</v>
      </c>
      <c r="B498" s="25" t="inlineStr">
        <is>
          <t>SNK002</t>
        </is>
      </c>
      <c r="C498" s="25" t="inlineStr">
        <is>
          <t>Chocolate Block 200g</t>
        </is>
      </c>
      <c r="D498" s="25" t="inlineStr">
        <is>
          <t>Snacks &amp; Confectionery</t>
        </is>
      </c>
      <c r="E498" s="26" t="n">
        <v>603.9</v>
      </c>
      <c r="F498" s="27" t="n">
        <v>110</v>
      </c>
      <c r="G498" s="26" t="n">
        <v>251.9</v>
      </c>
    </row>
    <row r="499">
      <c r="A499" s="24" t="n">
        <v>46194</v>
      </c>
      <c r="B499" s="25" t="inlineStr">
        <is>
          <t>SNK003</t>
        </is>
      </c>
      <c r="C499" s="25" t="inlineStr">
        <is>
          <t>Muesli Bar 6pk</t>
        </is>
      </c>
      <c r="D499" s="25" t="inlineStr">
        <is>
          <t>Snacks &amp; Confectionery</t>
        </is>
      </c>
      <c r="E499" s="26" t="n">
        <v>386.1</v>
      </c>
      <c r="F499" s="27" t="n">
        <v>90</v>
      </c>
      <c r="G499" s="26" t="n">
        <v>152.1</v>
      </c>
    </row>
    <row r="500">
      <c r="A500" s="24" t="n">
        <v>46194</v>
      </c>
      <c r="B500" s="25" t="inlineStr">
        <is>
          <t>SNK004</t>
        </is>
      </c>
      <c r="C500" s="25" t="inlineStr">
        <is>
          <t>Corn Chips 230g</t>
        </is>
      </c>
      <c r="D500" s="25" t="inlineStr">
        <is>
          <t>Snacks &amp; Confectionery</t>
        </is>
      </c>
      <c r="E500" s="26" t="n">
        <v>287.36</v>
      </c>
      <c r="F500" s="27" t="n">
        <v>64</v>
      </c>
      <c r="G500" s="26" t="n">
        <v>133.76</v>
      </c>
    </row>
    <row r="501">
      <c r="A501" s="24" t="n">
        <v>46194</v>
      </c>
      <c r="B501" s="25" t="inlineStr">
        <is>
          <t>SNK005</t>
        </is>
      </c>
      <c r="C501" s="25" t="inlineStr">
        <is>
          <t>Lollies Bag 200g</t>
        </is>
      </c>
      <c r="D501" s="25" t="inlineStr">
        <is>
          <t>Snacks &amp; Confectionery</t>
        </is>
      </c>
      <c r="E501" s="26" t="n">
        <v>258.26</v>
      </c>
      <c r="F501" s="27" t="n">
        <v>74</v>
      </c>
      <c r="G501" s="26" t="n">
        <v>132.46</v>
      </c>
    </row>
    <row r="502">
      <c r="A502" s="24" t="n">
        <v>46201</v>
      </c>
      <c r="B502" s="25" t="inlineStr">
        <is>
          <t>BAK001</t>
        </is>
      </c>
      <c r="C502" s="25" t="inlineStr">
        <is>
          <t>Toast Bread White</t>
        </is>
      </c>
      <c r="D502" s="25" t="inlineStr">
        <is>
          <t>Bakery</t>
        </is>
      </c>
      <c r="E502" s="26" t="n">
        <v>401.35</v>
      </c>
      <c r="F502" s="27" t="n">
        <v>115</v>
      </c>
      <c r="G502" s="26" t="n">
        <v>148.35</v>
      </c>
    </row>
    <row r="503">
      <c r="A503" s="24" t="n">
        <v>46201</v>
      </c>
      <c r="B503" s="25" t="inlineStr">
        <is>
          <t>BAK002</t>
        </is>
      </c>
      <c r="C503" s="25" t="inlineStr">
        <is>
          <t>Wholemeal Loaf</t>
        </is>
      </c>
      <c r="D503" s="25" t="inlineStr">
        <is>
          <t>Bakery</t>
        </is>
      </c>
      <c r="E503" s="26" t="n">
        <v>461.49</v>
      </c>
      <c r="F503" s="27" t="n">
        <v>119</v>
      </c>
      <c r="G503" s="26" t="n">
        <v>140.19</v>
      </c>
    </row>
    <row r="504">
      <c r="A504" s="24" t="n">
        <v>46201</v>
      </c>
      <c r="B504" s="25" t="inlineStr">
        <is>
          <t>BAK003</t>
        </is>
      </c>
      <c r="C504" s="25" t="inlineStr">
        <is>
          <t>Croissant 4pk</t>
        </is>
      </c>
      <c r="D504" s="25" t="inlineStr">
        <is>
          <t>Bakery</t>
        </is>
      </c>
      <c r="E504" s="26" t="n">
        <v>239.6</v>
      </c>
      <c r="F504" s="27" t="n">
        <v>40</v>
      </c>
      <c r="G504" s="26" t="n">
        <v>107.6</v>
      </c>
    </row>
    <row r="505">
      <c r="A505" s="24" t="n">
        <v>46201</v>
      </c>
      <c r="B505" s="25" t="inlineStr">
        <is>
          <t>BBT001</t>
        </is>
      </c>
      <c r="C505" s="25" t="inlineStr">
        <is>
          <t>Bubble Tea Kit</t>
        </is>
      </c>
      <c r="D505" s="25" t="inlineStr">
        <is>
          <t>Beverages</t>
        </is>
      </c>
      <c r="E505" s="26" t="n">
        <v>244.65</v>
      </c>
      <c r="F505" s="27" t="n">
        <v>35</v>
      </c>
      <c r="G505" s="26" t="n">
        <v>108.15</v>
      </c>
    </row>
    <row r="506">
      <c r="A506" s="24" t="n">
        <v>46201</v>
      </c>
      <c r="B506" s="25" t="inlineStr">
        <is>
          <t>BEV001</t>
        </is>
      </c>
      <c r="C506" s="25" t="inlineStr">
        <is>
          <t>Energy Drink 500ml</t>
        </is>
      </c>
      <c r="D506" s="25" t="inlineStr">
        <is>
          <t>Beverages</t>
        </is>
      </c>
      <c r="E506" s="26" t="n">
        <v>634.9200000000001</v>
      </c>
      <c r="F506" s="27" t="n">
        <v>148</v>
      </c>
      <c r="G506" s="26" t="n">
        <v>316.72</v>
      </c>
    </row>
    <row r="507">
      <c r="A507" s="24" t="n">
        <v>46201</v>
      </c>
      <c r="B507" s="25" t="inlineStr">
        <is>
          <t>BEV002</t>
        </is>
      </c>
      <c r="C507" s="25" t="inlineStr">
        <is>
          <t>Cola 1.5L</t>
        </is>
      </c>
      <c r="D507" s="25" t="inlineStr">
        <is>
          <t>Beverages</t>
        </is>
      </c>
      <c r="E507" s="26" t="n">
        <v>296.34</v>
      </c>
      <c r="F507" s="27" t="n">
        <v>66</v>
      </c>
      <c r="G507" s="26" t="n">
        <v>144.54</v>
      </c>
    </row>
    <row r="508">
      <c r="A508" s="24" t="n">
        <v>46201</v>
      </c>
      <c r="B508" s="25" t="inlineStr">
        <is>
          <t>BEV003</t>
        </is>
      </c>
      <c r="C508" s="25" t="inlineStr">
        <is>
          <t>Sparkling Water 1L</t>
        </is>
      </c>
      <c r="D508" s="25" t="inlineStr">
        <is>
          <t>Beverages</t>
        </is>
      </c>
      <c r="E508" s="26" t="n">
        <v>191.73</v>
      </c>
      <c r="F508" s="27" t="n">
        <v>77</v>
      </c>
      <c r="G508" s="26" t="n">
        <v>107.03</v>
      </c>
    </row>
    <row r="509">
      <c r="A509" s="24" t="n">
        <v>46201</v>
      </c>
      <c r="B509" s="25" t="inlineStr">
        <is>
          <t>BEV004</t>
        </is>
      </c>
      <c r="C509" s="25" t="inlineStr">
        <is>
          <t>Iced Coffee 500ml</t>
        </is>
      </c>
      <c r="D509" s="25" t="inlineStr">
        <is>
          <t>Beverages</t>
        </is>
      </c>
      <c r="E509" s="26" t="n">
        <v>404.19</v>
      </c>
      <c r="F509" s="27" t="n">
        <v>81</v>
      </c>
      <c r="G509" s="26" t="n">
        <v>185.49</v>
      </c>
    </row>
    <row r="510">
      <c r="A510" s="24" t="n">
        <v>46201</v>
      </c>
      <c r="B510" s="25" t="inlineStr">
        <is>
          <t>BEV005</t>
        </is>
      </c>
      <c r="C510" s="25" t="inlineStr">
        <is>
          <t>Kombucha 330ml</t>
        </is>
      </c>
      <c r="D510" s="25" t="inlineStr">
        <is>
          <t>Beverages</t>
        </is>
      </c>
      <c r="E510" s="26" t="n">
        <v>191.6</v>
      </c>
      <c r="F510" s="27" t="n">
        <v>40</v>
      </c>
      <c r="G510" s="26" t="n">
        <v>87.59999999999999</v>
      </c>
    </row>
    <row r="511">
      <c r="A511" s="24" t="n">
        <v>46201</v>
      </c>
      <c r="B511" s="25" t="inlineStr">
        <is>
          <t>BEV006</t>
        </is>
      </c>
      <c r="C511" s="25" t="inlineStr">
        <is>
          <t>Bottled Water 750ml</t>
        </is>
      </c>
      <c r="D511" s="25" t="inlineStr">
        <is>
          <t>Beverages</t>
        </is>
      </c>
      <c r="E511" s="26" t="n">
        <v>352.82</v>
      </c>
      <c r="F511" s="27" t="n">
        <v>118</v>
      </c>
      <c r="G511" s="26" t="n">
        <v>240.72</v>
      </c>
    </row>
    <row r="512">
      <c r="A512" s="24" t="n">
        <v>46201</v>
      </c>
      <c r="B512" s="25" t="inlineStr">
        <is>
          <t>DRY010</t>
        </is>
      </c>
      <c r="C512" s="25" t="inlineStr">
        <is>
          <t>Butter 500g</t>
        </is>
      </c>
      <c r="D512" s="25" t="inlineStr">
        <is>
          <t>Dairy</t>
        </is>
      </c>
      <c r="E512" s="26" t="n">
        <v>284.62</v>
      </c>
      <c r="F512" s="27" t="n">
        <v>38</v>
      </c>
      <c r="G512" s="26" t="n">
        <v>71.81999999999999</v>
      </c>
    </row>
    <row r="513">
      <c r="A513" s="24" t="n">
        <v>46201</v>
      </c>
      <c r="B513" s="25" t="inlineStr">
        <is>
          <t>DRY011</t>
        </is>
      </c>
      <c r="C513" s="25" t="inlineStr">
        <is>
          <t>Greek Yoghurt 1kg</t>
        </is>
      </c>
      <c r="D513" s="25" t="inlineStr">
        <is>
          <t>Dairy</t>
        </is>
      </c>
      <c r="E513" s="26" t="n">
        <v>241.27</v>
      </c>
      <c r="F513" s="27" t="n">
        <v>33</v>
      </c>
      <c r="G513" s="26" t="n">
        <v>72.97</v>
      </c>
    </row>
    <row r="514">
      <c r="A514" s="24" t="n">
        <v>46201</v>
      </c>
      <c r="B514" s="25" t="inlineStr">
        <is>
          <t>DRY012</t>
        </is>
      </c>
      <c r="C514" s="25" t="inlineStr">
        <is>
          <t>Cheese Block 1kg</t>
        </is>
      </c>
      <c r="D514" s="25" t="inlineStr">
        <is>
          <t>Dairy</t>
        </is>
      </c>
      <c r="E514" s="26" t="n">
        <v>377.73</v>
      </c>
      <c r="F514" s="27" t="n">
        <v>27</v>
      </c>
      <c r="G514" s="26" t="n">
        <v>96.93000000000001</v>
      </c>
    </row>
    <row r="515">
      <c r="A515" s="24" t="n">
        <v>46201</v>
      </c>
      <c r="B515" s="25" t="inlineStr">
        <is>
          <t>FRZ001</t>
        </is>
      </c>
      <c r="C515" s="25" t="inlineStr">
        <is>
          <t>Ice Cream Tub 2L</t>
        </is>
      </c>
      <c r="D515" s="25" t="inlineStr">
        <is>
          <t>Frozen</t>
        </is>
      </c>
      <c r="E515" s="26" t="n">
        <v>314.65</v>
      </c>
      <c r="F515" s="27" t="n">
        <v>35</v>
      </c>
      <c r="G515" s="26" t="n">
        <v>125.65</v>
      </c>
    </row>
    <row r="516">
      <c r="A516" s="24" t="n">
        <v>46201</v>
      </c>
      <c r="B516" s="25" t="inlineStr">
        <is>
          <t>FRZ002</t>
        </is>
      </c>
      <c r="C516" s="25" t="inlineStr">
        <is>
          <t>Ice Block Single</t>
        </is>
      </c>
      <c r="D516" s="25" t="inlineStr">
        <is>
          <t>Frozen</t>
        </is>
      </c>
      <c r="E516" s="26" t="n">
        <v>182.39</v>
      </c>
      <c r="F516" s="27" t="n">
        <v>61</v>
      </c>
      <c r="G516" s="26" t="n">
        <v>109.19</v>
      </c>
    </row>
    <row r="517">
      <c r="A517" s="24" t="n">
        <v>46201</v>
      </c>
      <c r="B517" s="25" t="inlineStr">
        <is>
          <t>FRZ003</t>
        </is>
      </c>
      <c r="C517" s="25" t="inlineStr">
        <is>
          <t>Frozen Pizza</t>
        </is>
      </c>
      <c r="D517" s="25" t="inlineStr">
        <is>
          <t>Frozen</t>
        </is>
      </c>
      <c r="E517" s="26" t="n">
        <v>367.54</v>
      </c>
      <c r="F517" s="27" t="n">
        <v>46</v>
      </c>
      <c r="G517" s="26" t="n">
        <v>151.34</v>
      </c>
    </row>
    <row r="518">
      <c r="A518" s="24" t="n">
        <v>46201</v>
      </c>
      <c r="B518" s="25" t="inlineStr">
        <is>
          <t>FRZ004</t>
        </is>
      </c>
      <c r="C518" s="25" t="inlineStr">
        <is>
          <t>Frozen Dumplings 1kg</t>
        </is>
      </c>
      <c r="D518" s="25" t="inlineStr">
        <is>
          <t>Frozen</t>
        </is>
      </c>
      <c r="E518" s="26" t="n">
        <v>407.66</v>
      </c>
      <c r="F518" s="27" t="n">
        <v>34</v>
      </c>
      <c r="G518" s="26" t="n">
        <v>166.26</v>
      </c>
    </row>
    <row r="519">
      <c r="A519" s="24" t="n">
        <v>46201</v>
      </c>
      <c r="B519" s="25" t="inlineStr">
        <is>
          <t>FTG001</t>
        </is>
      </c>
      <c r="C519" s="25" t="inlineStr">
        <is>
          <t>Chicken Sandwich</t>
        </is>
      </c>
      <c r="D519" s="25" t="inlineStr">
        <is>
          <t>Food To Go</t>
        </is>
      </c>
      <c r="E519" s="26" t="n">
        <v>1033.62</v>
      </c>
      <c r="F519" s="27" t="n">
        <v>138</v>
      </c>
      <c r="G519" s="26" t="n">
        <v>495.42</v>
      </c>
    </row>
    <row r="520">
      <c r="A520" s="24" t="n">
        <v>46201</v>
      </c>
      <c r="B520" s="25" t="inlineStr">
        <is>
          <t>FTG002</t>
        </is>
      </c>
      <c r="C520" s="25" t="inlineStr">
        <is>
          <t>Sushi Pack 8pc</t>
        </is>
      </c>
      <c r="D520" s="25" t="inlineStr">
        <is>
          <t>Food To Go</t>
        </is>
      </c>
      <c r="E520" s="26" t="n">
        <v>1188.81</v>
      </c>
      <c r="F520" s="27" t="n">
        <v>119</v>
      </c>
      <c r="G520" s="26" t="n">
        <v>522.41</v>
      </c>
    </row>
    <row r="521">
      <c r="A521" s="24" t="n">
        <v>46201</v>
      </c>
      <c r="B521" s="25" t="inlineStr">
        <is>
          <t>FTG003</t>
        </is>
      </c>
      <c r="C521" s="25" t="inlineStr">
        <is>
          <t>Hot Pie Mince &amp; Cheese</t>
        </is>
      </c>
      <c r="D521" s="25" t="inlineStr">
        <is>
          <t>Food To Go</t>
        </is>
      </c>
      <c r="E521" s="26" t="n">
        <v>675.27</v>
      </c>
      <c r="F521" s="27" t="n">
        <v>123</v>
      </c>
      <c r="G521" s="26" t="n">
        <v>380.07</v>
      </c>
    </row>
    <row r="522">
      <c r="A522" s="24" t="n">
        <v>46201</v>
      </c>
      <c r="B522" s="25" t="inlineStr">
        <is>
          <t>FTG004</t>
        </is>
      </c>
      <c r="C522" s="25" t="inlineStr">
        <is>
          <t>Salad Bowl</t>
        </is>
      </c>
      <c r="D522" s="25" t="inlineStr">
        <is>
          <t>Food To Go</t>
        </is>
      </c>
      <c r="E522" s="26" t="n">
        <v>362.67</v>
      </c>
      <c r="F522" s="27" t="n">
        <v>33</v>
      </c>
      <c r="G522" s="26" t="n">
        <v>158.07</v>
      </c>
    </row>
    <row r="523">
      <c r="A523" s="24" t="n">
        <v>46201</v>
      </c>
      <c r="B523" s="25" t="inlineStr">
        <is>
          <t>FTG005</t>
        </is>
      </c>
      <c r="C523" s="25" t="inlineStr">
        <is>
          <t>Filled Roll</t>
        </is>
      </c>
      <c r="D523" s="25" t="inlineStr">
        <is>
          <t>Food To Go</t>
        </is>
      </c>
      <c r="E523" s="26" t="n">
        <v>460.79</v>
      </c>
      <c r="F523" s="27" t="n">
        <v>71</v>
      </c>
      <c r="G523" s="26" t="n">
        <v>233.59</v>
      </c>
    </row>
    <row r="524">
      <c r="A524" s="24" t="n">
        <v>46201</v>
      </c>
      <c r="B524" s="25" t="inlineStr">
        <is>
          <t>GRO001</t>
        </is>
      </c>
      <c r="C524" s="25" t="inlineStr">
        <is>
          <t>Instant Noodles 5pk</t>
        </is>
      </c>
      <c r="D524" s="25" t="inlineStr">
        <is>
          <t>Grocery</t>
        </is>
      </c>
      <c r="E524" s="26" t="n">
        <v>484.92</v>
      </c>
      <c r="F524" s="27" t="n">
        <v>108</v>
      </c>
      <c r="G524" s="26" t="n">
        <v>204.12</v>
      </c>
    </row>
    <row r="525">
      <c r="A525" s="24" t="n">
        <v>46201</v>
      </c>
      <c r="B525" s="25" t="inlineStr">
        <is>
          <t>GRO002</t>
        </is>
      </c>
      <c r="C525" s="25" t="inlineStr">
        <is>
          <t>Canned Soup 500g</t>
        </is>
      </c>
      <c r="D525" s="25" t="inlineStr">
        <is>
          <t>Grocery</t>
        </is>
      </c>
      <c r="E525" s="26" t="n">
        <v>131.6</v>
      </c>
      <c r="F525" s="27" t="n">
        <v>40</v>
      </c>
      <c r="G525" s="26" t="n">
        <v>55.6</v>
      </c>
    </row>
    <row r="526">
      <c r="A526" s="24" t="n">
        <v>46201</v>
      </c>
      <c r="B526" s="25" t="inlineStr">
        <is>
          <t>GRO003</t>
        </is>
      </c>
      <c r="C526" s="25" t="inlineStr">
        <is>
          <t>Pasta 500g</t>
        </is>
      </c>
      <c r="D526" s="25" t="inlineStr">
        <is>
          <t>Grocery</t>
        </is>
      </c>
      <c r="E526" s="26" t="n">
        <v>117.03</v>
      </c>
      <c r="F526" s="27" t="n">
        <v>47</v>
      </c>
      <c r="G526" s="26" t="n">
        <v>55.93</v>
      </c>
    </row>
    <row r="527">
      <c r="A527" s="24" t="n">
        <v>46201</v>
      </c>
      <c r="B527" s="25" t="inlineStr">
        <is>
          <t>GRO004</t>
        </is>
      </c>
      <c r="C527" s="25" t="inlineStr">
        <is>
          <t>Simmer Sauce 485g</t>
        </is>
      </c>
      <c r="D527" s="25" t="inlineStr">
        <is>
          <t>Grocery</t>
        </is>
      </c>
      <c r="E527" s="26" t="n">
        <v>147.63</v>
      </c>
      <c r="F527" s="27" t="n">
        <v>37</v>
      </c>
      <c r="G527" s="26" t="n">
        <v>62.53</v>
      </c>
    </row>
    <row r="528">
      <c r="A528" s="24" t="n">
        <v>46201</v>
      </c>
      <c r="B528" s="25" t="inlineStr">
        <is>
          <t>GRO005</t>
        </is>
      </c>
      <c r="C528" s="25" t="inlineStr">
        <is>
          <t>Salsa 300g</t>
        </is>
      </c>
      <c r="D528" s="25" t="inlineStr">
        <is>
          <t>Grocery</t>
        </is>
      </c>
      <c r="E528" s="26" t="n">
        <v>119.75</v>
      </c>
      <c r="F528" s="27" t="n">
        <v>25</v>
      </c>
      <c r="G528" s="26" t="n">
        <v>47.25</v>
      </c>
    </row>
    <row r="529">
      <c r="A529" s="24" t="n">
        <v>46201</v>
      </c>
      <c r="B529" s="25" t="inlineStr">
        <is>
          <t>GRO006</t>
        </is>
      </c>
      <c r="C529" s="25" t="inlineStr">
        <is>
          <t>Taco Kit</t>
        </is>
      </c>
      <c r="D529" s="25" t="inlineStr">
        <is>
          <t>Grocery</t>
        </is>
      </c>
      <c r="E529" s="26" t="n">
        <v>110.33</v>
      </c>
      <c r="F529" s="27" t="n">
        <v>17</v>
      </c>
      <c r="G529" s="26" t="n">
        <v>42.33</v>
      </c>
    </row>
    <row r="530">
      <c r="A530" s="24" t="n">
        <v>46201</v>
      </c>
      <c r="B530" s="25" t="inlineStr">
        <is>
          <t>GRO007</t>
        </is>
      </c>
      <c r="C530" s="25" t="inlineStr">
        <is>
          <t>Eggs Free Range 12pk</t>
        </is>
      </c>
      <c r="D530" s="25" t="inlineStr">
        <is>
          <t>Grocery</t>
        </is>
      </c>
      <c r="E530" s="26" t="n">
        <v>538.51</v>
      </c>
      <c r="F530" s="27" t="n">
        <v>49</v>
      </c>
      <c r="G530" s="26" t="n">
        <v>136.71</v>
      </c>
    </row>
    <row r="531">
      <c r="A531" s="24" t="n">
        <v>46201</v>
      </c>
      <c r="B531" s="25" t="inlineStr">
        <is>
          <t>GRO008</t>
        </is>
      </c>
      <c r="C531" s="25" t="inlineStr">
        <is>
          <t>Coffee Beans 200g</t>
        </is>
      </c>
      <c r="D531" s="25" t="inlineStr">
        <is>
          <t>Grocery</t>
        </is>
      </c>
      <c r="E531" s="26" t="n">
        <v>251.79</v>
      </c>
      <c r="F531" s="27" t="n">
        <v>21</v>
      </c>
      <c r="G531" s="26" t="n">
        <v>92.19</v>
      </c>
    </row>
    <row r="532">
      <c r="A532" s="24" t="n">
        <v>46201</v>
      </c>
      <c r="B532" s="25" t="inlineStr">
        <is>
          <t>HHD001</t>
        </is>
      </c>
      <c r="C532" s="25" t="inlineStr">
        <is>
          <t>Toilet Paper 6pk</t>
        </is>
      </c>
      <c r="D532" s="25" t="inlineStr">
        <is>
          <t>Household</t>
        </is>
      </c>
      <c r="E532" s="26" t="n">
        <v>323.64</v>
      </c>
      <c r="F532" s="27" t="n">
        <v>36</v>
      </c>
      <c r="G532" s="26" t="n">
        <v>111.24</v>
      </c>
    </row>
    <row r="533">
      <c r="A533" s="24" t="n">
        <v>46201</v>
      </c>
      <c r="B533" s="25" t="inlineStr">
        <is>
          <t>HHD002</t>
        </is>
      </c>
      <c r="C533" s="25" t="inlineStr">
        <is>
          <t>Dishwash Liquid</t>
        </is>
      </c>
      <c r="D533" s="25" t="inlineStr">
        <is>
          <t>Household</t>
        </is>
      </c>
      <c r="E533" s="26" t="n">
        <v>124.75</v>
      </c>
      <c r="F533" s="27" t="n">
        <v>25</v>
      </c>
      <c r="G533" s="26" t="n">
        <v>52.25</v>
      </c>
    </row>
    <row r="534">
      <c r="A534" s="24" t="n">
        <v>46201</v>
      </c>
      <c r="B534" s="25" t="inlineStr">
        <is>
          <t>HHD003</t>
        </is>
      </c>
      <c r="C534" s="25" t="inlineStr">
        <is>
          <t>Phone Charger Cable</t>
        </is>
      </c>
      <c r="D534" s="25" t="inlineStr">
        <is>
          <t>Household</t>
        </is>
      </c>
      <c r="E534" s="26" t="n">
        <v>179.88</v>
      </c>
      <c r="F534" s="27" t="n">
        <v>12</v>
      </c>
      <c r="G534" s="26" t="n">
        <v>113.88</v>
      </c>
    </row>
    <row r="535">
      <c r="A535" s="24" t="n">
        <v>46201</v>
      </c>
      <c r="B535" s="25" t="inlineStr">
        <is>
          <t>LIQ001</t>
        </is>
      </c>
      <c r="C535" s="25" t="inlineStr">
        <is>
          <t>Craft Beer 6pk</t>
        </is>
      </c>
      <c r="D535" s="25" t="inlineStr">
        <is>
          <t>Beer &amp; Wine</t>
        </is>
      </c>
      <c r="E535" s="26" t="n">
        <v>643.72</v>
      </c>
      <c r="F535" s="27" t="n">
        <v>28</v>
      </c>
      <c r="G535" s="26" t="n">
        <v>215.32</v>
      </c>
    </row>
    <row r="536">
      <c r="A536" s="24" t="n">
        <v>46201</v>
      </c>
      <c r="B536" s="25" t="inlineStr">
        <is>
          <t>LIQ002</t>
        </is>
      </c>
      <c r="C536" s="25" t="inlineStr">
        <is>
          <t>Sauvignon Blanc 750ml</t>
        </is>
      </c>
      <c r="D536" s="25" t="inlineStr">
        <is>
          <t>Beer &amp; Wine</t>
        </is>
      </c>
      <c r="E536" s="26" t="n">
        <v>447.72</v>
      </c>
      <c r="F536" s="27" t="n">
        <v>28</v>
      </c>
      <c r="G536" s="26" t="n">
        <v>162.12</v>
      </c>
    </row>
    <row r="537">
      <c r="A537" s="24" t="n">
        <v>46201</v>
      </c>
      <c r="B537" s="25" t="inlineStr">
        <is>
          <t>LIQ003</t>
        </is>
      </c>
      <c r="C537" s="25" t="inlineStr">
        <is>
          <t>RTD 4pk</t>
        </is>
      </c>
      <c r="D537" s="25" t="inlineStr">
        <is>
          <t>Beer &amp; Wine</t>
        </is>
      </c>
      <c r="E537" s="26" t="n">
        <v>377.79</v>
      </c>
      <c r="F537" s="27" t="n">
        <v>21</v>
      </c>
      <c r="G537" s="26" t="n">
        <v>127.89</v>
      </c>
    </row>
    <row r="538">
      <c r="A538" s="24" t="n">
        <v>46201</v>
      </c>
      <c r="B538" s="25" t="inlineStr">
        <is>
          <t>LIQ004</t>
        </is>
      </c>
      <c r="C538" s="25" t="inlineStr">
        <is>
          <t>Pinot Noir 750ml</t>
        </is>
      </c>
      <c r="D538" s="25" t="inlineStr">
        <is>
          <t>Beer &amp; Wine</t>
        </is>
      </c>
      <c r="E538" s="26" t="n">
        <v>239.88</v>
      </c>
      <c r="F538" s="27" t="n">
        <v>12</v>
      </c>
      <c r="G538" s="26" t="n">
        <v>86.28</v>
      </c>
    </row>
    <row r="539">
      <c r="A539" s="24" t="n">
        <v>46201</v>
      </c>
      <c r="B539" s="25" t="inlineStr">
        <is>
          <t>MLK001</t>
        </is>
      </c>
      <c r="C539" s="25" t="inlineStr">
        <is>
          <t>Milk Standard 2L</t>
        </is>
      </c>
      <c r="D539" s="25" t="inlineStr">
        <is>
          <t>Dairy</t>
        </is>
      </c>
      <c r="E539" s="26" t="n">
        <v>1271.4</v>
      </c>
      <c r="F539" s="27" t="n">
        <v>260</v>
      </c>
      <c r="G539" s="26" t="n">
        <v>348.4</v>
      </c>
    </row>
    <row r="540">
      <c r="A540" s="24" t="n">
        <v>46201</v>
      </c>
      <c r="B540" s="25" t="inlineStr">
        <is>
          <t>MLK002</t>
        </is>
      </c>
      <c r="C540" s="25" t="inlineStr">
        <is>
          <t>Milk Lite 2L</t>
        </is>
      </c>
      <c r="D540" s="25" t="inlineStr">
        <is>
          <t>Dairy</t>
        </is>
      </c>
      <c r="E540" s="26" t="n">
        <v>547.6799999999999</v>
      </c>
      <c r="F540" s="27" t="n">
        <v>112</v>
      </c>
      <c r="G540" s="26" t="n">
        <v>150.08</v>
      </c>
    </row>
    <row r="541">
      <c r="A541" s="24" t="n">
        <v>46201</v>
      </c>
      <c r="B541" s="25" t="inlineStr">
        <is>
          <t>MLK003</t>
        </is>
      </c>
      <c r="C541" s="25" t="inlineStr">
        <is>
          <t>Oat Milk 1L</t>
        </is>
      </c>
      <c r="D541" s="25" t="inlineStr">
        <is>
          <t>Dairy</t>
        </is>
      </c>
      <c r="E541" s="26" t="n">
        <v>197.34</v>
      </c>
      <c r="F541" s="27" t="n">
        <v>46</v>
      </c>
      <c r="G541" s="26" t="n">
        <v>73.14</v>
      </c>
    </row>
    <row r="542">
      <c r="A542" s="24" t="n">
        <v>46201</v>
      </c>
      <c r="B542" s="25" t="inlineStr">
        <is>
          <t>PHM001</t>
        </is>
      </c>
      <c r="C542" s="25" t="inlineStr">
        <is>
          <t>Paracetamol 20pk</t>
        </is>
      </c>
      <c r="D542" s="25" t="inlineStr">
        <is>
          <t>Health &amp; Beauty</t>
        </is>
      </c>
      <c r="E542" s="26" t="n">
        <v>155.61</v>
      </c>
      <c r="F542" s="27" t="n">
        <v>39</v>
      </c>
      <c r="G542" s="26" t="n">
        <v>93.20999999999999</v>
      </c>
    </row>
    <row r="543">
      <c r="A543" s="24" t="n">
        <v>46201</v>
      </c>
      <c r="B543" s="25" t="inlineStr">
        <is>
          <t>PHM002</t>
        </is>
      </c>
      <c r="C543" s="25" t="inlineStr">
        <is>
          <t>Sunscreen SPF50</t>
        </is>
      </c>
      <c r="D543" s="25" t="inlineStr">
        <is>
          <t>Health &amp; Beauty</t>
        </is>
      </c>
      <c r="E543" s="26" t="n">
        <v>104.93</v>
      </c>
      <c r="F543" s="27" t="n">
        <v>7</v>
      </c>
      <c r="G543" s="26" t="n">
        <v>47.53</v>
      </c>
    </row>
    <row r="544">
      <c r="A544" s="24" t="n">
        <v>46201</v>
      </c>
      <c r="B544" s="25" t="inlineStr">
        <is>
          <t>PRD001</t>
        </is>
      </c>
      <c r="C544" s="25" t="inlineStr">
        <is>
          <t>Bananas (each)</t>
        </is>
      </c>
      <c r="D544" s="25" t="inlineStr">
        <is>
          <t>Produce</t>
        </is>
      </c>
      <c r="E544" s="26" t="n">
        <v>157.32</v>
      </c>
      <c r="F544" s="27" t="n">
        <v>228</v>
      </c>
      <c r="G544" s="26" t="n">
        <v>70.68000000000001</v>
      </c>
    </row>
    <row r="545">
      <c r="A545" s="24" t="n">
        <v>46201</v>
      </c>
      <c r="B545" s="25" t="inlineStr">
        <is>
          <t>PRD002</t>
        </is>
      </c>
      <c r="C545" s="25" t="inlineStr">
        <is>
          <t>Avocado</t>
        </is>
      </c>
      <c r="D545" s="25" t="inlineStr">
        <is>
          <t>Produce</t>
        </is>
      </c>
      <c r="E545" s="26" t="n">
        <v>109.56</v>
      </c>
      <c r="F545" s="27" t="n">
        <v>44</v>
      </c>
      <c r="G545" s="26" t="n">
        <v>47.96</v>
      </c>
    </row>
    <row r="546">
      <c r="A546" s="24" t="n">
        <v>46201</v>
      </c>
      <c r="B546" s="25" t="inlineStr">
        <is>
          <t>PRD003</t>
        </is>
      </c>
      <c r="C546" s="25" t="inlineStr">
        <is>
          <t>Tomatoes 500g</t>
        </is>
      </c>
      <c r="D546" s="25" t="inlineStr">
        <is>
          <t>Produce</t>
        </is>
      </c>
      <c r="E546" s="26" t="n">
        <v>80.82000000000001</v>
      </c>
      <c r="F546" s="27" t="n">
        <v>18</v>
      </c>
      <c r="G546" s="26" t="n">
        <v>34.02</v>
      </c>
    </row>
    <row r="547">
      <c r="A547" s="24" t="n">
        <v>46201</v>
      </c>
      <c r="B547" s="25" t="inlineStr">
        <is>
          <t>SNK001</t>
        </is>
      </c>
      <c r="C547" s="25" t="inlineStr">
        <is>
          <t>Potato Chips 150g</t>
        </is>
      </c>
      <c r="D547" s="25" t="inlineStr">
        <is>
          <t>Snacks &amp; Confectionery</t>
        </is>
      </c>
      <c r="E547" s="26" t="n">
        <v>706.23</v>
      </c>
      <c r="F547" s="27" t="n">
        <v>177</v>
      </c>
      <c r="G547" s="26" t="n">
        <v>334.53</v>
      </c>
    </row>
    <row r="548">
      <c r="A548" s="24" t="n">
        <v>46201</v>
      </c>
      <c r="B548" s="25" t="inlineStr">
        <is>
          <t>SNK002</t>
        </is>
      </c>
      <c r="C548" s="25" t="inlineStr">
        <is>
          <t>Chocolate Block 200g</t>
        </is>
      </c>
      <c r="D548" s="25" t="inlineStr">
        <is>
          <t>Snacks &amp; Confectionery</t>
        </is>
      </c>
      <c r="E548" s="26" t="n">
        <v>664.29</v>
      </c>
      <c r="F548" s="27" t="n">
        <v>121</v>
      </c>
      <c r="G548" s="26" t="n">
        <v>277.09</v>
      </c>
    </row>
    <row r="549">
      <c r="A549" s="24" t="n">
        <v>46201</v>
      </c>
      <c r="B549" s="25" t="inlineStr">
        <is>
          <t>SNK003</t>
        </is>
      </c>
      <c r="C549" s="25" t="inlineStr">
        <is>
          <t>Muesli Bar 6pk</t>
        </is>
      </c>
      <c r="D549" s="25" t="inlineStr">
        <is>
          <t>Snacks &amp; Confectionery</t>
        </is>
      </c>
      <c r="E549" s="26" t="n">
        <v>265.98</v>
      </c>
      <c r="F549" s="27" t="n">
        <v>62</v>
      </c>
      <c r="G549" s="26" t="n">
        <v>104.78</v>
      </c>
    </row>
    <row r="550">
      <c r="A550" s="24" t="n">
        <v>46201</v>
      </c>
      <c r="B550" s="25" t="inlineStr">
        <is>
          <t>SNK004</t>
        </is>
      </c>
      <c r="C550" s="25" t="inlineStr">
        <is>
          <t>Corn Chips 230g</t>
        </is>
      </c>
      <c r="D550" s="25" t="inlineStr">
        <is>
          <t>Snacks &amp; Confectionery</t>
        </is>
      </c>
      <c r="E550" s="26" t="n">
        <v>242.46</v>
      </c>
      <c r="F550" s="27" t="n">
        <v>54</v>
      </c>
      <c r="G550" s="26" t="n">
        <v>112.86</v>
      </c>
    </row>
    <row r="551">
      <c r="A551" s="24" t="n">
        <v>46201</v>
      </c>
      <c r="B551" s="25" t="inlineStr">
        <is>
          <t>SNK005</t>
        </is>
      </c>
      <c r="C551" s="25" t="inlineStr">
        <is>
          <t>Lollies Bag 200g</t>
        </is>
      </c>
      <c r="D551" s="25" t="inlineStr">
        <is>
          <t>Snacks &amp; Confectionery</t>
        </is>
      </c>
      <c r="E551" s="26" t="n">
        <v>268.66</v>
      </c>
      <c r="F551" s="27" t="n">
        <v>84</v>
      </c>
      <c r="G551" s="26" t="n">
        <v>125.86</v>
      </c>
    </row>
    <row r="552">
      <c r="A552" s="24" t="n">
        <v>46208</v>
      </c>
      <c r="B552" s="25" t="inlineStr">
        <is>
          <t>BAK001</t>
        </is>
      </c>
      <c r="C552" s="25" t="inlineStr">
        <is>
          <t>Toast Bread White</t>
        </is>
      </c>
      <c r="D552" s="25" t="inlineStr">
        <is>
          <t>Bakery</t>
        </is>
      </c>
      <c r="E552" s="26" t="n">
        <v>495.58</v>
      </c>
      <c r="F552" s="27" t="n">
        <v>142</v>
      </c>
      <c r="G552" s="26" t="n">
        <v>183.18</v>
      </c>
    </row>
    <row r="553">
      <c r="A553" s="24" t="n">
        <v>46208</v>
      </c>
      <c r="B553" s="25" t="inlineStr">
        <is>
          <t>BAK002</t>
        </is>
      </c>
      <c r="C553" s="25" t="inlineStr">
        <is>
          <t>Wholemeal Loaf</t>
        </is>
      </c>
      <c r="D553" s="25" t="inlineStr">
        <is>
          <t>Bakery</t>
        </is>
      </c>
      <c r="E553" s="26" t="n">
        <v>386.1</v>
      </c>
      <c r="F553" s="27" t="n">
        <v>90</v>
      </c>
      <c r="G553" s="26" t="n">
        <v>143.1</v>
      </c>
    </row>
    <row r="554">
      <c r="A554" s="24" t="n">
        <v>46208</v>
      </c>
      <c r="B554" s="25" t="inlineStr">
        <is>
          <t>BAK003</t>
        </is>
      </c>
      <c r="C554" s="25" t="inlineStr">
        <is>
          <t>Croissant 4pk</t>
        </is>
      </c>
      <c r="D554" s="25" t="inlineStr">
        <is>
          <t>Bakery</t>
        </is>
      </c>
      <c r="E554" s="26" t="n">
        <v>245.59</v>
      </c>
      <c r="F554" s="27" t="n">
        <v>41</v>
      </c>
      <c r="G554" s="26" t="n">
        <v>110.29</v>
      </c>
    </row>
    <row r="555">
      <c r="A555" s="24" t="n">
        <v>46208</v>
      </c>
      <c r="B555" s="25" t="inlineStr">
        <is>
          <t>BBT001</t>
        </is>
      </c>
      <c r="C555" s="25" t="inlineStr">
        <is>
          <t>Bubble Tea Kit</t>
        </is>
      </c>
      <c r="D555" s="25" t="inlineStr">
        <is>
          <t>Beverages</t>
        </is>
      </c>
      <c r="E555" s="26" t="n">
        <v>223.68</v>
      </c>
      <c r="F555" s="27" t="n">
        <v>32</v>
      </c>
      <c r="G555" s="26" t="n">
        <v>98.88</v>
      </c>
    </row>
    <row r="556">
      <c r="A556" s="24" t="n">
        <v>46208</v>
      </c>
      <c r="B556" s="25" t="inlineStr">
        <is>
          <t>BEV001</t>
        </is>
      </c>
      <c r="C556" s="25" t="inlineStr">
        <is>
          <t>Energy Drink 500ml</t>
        </is>
      </c>
      <c r="D556" s="25" t="inlineStr">
        <is>
          <t>Beverages</t>
        </is>
      </c>
      <c r="E556" s="26" t="n">
        <v>660.66</v>
      </c>
      <c r="F556" s="27" t="n">
        <v>154</v>
      </c>
      <c r="G556" s="26" t="n">
        <v>329.56</v>
      </c>
    </row>
    <row r="557">
      <c r="A557" s="24" t="n">
        <v>46208</v>
      </c>
      <c r="B557" s="25" t="inlineStr">
        <is>
          <t>BEV002</t>
        </is>
      </c>
      <c r="C557" s="25" t="inlineStr">
        <is>
          <t>Cola 1.5L</t>
        </is>
      </c>
      <c r="D557" s="25" t="inlineStr">
        <is>
          <t>Beverages</t>
        </is>
      </c>
      <c r="E557" s="26" t="n">
        <v>359.2</v>
      </c>
      <c r="F557" s="27" t="n">
        <v>80</v>
      </c>
      <c r="G557" s="26" t="n">
        <v>175.2</v>
      </c>
    </row>
    <row r="558">
      <c r="A558" s="24" t="n">
        <v>46208</v>
      </c>
      <c r="B558" s="25" t="inlineStr">
        <is>
          <t>BEV003</t>
        </is>
      </c>
      <c r="C558" s="25" t="inlineStr">
        <is>
          <t>Sparkling Water 1L</t>
        </is>
      </c>
      <c r="D558" s="25" t="inlineStr">
        <is>
          <t>Beverages</t>
        </is>
      </c>
      <c r="E558" s="26" t="n">
        <v>191.73</v>
      </c>
      <c r="F558" s="27" t="n">
        <v>77</v>
      </c>
      <c r="G558" s="26" t="n">
        <v>107.03</v>
      </c>
    </row>
    <row r="559">
      <c r="A559" s="24" t="n">
        <v>46208</v>
      </c>
      <c r="B559" s="25" t="inlineStr">
        <is>
          <t>BEV004</t>
        </is>
      </c>
      <c r="C559" s="25" t="inlineStr">
        <is>
          <t>Iced Coffee 500ml</t>
        </is>
      </c>
      <c r="D559" s="25" t="inlineStr">
        <is>
          <t>Beverages</t>
        </is>
      </c>
      <c r="E559" s="26" t="n">
        <v>429.14</v>
      </c>
      <c r="F559" s="27" t="n">
        <v>86</v>
      </c>
      <c r="G559" s="26" t="n">
        <v>196.94</v>
      </c>
    </row>
    <row r="560">
      <c r="A560" s="24" t="n">
        <v>46208</v>
      </c>
      <c r="B560" s="25" t="inlineStr">
        <is>
          <t>BEV005</t>
        </is>
      </c>
      <c r="C560" s="25" t="inlineStr">
        <is>
          <t>Kombucha 330ml</t>
        </is>
      </c>
      <c r="D560" s="25" t="inlineStr">
        <is>
          <t>Beverages</t>
        </is>
      </c>
      <c r="E560" s="26" t="n">
        <v>148.49</v>
      </c>
      <c r="F560" s="27" t="n">
        <v>31</v>
      </c>
      <c r="G560" s="26" t="n">
        <v>67.89</v>
      </c>
    </row>
    <row r="561">
      <c r="A561" s="24" t="n">
        <v>46208</v>
      </c>
      <c r="B561" s="25" t="inlineStr">
        <is>
          <t>BEV006</t>
        </is>
      </c>
      <c r="C561" s="25" t="inlineStr">
        <is>
          <t>Bottled Water 750ml</t>
        </is>
      </c>
      <c r="D561" s="25" t="inlineStr">
        <is>
          <t>Beverages</t>
        </is>
      </c>
      <c r="E561" s="26" t="n">
        <v>340.86</v>
      </c>
      <c r="F561" s="27" t="n">
        <v>114</v>
      </c>
      <c r="G561" s="26" t="n">
        <v>232.56</v>
      </c>
    </row>
    <row r="562">
      <c r="A562" s="24" t="n">
        <v>46208</v>
      </c>
      <c r="B562" s="25" t="inlineStr">
        <is>
          <t>DRY010</t>
        </is>
      </c>
      <c r="C562" s="25" t="inlineStr">
        <is>
          <t>Butter 500g</t>
        </is>
      </c>
      <c r="D562" s="25" t="inlineStr">
        <is>
          <t>Dairy</t>
        </is>
      </c>
      <c r="E562" s="26" t="n">
        <v>307.09</v>
      </c>
      <c r="F562" s="27" t="n">
        <v>41</v>
      </c>
      <c r="G562" s="26" t="n">
        <v>77.48999999999999</v>
      </c>
    </row>
    <row r="563">
      <c r="A563" s="24" t="n">
        <v>46208</v>
      </c>
      <c r="B563" s="25" t="inlineStr">
        <is>
          <t>DRY011</t>
        </is>
      </c>
      <c r="C563" s="25" t="inlineStr">
        <is>
          <t>Greek Yoghurt 1kg</t>
        </is>
      </c>
      <c r="D563" s="25" t="inlineStr">
        <is>
          <t>Dairy</t>
        </is>
      </c>
      <c r="E563" s="26" t="n">
        <v>287.64</v>
      </c>
      <c r="F563" s="27" t="n">
        <v>36</v>
      </c>
      <c r="G563" s="26" t="n">
        <v>104.04</v>
      </c>
    </row>
    <row r="564">
      <c r="A564" s="24" t="n">
        <v>46208</v>
      </c>
      <c r="B564" s="25" t="inlineStr">
        <is>
          <t>DRY012</t>
        </is>
      </c>
      <c r="C564" s="25" t="inlineStr">
        <is>
          <t>Cheese Block 1kg</t>
        </is>
      </c>
      <c r="D564" s="25" t="inlineStr">
        <is>
          <t>Dairy</t>
        </is>
      </c>
      <c r="E564" s="26" t="n">
        <v>349.75</v>
      </c>
      <c r="F564" s="27" t="n">
        <v>25</v>
      </c>
      <c r="G564" s="26" t="n">
        <v>89.75</v>
      </c>
    </row>
    <row r="565">
      <c r="A565" s="24" t="n">
        <v>46208</v>
      </c>
      <c r="B565" s="25" t="inlineStr">
        <is>
          <t>FRZ001</t>
        </is>
      </c>
      <c r="C565" s="25" t="inlineStr">
        <is>
          <t>Ice Cream Tub 2L</t>
        </is>
      </c>
      <c r="D565" s="25" t="inlineStr">
        <is>
          <t>Frozen</t>
        </is>
      </c>
      <c r="E565" s="26" t="n">
        <v>287.68</v>
      </c>
      <c r="F565" s="27" t="n">
        <v>32</v>
      </c>
      <c r="G565" s="26" t="n">
        <v>114.88</v>
      </c>
    </row>
    <row r="566">
      <c r="A566" s="24" t="n">
        <v>46208</v>
      </c>
      <c r="B566" s="25" t="inlineStr">
        <is>
          <t>FRZ002</t>
        </is>
      </c>
      <c r="C566" s="25" t="inlineStr">
        <is>
          <t>Ice Block Single</t>
        </is>
      </c>
      <c r="D566" s="25" t="inlineStr">
        <is>
          <t>Frozen</t>
        </is>
      </c>
      <c r="E566" s="26" t="n">
        <v>191.36</v>
      </c>
      <c r="F566" s="27" t="n">
        <v>64</v>
      </c>
      <c r="G566" s="26" t="n">
        <v>114.56</v>
      </c>
    </row>
    <row r="567">
      <c r="A567" s="24" t="n">
        <v>46208</v>
      </c>
      <c r="B567" s="25" t="inlineStr">
        <is>
          <t>FRZ003</t>
        </is>
      </c>
      <c r="C567" s="25" t="inlineStr">
        <is>
          <t>Frozen Pizza</t>
        </is>
      </c>
      <c r="D567" s="25" t="inlineStr">
        <is>
          <t>Frozen</t>
        </is>
      </c>
      <c r="E567" s="26" t="n">
        <v>375.53</v>
      </c>
      <c r="F567" s="27" t="n">
        <v>47</v>
      </c>
      <c r="G567" s="26" t="n">
        <v>154.63</v>
      </c>
    </row>
    <row r="568">
      <c r="A568" s="24" t="n">
        <v>46208</v>
      </c>
      <c r="B568" s="25" t="inlineStr">
        <is>
          <t>FRZ004</t>
        </is>
      </c>
      <c r="C568" s="25" t="inlineStr">
        <is>
          <t>Frozen Dumplings 1kg</t>
        </is>
      </c>
      <c r="D568" s="25" t="inlineStr">
        <is>
          <t>Frozen</t>
        </is>
      </c>
      <c r="E568" s="26" t="n">
        <v>347.71</v>
      </c>
      <c r="F568" s="27" t="n">
        <v>29</v>
      </c>
      <c r="G568" s="26" t="n">
        <v>141.81</v>
      </c>
    </row>
    <row r="569">
      <c r="A569" s="24" t="n">
        <v>46208</v>
      </c>
      <c r="B569" s="25" t="inlineStr">
        <is>
          <t>FTG001</t>
        </is>
      </c>
      <c r="C569" s="25" t="inlineStr">
        <is>
          <t>Chicken Sandwich</t>
        </is>
      </c>
      <c r="D569" s="25" t="inlineStr">
        <is>
          <t>Food To Go</t>
        </is>
      </c>
      <c r="E569" s="26" t="n">
        <v>936.25</v>
      </c>
      <c r="F569" s="27" t="n">
        <v>125</v>
      </c>
      <c r="G569" s="26" t="n">
        <v>448.75</v>
      </c>
    </row>
    <row r="570">
      <c r="A570" s="24" t="n">
        <v>46208</v>
      </c>
      <c r="B570" s="25" t="inlineStr">
        <is>
          <t>FTG002</t>
        </is>
      </c>
      <c r="C570" s="25" t="inlineStr">
        <is>
          <t>Sushi Pack 8pc</t>
        </is>
      </c>
      <c r="D570" s="25" t="inlineStr">
        <is>
          <t>Food To Go</t>
        </is>
      </c>
      <c r="E570" s="26" t="n">
        <v>659.34</v>
      </c>
      <c r="F570" s="27" t="n">
        <v>66</v>
      </c>
      <c r="G570" s="26" t="n">
        <v>289.74</v>
      </c>
    </row>
    <row r="571">
      <c r="A571" s="24" t="n">
        <v>46208</v>
      </c>
      <c r="B571" s="25" t="inlineStr">
        <is>
          <t>FTG003</t>
        </is>
      </c>
      <c r="C571" s="25" t="inlineStr">
        <is>
          <t>Hot Pie Mince &amp; Cheese</t>
        </is>
      </c>
      <c r="D571" s="25" t="inlineStr">
        <is>
          <t>Food To Go</t>
        </is>
      </c>
      <c r="E571" s="26" t="n">
        <v>867.42</v>
      </c>
      <c r="F571" s="27" t="n">
        <v>158</v>
      </c>
      <c r="G571" s="26" t="n">
        <v>488.22</v>
      </c>
    </row>
    <row r="572">
      <c r="A572" s="24" t="n">
        <v>46208</v>
      </c>
      <c r="B572" s="25" t="inlineStr">
        <is>
          <t>FTG004</t>
        </is>
      </c>
      <c r="C572" s="25" t="inlineStr">
        <is>
          <t>Salad Bowl</t>
        </is>
      </c>
      <c r="D572" s="25" t="inlineStr">
        <is>
          <t>Food To Go</t>
        </is>
      </c>
      <c r="E572" s="26" t="n">
        <v>340.69</v>
      </c>
      <c r="F572" s="27" t="n">
        <v>31</v>
      </c>
      <c r="G572" s="26" t="n">
        <v>148.49</v>
      </c>
    </row>
    <row r="573">
      <c r="A573" s="24" t="n">
        <v>46208</v>
      </c>
      <c r="B573" s="25" t="inlineStr">
        <is>
          <t>FTG005</t>
        </is>
      </c>
      <c r="C573" s="25" t="inlineStr">
        <is>
          <t>Filled Roll</t>
        </is>
      </c>
      <c r="D573" s="25" t="inlineStr">
        <is>
          <t>Food To Go</t>
        </is>
      </c>
      <c r="E573" s="26" t="n">
        <v>535.97</v>
      </c>
      <c r="F573" s="27" t="n">
        <v>93</v>
      </c>
      <c r="G573" s="26" t="n">
        <v>238.37</v>
      </c>
    </row>
    <row r="574">
      <c r="A574" s="24" t="n">
        <v>46208</v>
      </c>
      <c r="B574" s="25" t="inlineStr">
        <is>
          <t>GRO001</t>
        </is>
      </c>
      <c r="C574" s="25" t="inlineStr">
        <is>
          <t>Instant Noodles 5pk</t>
        </is>
      </c>
      <c r="D574" s="25" t="inlineStr">
        <is>
          <t>Grocery</t>
        </is>
      </c>
      <c r="E574" s="26" t="n">
        <v>395.12</v>
      </c>
      <c r="F574" s="27" t="n">
        <v>88</v>
      </c>
      <c r="G574" s="26" t="n">
        <v>166.32</v>
      </c>
    </row>
    <row r="575">
      <c r="A575" s="24" t="n">
        <v>46208</v>
      </c>
      <c r="B575" s="25" t="inlineStr">
        <is>
          <t>GRO002</t>
        </is>
      </c>
      <c r="C575" s="25" t="inlineStr">
        <is>
          <t>Canned Soup 500g</t>
        </is>
      </c>
      <c r="D575" s="25" t="inlineStr">
        <is>
          <t>Grocery</t>
        </is>
      </c>
      <c r="E575" s="26" t="n">
        <v>190.82</v>
      </c>
      <c r="F575" s="27" t="n">
        <v>58</v>
      </c>
      <c r="G575" s="26" t="n">
        <v>80.62</v>
      </c>
    </row>
    <row r="576">
      <c r="A576" s="24" t="n">
        <v>46208</v>
      </c>
      <c r="B576" s="25" t="inlineStr">
        <is>
          <t>GRO003</t>
        </is>
      </c>
      <c r="C576" s="25" t="inlineStr">
        <is>
          <t>Pasta 500g</t>
        </is>
      </c>
      <c r="D576" s="25" t="inlineStr">
        <is>
          <t>Grocery</t>
        </is>
      </c>
      <c r="E576" s="26" t="n">
        <v>122.01</v>
      </c>
      <c r="F576" s="27" t="n">
        <v>49</v>
      </c>
      <c r="G576" s="26" t="n">
        <v>58.31</v>
      </c>
    </row>
    <row r="577">
      <c r="A577" s="24" t="n">
        <v>46208</v>
      </c>
      <c r="B577" s="25" t="inlineStr">
        <is>
          <t>GRO004</t>
        </is>
      </c>
      <c r="C577" s="25" t="inlineStr">
        <is>
          <t>Simmer Sauce 485g</t>
        </is>
      </c>
      <c r="D577" s="25" t="inlineStr">
        <is>
          <t>Grocery</t>
        </is>
      </c>
      <c r="E577" s="26" t="n">
        <v>171.57</v>
      </c>
      <c r="F577" s="27" t="n">
        <v>43</v>
      </c>
      <c r="G577" s="26" t="n">
        <v>72.67</v>
      </c>
    </row>
    <row r="578">
      <c r="A578" s="24" t="n">
        <v>46208</v>
      </c>
      <c r="B578" s="25" t="inlineStr">
        <is>
          <t>GRO005</t>
        </is>
      </c>
      <c r="C578" s="25" t="inlineStr">
        <is>
          <t>Salsa 300g</t>
        </is>
      </c>
      <c r="D578" s="25" t="inlineStr">
        <is>
          <t>Grocery</t>
        </is>
      </c>
      <c r="E578" s="26" t="n">
        <v>76.64</v>
      </c>
      <c r="F578" s="27" t="n">
        <v>16</v>
      </c>
      <c r="G578" s="26" t="n">
        <v>30.24</v>
      </c>
    </row>
    <row r="579">
      <c r="A579" s="24" t="n">
        <v>46208</v>
      </c>
      <c r="B579" s="25" t="inlineStr">
        <is>
          <t>GRO006</t>
        </is>
      </c>
      <c r="C579" s="25" t="inlineStr">
        <is>
          <t>Taco Kit</t>
        </is>
      </c>
      <c r="D579" s="25" t="inlineStr">
        <is>
          <t>Grocery</t>
        </is>
      </c>
      <c r="E579" s="26" t="n">
        <v>149.27</v>
      </c>
      <c r="F579" s="27" t="n">
        <v>23</v>
      </c>
      <c r="G579" s="26" t="n">
        <v>57.27</v>
      </c>
    </row>
    <row r="580">
      <c r="A580" s="24" t="n">
        <v>46208</v>
      </c>
      <c r="B580" s="25" t="inlineStr">
        <is>
          <t>GRO007</t>
        </is>
      </c>
      <c r="C580" s="25" t="inlineStr">
        <is>
          <t>Eggs Free Range 12pk</t>
        </is>
      </c>
      <c r="D580" s="25" t="inlineStr">
        <is>
          <t>Grocery</t>
        </is>
      </c>
      <c r="E580" s="26" t="n">
        <v>780.29</v>
      </c>
      <c r="F580" s="27" t="n">
        <v>71</v>
      </c>
      <c r="G580" s="26" t="n">
        <v>198.09</v>
      </c>
    </row>
    <row r="581">
      <c r="A581" s="24" t="n">
        <v>46208</v>
      </c>
      <c r="B581" s="25" t="inlineStr">
        <is>
          <t>GRO008</t>
        </is>
      </c>
      <c r="C581" s="25" t="inlineStr">
        <is>
          <t>Coffee Beans 200g</t>
        </is>
      </c>
      <c r="D581" s="25" t="inlineStr">
        <is>
          <t>Grocery</t>
        </is>
      </c>
      <c r="E581" s="26" t="n">
        <v>215.82</v>
      </c>
      <c r="F581" s="27" t="n">
        <v>18</v>
      </c>
      <c r="G581" s="26" t="n">
        <v>79.02</v>
      </c>
    </row>
    <row r="582">
      <c r="A582" s="24" t="n">
        <v>46208</v>
      </c>
      <c r="B582" s="25" t="inlineStr">
        <is>
          <t>HHD001</t>
        </is>
      </c>
      <c r="C582" s="25" t="inlineStr">
        <is>
          <t>Toilet Paper 6pk</t>
        </is>
      </c>
      <c r="D582" s="25" t="inlineStr">
        <is>
          <t>Household</t>
        </is>
      </c>
      <c r="E582" s="26" t="n">
        <v>305.66</v>
      </c>
      <c r="F582" s="27" t="n">
        <v>34</v>
      </c>
      <c r="G582" s="26" t="n">
        <v>105.06</v>
      </c>
    </row>
    <row r="583">
      <c r="A583" s="24" t="n">
        <v>46208</v>
      </c>
      <c r="B583" s="25" t="inlineStr">
        <is>
          <t>HHD002</t>
        </is>
      </c>
      <c r="C583" s="25" t="inlineStr">
        <is>
          <t>Dishwash Liquid</t>
        </is>
      </c>
      <c r="D583" s="25" t="inlineStr">
        <is>
          <t>Household</t>
        </is>
      </c>
      <c r="E583" s="26" t="n">
        <v>89.82000000000001</v>
      </c>
      <c r="F583" s="27" t="n">
        <v>18</v>
      </c>
      <c r="G583" s="26" t="n">
        <v>37.62</v>
      </c>
    </row>
    <row r="584">
      <c r="A584" s="24" t="n">
        <v>46208</v>
      </c>
      <c r="B584" s="25" t="inlineStr">
        <is>
          <t>HHD003</t>
        </is>
      </c>
      <c r="C584" s="25" t="inlineStr">
        <is>
          <t>Phone Charger Cable</t>
        </is>
      </c>
      <c r="D584" s="25" t="inlineStr">
        <is>
          <t>Household</t>
        </is>
      </c>
      <c r="E584" s="26" t="n">
        <v>134.91</v>
      </c>
      <c r="F584" s="27" t="n">
        <v>9</v>
      </c>
      <c r="G584" s="26" t="n">
        <v>85.41</v>
      </c>
    </row>
    <row r="585">
      <c r="A585" s="24" t="n">
        <v>46208</v>
      </c>
      <c r="B585" s="25" t="inlineStr">
        <is>
          <t>LIQ001</t>
        </is>
      </c>
      <c r="C585" s="25" t="inlineStr">
        <is>
          <t>Craft Beer 6pk</t>
        </is>
      </c>
      <c r="D585" s="25" t="inlineStr">
        <is>
          <t>Beer &amp; Wine</t>
        </is>
      </c>
      <c r="E585" s="26" t="n">
        <v>551.76</v>
      </c>
      <c r="F585" s="27" t="n">
        <v>24</v>
      </c>
      <c r="G585" s="26" t="n">
        <v>184.56</v>
      </c>
    </row>
    <row r="586">
      <c r="A586" s="24" t="n">
        <v>46208</v>
      </c>
      <c r="B586" s="25" t="inlineStr">
        <is>
          <t>LIQ002</t>
        </is>
      </c>
      <c r="C586" s="25" t="inlineStr">
        <is>
          <t>Sauvignon Blanc 750ml</t>
        </is>
      </c>
      <c r="D586" s="25" t="inlineStr">
        <is>
          <t>Beer &amp; Wine</t>
        </is>
      </c>
      <c r="E586" s="26" t="n">
        <v>383.76</v>
      </c>
      <c r="F586" s="27" t="n">
        <v>24</v>
      </c>
      <c r="G586" s="26" t="n">
        <v>138.96</v>
      </c>
    </row>
    <row r="587">
      <c r="A587" s="24" t="n">
        <v>46208</v>
      </c>
      <c r="B587" s="25" t="inlineStr">
        <is>
          <t>LIQ003</t>
        </is>
      </c>
      <c r="C587" s="25" t="inlineStr">
        <is>
          <t>RTD 4pk</t>
        </is>
      </c>
      <c r="D587" s="25" t="inlineStr">
        <is>
          <t>Beer &amp; Wine</t>
        </is>
      </c>
      <c r="E587" s="26" t="n">
        <v>233.87</v>
      </c>
      <c r="F587" s="27" t="n">
        <v>13</v>
      </c>
      <c r="G587" s="26" t="n">
        <v>79.17</v>
      </c>
    </row>
    <row r="588">
      <c r="A588" s="24" t="n">
        <v>46208</v>
      </c>
      <c r="B588" s="25" t="inlineStr">
        <is>
          <t>LIQ004</t>
        </is>
      </c>
      <c r="C588" s="25" t="inlineStr">
        <is>
          <t>Pinot Noir 750ml</t>
        </is>
      </c>
      <c r="D588" s="25" t="inlineStr">
        <is>
          <t>Beer &amp; Wine</t>
        </is>
      </c>
      <c r="E588" s="26" t="n">
        <v>359.82</v>
      </c>
      <c r="F588" s="27" t="n">
        <v>18</v>
      </c>
      <c r="G588" s="26" t="n">
        <v>129.42</v>
      </c>
    </row>
    <row r="589">
      <c r="A589" s="24" t="n">
        <v>46208</v>
      </c>
      <c r="B589" s="25" t="inlineStr">
        <is>
          <t>MLK001</t>
        </is>
      </c>
      <c r="C589" s="25" t="inlineStr">
        <is>
          <t>Milk Standard 2L</t>
        </is>
      </c>
      <c r="D589" s="25" t="inlineStr">
        <is>
          <t>Dairy</t>
        </is>
      </c>
      <c r="E589" s="26" t="n">
        <v>1422.99</v>
      </c>
      <c r="F589" s="27" t="n">
        <v>291</v>
      </c>
      <c r="G589" s="26" t="n">
        <v>389.94</v>
      </c>
    </row>
    <row r="590">
      <c r="A590" s="24" t="n">
        <v>46208</v>
      </c>
      <c r="B590" s="25" t="inlineStr">
        <is>
          <t>MLK002</t>
        </is>
      </c>
      <c r="C590" s="25" t="inlineStr">
        <is>
          <t>Milk Lite 2L</t>
        </is>
      </c>
      <c r="D590" s="25" t="inlineStr">
        <is>
          <t>Dairy</t>
        </is>
      </c>
      <c r="E590" s="26" t="n">
        <v>650.37</v>
      </c>
      <c r="F590" s="27" t="n">
        <v>133</v>
      </c>
      <c r="G590" s="26" t="n">
        <v>178.22</v>
      </c>
    </row>
    <row r="591">
      <c r="A591" s="24" t="n">
        <v>46208</v>
      </c>
      <c r="B591" s="25" t="inlineStr">
        <is>
          <t>MLK003</t>
        </is>
      </c>
      <c r="C591" s="25" t="inlineStr">
        <is>
          <t>Oat Milk 1L</t>
        </is>
      </c>
      <c r="D591" s="25" t="inlineStr">
        <is>
          <t>Dairy</t>
        </is>
      </c>
      <c r="E591" s="26" t="n">
        <v>253.11</v>
      </c>
      <c r="F591" s="27" t="n">
        <v>59</v>
      </c>
      <c r="G591" s="26" t="n">
        <v>93.81</v>
      </c>
    </row>
    <row r="592">
      <c r="A592" s="24" t="n">
        <v>46208</v>
      </c>
      <c r="B592" s="25" t="inlineStr">
        <is>
          <t>PHM001</t>
        </is>
      </c>
      <c r="C592" s="25" t="inlineStr">
        <is>
          <t>Paracetamol 20pk</t>
        </is>
      </c>
      <c r="D592" s="25" t="inlineStr">
        <is>
          <t>Health &amp; Beauty</t>
        </is>
      </c>
      <c r="E592" s="26" t="n">
        <v>171.57</v>
      </c>
      <c r="F592" s="27" t="n">
        <v>43</v>
      </c>
      <c r="G592" s="26" t="n">
        <v>102.77</v>
      </c>
    </row>
    <row r="593">
      <c r="A593" s="24" t="n">
        <v>46208</v>
      </c>
      <c r="B593" s="25" t="inlineStr">
        <is>
          <t>PHM002</t>
        </is>
      </c>
      <c r="C593" s="25" t="inlineStr">
        <is>
          <t>Sunscreen SPF50</t>
        </is>
      </c>
      <c r="D593" s="25" t="inlineStr">
        <is>
          <t>Health &amp; Beauty</t>
        </is>
      </c>
      <c r="E593" s="26" t="n">
        <v>149.9</v>
      </c>
      <c r="F593" s="27" t="n">
        <v>10</v>
      </c>
      <c r="G593" s="26" t="n">
        <v>67.90000000000001</v>
      </c>
    </row>
    <row r="594">
      <c r="A594" s="24" t="n">
        <v>46208</v>
      </c>
      <c r="B594" s="25" t="inlineStr">
        <is>
          <t>PRD001</t>
        </is>
      </c>
      <c r="C594" s="25" t="inlineStr">
        <is>
          <t>Bananas (each)</t>
        </is>
      </c>
      <c r="D594" s="25" t="inlineStr">
        <is>
          <t>Produce</t>
        </is>
      </c>
      <c r="E594" s="26" t="n">
        <v>144.9</v>
      </c>
      <c r="F594" s="27" t="n">
        <v>210</v>
      </c>
      <c r="G594" s="26" t="n">
        <v>65.09999999999999</v>
      </c>
    </row>
    <row r="595">
      <c r="A595" s="24" t="n">
        <v>46208</v>
      </c>
      <c r="B595" s="25" t="inlineStr">
        <is>
          <t>PRD002</t>
        </is>
      </c>
      <c r="C595" s="25" t="inlineStr">
        <is>
          <t>Avocado</t>
        </is>
      </c>
      <c r="D595" s="25" t="inlineStr">
        <is>
          <t>Produce</t>
        </is>
      </c>
      <c r="E595" s="26" t="n">
        <v>126.99</v>
      </c>
      <c r="F595" s="27" t="n">
        <v>51</v>
      </c>
      <c r="G595" s="26" t="n">
        <v>55.59</v>
      </c>
    </row>
    <row r="596">
      <c r="A596" s="24" t="n">
        <v>46208</v>
      </c>
      <c r="B596" s="25" t="inlineStr">
        <is>
          <t>PRD003</t>
        </is>
      </c>
      <c r="C596" s="25" t="inlineStr">
        <is>
          <t>Tomatoes 500g</t>
        </is>
      </c>
      <c r="D596" s="25" t="inlineStr">
        <is>
          <t>Produce</t>
        </is>
      </c>
      <c r="E596" s="26" t="n">
        <v>112.25</v>
      </c>
      <c r="F596" s="27" t="n">
        <v>25</v>
      </c>
      <c r="G596" s="26" t="n">
        <v>47.25</v>
      </c>
    </row>
    <row r="597">
      <c r="A597" s="24" t="n">
        <v>46208</v>
      </c>
      <c r="B597" s="25" t="inlineStr">
        <is>
          <t>SNK001</t>
        </is>
      </c>
      <c r="C597" s="25" t="inlineStr">
        <is>
          <t>Potato Chips 150g</t>
        </is>
      </c>
      <c r="D597" s="25" t="inlineStr">
        <is>
          <t>Snacks &amp; Confectionery</t>
        </is>
      </c>
      <c r="E597" s="26" t="n">
        <v>626.4299999999999</v>
      </c>
      <c r="F597" s="27" t="n">
        <v>157</v>
      </c>
      <c r="G597" s="26" t="n">
        <v>296.73</v>
      </c>
    </row>
    <row r="598">
      <c r="A598" s="24" t="n">
        <v>46208</v>
      </c>
      <c r="B598" s="25" t="inlineStr">
        <is>
          <t>SNK002</t>
        </is>
      </c>
      <c r="C598" s="25" t="inlineStr">
        <is>
          <t>Chocolate Block 200g</t>
        </is>
      </c>
      <c r="D598" s="25" t="inlineStr">
        <is>
          <t>Snacks &amp; Confectionery</t>
        </is>
      </c>
      <c r="E598" s="26" t="n">
        <v>620.37</v>
      </c>
      <c r="F598" s="27" t="n">
        <v>113</v>
      </c>
      <c r="G598" s="26" t="n">
        <v>258.77</v>
      </c>
    </row>
    <row r="599">
      <c r="A599" s="24" t="n">
        <v>46208</v>
      </c>
      <c r="B599" s="25" t="inlineStr">
        <is>
          <t>SNK003</t>
        </is>
      </c>
      <c r="C599" s="25" t="inlineStr">
        <is>
          <t>Muesli Bar 6pk</t>
        </is>
      </c>
      <c r="D599" s="25" t="inlineStr">
        <is>
          <t>Snacks &amp; Confectionery</t>
        </is>
      </c>
      <c r="E599" s="26" t="n">
        <v>248.82</v>
      </c>
      <c r="F599" s="27" t="n">
        <v>58</v>
      </c>
      <c r="G599" s="26" t="n">
        <v>98.02</v>
      </c>
    </row>
    <row r="600">
      <c r="A600" s="24" t="n">
        <v>46208</v>
      </c>
      <c r="B600" s="25" t="inlineStr">
        <is>
          <t>SNK004</t>
        </is>
      </c>
      <c r="C600" s="25" t="inlineStr">
        <is>
          <t>Corn Chips 230g</t>
        </is>
      </c>
      <c r="D600" s="25" t="inlineStr">
        <is>
          <t>Snacks &amp; Confectionery</t>
        </is>
      </c>
      <c r="E600" s="26" t="n">
        <v>296.34</v>
      </c>
      <c r="F600" s="27" t="n">
        <v>66</v>
      </c>
      <c r="G600" s="26" t="n">
        <v>137.94</v>
      </c>
    </row>
    <row r="601">
      <c r="A601" s="24" t="n">
        <v>46208</v>
      </c>
      <c r="B601" s="25" t="inlineStr">
        <is>
          <t>SNK005</t>
        </is>
      </c>
      <c r="C601" s="25" t="inlineStr">
        <is>
          <t>Lollies Bag 200g</t>
        </is>
      </c>
      <c r="D601" s="25" t="inlineStr">
        <is>
          <t>Snacks &amp; Confectionery</t>
        </is>
      </c>
      <c r="E601" s="26" t="n">
        <v>216.38</v>
      </c>
      <c r="F601" s="27" t="n">
        <v>62</v>
      </c>
      <c r="G601" s="26" t="n">
        <v>110.98</v>
      </c>
    </row>
    <row r="602">
      <c r="A602" s="24" t="n">
        <v>46215</v>
      </c>
      <c r="B602" s="25" t="inlineStr">
        <is>
          <t>BAK001</t>
        </is>
      </c>
      <c r="C602" s="25" t="inlineStr">
        <is>
          <t>Toast Bread White</t>
        </is>
      </c>
      <c r="D602" s="25" t="inlineStr">
        <is>
          <t>Bakery</t>
        </is>
      </c>
      <c r="E602" s="26" t="n">
        <v>478.13</v>
      </c>
      <c r="F602" s="27" t="n">
        <v>137</v>
      </c>
      <c r="G602" s="26" t="n">
        <v>176.73</v>
      </c>
    </row>
    <row r="603">
      <c r="A603" s="24" t="n">
        <v>46215</v>
      </c>
      <c r="B603" s="25" t="inlineStr">
        <is>
          <t>BAK002</t>
        </is>
      </c>
      <c r="C603" s="25" t="inlineStr">
        <is>
          <t>Wholemeal Loaf</t>
        </is>
      </c>
      <c r="D603" s="25" t="inlineStr">
        <is>
          <t>Bakery</t>
        </is>
      </c>
      <c r="E603" s="26" t="n">
        <v>450.45</v>
      </c>
      <c r="F603" s="27" t="n">
        <v>105</v>
      </c>
      <c r="G603" s="26" t="n">
        <v>166.95</v>
      </c>
    </row>
    <row r="604">
      <c r="A604" s="24" t="n">
        <v>46215</v>
      </c>
      <c r="B604" s="25" t="inlineStr">
        <is>
          <t>BAK003</t>
        </is>
      </c>
      <c r="C604" s="25" t="inlineStr">
        <is>
          <t>Croissant 4pk</t>
        </is>
      </c>
      <c r="D604" s="25" t="inlineStr">
        <is>
          <t>Bakery</t>
        </is>
      </c>
      <c r="E604" s="26" t="n">
        <v>281.53</v>
      </c>
      <c r="F604" s="27" t="n">
        <v>47</v>
      </c>
      <c r="G604" s="26" t="n">
        <v>126.43</v>
      </c>
    </row>
    <row r="605">
      <c r="A605" s="24" t="n">
        <v>46215</v>
      </c>
      <c r="B605" s="25" t="inlineStr">
        <is>
          <t>BBT001</t>
        </is>
      </c>
      <c r="C605" s="25" t="inlineStr">
        <is>
          <t>Bubble Tea Kit</t>
        </is>
      </c>
      <c r="D605" s="25" t="inlineStr">
        <is>
          <t>Beverages</t>
        </is>
      </c>
      <c r="E605" s="26" t="n">
        <v>223.68</v>
      </c>
      <c r="F605" s="27" t="n">
        <v>32</v>
      </c>
      <c r="G605" s="26" t="n">
        <v>98.88</v>
      </c>
    </row>
    <row r="606">
      <c r="A606" s="24" t="n">
        <v>46215</v>
      </c>
      <c r="B606" s="25" t="inlineStr">
        <is>
          <t>BEV001</t>
        </is>
      </c>
      <c r="C606" s="25" t="inlineStr">
        <is>
          <t>Energy Drink 500ml</t>
        </is>
      </c>
      <c r="D606" s="25" t="inlineStr">
        <is>
          <t>Beverages</t>
        </is>
      </c>
      <c r="E606" s="26" t="n">
        <v>583.4400000000001</v>
      </c>
      <c r="F606" s="27" t="n">
        <v>136</v>
      </c>
      <c r="G606" s="26" t="n">
        <v>291.04</v>
      </c>
    </row>
    <row r="607">
      <c r="A607" s="24" t="n">
        <v>46215</v>
      </c>
      <c r="B607" s="25" t="inlineStr">
        <is>
          <t>BEV002</t>
        </is>
      </c>
      <c r="C607" s="25" t="inlineStr">
        <is>
          <t>Cola 1.5L</t>
        </is>
      </c>
      <c r="D607" s="25" t="inlineStr">
        <is>
          <t>Beverages</t>
        </is>
      </c>
      <c r="E607" s="26" t="n">
        <v>354.71</v>
      </c>
      <c r="F607" s="27" t="n">
        <v>79</v>
      </c>
      <c r="G607" s="26" t="n">
        <v>173.01</v>
      </c>
    </row>
    <row r="608">
      <c r="A608" s="24" t="n">
        <v>46215</v>
      </c>
      <c r="B608" s="25" t="inlineStr">
        <is>
          <t>BEV003</t>
        </is>
      </c>
      <c r="C608" s="25" t="inlineStr">
        <is>
          <t>Sparkling Water 1L</t>
        </is>
      </c>
      <c r="D608" s="25" t="inlineStr">
        <is>
          <t>Beverages</t>
        </is>
      </c>
      <c r="E608" s="26" t="n">
        <v>131.97</v>
      </c>
      <c r="F608" s="27" t="n">
        <v>53</v>
      </c>
      <c r="G608" s="26" t="n">
        <v>73.67</v>
      </c>
    </row>
    <row r="609">
      <c r="A609" s="24" t="n">
        <v>46215</v>
      </c>
      <c r="B609" s="25" t="inlineStr">
        <is>
          <t>BEV004</t>
        </is>
      </c>
      <c r="C609" s="25" t="inlineStr">
        <is>
          <t>Iced Coffee 500ml</t>
        </is>
      </c>
      <c r="D609" s="25" t="inlineStr">
        <is>
          <t>Beverages</t>
        </is>
      </c>
      <c r="E609" s="26" t="n">
        <v>419.16</v>
      </c>
      <c r="F609" s="27" t="n">
        <v>84</v>
      </c>
      <c r="G609" s="26" t="n">
        <v>192.36</v>
      </c>
    </row>
    <row r="610">
      <c r="A610" s="24" t="n">
        <v>46215</v>
      </c>
      <c r="B610" s="25" t="inlineStr">
        <is>
          <t>BEV005</t>
        </is>
      </c>
      <c r="C610" s="25" t="inlineStr">
        <is>
          <t>Kombucha 330ml</t>
        </is>
      </c>
      <c r="D610" s="25" t="inlineStr">
        <is>
          <t>Beverages</t>
        </is>
      </c>
      <c r="E610" s="26" t="n">
        <v>148.49</v>
      </c>
      <c r="F610" s="27" t="n">
        <v>31</v>
      </c>
      <c r="G610" s="26" t="n">
        <v>67.89</v>
      </c>
    </row>
    <row r="611">
      <c r="A611" s="24" t="n">
        <v>46215</v>
      </c>
      <c r="B611" s="25" t="inlineStr">
        <is>
          <t>BEV006</t>
        </is>
      </c>
      <c r="C611" s="25" t="inlineStr">
        <is>
          <t>Bottled Water 750ml</t>
        </is>
      </c>
      <c r="D611" s="25" t="inlineStr">
        <is>
          <t>Beverages</t>
        </is>
      </c>
      <c r="E611" s="26" t="n">
        <v>340.86</v>
      </c>
      <c r="F611" s="27" t="n">
        <v>114</v>
      </c>
      <c r="G611" s="26" t="n">
        <v>232.56</v>
      </c>
    </row>
    <row r="612">
      <c r="A612" s="24" t="n">
        <v>46215</v>
      </c>
      <c r="B612" s="25" t="inlineStr">
        <is>
          <t>DRY010</t>
        </is>
      </c>
      <c r="C612" s="25" t="inlineStr">
        <is>
          <t>Butter 500g</t>
        </is>
      </c>
      <c r="D612" s="25" t="inlineStr">
        <is>
          <t>Dairy</t>
        </is>
      </c>
      <c r="E612" s="26" t="n">
        <v>396.97</v>
      </c>
      <c r="F612" s="27" t="n">
        <v>53</v>
      </c>
      <c r="G612" s="26" t="n">
        <v>100.17</v>
      </c>
    </row>
    <row r="613">
      <c r="A613" s="24" t="n">
        <v>46215</v>
      </c>
      <c r="B613" s="25" t="inlineStr">
        <is>
          <t>DRY011</t>
        </is>
      </c>
      <c r="C613" s="25" t="inlineStr">
        <is>
          <t>Greek Yoghurt 1kg</t>
        </is>
      </c>
      <c r="D613" s="25" t="inlineStr">
        <is>
          <t>Dairy</t>
        </is>
      </c>
      <c r="E613" s="26" t="n">
        <v>287.64</v>
      </c>
      <c r="F613" s="27" t="n">
        <v>36</v>
      </c>
      <c r="G613" s="26" t="n">
        <v>104.04</v>
      </c>
    </row>
    <row r="614">
      <c r="A614" s="24" t="n">
        <v>46215</v>
      </c>
      <c r="B614" s="25" t="inlineStr">
        <is>
          <t>DRY012</t>
        </is>
      </c>
      <c r="C614" s="25" t="inlineStr">
        <is>
          <t>Cheese Block 1kg</t>
        </is>
      </c>
      <c r="D614" s="25" t="inlineStr">
        <is>
          <t>Dairy</t>
        </is>
      </c>
      <c r="E614" s="26" t="n">
        <v>251.82</v>
      </c>
      <c r="F614" s="27" t="n">
        <v>18</v>
      </c>
      <c r="G614" s="26" t="n">
        <v>64.62</v>
      </c>
    </row>
    <row r="615">
      <c r="A615" s="24" t="n">
        <v>46215</v>
      </c>
      <c r="B615" s="25" t="inlineStr">
        <is>
          <t>FRZ001</t>
        </is>
      </c>
      <c r="C615" s="25" t="inlineStr">
        <is>
          <t>Ice Cream Tub 2L</t>
        </is>
      </c>
      <c r="D615" s="25" t="inlineStr">
        <is>
          <t>Frozen</t>
        </is>
      </c>
      <c r="E615" s="26" t="n">
        <v>332.63</v>
      </c>
      <c r="F615" s="27" t="n">
        <v>37</v>
      </c>
      <c r="G615" s="26" t="n">
        <v>132.83</v>
      </c>
    </row>
    <row r="616">
      <c r="A616" s="24" t="n">
        <v>46215</v>
      </c>
      <c r="B616" s="25" t="inlineStr">
        <is>
          <t>FRZ002</t>
        </is>
      </c>
      <c r="C616" s="25" t="inlineStr">
        <is>
          <t>Ice Block Single</t>
        </is>
      </c>
      <c r="D616" s="25" t="inlineStr">
        <is>
          <t>Frozen</t>
        </is>
      </c>
      <c r="E616" s="26" t="n">
        <v>164.38</v>
      </c>
      <c r="F616" s="27" t="n">
        <v>62</v>
      </c>
      <c r="G616" s="26" t="n">
        <v>89.98</v>
      </c>
    </row>
    <row r="617">
      <c r="A617" s="24" t="n">
        <v>46215</v>
      </c>
      <c r="B617" s="25" t="inlineStr">
        <is>
          <t>FRZ003</t>
        </is>
      </c>
      <c r="C617" s="25" t="inlineStr">
        <is>
          <t>Frozen Pizza</t>
        </is>
      </c>
      <c r="D617" s="25" t="inlineStr">
        <is>
          <t>Frozen</t>
        </is>
      </c>
      <c r="E617" s="26" t="n">
        <v>279.65</v>
      </c>
      <c r="F617" s="27" t="n">
        <v>35</v>
      </c>
      <c r="G617" s="26" t="n">
        <v>115.15</v>
      </c>
    </row>
    <row r="618">
      <c r="A618" s="24" t="n">
        <v>46215</v>
      </c>
      <c r="B618" s="25" t="inlineStr">
        <is>
          <t>FRZ004</t>
        </is>
      </c>
      <c r="C618" s="25" t="inlineStr">
        <is>
          <t>Frozen Dumplings 1kg</t>
        </is>
      </c>
      <c r="D618" s="25" t="inlineStr">
        <is>
          <t>Frozen</t>
        </is>
      </c>
      <c r="E618" s="26" t="n">
        <v>443.63</v>
      </c>
      <c r="F618" s="27" t="n">
        <v>37</v>
      </c>
      <c r="G618" s="26" t="n">
        <v>180.93</v>
      </c>
    </row>
    <row r="619">
      <c r="A619" s="24" t="n">
        <v>46215</v>
      </c>
      <c r="B619" s="25" t="inlineStr">
        <is>
          <t>FTG001</t>
        </is>
      </c>
      <c r="C619" s="25" t="inlineStr">
        <is>
          <t>Chicken Sandwich</t>
        </is>
      </c>
      <c r="D619" s="25" t="inlineStr">
        <is>
          <t>Food To Go</t>
        </is>
      </c>
      <c r="E619" s="26" t="n">
        <v>973.6999999999999</v>
      </c>
      <c r="F619" s="27" t="n">
        <v>130</v>
      </c>
      <c r="G619" s="26" t="n">
        <v>466.7</v>
      </c>
    </row>
    <row r="620">
      <c r="A620" s="24" t="n">
        <v>46215</v>
      </c>
      <c r="B620" s="25" t="inlineStr">
        <is>
          <t>FTG002</t>
        </is>
      </c>
      <c r="C620" s="25" t="inlineStr">
        <is>
          <t>Sushi Pack 8pc</t>
        </is>
      </c>
      <c r="D620" s="25" t="inlineStr">
        <is>
          <t>Food To Go</t>
        </is>
      </c>
      <c r="E620" s="26" t="n">
        <v>609.39</v>
      </c>
      <c r="F620" s="27" t="n">
        <v>61</v>
      </c>
      <c r="G620" s="26" t="n">
        <v>267.79</v>
      </c>
    </row>
    <row r="621">
      <c r="A621" s="24" t="n">
        <v>46215</v>
      </c>
      <c r="B621" s="25" t="inlineStr">
        <is>
          <t>FTG003</t>
        </is>
      </c>
      <c r="C621" s="25" t="inlineStr">
        <is>
          <t>Hot Pie Mince &amp; Cheese</t>
        </is>
      </c>
      <c r="D621" s="25" t="inlineStr">
        <is>
          <t>Food To Go</t>
        </is>
      </c>
      <c r="E621" s="26" t="n">
        <v>839.97</v>
      </c>
      <c r="F621" s="27" t="n">
        <v>153</v>
      </c>
      <c r="G621" s="26" t="n">
        <v>472.77</v>
      </c>
    </row>
    <row r="622">
      <c r="A622" s="24" t="n">
        <v>46215</v>
      </c>
      <c r="B622" s="25" t="inlineStr">
        <is>
          <t>FTG004</t>
        </is>
      </c>
      <c r="C622" s="25" t="inlineStr">
        <is>
          <t>Salad Bowl</t>
        </is>
      </c>
      <c r="D622" s="25" t="inlineStr">
        <is>
          <t>Food To Go</t>
        </is>
      </c>
      <c r="E622" s="26" t="n">
        <v>373.66</v>
      </c>
      <c r="F622" s="27" t="n">
        <v>34</v>
      </c>
      <c r="G622" s="26" t="n">
        <v>162.86</v>
      </c>
    </row>
    <row r="623">
      <c r="A623" s="24" t="n">
        <v>46215</v>
      </c>
      <c r="B623" s="25" t="inlineStr">
        <is>
          <t>FTG005</t>
        </is>
      </c>
      <c r="C623" s="25" t="inlineStr">
        <is>
          <t>Filled Roll</t>
        </is>
      </c>
      <c r="D623" s="25" t="inlineStr">
        <is>
          <t>Food To Go</t>
        </is>
      </c>
      <c r="E623" s="26" t="n">
        <v>395.89</v>
      </c>
      <c r="F623" s="27" t="n">
        <v>61</v>
      </c>
      <c r="G623" s="26" t="n">
        <v>200.69</v>
      </c>
    </row>
    <row r="624">
      <c r="A624" s="24" t="n">
        <v>46215</v>
      </c>
      <c r="B624" s="25" t="inlineStr">
        <is>
          <t>GRO001</t>
        </is>
      </c>
      <c r="C624" s="25" t="inlineStr">
        <is>
          <t>Instant Noodles 5pk</t>
        </is>
      </c>
      <c r="D624" s="25" t="inlineStr">
        <is>
          <t>Grocery</t>
        </is>
      </c>
      <c r="E624" s="26" t="n">
        <v>462.47</v>
      </c>
      <c r="F624" s="27" t="n">
        <v>103</v>
      </c>
      <c r="G624" s="26" t="n">
        <v>194.67</v>
      </c>
    </row>
    <row r="625">
      <c r="A625" s="24" t="n">
        <v>46215</v>
      </c>
      <c r="B625" s="25" t="inlineStr">
        <is>
          <t>GRO002</t>
        </is>
      </c>
      <c r="C625" s="25" t="inlineStr">
        <is>
          <t>Canned Soup 500g</t>
        </is>
      </c>
      <c r="D625" s="25" t="inlineStr">
        <is>
          <t>Grocery</t>
        </is>
      </c>
      <c r="E625" s="26" t="n">
        <v>157.92</v>
      </c>
      <c r="F625" s="27" t="n">
        <v>48</v>
      </c>
      <c r="G625" s="26" t="n">
        <v>66.72</v>
      </c>
    </row>
    <row r="626">
      <c r="A626" s="24" t="n">
        <v>46215</v>
      </c>
      <c r="B626" s="25" t="inlineStr">
        <is>
          <t>GRO003</t>
        </is>
      </c>
      <c r="C626" s="25" t="inlineStr">
        <is>
          <t>Pasta 500g</t>
        </is>
      </c>
      <c r="D626" s="25" t="inlineStr">
        <is>
          <t>Grocery</t>
        </is>
      </c>
      <c r="E626" s="26" t="n">
        <v>89.64</v>
      </c>
      <c r="F626" s="27" t="n">
        <v>36</v>
      </c>
      <c r="G626" s="26" t="n">
        <v>42.84</v>
      </c>
    </row>
    <row r="627">
      <c r="A627" s="24" t="n">
        <v>46215</v>
      </c>
      <c r="B627" s="25" t="inlineStr">
        <is>
          <t>GRO004</t>
        </is>
      </c>
      <c r="C627" s="25" t="inlineStr">
        <is>
          <t>Simmer Sauce 485g</t>
        </is>
      </c>
      <c r="D627" s="25" t="inlineStr">
        <is>
          <t>Grocery</t>
        </is>
      </c>
      <c r="E627" s="26" t="n">
        <v>115.71</v>
      </c>
      <c r="F627" s="27" t="n">
        <v>29</v>
      </c>
      <c r="G627" s="26" t="n">
        <v>49.01</v>
      </c>
    </row>
    <row r="628">
      <c r="A628" s="24" t="n">
        <v>46215</v>
      </c>
      <c r="B628" s="25" t="inlineStr">
        <is>
          <t>GRO005</t>
        </is>
      </c>
      <c r="C628" s="25" t="inlineStr">
        <is>
          <t>Salsa 300g</t>
        </is>
      </c>
      <c r="D628" s="25" t="inlineStr">
        <is>
          <t>Grocery</t>
        </is>
      </c>
      <c r="E628" s="26" t="n">
        <v>81.43000000000001</v>
      </c>
      <c r="F628" s="27" t="n">
        <v>17</v>
      </c>
      <c r="G628" s="26" t="n">
        <v>32.13</v>
      </c>
    </row>
    <row r="629">
      <c r="A629" s="24" t="n">
        <v>46215</v>
      </c>
      <c r="B629" s="25" t="inlineStr">
        <is>
          <t>GRO006</t>
        </is>
      </c>
      <c r="C629" s="25" t="inlineStr">
        <is>
          <t>Taco Kit</t>
        </is>
      </c>
      <c r="D629" s="25" t="inlineStr">
        <is>
          <t>Grocery</t>
        </is>
      </c>
      <c r="E629" s="26" t="n">
        <v>181.72</v>
      </c>
      <c r="F629" s="27" t="n">
        <v>28</v>
      </c>
      <c r="G629" s="26" t="n">
        <v>69.72</v>
      </c>
    </row>
    <row r="630">
      <c r="A630" s="24" t="n">
        <v>46215</v>
      </c>
      <c r="B630" s="25" t="inlineStr">
        <is>
          <t>GRO007</t>
        </is>
      </c>
      <c r="C630" s="25" t="inlineStr">
        <is>
          <t>Eggs Free Range 12pk</t>
        </is>
      </c>
      <c r="D630" s="25" t="inlineStr">
        <is>
          <t>Grocery</t>
        </is>
      </c>
      <c r="E630" s="26" t="n">
        <v>670.39</v>
      </c>
      <c r="F630" s="27" t="n">
        <v>61</v>
      </c>
      <c r="G630" s="26" t="n">
        <v>170.19</v>
      </c>
    </row>
    <row r="631">
      <c r="A631" s="24" t="n">
        <v>46215</v>
      </c>
      <c r="B631" s="25" t="inlineStr">
        <is>
          <t>GRO008</t>
        </is>
      </c>
      <c r="C631" s="25" t="inlineStr">
        <is>
          <t>Coffee Beans 200g</t>
        </is>
      </c>
      <c r="D631" s="25" t="inlineStr">
        <is>
          <t>Grocery</t>
        </is>
      </c>
      <c r="E631" s="26" t="n">
        <v>299.75</v>
      </c>
      <c r="F631" s="27" t="n">
        <v>25</v>
      </c>
      <c r="G631" s="26" t="n">
        <v>109.75</v>
      </c>
    </row>
    <row r="632">
      <c r="A632" s="24" t="n">
        <v>46215</v>
      </c>
      <c r="B632" s="25" t="inlineStr">
        <is>
          <t>HHD001</t>
        </is>
      </c>
      <c r="C632" s="25" t="inlineStr">
        <is>
          <t>Toilet Paper 6pk</t>
        </is>
      </c>
      <c r="D632" s="25" t="inlineStr">
        <is>
          <t>Household</t>
        </is>
      </c>
      <c r="E632" s="26" t="n">
        <v>287.68</v>
      </c>
      <c r="F632" s="27" t="n">
        <v>32</v>
      </c>
      <c r="G632" s="26" t="n">
        <v>98.88</v>
      </c>
    </row>
    <row r="633">
      <c r="A633" s="24" t="n">
        <v>46215</v>
      </c>
      <c r="B633" s="25" t="inlineStr">
        <is>
          <t>HHD002</t>
        </is>
      </c>
      <c r="C633" s="25" t="inlineStr">
        <is>
          <t>Dishwash Liquid</t>
        </is>
      </c>
      <c r="D633" s="25" t="inlineStr">
        <is>
          <t>Household</t>
        </is>
      </c>
      <c r="E633" s="26" t="n">
        <v>94.81</v>
      </c>
      <c r="F633" s="27" t="n">
        <v>19</v>
      </c>
      <c r="G633" s="26" t="n">
        <v>39.71</v>
      </c>
    </row>
    <row r="634">
      <c r="A634" s="24" t="n">
        <v>46215</v>
      </c>
      <c r="B634" s="25" t="inlineStr">
        <is>
          <t>HHD003</t>
        </is>
      </c>
      <c r="C634" s="25" t="inlineStr">
        <is>
          <t>Phone Charger Cable</t>
        </is>
      </c>
      <c r="D634" s="25" t="inlineStr">
        <is>
          <t>Household</t>
        </is>
      </c>
      <c r="E634" s="26" t="n">
        <v>149.9</v>
      </c>
      <c r="F634" s="27" t="n">
        <v>10</v>
      </c>
      <c r="G634" s="26" t="n">
        <v>94.90000000000001</v>
      </c>
    </row>
    <row r="635">
      <c r="A635" s="24" t="n">
        <v>46215</v>
      </c>
      <c r="B635" s="25" t="inlineStr">
        <is>
          <t>LIQ001</t>
        </is>
      </c>
      <c r="C635" s="25" t="inlineStr">
        <is>
          <t>Craft Beer 6pk</t>
        </is>
      </c>
      <c r="D635" s="25" t="inlineStr">
        <is>
          <t>Beer &amp; Wine</t>
        </is>
      </c>
      <c r="E635" s="26" t="n">
        <v>735.6799999999999</v>
      </c>
      <c r="F635" s="27" t="n">
        <v>32</v>
      </c>
      <c r="G635" s="26" t="n">
        <v>246.08</v>
      </c>
    </row>
    <row r="636">
      <c r="A636" s="24" t="n">
        <v>46215</v>
      </c>
      <c r="B636" s="25" t="inlineStr">
        <is>
          <t>LIQ002</t>
        </is>
      </c>
      <c r="C636" s="25" t="inlineStr">
        <is>
          <t>Sauvignon Blanc 750ml</t>
        </is>
      </c>
      <c r="D636" s="25" t="inlineStr">
        <is>
          <t>Beer &amp; Wine</t>
        </is>
      </c>
      <c r="E636" s="26" t="n">
        <v>383.76</v>
      </c>
      <c r="F636" s="27" t="n">
        <v>24</v>
      </c>
      <c r="G636" s="26" t="n">
        <v>138.96</v>
      </c>
    </row>
    <row r="637">
      <c r="A637" s="24" t="n">
        <v>46215</v>
      </c>
      <c r="B637" s="25" t="inlineStr">
        <is>
          <t>LIQ003</t>
        </is>
      </c>
      <c r="C637" s="25" t="inlineStr">
        <is>
          <t>RTD 4pk</t>
        </is>
      </c>
      <c r="D637" s="25" t="inlineStr">
        <is>
          <t>Beer &amp; Wine</t>
        </is>
      </c>
      <c r="E637" s="26" t="n">
        <v>377.79</v>
      </c>
      <c r="F637" s="27" t="n">
        <v>21</v>
      </c>
      <c r="G637" s="26" t="n">
        <v>127.89</v>
      </c>
    </row>
    <row r="638">
      <c r="A638" s="24" t="n">
        <v>46215</v>
      </c>
      <c r="B638" s="25" t="inlineStr">
        <is>
          <t>LIQ004</t>
        </is>
      </c>
      <c r="C638" s="25" t="inlineStr">
        <is>
          <t>Pinot Noir 750ml</t>
        </is>
      </c>
      <c r="D638" s="25" t="inlineStr">
        <is>
          <t>Beer &amp; Wine</t>
        </is>
      </c>
      <c r="E638" s="26" t="n">
        <v>439.78</v>
      </c>
      <c r="F638" s="27" t="n">
        <v>22</v>
      </c>
      <c r="G638" s="26" t="n">
        <v>158.18</v>
      </c>
    </row>
    <row r="639">
      <c r="A639" s="24" t="n">
        <v>46215</v>
      </c>
      <c r="B639" s="25" t="inlineStr">
        <is>
          <t>MLK001</t>
        </is>
      </c>
      <c r="C639" s="25" t="inlineStr">
        <is>
          <t>Milk Standard 2L</t>
        </is>
      </c>
      <c r="D639" s="25" t="inlineStr">
        <is>
          <t>Dairy</t>
        </is>
      </c>
      <c r="E639" s="26" t="n">
        <v>1334.97</v>
      </c>
      <c r="F639" s="27" t="n">
        <v>273</v>
      </c>
      <c r="G639" s="26" t="n">
        <v>365.82</v>
      </c>
    </row>
    <row r="640">
      <c r="A640" s="24" t="n">
        <v>46215</v>
      </c>
      <c r="B640" s="25" t="inlineStr">
        <is>
          <t>MLK002</t>
        </is>
      </c>
      <c r="C640" s="25" t="inlineStr">
        <is>
          <t>Milk Lite 2L</t>
        </is>
      </c>
      <c r="D640" s="25" t="inlineStr">
        <is>
          <t>Dairy</t>
        </is>
      </c>
      <c r="E640" s="26" t="n">
        <v>547.6799999999999</v>
      </c>
      <c r="F640" s="27" t="n">
        <v>112</v>
      </c>
      <c r="G640" s="26" t="n">
        <v>150.08</v>
      </c>
    </row>
    <row r="641">
      <c r="A641" s="24" t="n">
        <v>46215</v>
      </c>
      <c r="B641" s="25" t="inlineStr">
        <is>
          <t>MLK003</t>
        </is>
      </c>
      <c r="C641" s="25" t="inlineStr">
        <is>
          <t>Oat Milk 1L</t>
        </is>
      </c>
      <c r="D641" s="25" t="inlineStr">
        <is>
          <t>Dairy</t>
        </is>
      </c>
      <c r="E641" s="26" t="n">
        <v>184.47</v>
      </c>
      <c r="F641" s="27" t="n">
        <v>43</v>
      </c>
      <c r="G641" s="26" t="n">
        <v>68.37</v>
      </c>
    </row>
    <row r="642">
      <c r="A642" s="24" t="n">
        <v>46215</v>
      </c>
      <c r="B642" s="25" t="inlineStr">
        <is>
          <t>PHM001</t>
        </is>
      </c>
      <c r="C642" s="25" t="inlineStr">
        <is>
          <t>Paracetamol 20pk</t>
        </is>
      </c>
      <c r="D642" s="25" t="inlineStr">
        <is>
          <t>Health &amp; Beauty</t>
        </is>
      </c>
      <c r="E642" s="26" t="n">
        <v>103.74</v>
      </c>
      <c r="F642" s="27" t="n">
        <v>26</v>
      </c>
      <c r="G642" s="26" t="n">
        <v>62.14</v>
      </c>
    </row>
    <row r="643">
      <c r="A643" s="24" t="n">
        <v>46215</v>
      </c>
      <c r="B643" s="25" t="inlineStr">
        <is>
          <t>PHM002</t>
        </is>
      </c>
      <c r="C643" s="25" t="inlineStr">
        <is>
          <t>Sunscreen SPF50</t>
        </is>
      </c>
      <c r="D643" s="25" t="inlineStr">
        <is>
          <t>Health &amp; Beauty</t>
        </is>
      </c>
      <c r="E643" s="26" t="n">
        <v>104.93</v>
      </c>
      <c r="F643" s="27" t="n">
        <v>7</v>
      </c>
      <c r="G643" s="26" t="n">
        <v>47.53</v>
      </c>
    </row>
    <row r="644">
      <c r="A644" s="24" t="n">
        <v>46215</v>
      </c>
      <c r="B644" s="25" t="inlineStr">
        <is>
          <t>PRD001</t>
        </is>
      </c>
      <c r="C644" s="25" t="inlineStr">
        <is>
          <t>Bananas (each)</t>
        </is>
      </c>
      <c r="D644" s="25" t="inlineStr">
        <is>
          <t>Produce</t>
        </is>
      </c>
      <c r="E644" s="26" t="n">
        <v>150.42</v>
      </c>
      <c r="F644" s="27" t="n">
        <v>218</v>
      </c>
      <c r="G644" s="26" t="n">
        <v>67.58</v>
      </c>
    </row>
    <row r="645">
      <c r="A645" s="24" t="n">
        <v>46215</v>
      </c>
      <c r="B645" s="25" t="inlineStr">
        <is>
          <t>PRD002</t>
        </is>
      </c>
      <c r="C645" s="25" t="inlineStr">
        <is>
          <t>Avocado</t>
        </is>
      </c>
      <c r="D645" s="25" t="inlineStr">
        <is>
          <t>Produce</t>
        </is>
      </c>
      <c r="E645" s="26" t="n">
        <v>124.5</v>
      </c>
      <c r="F645" s="27" t="n">
        <v>50</v>
      </c>
      <c r="G645" s="26" t="n">
        <v>54.5</v>
      </c>
    </row>
    <row r="646">
      <c r="A646" s="24" t="n">
        <v>46215</v>
      </c>
      <c r="B646" s="25" t="inlineStr">
        <is>
          <t>PRD003</t>
        </is>
      </c>
      <c r="C646" s="25" t="inlineStr">
        <is>
          <t>Tomatoes 500g</t>
        </is>
      </c>
      <c r="D646" s="25" t="inlineStr">
        <is>
          <t>Produce</t>
        </is>
      </c>
      <c r="E646" s="26" t="n">
        <v>166.13</v>
      </c>
      <c r="F646" s="27" t="n">
        <v>37</v>
      </c>
      <c r="G646" s="26" t="n">
        <v>69.93000000000001</v>
      </c>
    </row>
    <row r="647">
      <c r="A647" s="24" t="n">
        <v>46215</v>
      </c>
      <c r="B647" s="25" t="inlineStr">
        <is>
          <t>SNK001</t>
        </is>
      </c>
      <c r="C647" s="25" t="inlineStr">
        <is>
          <t>Potato Chips 150g</t>
        </is>
      </c>
      <c r="D647" s="25" t="inlineStr">
        <is>
          <t>Snacks &amp; Confectionery</t>
        </is>
      </c>
      <c r="E647" s="26" t="n">
        <v>570.5700000000001</v>
      </c>
      <c r="F647" s="27" t="n">
        <v>143</v>
      </c>
      <c r="G647" s="26" t="n">
        <v>270.27</v>
      </c>
    </row>
    <row r="648">
      <c r="A648" s="24" t="n">
        <v>46215</v>
      </c>
      <c r="B648" s="25" t="inlineStr">
        <is>
          <t>SNK002</t>
        </is>
      </c>
      <c r="C648" s="25" t="inlineStr">
        <is>
          <t>Chocolate Block 200g</t>
        </is>
      </c>
      <c r="D648" s="25" t="inlineStr">
        <is>
          <t>Snacks &amp; Confectionery</t>
        </is>
      </c>
      <c r="E648" s="26" t="n">
        <v>488.61</v>
      </c>
      <c r="F648" s="27" t="n">
        <v>89</v>
      </c>
      <c r="G648" s="26" t="n">
        <v>203.81</v>
      </c>
    </row>
    <row r="649">
      <c r="A649" s="24" t="n">
        <v>46215</v>
      </c>
      <c r="B649" s="25" t="inlineStr">
        <is>
          <t>SNK003</t>
        </is>
      </c>
      <c r="C649" s="25" t="inlineStr">
        <is>
          <t>Muesli Bar 6pk</t>
        </is>
      </c>
      <c r="D649" s="25" t="inlineStr">
        <is>
          <t>Snacks &amp; Confectionery</t>
        </is>
      </c>
      <c r="E649" s="26" t="n">
        <v>283.91</v>
      </c>
      <c r="F649" s="27" t="n">
        <v>75</v>
      </c>
      <c r="G649" s="26" t="n">
        <v>88.91</v>
      </c>
    </row>
    <row r="650">
      <c r="A650" s="24" t="n">
        <v>46215</v>
      </c>
      <c r="B650" s="25" t="inlineStr">
        <is>
          <t>SNK004</t>
        </is>
      </c>
      <c r="C650" s="25" t="inlineStr">
        <is>
          <t>Corn Chips 230g</t>
        </is>
      </c>
      <c r="D650" s="25" t="inlineStr">
        <is>
          <t>Snacks &amp; Confectionery</t>
        </is>
      </c>
      <c r="E650" s="26" t="n">
        <v>233.48</v>
      </c>
      <c r="F650" s="27" t="n">
        <v>52</v>
      </c>
      <c r="G650" s="26" t="n">
        <v>108.68</v>
      </c>
    </row>
    <row r="651">
      <c r="A651" s="24" t="n">
        <v>46215</v>
      </c>
      <c r="B651" s="25" t="inlineStr">
        <is>
          <t>SNK005</t>
        </is>
      </c>
      <c r="C651" s="25" t="inlineStr">
        <is>
          <t>Lollies Bag 200g</t>
        </is>
      </c>
      <c r="D651" s="25" t="inlineStr">
        <is>
          <t>Snacks &amp; Confectionery</t>
        </is>
      </c>
      <c r="E651" s="26" t="n">
        <v>191.95</v>
      </c>
      <c r="F651" s="27" t="n">
        <v>55</v>
      </c>
      <c r="G651" s="26" t="n">
        <v>98.45</v>
      </c>
    </row>
    <row r="652">
      <c r="A652" s="24" t="n">
        <v>46222</v>
      </c>
      <c r="B652" s="25" t="inlineStr">
        <is>
          <t>BAK001</t>
        </is>
      </c>
      <c r="C652" s="25" t="inlineStr">
        <is>
          <t>Toast Bread White</t>
        </is>
      </c>
      <c r="D652" s="25" t="inlineStr">
        <is>
          <t>Bakery</t>
        </is>
      </c>
      <c r="E652" s="26" t="n">
        <v>537.46</v>
      </c>
      <c r="F652" s="27" t="n">
        <v>154</v>
      </c>
      <c r="G652" s="26" t="n">
        <v>198.66</v>
      </c>
    </row>
    <row r="653">
      <c r="A653" s="24" t="n">
        <v>46222</v>
      </c>
      <c r="B653" s="25" t="inlineStr">
        <is>
          <t>BAK002</t>
        </is>
      </c>
      <c r="C653" s="25" t="inlineStr">
        <is>
          <t>Wholemeal Loaf</t>
        </is>
      </c>
      <c r="D653" s="25" t="inlineStr">
        <is>
          <t>Bakery</t>
        </is>
      </c>
      <c r="E653" s="26" t="n">
        <v>377.52</v>
      </c>
      <c r="F653" s="27" t="n">
        <v>88</v>
      </c>
      <c r="G653" s="26" t="n">
        <v>139.92</v>
      </c>
    </row>
    <row r="654">
      <c r="A654" s="24" t="n">
        <v>46222</v>
      </c>
      <c r="B654" s="25" t="inlineStr">
        <is>
          <t>BAK003</t>
        </is>
      </c>
      <c r="C654" s="25" t="inlineStr">
        <is>
          <t>Croissant 4pk</t>
        </is>
      </c>
      <c r="D654" s="25" t="inlineStr">
        <is>
          <t>Bakery</t>
        </is>
      </c>
      <c r="E654" s="26" t="n">
        <v>335.44</v>
      </c>
      <c r="F654" s="27" t="n">
        <v>56</v>
      </c>
      <c r="G654" s="26" t="n">
        <v>150.64</v>
      </c>
    </row>
    <row r="655">
      <c r="A655" s="24" t="n">
        <v>46222</v>
      </c>
      <c r="B655" s="25" t="inlineStr">
        <is>
          <t>BBT001</t>
        </is>
      </c>
      <c r="C655" s="25" t="inlineStr">
        <is>
          <t>Bubble Tea Kit</t>
        </is>
      </c>
      <c r="D655" s="25" t="inlineStr">
        <is>
          <t>Beverages</t>
        </is>
      </c>
      <c r="E655" s="26" t="n">
        <v>209.7</v>
      </c>
      <c r="F655" s="27" t="n">
        <v>30</v>
      </c>
      <c r="G655" s="26" t="n">
        <v>92.7</v>
      </c>
    </row>
    <row r="656">
      <c r="A656" s="24" t="n">
        <v>46222</v>
      </c>
      <c r="B656" s="25" t="inlineStr">
        <is>
          <t>BEV001</t>
        </is>
      </c>
      <c r="C656" s="25" t="inlineStr">
        <is>
          <t>Energy Drink 500ml</t>
        </is>
      </c>
      <c r="D656" s="25" t="inlineStr">
        <is>
          <t>Beverages</t>
        </is>
      </c>
      <c r="E656" s="26" t="n">
        <v>626.34</v>
      </c>
      <c r="F656" s="27" t="n">
        <v>146</v>
      </c>
      <c r="G656" s="26" t="n">
        <v>312.44</v>
      </c>
    </row>
    <row r="657">
      <c r="A657" s="24" t="n">
        <v>46222</v>
      </c>
      <c r="B657" s="25" t="inlineStr">
        <is>
          <t>BEV002</t>
        </is>
      </c>
      <c r="C657" s="25" t="inlineStr">
        <is>
          <t>Cola 1.5L</t>
        </is>
      </c>
      <c r="D657" s="25" t="inlineStr">
        <is>
          <t>Beverages</t>
        </is>
      </c>
      <c r="E657" s="26" t="n">
        <v>287.36</v>
      </c>
      <c r="F657" s="27" t="n">
        <v>64</v>
      </c>
      <c r="G657" s="26" t="n">
        <v>140.16</v>
      </c>
    </row>
    <row r="658">
      <c r="A658" s="24" t="n">
        <v>46222</v>
      </c>
      <c r="B658" s="25" t="inlineStr">
        <is>
          <t>BEV003</t>
        </is>
      </c>
      <c r="C658" s="25" t="inlineStr">
        <is>
          <t>Sparkling Water 1L</t>
        </is>
      </c>
      <c r="D658" s="25" t="inlineStr">
        <is>
          <t>Beverages</t>
        </is>
      </c>
      <c r="E658" s="26" t="n">
        <v>159.36</v>
      </c>
      <c r="F658" s="27" t="n">
        <v>64</v>
      </c>
      <c r="G658" s="26" t="n">
        <v>88.95999999999999</v>
      </c>
    </row>
    <row r="659">
      <c r="A659" s="24" t="n">
        <v>46222</v>
      </c>
      <c r="B659" s="25" t="inlineStr">
        <is>
          <t>BEV004</t>
        </is>
      </c>
      <c r="C659" s="25" t="inlineStr">
        <is>
          <t>Iced Coffee 500ml</t>
        </is>
      </c>
      <c r="D659" s="25" t="inlineStr">
        <is>
          <t>Beverages</t>
        </is>
      </c>
      <c r="E659" s="26" t="n">
        <v>334.33</v>
      </c>
      <c r="F659" s="27" t="n">
        <v>67</v>
      </c>
      <c r="G659" s="26" t="n">
        <v>153.43</v>
      </c>
    </row>
    <row r="660">
      <c r="A660" s="24" t="n">
        <v>46222</v>
      </c>
      <c r="B660" s="25" t="inlineStr">
        <is>
          <t>BEV005</t>
        </is>
      </c>
      <c r="C660" s="25" t="inlineStr">
        <is>
          <t>Kombucha 330ml</t>
        </is>
      </c>
      <c r="D660" s="25" t="inlineStr">
        <is>
          <t>Beverages</t>
        </is>
      </c>
      <c r="E660" s="26" t="n">
        <v>186.81</v>
      </c>
      <c r="F660" s="27" t="n">
        <v>39</v>
      </c>
      <c r="G660" s="26" t="n">
        <v>85.41</v>
      </c>
    </row>
    <row r="661">
      <c r="A661" s="24" t="n">
        <v>46222</v>
      </c>
      <c r="B661" s="25" t="inlineStr">
        <is>
          <t>BEV006</t>
        </is>
      </c>
      <c r="C661" s="25" t="inlineStr">
        <is>
          <t>Bottled Water 750ml</t>
        </is>
      </c>
      <c r="D661" s="25" t="inlineStr">
        <is>
          <t>Beverages</t>
        </is>
      </c>
      <c r="E661" s="26" t="n">
        <v>370.76</v>
      </c>
      <c r="F661" s="27" t="n">
        <v>124</v>
      </c>
      <c r="G661" s="26" t="n">
        <v>252.96</v>
      </c>
    </row>
    <row r="662">
      <c r="A662" s="24" t="n">
        <v>46222</v>
      </c>
      <c r="B662" s="25" t="inlineStr">
        <is>
          <t>DRY010</t>
        </is>
      </c>
      <c r="C662" s="25" t="inlineStr">
        <is>
          <t>Butter 500g</t>
        </is>
      </c>
      <c r="D662" s="25" t="inlineStr">
        <is>
          <t>Dairy</t>
        </is>
      </c>
      <c r="E662" s="26" t="n">
        <v>299.6</v>
      </c>
      <c r="F662" s="27" t="n">
        <v>40</v>
      </c>
      <c r="G662" s="26" t="n">
        <v>75.59999999999999</v>
      </c>
    </row>
    <row r="663">
      <c r="A663" s="24" t="n">
        <v>46222</v>
      </c>
      <c r="B663" s="25" t="inlineStr">
        <is>
          <t>DRY011</t>
        </is>
      </c>
      <c r="C663" s="25" t="inlineStr">
        <is>
          <t>Greek Yoghurt 1kg</t>
        </is>
      </c>
      <c r="D663" s="25" t="inlineStr">
        <is>
          <t>Dairy</t>
        </is>
      </c>
      <c r="E663" s="26" t="n">
        <v>215.73</v>
      </c>
      <c r="F663" s="27" t="n">
        <v>27</v>
      </c>
      <c r="G663" s="26" t="n">
        <v>78.03</v>
      </c>
    </row>
    <row r="664">
      <c r="A664" s="24" t="n">
        <v>46222</v>
      </c>
      <c r="B664" s="25" t="inlineStr">
        <is>
          <t>DRY012</t>
        </is>
      </c>
      <c r="C664" s="25" t="inlineStr">
        <is>
          <t>Cheese Block 1kg</t>
        </is>
      </c>
      <c r="D664" s="25" t="inlineStr">
        <is>
          <t>Dairy</t>
        </is>
      </c>
      <c r="E664" s="26" t="n">
        <v>405.71</v>
      </c>
      <c r="F664" s="27" t="n">
        <v>29</v>
      </c>
      <c r="G664" s="26" t="n">
        <v>104.11</v>
      </c>
    </row>
    <row r="665">
      <c r="A665" s="24" t="n">
        <v>46222</v>
      </c>
      <c r="B665" s="25" t="inlineStr">
        <is>
          <t>FRZ001</t>
        </is>
      </c>
      <c r="C665" s="25" t="inlineStr">
        <is>
          <t>Ice Cream Tub 2L</t>
        </is>
      </c>
      <c r="D665" s="25" t="inlineStr">
        <is>
          <t>Frozen</t>
        </is>
      </c>
      <c r="E665" s="26" t="n">
        <v>368.59</v>
      </c>
      <c r="F665" s="27" t="n">
        <v>41</v>
      </c>
      <c r="G665" s="26" t="n">
        <v>147.19</v>
      </c>
    </row>
    <row r="666">
      <c r="A666" s="24" t="n">
        <v>46222</v>
      </c>
      <c r="B666" s="25" t="inlineStr">
        <is>
          <t>FRZ002</t>
        </is>
      </c>
      <c r="C666" s="25" t="inlineStr">
        <is>
          <t>Ice Block Single</t>
        </is>
      </c>
      <c r="D666" s="25" t="inlineStr">
        <is>
          <t>Frozen</t>
        </is>
      </c>
      <c r="E666" s="26" t="n">
        <v>182.39</v>
      </c>
      <c r="F666" s="27" t="n">
        <v>61</v>
      </c>
      <c r="G666" s="26" t="n">
        <v>109.19</v>
      </c>
    </row>
    <row r="667">
      <c r="A667" s="24" t="n">
        <v>46222</v>
      </c>
      <c r="B667" s="25" t="inlineStr">
        <is>
          <t>FRZ003</t>
        </is>
      </c>
      <c r="C667" s="25" t="inlineStr">
        <is>
          <t>Frozen Pizza</t>
        </is>
      </c>
      <c r="D667" s="25" t="inlineStr">
        <is>
          <t>Frozen</t>
        </is>
      </c>
      <c r="E667" s="26" t="n">
        <v>375.53</v>
      </c>
      <c r="F667" s="27" t="n">
        <v>47</v>
      </c>
      <c r="G667" s="26" t="n">
        <v>154.63</v>
      </c>
    </row>
    <row r="668">
      <c r="A668" s="24" t="n">
        <v>46222</v>
      </c>
      <c r="B668" s="25" t="inlineStr">
        <is>
          <t>FRZ004</t>
        </is>
      </c>
      <c r="C668" s="25" t="inlineStr">
        <is>
          <t>Frozen Dumplings 1kg</t>
        </is>
      </c>
      <c r="D668" s="25" t="inlineStr">
        <is>
          <t>Frozen</t>
        </is>
      </c>
      <c r="E668" s="26" t="n">
        <v>539.5500000000001</v>
      </c>
      <c r="F668" s="27" t="n">
        <v>45</v>
      </c>
      <c r="G668" s="26" t="n">
        <v>220.05</v>
      </c>
    </row>
    <row r="669">
      <c r="A669" s="24" t="n">
        <v>46222</v>
      </c>
      <c r="B669" s="25" t="inlineStr">
        <is>
          <t>FTG001</t>
        </is>
      </c>
      <c r="C669" s="25" t="inlineStr">
        <is>
          <t>Chicken Sandwich</t>
        </is>
      </c>
      <c r="D669" s="25" t="inlineStr">
        <is>
          <t>Food To Go</t>
        </is>
      </c>
      <c r="E669" s="26" t="n">
        <v>1071.07</v>
      </c>
      <c r="F669" s="27" t="n">
        <v>143</v>
      </c>
      <c r="G669" s="26" t="n">
        <v>513.37</v>
      </c>
    </row>
    <row r="670">
      <c r="A670" s="24" t="n">
        <v>46222</v>
      </c>
      <c r="B670" s="25" t="inlineStr">
        <is>
          <t>FTG002</t>
        </is>
      </c>
      <c r="C670" s="25" t="inlineStr">
        <is>
          <t>Sushi Pack 8pc</t>
        </is>
      </c>
      <c r="D670" s="25" t="inlineStr">
        <is>
          <t>Food To Go</t>
        </is>
      </c>
      <c r="E670" s="26" t="n">
        <v>739.26</v>
      </c>
      <c r="F670" s="27" t="n">
        <v>74</v>
      </c>
      <c r="G670" s="26" t="n">
        <v>324.86</v>
      </c>
    </row>
    <row r="671">
      <c r="A671" s="24" t="n">
        <v>46222</v>
      </c>
      <c r="B671" s="25" t="inlineStr">
        <is>
          <t>FTG003</t>
        </is>
      </c>
      <c r="C671" s="25" t="inlineStr">
        <is>
          <t>Hot Pie Mince &amp; Cheese</t>
        </is>
      </c>
      <c r="D671" s="25" t="inlineStr">
        <is>
          <t>Food To Go</t>
        </is>
      </c>
      <c r="E671" s="26" t="n">
        <v>752.13</v>
      </c>
      <c r="F671" s="27" t="n">
        <v>137</v>
      </c>
      <c r="G671" s="26" t="n">
        <v>423.33</v>
      </c>
    </row>
    <row r="672">
      <c r="A672" s="24" t="n">
        <v>46222</v>
      </c>
      <c r="B672" s="25" t="inlineStr">
        <is>
          <t>FTG004</t>
        </is>
      </c>
      <c r="C672" s="25" t="inlineStr">
        <is>
          <t>Salad Bowl</t>
        </is>
      </c>
      <c r="D672" s="25" t="inlineStr">
        <is>
          <t>Food To Go</t>
        </is>
      </c>
      <c r="E672" s="26" t="n">
        <v>406.63</v>
      </c>
      <c r="F672" s="27" t="n">
        <v>37</v>
      </c>
      <c r="G672" s="26" t="n">
        <v>177.23</v>
      </c>
    </row>
    <row r="673">
      <c r="A673" s="24" t="n">
        <v>46222</v>
      </c>
      <c r="B673" s="25" t="inlineStr">
        <is>
          <t>FTG005</t>
        </is>
      </c>
      <c r="C673" s="25" t="inlineStr">
        <is>
          <t>Filled Roll</t>
        </is>
      </c>
      <c r="D673" s="25" t="inlineStr">
        <is>
          <t>Food To Go</t>
        </is>
      </c>
      <c r="E673" s="26" t="n">
        <v>421.85</v>
      </c>
      <c r="F673" s="27" t="n">
        <v>65</v>
      </c>
      <c r="G673" s="26" t="n">
        <v>213.85</v>
      </c>
    </row>
    <row r="674">
      <c r="A674" s="24" t="n">
        <v>46222</v>
      </c>
      <c r="B674" s="25" t="inlineStr">
        <is>
          <t>GRO001</t>
        </is>
      </c>
      <c r="C674" s="25" t="inlineStr">
        <is>
          <t>Instant Noodles 5pk</t>
        </is>
      </c>
      <c r="D674" s="25" t="inlineStr">
        <is>
          <t>Grocery</t>
        </is>
      </c>
      <c r="E674" s="26" t="n">
        <v>489.41</v>
      </c>
      <c r="F674" s="27" t="n">
        <v>109</v>
      </c>
      <c r="G674" s="26" t="n">
        <v>206.01</v>
      </c>
    </row>
    <row r="675">
      <c r="A675" s="24" t="n">
        <v>46222</v>
      </c>
      <c r="B675" s="25" t="inlineStr">
        <is>
          <t>GRO002</t>
        </is>
      </c>
      <c r="C675" s="25" t="inlineStr">
        <is>
          <t>Canned Soup 500g</t>
        </is>
      </c>
      <c r="D675" s="25" t="inlineStr">
        <is>
          <t>Grocery</t>
        </is>
      </c>
      <c r="E675" s="26" t="n">
        <v>190.82</v>
      </c>
      <c r="F675" s="27" t="n">
        <v>58</v>
      </c>
      <c r="G675" s="26" t="n">
        <v>80.62</v>
      </c>
    </row>
    <row r="676">
      <c r="A676" s="24" t="n">
        <v>46222</v>
      </c>
      <c r="B676" s="25" t="inlineStr">
        <is>
          <t>GRO003</t>
        </is>
      </c>
      <c r="C676" s="25" t="inlineStr">
        <is>
          <t>Pasta 500g</t>
        </is>
      </c>
      <c r="D676" s="25" t="inlineStr">
        <is>
          <t>Grocery</t>
        </is>
      </c>
      <c r="E676" s="26" t="n">
        <v>129.48</v>
      </c>
      <c r="F676" s="27" t="n">
        <v>52</v>
      </c>
      <c r="G676" s="26" t="n">
        <v>61.88</v>
      </c>
    </row>
    <row r="677">
      <c r="A677" s="24" t="n">
        <v>46222</v>
      </c>
      <c r="B677" s="25" t="inlineStr">
        <is>
          <t>GRO004</t>
        </is>
      </c>
      <c r="C677" s="25" t="inlineStr">
        <is>
          <t>Simmer Sauce 485g</t>
        </is>
      </c>
      <c r="D677" s="25" t="inlineStr">
        <is>
          <t>Grocery</t>
        </is>
      </c>
      <c r="E677" s="26" t="n">
        <v>175.56</v>
      </c>
      <c r="F677" s="27" t="n">
        <v>44</v>
      </c>
      <c r="G677" s="26" t="n">
        <v>74.36</v>
      </c>
    </row>
    <row r="678">
      <c r="A678" s="24" t="n">
        <v>46222</v>
      </c>
      <c r="B678" s="25" t="inlineStr">
        <is>
          <t>GRO005</t>
        </is>
      </c>
      <c r="C678" s="25" t="inlineStr">
        <is>
          <t>Salsa 300g</t>
        </is>
      </c>
      <c r="D678" s="25" t="inlineStr">
        <is>
          <t>Grocery</t>
        </is>
      </c>
      <c r="E678" s="26" t="n">
        <v>86.22</v>
      </c>
      <c r="F678" s="27" t="n">
        <v>18</v>
      </c>
      <c r="G678" s="26" t="n">
        <v>34.02</v>
      </c>
    </row>
    <row r="679">
      <c r="A679" s="24" t="n">
        <v>46222</v>
      </c>
      <c r="B679" s="25" t="inlineStr">
        <is>
          <t>GRO006</t>
        </is>
      </c>
      <c r="C679" s="25" t="inlineStr">
        <is>
          <t>Taco Kit</t>
        </is>
      </c>
      <c r="D679" s="25" t="inlineStr">
        <is>
          <t>Grocery</t>
        </is>
      </c>
      <c r="E679" s="26" t="n">
        <v>116.82</v>
      </c>
      <c r="F679" s="27" t="n">
        <v>18</v>
      </c>
      <c r="G679" s="26" t="n">
        <v>44.82</v>
      </c>
    </row>
    <row r="680">
      <c r="A680" s="24" t="n">
        <v>46222</v>
      </c>
      <c r="B680" s="25" t="inlineStr">
        <is>
          <t>GRO007</t>
        </is>
      </c>
      <c r="C680" s="25" t="inlineStr">
        <is>
          <t>Eggs Free Range 12pk</t>
        </is>
      </c>
      <c r="D680" s="25" t="inlineStr">
        <is>
          <t>Grocery</t>
        </is>
      </c>
      <c r="E680" s="26" t="n">
        <v>747.3199999999999</v>
      </c>
      <c r="F680" s="27" t="n">
        <v>68</v>
      </c>
      <c r="G680" s="26" t="n">
        <v>189.72</v>
      </c>
    </row>
    <row r="681">
      <c r="A681" s="24" t="n">
        <v>46222</v>
      </c>
      <c r="B681" s="25" t="inlineStr">
        <is>
          <t>GRO008</t>
        </is>
      </c>
      <c r="C681" s="25" t="inlineStr">
        <is>
          <t>Coffee Beans 200g</t>
        </is>
      </c>
      <c r="D681" s="25" t="inlineStr">
        <is>
          <t>Grocery</t>
        </is>
      </c>
      <c r="E681" s="26" t="n">
        <v>302.12</v>
      </c>
      <c r="F681" s="27" t="n">
        <v>28</v>
      </c>
      <c r="G681" s="26" t="n">
        <v>89.31999999999999</v>
      </c>
    </row>
    <row r="682">
      <c r="A682" s="24" t="n">
        <v>46222</v>
      </c>
      <c r="B682" s="25" t="inlineStr">
        <is>
          <t>HHD001</t>
        </is>
      </c>
      <c r="C682" s="25" t="inlineStr">
        <is>
          <t>Toilet Paper 6pk</t>
        </is>
      </c>
      <c r="D682" s="25" t="inlineStr">
        <is>
          <t>Household</t>
        </is>
      </c>
      <c r="E682" s="26" t="n">
        <v>296.67</v>
      </c>
      <c r="F682" s="27" t="n">
        <v>33</v>
      </c>
      <c r="G682" s="26" t="n">
        <v>101.97</v>
      </c>
    </row>
    <row r="683">
      <c r="A683" s="24" t="n">
        <v>46222</v>
      </c>
      <c r="B683" s="25" t="inlineStr">
        <is>
          <t>HHD002</t>
        </is>
      </c>
      <c r="C683" s="25" t="inlineStr">
        <is>
          <t>Dishwash Liquid</t>
        </is>
      </c>
      <c r="D683" s="25" t="inlineStr">
        <is>
          <t>Household</t>
        </is>
      </c>
      <c r="E683" s="26" t="n">
        <v>64.87</v>
      </c>
      <c r="F683" s="27" t="n">
        <v>13</v>
      </c>
      <c r="G683" s="26" t="n">
        <v>27.17</v>
      </c>
    </row>
    <row r="684">
      <c r="A684" s="24" t="n">
        <v>46222</v>
      </c>
      <c r="B684" s="25" t="inlineStr">
        <is>
          <t>HHD003</t>
        </is>
      </c>
      <c r="C684" s="25" t="inlineStr">
        <is>
          <t>Phone Charger Cable</t>
        </is>
      </c>
      <c r="D684" s="25" t="inlineStr">
        <is>
          <t>Household</t>
        </is>
      </c>
      <c r="E684" s="26" t="n">
        <v>164.89</v>
      </c>
      <c r="F684" s="27" t="n">
        <v>11</v>
      </c>
      <c r="G684" s="26" t="n">
        <v>104.39</v>
      </c>
    </row>
    <row r="685">
      <c r="A685" s="24" t="n">
        <v>46222</v>
      </c>
      <c r="B685" s="25" t="inlineStr">
        <is>
          <t>LIQ001</t>
        </is>
      </c>
      <c r="C685" s="25" t="inlineStr">
        <is>
          <t>Craft Beer 6pk</t>
        </is>
      </c>
      <c r="D685" s="25" t="inlineStr">
        <is>
          <t>Beer &amp; Wine</t>
        </is>
      </c>
      <c r="E685" s="26" t="n">
        <v>896.6099999999999</v>
      </c>
      <c r="F685" s="27" t="n">
        <v>39</v>
      </c>
      <c r="G685" s="26" t="n">
        <v>299.91</v>
      </c>
    </row>
    <row r="686">
      <c r="A686" s="24" t="n">
        <v>46222</v>
      </c>
      <c r="B686" s="25" t="inlineStr">
        <is>
          <t>LIQ002</t>
        </is>
      </c>
      <c r="C686" s="25" t="inlineStr">
        <is>
          <t>Sauvignon Blanc 750ml</t>
        </is>
      </c>
      <c r="D686" s="25" t="inlineStr">
        <is>
          <t>Beer &amp; Wine</t>
        </is>
      </c>
      <c r="E686" s="26" t="n">
        <v>463.71</v>
      </c>
      <c r="F686" s="27" t="n">
        <v>29</v>
      </c>
      <c r="G686" s="26" t="n">
        <v>167.91</v>
      </c>
    </row>
    <row r="687">
      <c r="A687" s="24" t="n">
        <v>46222</v>
      </c>
      <c r="B687" s="25" t="inlineStr">
        <is>
          <t>LIQ003</t>
        </is>
      </c>
      <c r="C687" s="25" t="inlineStr">
        <is>
          <t>RTD 4pk</t>
        </is>
      </c>
      <c r="D687" s="25" t="inlineStr">
        <is>
          <t>Beer &amp; Wine</t>
        </is>
      </c>
      <c r="E687" s="26" t="n">
        <v>539.7</v>
      </c>
      <c r="F687" s="27" t="n">
        <v>30</v>
      </c>
      <c r="G687" s="26" t="n">
        <v>182.7</v>
      </c>
    </row>
    <row r="688">
      <c r="A688" s="24" t="n">
        <v>46222</v>
      </c>
      <c r="B688" s="25" t="inlineStr">
        <is>
          <t>LIQ004</t>
        </is>
      </c>
      <c r="C688" s="25" t="inlineStr">
        <is>
          <t>Pinot Noir 750ml</t>
        </is>
      </c>
      <c r="D688" s="25" t="inlineStr">
        <is>
          <t>Beer &amp; Wine</t>
        </is>
      </c>
      <c r="E688" s="26" t="n">
        <v>259.8699999999999</v>
      </c>
      <c r="F688" s="27" t="n">
        <v>13</v>
      </c>
      <c r="G688" s="26" t="n">
        <v>93.47</v>
      </c>
    </row>
    <row r="689">
      <c r="A689" s="24" t="n">
        <v>46222</v>
      </c>
      <c r="B689" s="25" t="inlineStr">
        <is>
          <t>MLK001</t>
        </is>
      </c>
      <c r="C689" s="25" t="inlineStr">
        <is>
          <t>Milk Standard 2L</t>
        </is>
      </c>
      <c r="D689" s="25" t="inlineStr">
        <is>
          <t>Dairy</t>
        </is>
      </c>
      <c r="E689" s="26" t="n">
        <v>1237.17</v>
      </c>
      <c r="F689" s="27" t="n">
        <v>253</v>
      </c>
      <c r="G689" s="26" t="n">
        <v>339.02</v>
      </c>
    </row>
    <row r="690">
      <c r="A690" s="24" t="n">
        <v>46222</v>
      </c>
      <c r="B690" s="25" t="inlineStr">
        <is>
          <t>MLK002</t>
        </is>
      </c>
      <c r="C690" s="25" t="inlineStr">
        <is>
          <t>Milk Lite 2L</t>
        </is>
      </c>
      <c r="D690" s="25" t="inlineStr">
        <is>
          <t>Dairy</t>
        </is>
      </c>
      <c r="E690" s="26" t="n">
        <v>616.14</v>
      </c>
      <c r="F690" s="27" t="n">
        <v>126</v>
      </c>
      <c r="G690" s="26" t="n">
        <v>168.84</v>
      </c>
    </row>
    <row r="691">
      <c r="A691" s="24" t="n">
        <v>46222</v>
      </c>
      <c r="B691" s="25" t="inlineStr">
        <is>
          <t>MLK003</t>
        </is>
      </c>
      <c r="C691" s="25" t="inlineStr">
        <is>
          <t>Oat Milk 1L</t>
        </is>
      </c>
      <c r="D691" s="25" t="inlineStr">
        <is>
          <t>Dairy</t>
        </is>
      </c>
      <c r="E691" s="26" t="n">
        <v>240.24</v>
      </c>
      <c r="F691" s="27" t="n">
        <v>56</v>
      </c>
      <c r="G691" s="26" t="n">
        <v>89.04000000000001</v>
      </c>
    </row>
    <row r="692">
      <c r="A692" s="24" t="n">
        <v>46222</v>
      </c>
      <c r="B692" s="25" t="inlineStr">
        <is>
          <t>PHM001</t>
        </is>
      </c>
      <c r="C692" s="25" t="inlineStr">
        <is>
          <t>Paracetamol 20pk</t>
        </is>
      </c>
      <c r="D692" s="25" t="inlineStr">
        <is>
          <t>Health &amp; Beauty</t>
        </is>
      </c>
      <c r="E692" s="26" t="n">
        <v>175.56</v>
      </c>
      <c r="F692" s="27" t="n">
        <v>44</v>
      </c>
      <c r="G692" s="26" t="n">
        <v>105.16</v>
      </c>
    </row>
    <row r="693">
      <c r="A693" s="24" t="n">
        <v>46222</v>
      </c>
      <c r="B693" s="25" t="inlineStr">
        <is>
          <t>PHM002</t>
        </is>
      </c>
      <c r="C693" s="25" t="inlineStr">
        <is>
          <t>Sunscreen SPF50</t>
        </is>
      </c>
      <c r="D693" s="25" t="inlineStr">
        <is>
          <t>Health &amp; Beauty</t>
        </is>
      </c>
      <c r="E693" s="26" t="n">
        <v>254.83</v>
      </c>
      <c r="F693" s="27" t="n">
        <v>17</v>
      </c>
      <c r="G693" s="26" t="n">
        <v>115.43</v>
      </c>
    </row>
    <row r="694">
      <c r="A694" s="24" t="n">
        <v>46222</v>
      </c>
      <c r="B694" s="25" t="inlineStr">
        <is>
          <t>PRD001</t>
        </is>
      </c>
      <c r="C694" s="25" t="inlineStr">
        <is>
          <t>Bananas (each)</t>
        </is>
      </c>
      <c r="D694" s="25" t="inlineStr">
        <is>
          <t>Produce</t>
        </is>
      </c>
      <c r="E694" s="26" t="n">
        <v>138</v>
      </c>
      <c r="F694" s="27" t="n">
        <v>200</v>
      </c>
      <c r="G694" s="26" t="n">
        <v>62</v>
      </c>
    </row>
    <row r="695">
      <c r="A695" s="24" t="n">
        <v>46222</v>
      </c>
      <c r="B695" s="25" t="inlineStr">
        <is>
          <t>PRD002</t>
        </is>
      </c>
      <c r="C695" s="25" t="inlineStr">
        <is>
          <t>Avocado</t>
        </is>
      </c>
      <c r="D695" s="25" t="inlineStr">
        <is>
          <t>Produce</t>
        </is>
      </c>
      <c r="E695" s="26" t="n">
        <v>107.07</v>
      </c>
      <c r="F695" s="27" t="n">
        <v>43</v>
      </c>
      <c r="G695" s="26" t="n">
        <v>46.87</v>
      </c>
    </row>
    <row r="696">
      <c r="A696" s="24" t="n">
        <v>46222</v>
      </c>
      <c r="B696" s="25" t="inlineStr">
        <is>
          <t>PRD003</t>
        </is>
      </c>
      <c r="C696" s="25" t="inlineStr">
        <is>
          <t>Tomatoes 500g</t>
        </is>
      </c>
      <c r="D696" s="25" t="inlineStr">
        <is>
          <t>Produce</t>
        </is>
      </c>
      <c r="E696" s="26" t="n">
        <v>112.22</v>
      </c>
      <c r="F696" s="27" t="n">
        <v>28</v>
      </c>
      <c r="G696" s="26" t="n">
        <v>39.42</v>
      </c>
    </row>
    <row r="697">
      <c r="A697" s="24" t="n">
        <v>46222</v>
      </c>
      <c r="B697" s="25" t="inlineStr">
        <is>
          <t>SNK001</t>
        </is>
      </c>
      <c r="C697" s="25" t="inlineStr">
        <is>
          <t>Potato Chips 150g</t>
        </is>
      </c>
      <c r="D697" s="25" t="inlineStr">
        <is>
          <t>Snacks &amp; Confectionery</t>
        </is>
      </c>
      <c r="E697" s="26" t="n">
        <v>626.4300000000001</v>
      </c>
      <c r="F697" s="27" t="n">
        <v>157</v>
      </c>
      <c r="G697" s="26" t="n">
        <v>296.73</v>
      </c>
    </row>
    <row r="698">
      <c r="A698" s="24" t="n">
        <v>46222</v>
      </c>
      <c r="B698" s="25" t="inlineStr">
        <is>
          <t>SNK002</t>
        </is>
      </c>
      <c r="C698" s="25" t="inlineStr">
        <is>
          <t>Chocolate Block 200g</t>
        </is>
      </c>
      <c r="D698" s="25" t="inlineStr">
        <is>
          <t>Snacks &amp; Confectionery</t>
        </is>
      </c>
      <c r="E698" s="26" t="n">
        <v>538.02</v>
      </c>
      <c r="F698" s="27" t="n">
        <v>98</v>
      </c>
      <c r="G698" s="26" t="n">
        <v>224.42</v>
      </c>
    </row>
    <row r="699">
      <c r="A699" s="24" t="n">
        <v>46222</v>
      </c>
      <c r="B699" s="25" t="inlineStr">
        <is>
          <t>SNK003</t>
        </is>
      </c>
      <c r="C699" s="25" t="inlineStr">
        <is>
          <t>Muesli Bar 6pk</t>
        </is>
      </c>
      <c r="D699" s="25" t="inlineStr">
        <is>
          <t>Snacks &amp; Confectionery</t>
        </is>
      </c>
      <c r="E699" s="26" t="n">
        <v>274.56</v>
      </c>
      <c r="F699" s="27" t="n">
        <v>64</v>
      </c>
      <c r="G699" s="26" t="n">
        <v>108.16</v>
      </c>
    </row>
    <row r="700">
      <c r="A700" s="24" t="n">
        <v>46222</v>
      </c>
      <c r="B700" s="25" t="inlineStr">
        <is>
          <t>SNK004</t>
        </is>
      </c>
      <c r="C700" s="25" t="inlineStr">
        <is>
          <t>Corn Chips 230g</t>
        </is>
      </c>
      <c r="D700" s="25" t="inlineStr">
        <is>
          <t>Snacks &amp; Confectionery</t>
        </is>
      </c>
      <c r="E700" s="26" t="n">
        <v>202.05</v>
      </c>
      <c r="F700" s="27" t="n">
        <v>45</v>
      </c>
      <c r="G700" s="26" t="n">
        <v>94.05</v>
      </c>
    </row>
    <row r="701">
      <c r="A701" s="24" t="n">
        <v>46222</v>
      </c>
      <c r="B701" s="25" t="inlineStr">
        <is>
          <t>SNK005</t>
        </is>
      </c>
      <c r="C701" s="25" t="inlineStr">
        <is>
          <t>Lollies Bag 200g</t>
        </is>
      </c>
      <c r="D701" s="25" t="inlineStr">
        <is>
          <t>Snacks &amp; Confectionery</t>
        </is>
      </c>
      <c r="E701" s="26" t="n">
        <v>293.16</v>
      </c>
      <c r="F701" s="27" t="n">
        <v>84</v>
      </c>
      <c r="G701" s="26" t="n">
        <v>150.36</v>
      </c>
    </row>
    <row r="702">
      <c r="A702" s="24" t="n">
        <v>46229</v>
      </c>
      <c r="B702" s="25" t="inlineStr">
        <is>
          <t>BAK001</t>
        </is>
      </c>
      <c r="C702" s="25" t="inlineStr">
        <is>
          <t>Toast Bread White</t>
        </is>
      </c>
      <c r="D702" s="25" t="inlineStr">
        <is>
          <t>Bakery</t>
        </is>
      </c>
      <c r="E702" s="26" t="n">
        <v>502.56</v>
      </c>
      <c r="F702" s="27" t="n">
        <v>144</v>
      </c>
      <c r="G702" s="26" t="n">
        <v>185.76</v>
      </c>
    </row>
    <row r="703">
      <c r="A703" s="24" t="n">
        <v>46229</v>
      </c>
      <c r="B703" s="25" t="inlineStr">
        <is>
          <t>BAK002</t>
        </is>
      </c>
      <c r="C703" s="25" t="inlineStr">
        <is>
          <t>Wholemeal Loaf</t>
        </is>
      </c>
      <c r="D703" s="25" t="inlineStr">
        <is>
          <t>Bakery</t>
        </is>
      </c>
      <c r="E703" s="26" t="n">
        <v>356.07</v>
      </c>
      <c r="F703" s="27" t="n">
        <v>83</v>
      </c>
      <c r="G703" s="26" t="n">
        <v>131.97</v>
      </c>
    </row>
    <row r="704">
      <c r="A704" s="24" t="n">
        <v>46229</v>
      </c>
      <c r="B704" s="25" t="inlineStr">
        <is>
          <t>BAK003</t>
        </is>
      </c>
      <c r="C704" s="25" t="inlineStr">
        <is>
          <t>Croissant 4pk</t>
        </is>
      </c>
      <c r="D704" s="25" t="inlineStr">
        <is>
          <t>Bakery</t>
        </is>
      </c>
      <c r="E704" s="26" t="n">
        <v>263.56</v>
      </c>
      <c r="F704" s="27" t="n">
        <v>44</v>
      </c>
      <c r="G704" s="26" t="n">
        <v>118.36</v>
      </c>
    </row>
    <row r="705">
      <c r="A705" s="24" t="n">
        <v>46229</v>
      </c>
      <c r="B705" s="25" t="inlineStr">
        <is>
          <t>BBT001</t>
        </is>
      </c>
      <c r="C705" s="25" t="inlineStr">
        <is>
          <t>Bubble Tea Kit</t>
        </is>
      </c>
      <c r="D705" s="25" t="inlineStr">
        <is>
          <t>Beverages</t>
        </is>
      </c>
      <c r="E705" s="26" t="n">
        <v>230.67</v>
      </c>
      <c r="F705" s="27" t="n">
        <v>33</v>
      </c>
      <c r="G705" s="26" t="n">
        <v>101.97</v>
      </c>
    </row>
    <row r="706">
      <c r="A706" s="24" t="n">
        <v>46229</v>
      </c>
      <c r="B706" s="25" t="inlineStr">
        <is>
          <t>BEV001</t>
        </is>
      </c>
      <c r="C706" s="25" t="inlineStr">
        <is>
          <t>Energy Drink 500ml</t>
        </is>
      </c>
      <c r="D706" s="25" t="inlineStr">
        <is>
          <t>Beverages</t>
        </is>
      </c>
      <c r="E706" s="26" t="n">
        <v>604.89</v>
      </c>
      <c r="F706" s="27" t="n">
        <v>141</v>
      </c>
      <c r="G706" s="26" t="n">
        <v>301.74</v>
      </c>
    </row>
    <row r="707">
      <c r="A707" s="24" t="n">
        <v>46229</v>
      </c>
      <c r="B707" s="25" t="inlineStr">
        <is>
          <t>BEV002</t>
        </is>
      </c>
      <c r="C707" s="25" t="inlineStr">
        <is>
          <t>Cola 1.5L</t>
        </is>
      </c>
      <c r="D707" s="25" t="inlineStr">
        <is>
          <t>Beverages</t>
        </is>
      </c>
      <c r="E707" s="26" t="n">
        <v>300.83</v>
      </c>
      <c r="F707" s="27" t="n">
        <v>67</v>
      </c>
      <c r="G707" s="26" t="n">
        <v>146.73</v>
      </c>
    </row>
    <row r="708">
      <c r="A708" s="24" t="n">
        <v>46229</v>
      </c>
      <c r="B708" s="25" t="inlineStr">
        <is>
          <t>BEV003</t>
        </is>
      </c>
      <c r="C708" s="25" t="inlineStr">
        <is>
          <t>Sparkling Water 1L</t>
        </is>
      </c>
      <c r="D708" s="25" t="inlineStr">
        <is>
          <t>Beverages</t>
        </is>
      </c>
      <c r="E708" s="26" t="n">
        <v>176.79</v>
      </c>
      <c r="F708" s="27" t="n">
        <v>71</v>
      </c>
      <c r="G708" s="26" t="n">
        <v>98.69</v>
      </c>
    </row>
    <row r="709">
      <c r="A709" s="24" t="n">
        <v>46229</v>
      </c>
      <c r="B709" s="25" t="inlineStr">
        <is>
          <t>BEV004</t>
        </is>
      </c>
      <c r="C709" s="25" t="inlineStr">
        <is>
          <t>Iced Coffee 500ml</t>
        </is>
      </c>
      <c r="D709" s="25" t="inlineStr">
        <is>
          <t>Beverages</t>
        </is>
      </c>
      <c r="E709" s="26" t="n">
        <v>299.4</v>
      </c>
      <c r="F709" s="27" t="n">
        <v>60</v>
      </c>
      <c r="G709" s="26" t="n">
        <v>137.4</v>
      </c>
    </row>
    <row r="710">
      <c r="A710" s="24" t="n">
        <v>46229</v>
      </c>
      <c r="B710" s="25" t="inlineStr">
        <is>
          <t>BEV005</t>
        </is>
      </c>
      <c r="C710" s="25" t="inlineStr">
        <is>
          <t>Kombucha 330ml</t>
        </is>
      </c>
      <c r="D710" s="25" t="inlineStr">
        <is>
          <t>Beverages</t>
        </is>
      </c>
      <c r="E710" s="26" t="n">
        <v>158.07</v>
      </c>
      <c r="F710" s="27" t="n">
        <v>33</v>
      </c>
      <c r="G710" s="26" t="n">
        <v>72.27</v>
      </c>
    </row>
    <row r="711">
      <c r="A711" s="24" t="n">
        <v>46229</v>
      </c>
      <c r="B711" s="25" t="inlineStr">
        <is>
          <t>BEV006</t>
        </is>
      </c>
      <c r="C711" s="25" t="inlineStr">
        <is>
          <t>Bottled Water 750ml</t>
        </is>
      </c>
      <c r="D711" s="25" t="inlineStr">
        <is>
          <t>Beverages</t>
        </is>
      </c>
      <c r="E711" s="26" t="n">
        <v>397.67</v>
      </c>
      <c r="F711" s="27" t="n">
        <v>133</v>
      </c>
      <c r="G711" s="26" t="n">
        <v>271.32</v>
      </c>
    </row>
    <row r="712">
      <c r="A712" s="24" t="n">
        <v>46229</v>
      </c>
      <c r="B712" s="25" t="inlineStr">
        <is>
          <t>DRY010</t>
        </is>
      </c>
      <c r="C712" s="25" t="inlineStr">
        <is>
          <t>Butter 500g</t>
        </is>
      </c>
      <c r="D712" s="25" t="inlineStr">
        <is>
          <t>Dairy</t>
        </is>
      </c>
      <c r="E712" s="26" t="n">
        <v>277.13</v>
      </c>
      <c r="F712" s="27" t="n">
        <v>37</v>
      </c>
      <c r="G712" s="26" t="n">
        <v>69.93000000000001</v>
      </c>
    </row>
    <row r="713">
      <c r="A713" s="24" t="n">
        <v>46229</v>
      </c>
      <c r="B713" s="25" t="inlineStr">
        <is>
          <t>DRY011</t>
        </is>
      </c>
      <c r="C713" s="25" t="inlineStr">
        <is>
          <t>Greek Yoghurt 1kg</t>
        </is>
      </c>
      <c r="D713" s="25" t="inlineStr">
        <is>
          <t>Dairy</t>
        </is>
      </c>
      <c r="E713" s="26" t="n">
        <v>239.7</v>
      </c>
      <c r="F713" s="27" t="n">
        <v>30</v>
      </c>
      <c r="G713" s="26" t="n">
        <v>86.7</v>
      </c>
    </row>
    <row r="714">
      <c r="A714" s="24" t="n">
        <v>46229</v>
      </c>
      <c r="B714" s="25" t="inlineStr">
        <is>
          <t>DRY012</t>
        </is>
      </c>
      <c r="C714" s="25" t="inlineStr">
        <is>
          <t>Cheese Block 1kg</t>
        </is>
      </c>
      <c r="D714" s="25" t="inlineStr">
        <is>
          <t>Dairy</t>
        </is>
      </c>
      <c r="E714" s="26" t="n">
        <v>657.53</v>
      </c>
      <c r="F714" s="27" t="n">
        <v>47</v>
      </c>
      <c r="G714" s="26" t="n">
        <v>168.73</v>
      </c>
    </row>
    <row r="715">
      <c r="A715" s="24" t="n">
        <v>46229</v>
      </c>
      <c r="B715" s="25" t="inlineStr">
        <is>
          <t>FRZ001</t>
        </is>
      </c>
      <c r="C715" s="25" t="inlineStr">
        <is>
          <t>Ice Cream Tub 2L</t>
        </is>
      </c>
      <c r="D715" s="25" t="inlineStr">
        <is>
          <t>Frozen</t>
        </is>
      </c>
      <c r="E715" s="26" t="n">
        <v>413.54</v>
      </c>
      <c r="F715" s="27" t="n">
        <v>46</v>
      </c>
      <c r="G715" s="26" t="n">
        <v>165.14</v>
      </c>
    </row>
    <row r="716">
      <c r="A716" s="24" t="n">
        <v>46229</v>
      </c>
      <c r="B716" s="25" t="inlineStr">
        <is>
          <t>FRZ002</t>
        </is>
      </c>
      <c r="C716" s="25" t="inlineStr">
        <is>
          <t>Ice Block Single</t>
        </is>
      </c>
      <c r="D716" s="25" t="inlineStr">
        <is>
          <t>Frozen</t>
        </is>
      </c>
      <c r="E716" s="26" t="n">
        <v>200.33</v>
      </c>
      <c r="F716" s="27" t="n">
        <v>67</v>
      </c>
      <c r="G716" s="26" t="n">
        <v>119.93</v>
      </c>
    </row>
    <row r="717">
      <c r="A717" s="24" t="n">
        <v>46229</v>
      </c>
      <c r="B717" s="25" t="inlineStr">
        <is>
          <t>FRZ003</t>
        </is>
      </c>
      <c r="C717" s="25" t="inlineStr">
        <is>
          <t>Frozen Pizza</t>
        </is>
      </c>
      <c r="D717" s="25" t="inlineStr">
        <is>
          <t>Frozen</t>
        </is>
      </c>
      <c r="E717" s="26" t="n">
        <v>375.53</v>
      </c>
      <c r="F717" s="27" t="n">
        <v>47</v>
      </c>
      <c r="G717" s="26" t="n">
        <v>154.63</v>
      </c>
    </row>
    <row r="718">
      <c r="A718" s="24" t="n">
        <v>46229</v>
      </c>
      <c r="B718" s="25" t="inlineStr">
        <is>
          <t>FRZ004</t>
        </is>
      </c>
      <c r="C718" s="25" t="inlineStr">
        <is>
          <t>Frozen Dumplings 1kg</t>
        </is>
      </c>
      <c r="D718" s="25" t="inlineStr">
        <is>
          <t>Frozen</t>
        </is>
      </c>
      <c r="E718" s="26" t="n">
        <v>479.6</v>
      </c>
      <c r="F718" s="27" t="n">
        <v>40</v>
      </c>
      <c r="G718" s="26" t="n">
        <v>195.6</v>
      </c>
    </row>
    <row r="719">
      <c r="A719" s="24" t="n">
        <v>46229</v>
      </c>
      <c r="B719" s="25" t="inlineStr">
        <is>
          <t>FTG001</t>
        </is>
      </c>
      <c r="C719" s="25" t="inlineStr">
        <is>
          <t>Chicken Sandwich</t>
        </is>
      </c>
      <c r="D719" s="25" t="inlineStr">
        <is>
          <t>Food To Go</t>
        </is>
      </c>
      <c r="E719" s="26" t="n">
        <v>1018.64</v>
      </c>
      <c r="F719" s="27" t="n">
        <v>136</v>
      </c>
      <c r="G719" s="26" t="n">
        <v>488.24</v>
      </c>
    </row>
    <row r="720">
      <c r="A720" s="24" t="n">
        <v>46229</v>
      </c>
      <c r="B720" s="25" t="inlineStr">
        <is>
          <t>FTG002</t>
        </is>
      </c>
      <c r="C720" s="25" t="inlineStr">
        <is>
          <t>Sushi Pack 8pc</t>
        </is>
      </c>
      <c r="D720" s="25" t="inlineStr">
        <is>
          <t>Food To Go</t>
        </is>
      </c>
      <c r="E720" s="26" t="n">
        <v>639.36</v>
      </c>
      <c r="F720" s="27" t="n">
        <v>64</v>
      </c>
      <c r="G720" s="26" t="n">
        <v>280.96</v>
      </c>
    </row>
    <row r="721">
      <c r="A721" s="24" t="n">
        <v>46229</v>
      </c>
      <c r="B721" s="25" t="inlineStr">
        <is>
          <t>FTG003</t>
        </is>
      </c>
      <c r="C721" s="25" t="inlineStr">
        <is>
          <t>Hot Pie Mince &amp; Cheese</t>
        </is>
      </c>
      <c r="D721" s="25" t="inlineStr">
        <is>
          <t>Food To Go</t>
        </is>
      </c>
      <c r="E721" s="26" t="n">
        <v>836.49</v>
      </c>
      <c r="F721" s="27" t="n">
        <v>171</v>
      </c>
      <c r="G721" s="26" t="n">
        <v>426.09</v>
      </c>
    </row>
    <row r="722">
      <c r="A722" s="24" t="n">
        <v>46229</v>
      </c>
      <c r="B722" s="25" t="inlineStr">
        <is>
          <t>FTG004</t>
        </is>
      </c>
      <c r="C722" s="25" t="inlineStr">
        <is>
          <t>Salad Bowl</t>
        </is>
      </c>
      <c r="D722" s="25" t="inlineStr">
        <is>
          <t>Food To Go</t>
        </is>
      </c>
      <c r="E722" s="26" t="n">
        <v>384.65</v>
      </c>
      <c r="F722" s="27" t="n">
        <v>35</v>
      </c>
      <c r="G722" s="26" t="n">
        <v>167.65</v>
      </c>
    </row>
    <row r="723">
      <c r="A723" s="24" t="n">
        <v>46229</v>
      </c>
      <c r="B723" s="25" t="inlineStr">
        <is>
          <t>FTG005</t>
        </is>
      </c>
      <c r="C723" s="25" t="inlineStr">
        <is>
          <t>Filled Roll</t>
        </is>
      </c>
      <c r="D723" s="25" t="inlineStr">
        <is>
          <t>Food To Go</t>
        </is>
      </c>
      <c r="E723" s="26" t="n">
        <v>499.73</v>
      </c>
      <c r="F723" s="27" t="n">
        <v>77</v>
      </c>
      <c r="G723" s="26" t="n">
        <v>253.33</v>
      </c>
    </row>
    <row r="724">
      <c r="A724" s="24" t="n">
        <v>46229</v>
      </c>
      <c r="B724" s="25" t="inlineStr">
        <is>
          <t>GRO001</t>
        </is>
      </c>
      <c r="C724" s="25" t="inlineStr">
        <is>
          <t>Instant Noodles 5pk</t>
        </is>
      </c>
      <c r="D724" s="25" t="inlineStr">
        <is>
          <t>Grocery</t>
        </is>
      </c>
      <c r="E724" s="26" t="n">
        <v>426.55</v>
      </c>
      <c r="F724" s="27" t="n">
        <v>95</v>
      </c>
      <c r="G724" s="26" t="n">
        <v>179.55</v>
      </c>
    </row>
    <row r="725">
      <c r="A725" s="24" t="n">
        <v>46229</v>
      </c>
      <c r="B725" s="25" t="inlineStr">
        <is>
          <t>GRO002</t>
        </is>
      </c>
      <c r="C725" s="25" t="inlineStr">
        <is>
          <t>Canned Soup 500g</t>
        </is>
      </c>
      <c r="D725" s="25" t="inlineStr">
        <is>
          <t>Grocery</t>
        </is>
      </c>
      <c r="E725" s="26" t="n">
        <v>161.21</v>
      </c>
      <c r="F725" s="27" t="n">
        <v>49</v>
      </c>
      <c r="G725" s="26" t="n">
        <v>68.11</v>
      </c>
    </row>
    <row r="726">
      <c r="A726" s="24" t="n">
        <v>46229</v>
      </c>
      <c r="B726" s="25" t="inlineStr">
        <is>
          <t>GRO003</t>
        </is>
      </c>
      <c r="C726" s="25" t="inlineStr">
        <is>
          <t>Pasta 500g</t>
        </is>
      </c>
      <c r="D726" s="25" t="inlineStr">
        <is>
          <t>Grocery</t>
        </is>
      </c>
      <c r="E726" s="26" t="n">
        <v>114.54</v>
      </c>
      <c r="F726" s="27" t="n">
        <v>46</v>
      </c>
      <c r="G726" s="26" t="n">
        <v>54.74</v>
      </c>
    </row>
    <row r="727">
      <c r="A727" s="24" t="n">
        <v>46229</v>
      </c>
      <c r="B727" s="25" t="inlineStr">
        <is>
          <t>GRO004</t>
        </is>
      </c>
      <c r="C727" s="25" t="inlineStr">
        <is>
          <t>Simmer Sauce 485g</t>
        </is>
      </c>
      <c r="D727" s="25" t="inlineStr">
        <is>
          <t>Grocery</t>
        </is>
      </c>
      <c r="E727" s="26" t="n">
        <v>141.21</v>
      </c>
      <c r="F727" s="27" t="n">
        <v>39</v>
      </c>
      <c r="G727" s="26" t="n">
        <v>51.51</v>
      </c>
    </row>
    <row r="728">
      <c r="A728" s="24" t="n">
        <v>46229</v>
      </c>
      <c r="B728" s="25" t="inlineStr">
        <is>
          <t>GRO005</t>
        </is>
      </c>
      <c r="C728" s="25" t="inlineStr">
        <is>
          <t>Salsa 300g</t>
        </is>
      </c>
      <c r="D728" s="25" t="inlineStr">
        <is>
          <t>Grocery</t>
        </is>
      </c>
      <c r="E728" s="26" t="n">
        <v>71.84999999999999</v>
      </c>
      <c r="F728" s="27" t="n">
        <v>15</v>
      </c>
      <c r="G728" s="26" t="n">
        <v>28.35</v>
      </c>
    </row>
    <row r="729">
      <c r="A729" s="24" t="n">
        <v>46229</v>
      </c>
      <c r="B729" s="25" t="inlineStr">
        <is>
          <t>GRO006</t>
        </is>
      </c>
      <c r="C729" s="25" t="inlineStr">
        <is>
          <t>Taco Kit</t>
        </is>
      </c>
      <c r="D729" s="25" t="inlineStr">
        <is>
          <t>Grocery</t>
        </is>
      </c>
      <c r="E729" s="26" t="n">
        <v>136.29</v>
      </c>
      <c r="F729" s="27" t="n">
        <v>21</v>
      </c>
      <c r="G729" s="26" t="n">
        <v>52.29</v>
      </c>
    </row>
    <row r="730">
      <c r="A730" s="24" t="n">
        <v>46229</v>
      </c>
      <c r="B730" s="25" t="inlineStr">
        <is>
          <t>GRO007</t>
        </is>
      </c>
      <c r="C730" s="25" t="inlineStr">
        <is>
          <t>Eggs Free Range 12pk</t>
        </is>
      </c>
      <c r="D730" s="25" t="inlineStr">
        <is>
          <t>Grocery</t>
        </is>
      </c>
      <c r="E730" s="26" t="n">
        <v>791.28</v>
      </c>
      <c r="F730" s="27" t="n">
        <v>72</v>
      </c>
      <c r="G730" s="26" t="n">
        <v>200.88</v>
      </c>
    </row>
    <row r="731">
      <c r="A731" s="24" t="n">
        <v>46229</v>
      </c>
      <c r="B731" s="25" t="inlineStr">
        <is>
          <t>GRO008</t>
        </is>
      </c>
      <c r="C731" s="25" t="inlineStr">
        <is>
          <t>Coffee Beans 200g</t>
        </is>
      </c>
      <c r="D731" s="25" t="inlineStr">
        <is>
          <t>Grocery</t>
        </is>
      </c>
      <c r="E731" s="26" t="n">
        <v>191.84</v>
      </c>
      <c r="F731" s="27" t="n">
        <v>16</v>
      </c>
      <c r="G731" s="26" t="n">
        <v>70.23999999999999</v>
      </c>
    </row>
    <row r="732">
      <c r="A732" s="24" t="n">
        <v>46229</v>
      </c>
      <c r="B732" s="25" t="inlineStr">
        <is>
          <t>HHD001</t>
        </is>
      </c>
      <c r="C732" s="25" t="inlineStr">
        <is>
          <t>Toilet Paper 6pk</t>
        </is>
      </c>
      <c r="D732" s="25" t="inlineStr">
        <is>
          <t>Household</t>
        </is>
      </c>
      <c r="E732" s="26" t="n">
        <v>404.55</v>
      </c>
      <c r="F732" s="27" t="n">
        <v>45</v>
      </c>
      <c r="G732" s="26" t="n">
        <v>139.05</v>
      </c>
    </row>
    <row r="733">
      <c r="A733" s="24" t="n">
        <v>46229</v>
      </c>
      <c r="B733" s="25" t="inlineStr">
        <is>
          <t>HHD002</t>
        </is>
      </c>
      <c r="C733" s="25" t="inlineStr">
        <is>
          <t>Dishwash Liquid</t>
        </is>
      </c>
      <c r="D733" s="25" t="inlineStr">
        <is>
          <t>Household</t>
        </is>
      </c>
      <c r="E733" s="26" t="n">
        <v>59.88</v>
      </c>
      <c r="F733" s="27" t="n">
        <v>12</v>
      </c>
      <c r="G733" s="26" t="n">
        <v>25.08</v>
      </c>
    </row>
    <row r="734">
      <c r="A734" s="24" t="n">
        <v>46229</v>
      </c>
      <c r="B734" s="25" t="inlineStr">
        <is>
          <t>HHD003</t>
        </is>
      </c>
      <c r="C734" s="25" t="inlineStr">
        <is>
          <t>Phone Charger Cable</t>
        </is>
      </c>
      <c r="D734" s="25" t="inlineStr">
        <is>
          <t>Household</t>
        </is>
      </c>
      <c r="E734" s="26" t="n">
        <v>89.94</v>
      </c>
      <c r="F734" s="27" t="n">
        <v>6</v>
      </c>
      <c r="G734" s="26" t="n">
        <v>56.94</v>
      </c>
    </row>
    <row r="735">
      <c r="A735" s="24" t="n">
        <v>46229</v>
      </c>
      <c r="B735" s="25" t="inlineStr">
        <is>
          <t>LIQ001</t>
        </is>
      </c>
      <c r="C735" s="25" t="inlineStr">
        <is>
          <t>Craft Beer 6pk</t>
        </is>
      </c>
      <c r="D735" s="25" t="inlineStr">
        <is>
          <t>Beer &amp; Wine</t>
        </is>
      </c>
      <c r="E735" s="26" t="n">
        <v>758.6700000000001</v>
      </c>
      <c r="F735" s="27" t="n">
        <v>33</v>
      </c>
      <c r="G735" s="26" t="n">
        <v>253.77</v>
      </c>
    </row>
    <row r="736">
      <c r="A736" s="24" t="n">
        <v>46229</v>
      </c>
      <c r="B736" s="25" t="inlineStr">
        <is>
          <t>LIQ002</t>
        </is>
      </c>
      <c r="C736" s="25" t="inlineStr">
        <is>
          <t>Sauvignon Blanc 750ml</t>
        </is>
      </c>
      <c r="D736" s="25" t="inlineStr">
        <is>
          <t>Beer &amp; Wine</t>
        </is>
      </c>
      <c r="E736" s="26" t="n">
        <v>351.78</v>
      </c>
      <c r="F736" s="27" t="n">
        <v>22</v>
      </c>
      <c r="G736" s="26" t="n">
        <v>127.38</v>
      </c>
    </row>
    <row r="737">
      <c r="A737" s="24" t="n">
        <v>46229</v>
      </c>
      <c r="B737" s="25" t="inlineStr">
        <is>
          <t>LIQ003</t>
        </is>
      </c>
      <c r="C737" s="25" t="inlineStr">
        <is>
          <t>RTD 4pk</t>
        </is>
      </c>
      <c r="D737" s="25" t="inlineStr">
        <is>
          <t>Beer &amp; Wine</t>
        </is>
      </c>
      <c r="E737" s="26" t="n">
        <v>539.6999999999999</v>
      </c>
      <c r="F737" s="27" t="n">
        <v>30</v>
      </c>
      <c r="G737" s="26" t="n">
        <v>182.7</v>
      </c>
    </row>
    <row r="738">
      <c r="A738" s="24" t="n">
        <v>46229</v>
      </c>
      <c r="B738" s="25" t="inlineStr">
        <is>
          <t>LIQ004</t>
        </is>
      </c>
      <c r="C738" s="25" t="inlineStr">
        <is>
          <t>Pinot Noir 750ml</t>
        </is>
      </c>
      <c r="D738" s="25" t="inlineStr">
        <is>
          <t>Beer &amp; Wine</t>
        </is>
      </c>
      <c r="E738" s="26" t="n">
        <v>199.9</v>
      </c>
      <c r="F738" s="27" t="n">
        <v>10</v>
      </c>
      <c r="G738" s="26" t="n">
        <v>71.90000000000001</v>
      </c>
    </row>
    <row r="739">
      <c r="A739" s="24" t="n">
        <v>46229</v>
      </c>
      <c r="B739" s="25" t="inlineStr">
        <is>
          <t>MLK001</t>
        </is>
      </c>
      <c r="C739" s="25" t="inlineStr">
        <is>
          <t>Milk Standard 2L</t>
        </is>
      </c>
      <c r="D739" s="25" t="inlineStr">
        <is>
          <t>Dairy</t>
        </is>
      </c>
      <c r="E739" s="26" t="n">
        <v>1432.77</v>
      </c>
      <c r="F739" s="27" t="n">
        <v>293</v>
      </c>
      <c r="G739" s="26" t="n">
        <v>392.62</v>
      </c>
    </row>
    <row r="740">
      <c r="A740" s="24" t="n">
        <v>46229</v>
      </c>
      <c r="B740" s="25" t="inlineStr">
        <is>
          <t>MLK002</t>
        </is>
      </c>
      <c r="C740" s="25" t="inlineStr">
        <is>
          <t>Milk Lite 2L</t>
        </is>
      </c>
      <c r="D740" s="25" t="inlineStr">
        <is>
          <t>Dairy</t>
        </is>
      </c>
      <c r="E740" s="26" t="n">
        <v>620.87</v>
      </c>
      <c r="F740" s="27" t="n">
        <v>143</v>
      </c>
      <c r="G740" s="26" t="n">
        <v>113.22</v>
      </c>
    </row>
    <row r="741">
      <c r="A741" s="24" t="n">
        <v>46229</v>
      </c>
      <c r="B741" s="25" t="inlineStr">
        <is>
          <t>MLK003</t>
        </is>
      </c>
      <c r="C741" s="25" t="inlineStr">
        <is>
          <t>Oat Milk 1L</t>
        </is>
      </c>
      <c r="D741" s="25" t="inlineStr">
        <is>
          <t>Dairy</t>
        </is>
      </c>
      <c r="E741" s="26" t="n">
        <v>235.95</v>
      </c>
      <c r="F741" s="27" t="n">
        <v>55</v>
      </c>
      <c r="G741" s="26" t="n">
        <v>87.45</v>
      </c>
    </row>
    <row r="742">
      <c r="A742" s="24" t="n">
        <v>46229</v>
      </c>
      <c r="B742" s="25" t="inlineStr">
        <is>
          <t>PHM001</t>
        </is>
      </c>
      <c r="C742" s="25" t="inlineStr">
        <is>
          <t>Paracetamol 20pk</t>
        </is>
      </c>
      <c r="D742" s="25" t="inlineStr">
        <is>
          <t>Health &amp; Beauty</t>
        </is>
      </c>
      <c r="E742" s="26" t="n">
        <v>139.65</v>
      </c>
      <c r="F742" s="27" t="n">
        <v>35</v>
      </c>
      <c r="G742" s="26" t="n">
        <v>83.65000000000001</v>
      </c>
    </row>
    <row r="743">
      <c r="A743" s="24" t="n">
        <v>46229</v>
      </c>
      <c r="B743" s="25" t="inlineStr">
        <is>
          <t>PHM002</t>
        </is>
      </c>
      <c r="C743" s="25" t="inlineStr">
        <is>
          <t>Sunscreen SPF50</t>
        </is>
      </c>
      <c r="D743" s="25" t="inlineStr">
        <is>
          <t>Health &amp; Beauty</t>
        </is>
      </c>
      <c r="E743" s="26" t="n">
        <v>134.91</v>
      </c>
      <c r="F743" s="27" t="n">
        <v>9</v>
      </c>
      <c r="G743" s="26" t="n">
        <v>61.11</v>
      </c>
    </row>
    <row r="744">
      <c r="A744" s="24" t="n">
        <v>46229</v>
      </c>
      <c r="B744" s="25" t="inlineStr">
        <is>
          <t>PRD001</t>
        </is>
      </c>
      <c r="C744" s="25" t="inlineStr">
        <is>
          <t>Bananas (each)</t>
        </is>
      </c>
      <c r="D744" s="25" t="inlineStr">
        <is>
          <t>Produce</t>
        </is>
      </c>
      <c r="E744" s="26" t="n">
        <v>141.45</v>
      </c>
      <c r="F744" s="27" t="n">
        <v>205</v>
      </c>
      <c r="G744" s="26" t="n">
        <v>63.55</v>
      </c>
    </row>
    <row r="745">
      <c r="A745" s="24" t="n">
        <v>46229</v>
      </c>
      <c r="B745" s="25" t="inlineStr">
        <is>
          <t>PRD002</t>
        </is>
      </c>
      <c r="C745" s="25" t="inlineStr">
        <is>
          <t>Avocado</t>
        </is>
      </c>
      <c r="D745" s="25" t="inlineStr">
        <is>
          <t>Produce</t>
        </is>
      </c>
      <c r="E745" s="26" t="n">
        <v>99.59999999999999</v>
      </c>
      <c r="F745" s="27" t="n">
        <v>40</v>
      </c>
      <c r="G745" s="26" t="n">
        <v>43.6</v>
      </c>
    </row>
    <row r="746">
      <c r="A746" s="24" t="n">
        <v>46229</v>
      </c>
      <c r="B746" s="25" t="inlineStr">
        <is>
          <t>PRD003</t>
        </is>
      </c>
      <c r="C746" s="25" t="inlineStr">
        <is>
          <t>Tomatoes 500g</t>
        </is>
      </c>
      <c r="D746" s="25" t="inlineStr">
        <is>
          <t>Produce</t>
        </is>
      </c>
      <c r="E746" s="26" t="n">
        <v>103.27</v>
      </c>
      <c r="F746" s="27" t="n">
        <v>23</v>
      </c>
      <c r="G746" s="26" t="n">
        <v>43.47</v>
      </c>
    </row>
    <row r="747">
      <c r="A747" s="24" t="n">
        <v>46229</v>
      </c>
      <c r="B747" s="25" t="inlineStr">
        <is>
          <t>SNK001</t>
        </is>
      </c>
      <c r="C747" s="25" t="inlineStr">
        <is>
          <t>Potato Chips 150g</t>
        </is>
      </c>
      <c r="D747" s="25" t="inlineStr">
        <is>
          <t>Snacks &amp; Confectionery</t>
        </is>
      </c>
      <c r="E747" s="26" t="n">
        <v>570.5700000000001</v>
      </c>
      <c r="F747" s="27" t="n">
        <v>143</v>
      </c>
      <c r="G747" s="26" t="n">
        <v>270.27</v>
      </c>
    </row>
    <row r="748">
      <c r="A748" s="24" t="n">
        <v>46229</v>
      </c>
      <c r="B748" s="25" t="inlineStr">
        <is>
          <t>SNK002</t>
        </is>
      </c>
      <c r="C748" s="25" t="inlineStr">
        <is>
          <t>Chocolate Block 200g</t>
        </is>
      </c>
      <c r="D748" s="25" t="inlineStr">
        <is>
          <t>Snacks &amp; Confectionery</t>
        </is>
      </c>
      <c r="E748" s="26" t="n">
        <v>565.47</v>
      </c>
      <c r="F748" s="27" t="n">
        <v>103</v>
      </c>
      <c r="G748" s="26" t="n">
        <v>235.87</v>
      </c>
    </row>
    <row r="749">
      <c r="A749" s="24" t="n">
        <v>46229</v>
      </c>
      <c r="B749" s="25" t="inlineStr">
        <is>
          <t>SNK003</t>
        </is>
      </c>
      <c r="C749" s="25" t="inlineStr">
        <is>
          <t>Muesli Bar 6pk</t>
        </is>
      </c>
      <c r="D749" s="25" t="inlineStr">
        <is>
          <t>Snacks &amp; Confectionery</t>
        </is>
      </c>
      <c r="E749" s="26" t="n">
        <v>253.11</v>
      </c>
      <c r="F749" s="27" t="n">
        <v>59</v>
      </c>
      <c r="G749" s="26" t="n">
        <v>99.70999999999999</v>
      </c>
    </row>
    <row r="750">
      <c r="A750" s="24" t="n">
        <v>46229</v>
      </c>
      <c r="B750" s="25" t="inlineStr">
        <is>
          <t>SNK004</t>
        </is>
      </c>
      <c r="C750" s="25" t="inlineStr">
        <is>
          <t>Corn Chips 230g</t>
        </is>
      </c>
      <c r="D750" s="25" t="inlineStr">
        <is>
          <t>Snacks &amp; Confectionery</t>
        </is>
      </c>
      <c r="E750" s="26" t="n">
        <v>305.32</v>
      </c>
      <c r="F750" s="27" t="n">
        <v>68</v>
      </c>
      <c r="G750" s="26" t="n">
        <v>142.12</v>
      </c>
    </row>
    <row r="751">
      <c r="A751" s="24" t="n">
        <v>46229</v>
      </c>
      <c r="B751" s="25" t="inlineStr">
        <is>
          <t>SNK005</t>
        </is>
      </c>
      <c r="C751" s="25" t="inlineStr">
        <is>
          <t>Lollies Bag 200g</t>
        </is>
      </c>
      <c r="D751" s="25" t="inlineStr">
        <is>
          <t>Snacks &amp; Confectionery</t>
        </is>
      </c>
      <c r="E751" s="26" t="n">
        <v>209.4</v>
      </c>
      <c r="F751" s="27" t="n">
        <v>60</v>
      </c>
      <c r="G751" s="26" t="n">
        <v>107.4</v>
      </c>
    </row>
    <row r="752">
      <c r="A752" s="24" t="n">
        <v>46236</v>
      </c>
      <c r="B752" s="25" t="inlineStr">
        <is>
          <t>BAK001</t>
        </is>
      </c>
      <c r="C752" s="25" t="inlineStr">
        <is>
          <t>Toast Bread White</t>
        </is>
      </c>
      <c r="D752" s="25" t="inlineStr">
        <is>
          <t>Bakery</t>
        </is>
      </c>
      <c r="E752" s="26" t="n">
        <v>565.38</v>
      </c>
      <c r="F752" s="27" t="n">
        <v>162</v>
      </c>
      <c r="G752" s="26" t="n">
        <v>208.98</v>
      </c>
    </row>
    <row r="753">
      <c r="A753" s="24" t="n">
        <v>46236</v>
      </c>
      <c r="B753" s="25" t="inlineStr">
        <is>
          <t>BAK002</t>
        </is>
      </c>
      <c r="C753" s="25" t="inlineStr">
        <is>
          <t>Wholemeal Loaf</t>
        </is>
      </c>
      <c r="D753" s="25" t="inlineStr">
        <is>
          <t>Bakery</t>
        </is>
      </c>
      <c r="E753" s="26" t="n">
        <v>338.91</v>
      </c>
      <c r="F753" s="27" t="n">
        <v>79</v>
      </c>
      <c r="G753" s="26" t="n">
        <v>125.61</v>
      </c>
    </row>
    <row r="754">
      <c r="A754" s="24" t="n">
        <v>46236</v>
      </c>
      <c r="B754" s="25" t="inlineStr">
        <is>
          <t>BAK003</t>
        </is>
      </c>
      <c r="C754" s="25" t="inlineStr">
        <is>
          <t>Croissant 4pk</t>
        </is>
      </c>
      <c r="D754" s="25" t="inlineStr">
        <is>
          <t>Bakery</t>
        </is>
      </c>
      <c r="E754" s="26" t="n">
        <v>304.24</v>
      </c>
      <c r="F754" s="27" t="n">
        <v>56</v>
      </c>
      <c r="G754" s="26" t="n">
        <v>119.44</v>
      </c>
    </row>
    <row r="755">
      <c r="A755" s="24" t="n">
        <v>46236</v>
      </c>
      <c r="B755" s="25" t="inlineStr">
        <is>
          <t>BBT001</t>
        </is>
      </c>
      <c r="C755" s="25" t="inlineStr">
        <is>
          <t>Bubble Tea Kit</t>
        </is>
      </c>
      <c r="D755" s="25" t="inlineStr">
        <is>
          <t>Beverages</t>
        </is>
      </c>
      <c r="E755" s="26" t="n">
        <v>195.72</v>
      </c>
      <c r="F755" s="27" t="n">
        <v>28</v>
      </c>
      <c r="G755" s="26" t="n">
        <v>86.52</v>
      </c>
    </row>
    <row r="756">
      <c r="A756" s="24" t="n">
        <v>46236</v>
      </c>
      <c r="B756" s="25" t="inlineStr">
        <is>
          <t>BEV001</t>
        </is>
      </c>
      <c r="C756" s="25" t="inlineStr">
        <is>
          <t>Energy Drink 500ml</t>
        </is>
      </c>
      <c r="D756" s="25" t="inlineStr">
        <is>
          <t>Beverages</t>
        </is>
      </c>
      <c r="E756" s="26" t="n">
        <v>712.14</v>
      </c>
      <c r="F756" s="27" t="n">
        <v>166</v>
      </c>
      <c r="G756" s="26" t="n">
        <v>355.24</v>
      </c>
    </row>
    <row r="757">
      <c r="A757" s="24" t="n">
        <v>46236</v>
      </c>
      <c r="B757" s="25" t="inlineStr">
        <is>
          <t>BEV002</t>
        </is>
      </c>
      <c r="C757" s="25" t="inlineStr">
        <is>
          <t>Cola 1.5L</t>
        </is>
      </c>
      <c r="D757" s="25" t="inlineStr">
        <is>
          <t>Beverages</t>
        </is>
      </c>
      <c r="E757" s="26" t="n">
        <v>440.02</v>
      </c>
      <c r="F757" s="27" t="n">
        <v>98</v>
      </c>
      <c r="G757" s="26" t="n">
        <v>214.62</v>
      </c>
    </row>
    <row r="758">
      <c r="A758" s="24" t="n">
        <v>46236</v>
      </c>
      <c r="B758" s="25" t="inlineStr">
        <is>
          <t>BEV003</t>
        </is>
      </c>
      <c r="C758" s="25" t="inlineStr">
        <is>
          <t>Sparkling Water 1L</t>
        </is>
      </c>
      <c r="D758" s="25" t="inlineStr">
        <is>
          <t>Beverages</t>
        </is>
      </c>
      <c r="E758" s="26" t="n">
        <v>151.89</v>
      </c>
      <c r="F758" s="27" t="n">
        <v>61</v>
      </c>
      <c r="G758" s="26" t="n">
        <v>84.79000000000001</v>
      </c>
    </row>
    <row r="759">
      <c r="A759" s="24" t="n">
        <v>46236</v>
      </c>
      <c r="B759" s="25" t="inlineStr">
        <is>
          <t>BEV004</t>
        </is>
      </c>
      <c r="C759" s="25" t="inlineStr">
        <is>
          <t>Iced Coffee 500ml</t>
        </is>
      </c>
      <c r="D759" s="25" t="inlineStr">
        <is>
          <t>Beverages</t>
        </is>
      </c>
      <c r="E759" s="26" t="n">
        <v>339.32</v>
      </c>
      <c r="F759" s="27" t="n">
        <v>68</v>
      </c>
      <c r="G759" s="26" t="n">
        <v>155.72</v>
      </c>
    </row>
    <row r="760">
      <c r="A760" s="24" t="n">
        <v>46236</v>
      </c>
      <c r="B760" s="25" t="inlineStr">
        <is>
          <t>BEV005</t>
        </is>
      </c>
      <c r="C760" s="25" t="inlineStr">
        <is>
          <t>Kombucha 330ml</t>
        </is>
      </c>
      <c r="D760" s="25" t="inlineStr">
        <is>
          <t>Beverages</t>
        </is>
      </c>
      <c r="E760" s="26" t="n">
        <v>143.7</v>
      </c>
      <c r="F760" s="27" t="n">
        <v>30</v>
      </c>
      <c r="G760" s="26" t="n">
        <v>65.7</v>
      </c>
    </row>
    <row r="761">
      <c r="A761" s="24" t="n">
        <v>46236</v>
      </c>
      <c r="B761" s="25" t="inlineStr">
        <is>
          <t>BEV006</t>
        </is>
      </c>
      <c r="C761" s="25" t="inlineStr">
        <is>
          <t>Bottled Water 750ml</t>
        </is>
      </c>
      <c r="D761" s="25" t="inlineStr">
        <is>
          <t>Beverages</t>
        </is>
      </c>
      <c r="E761" s="26" t="n">
        <v>328.9</v>
      </c>
      <c r="F761" s="27" t="n">
        <v>110</v>
      </c>
      <c r="G761" s="26" t="n">
        <v>224.4</v>
      </c>
    </row>
    <row r="762">
      <c r="A762" s="24" t="n">
        <v>46236</v>
      </c>
      <c r="B762" s="25" t="inlineStr">
        <is>
          <t>DRY010</t>
        </is>
      </c>
      <c r="C762" s="25" t="inlineStr">
        <is>
          <t>Butter 500g</t>
        </is>
      </c>
      <c r="D762" s="25" t="inlineStr">
        <is>
          <t>Dairy</t>
        </is>
      </c>
      <c r="E762" s="26" t="n">
        <v>381.99</v>
      </c>
      <c r="F762" s="27" t="n">
        <v>51</v>
      </c>
      <c r="G762" s="26" t="n">
        <v>96.39</v>
      </c>
    </row>
    <row r="763">
      <c r="A763" s="24" t="n">
        <v>46236</v>
      </c>
      <c r="B763" s="25" t="inlineStr">
        <is>
          <t>DRY011</t>
        </is>
      </c>
      <c r="C763" s="25" t="inlineStr">
        <is>
          <t>Greek Yoghurt 1kg</t>
        </is>
      </c>
      <c r="D763" s="25" t="inlineStr">
        <is>
          <t>Dairy</t>
        </is>
      </c>
      <c r="E763" s="26" t="n">
        <v>199.75</v>
      </c>
      <c r="F763" s="27" t="n">
        <v>25</v>
      </c>
      <c r="G763" s="26" t="n">
        <v>72.25</v>
      </c>
    </row>
    <row r="764">
      <c r="A764" s="24" t="n">
        <v>46236</v>
      </c>
      <c r="B764" s="25" t="inlineStr">
        <is>
          <t>DRY012</t>
        </is>
      </c>
      <c r="C764" s="25" t="inlineStr">
        <is>
          <t>Cheese Block 1kg</t>
        </is>
      </c>
      <c r="D764" s="25" t="inlineStr">
        <is>
          <t>Dairy</t>
        </is>
      </c>
      <c r="E764" s="26" t="n">
        <v>447.68</v>
      </c>
      <c r="F764" s="27" t="n">
        <v>32</v>
      </c>
      <c r="G764" s="26" t="n">
        <v>114.88</v>
      </c>
    </row>
    <row r="765">
      <c r="A765" s="24" t="n">
        <v>46236</v>
      </c>
      <c r="B765" s="25" t="inlineStr">
        <is>
          <t>FRZ001</t>
        </is>
      </c>
      <c r="C765" s="25" t="inlineStr">
        <is>
          <t>Ice Cream Tub 2L</t>
        </is>
      </c>
      <c r="D765" s="25" t="inlineStr">
        <is>
          <t>Frozen</t>
        </is>
      </c>
      <c r="E765" s="26" t="n">
        <v>242.73</v>
      </c>
      <c r="F765" s="27" t="n">
        <v>27</v>
      </c>
      <c r="G765" s="26" t="n">
        <v>96.93000000000001</v>
      </c>
    </row>
    <row r="766">
      <c r="A766" s="24" t="n">
        <v>46236</v>
      </c>
      <c r="B766" s="25" t="inlineStr">
        <is>
          <t>FRZ002</t>
        </is>
      </c>
      <c r="C766" s="25" t="inlineStr">
        <is>
          <t>Ice Block Single</t>
        </is>
      </c>
      <c r="D766" s="25" t="inlineStr">
        <is>
          <t>Frozen</t>
        </is>
      </c>
      <c r="E766" s="26" t="n">
        <v>209.21</v>
      </c>
      <c r="F766" s="27" t="n">
        <v>79</v>
      </c>
      <c r="G766" s="26" t="n">
        <v>114.41</v>
      </c>
    </row>
    <row r="767">
      <c r="A767" s="24" t="n">
        <v>46236</v>
      </c>
      <c r="B767" s="25" t="inlineStr">
        <is>
          <t>FRZ003</t>
        </is>
      </c>
      <c r="C767" s="25" t="inlineStr">
        <is>
          <t>Frozen Pizza</t>
        </is>
      </c>
      <c r="D767" s="25" t="inlineStr">
        <is>
          <t>Frozen</t>
        </is>
      </c>
      <c r="E767" s="26" t="n">
        <v>471.41</v>
      </c>
      <c r="F767" s="27" t="n">
        <v>59</v>
      </c>
      <c r="G767" s="26" t="n">
        <v>194.11</v>
      </c>
    </row>
    <row r="768">
      <c r="A768" s="24" t="n">
        <v>46236</v>
      </c>
      <c r="B768" s="25" t="inlineStr">
        <is>
          <t>FRZ004</t>
        </is>
      </c>
      <c r="C768" s="25" t="inlineStr">
        <is>
          <t>Frozen Dumplings 1kg</t>
        </is>
      </c>
      <c r="D768" s="25" t="inlineStr">
        <is>
          <t>Frozen</t>
        </is>
      </c>
      <c r="E768" s="26" t="n">
        <v>383.68</v>
      </c>
      <c r="F768" s="27" t="n">
        <v>32</v>
      </c>
      <c r="G768" s="26" t="n">
        <v>156.48</v>
      </c>
    </row>
    <row r="769">
      <c r="A769" s="24" t="n">
        <v>46236</v>
      </c>
      <c r="B769" s="25" t="inlineStr">
        <is>
          <t>FTG001</t>
        </is>
      </c>
      <c r="C769" s="25" t="inlineStr">
        <is>
          <t>Chicken Sandwich</t>
        </is>
      </c>
      <c r="D769" s="25" t="inlineStr">
        <is>
          <t>Food To Go</t>
        </is>
      </c>
      <c r="E769" s="26" t="n">
        <v>973.7</v>
      </c>
      <c r="F769" s="27" t="n">
        <v>130</v>
      </c>
      <c r="G769" s="26" t="n">
        <v>466.7</v>
      </c>
    </row>
    <row r="770">
      <c r="A770" s="24" t="n">
        <v>46236</v>
      </c>
      <c r="B770" s="25" t="inlineStr">
        <is>
          <t>FTG002</t>
        </is>
      </c>
      <c r="C770" s="25" t="inlineStr">
        <is>
          <t>Sushi Pack 8pc</t>
        </is>
      </c>
      <c r="D770" s="25" t="inlineStr">
        <is>
          <t>Food To Go</t>
        </is>
      </c>
      <c r="E770" s="26" t="n">
        <v>529.47</v>
      </c>
      <c r="F770" s="27" t="n">
        <v>53</v>
      </c>
      <c r="G770" s="26" t="n">
        <v>232.67</v>
      </c>
    </row>
    <row r="771">
      <c r="A771" s="24" t="n">
        <v>46236</v>
      </c>
      <c r="B771" s="25" t="inlineStr">
        <is>
          <t>FTG003</t>
        </is>
      </c>
      <c r="C771" s="25" t="inlineStr">
        <is>
          <t>Hot Pie Mince &amp; Cheese</t>
        </is>
      </c>
      <c r="D771" s="25" t="inlineStr">
        <is>
          <t>Food To Go</t>
        </is>
      </c>
      <c r="E771" s="26" t="n">
        <v>922.3199999999999</v>
      </c>
      <c r="F771" s="27" t="n">
        <v>168</v>
      </c>
      <c r="G771" s="26" t="n">
        <v>519.12</v>
      </c>
    </row>
    <row r="772">
      <c r="A772" s="24" t="n">
        <v>46236</v>
      </c>
      <c r="B772" s="25" t="inlineStr">
        <is>
          <t>FTG004</t>
        </is>
      </c>
      <c r="C772" s="25" t="inlineStr">
        <is>
          <t>Salad Bowl</t>
        </is>
      </c>
      <c r="D772" s="25" t="inlineStr">
        <is>
          <t>Food To Go</t>
        </is>
      </c>
      <c r="E772" s="26" t="n">
        <v>351.64</v>
      </c>
      <c r="F772" s="27" t="n">
        <v>36</v>
      </c>
      <c r="G772" s="26" t="n">
        <v>128.44</v>
      </c>
    </row>
    <row r="773">
      <c r="A773" s="24" t="n">
        <v>46236</v>
      </c>
      <c r="B773" s="25" t="inlineStr">
        <is>
          <t>FTG005</t>
        </is>
      </c>
      <c r="C773" s="25" t="inlineStr">
        <is>
          <t>Filled Roll</t>
        </is>
      </c>
      <c r="D773" s="25" t="inlineStr">
        <is>
          <t>Food To Go</t>
        </is>
      </c>
      <c r="E773" s="26" t="n">
        <v>519.2</v>
      </c>
      <c r="F773" s="27" t="n">
        <v>80</v>
      </c>
      <c r="G773" s="26" t="n">
        <v>263.2</v>
      </c>
    </row>
    <row r="774">
      <c r="A774" s="24" t="n">
        <v>46236</v>
      </c>
      <c r="B774" s="25" t="inlineStr">
        <is>
          <t>GRO001</t>
        </is>
      </c>
      <c r="C774" s="25" t="inlineStr">
        <is>
          <t>Instant Noodles 5pk</t>
        </is>
      </c>
      <c r="D774" s="25" t="inlineStr">
        <is>
          <t>Grocery</t>
        </is>
      </c>
      <c r="E774" s="26" t="n">
        <v>498.39</v>
      </c>
      <c r="F774" s="27" t="n">
        <v>111</v>
      </c>
      <c r="G774" s="26" t="n">
        <v>209.79</v>
      </c>
    </row>
    <row r="775">
      <c r="A775" s="24" t="n">
        <v>46236</v>
      </c>
      <c r="B775" s="25" t="inlineStr">
        <is>
          <t>GRO002</t>
        </is>
      </c>
      <c r="C775" s="25" t="inlineStr">
        <is>
          <t>Canned Soup 500g</t>
        </is>
      </c>
      <c r="D775" s="25" t="inlineStr">
        <is>
          <t>Grocery</t>
        </is>
      </c>
      <c r="E775" s="26" t="n">
        <v>177.66</v>
      </c>
      <c r="F775" s="27" t="n">
        <v>54</v>
      </c>
      <c r="G775" s="26" t="n">
        <v>75.06</v>
      </c>
    </row>
    <row r="776">
      <c r="A776" s="24" t="n">
        <v>46236</v>
      </c>
      <c r="B776" s="25" t="inlineStr">
        <is>
          <t>GRO003</t>
        </is>
      </c>
      <c r="C776" s="25" t="inlineStr">
        <is>
          <t>Pasta 500g</t>
        </is>
      </c>
      <c r="D776" s="25" t="inlineStr">
        <is>
          <t>Grocery</t>
        </is>
      </c>
      <c r="E776" s="26" t="n">
        <v>84.66000000000001</v>
      </c>
      <c r="F776" s="27" t="n">
        <v>34</v>
      </c>
      <c r="G776" s="26" t="n">
        <v>40.46</v>
      </c>
    </row>
    <row r="777">
      <c r="A777" s="24" t="n">
        <v>46236</v>
      </c>
      <c r="B777" s="25" t="inlineStr">
        <is>
          <t>GRO004</t>
        </is>
      </c>
      <c r="C777" s="25" t="inlineStr">
        <is>
          <t>Simmer Sauce 485g</t>
        </is>
      </c>
      <c r="D777" s="25" t="inlineStr">
        <is>
          <t>Grocery</t>
        </is>
      </c>
      <c r="E777" s="26" t="n">
        <v>131.67</v>
      </c>
      <c r="F777" s="27" t="n">
        <v>33</v>
      </c>
      <c r="G777" s="26" t="n">
        <v>55.77</v>
      </c>
    </row>
    <row r="778">
      <c r="A778" s="24" t="n">
        <v>46236</v>
      </c>
      <c r="B778" s="25" t="inlineStr">
        <is>
          <t>GRO005</t>
        </is>
      </c>
      <c r="C778" s="25" t="inlineStr">
        <is>
          <t>Salsa 300g</t>
        </is>
      </c>
      <c r="D778" s="25" t="inlineStr">
        <is>
          <t>Grocery</t>
        </is>
      </c>
      <c r="E778" s="26" t="n">
        <v>86.22</v>
      </c>
      <c r="F778" s="27" t="n">
        <v>18</v>
      </c>
      <c r="G778" s="26" t="n">
        <v>34.02</v>
      </c>
    </row>
    <row r="779">
      <c r="A779" s="24" t="n">
        <v>46236</v>
      </c>
      <c r="B779" s="25" t="inlineStr">
        <is>
          <t>GRO006</t>
        </is>
      </c>
      <c r="C779" s="25" t="inlineStr">
        <is>
          <t>Taco Kit</t>
        </is>
      </c>
      <c r="D779" s="25" t="inlineStr">
        <is>
          <t>Grocery</t>
        </is>
      </c>
      <c r="E779" s="26" t="n">
        <v>84.36999999999999</v>
      </c>
      <c r="F779" s="27" t="n">
        <v>13</v>
      </c>
      <c r="G779" s="26" t="n">
        <v>32.37</v>
      </c>
    </row>
    <row r="780">
      <c r="A780" s="24" t="n">
        <v>46236</v>
      </c>
      <c r="B780" s="25" t="inlineStr">
        <is>
          <t>GRO007</t>
        </is>
      </c>
      <c r="C780" s="25" t="inlineStr">
        <is>
          <t>Eggs Free Range 12pk</t>
        </is>
      </c>
      <c r="D780" s="25" t="inlineStr">
        <is>
          <t>Grocery</t>
        </is>
      </c>
      <c r="E780" s="26" t="n">
        <v>714.35</v>
      </c>
      <c r="F780" s="27" t="n">
        <v>65</v>
      </c>
      <c r="G780" s="26" t="n">
        <v>181.35</v>
      </c>
    </row>
    <row r="781">
      <c r="A781" s="24" t="n">
        <v>46236</v>
      </c>
      <c r="B781" s="25" t="inlineStr">
        <is>
          <t>GRO008</t>
        </is>
      </c>
      <c r="C781" s="25" t="inlineStr">
        <is>
          <t>Coffee Beans 200g</t>
        </is>
      </c>
      <c r="D781" s="25" t="inlineStr">
        <is>
          <t>Grocery</t>
        </is>
      </c>
      <c r="E781" s="26" t="n">
        <v>179.85</v>
      </c>
      <c r="F781" s="27" t="n">
        <v>15</v>
      </c>
      <c r="G781" s="26" t="n">
        <v>65.84999999999999</v>
      </c>
    </row>
    <row r="782">
      <c r="A782" s="24" t="n">
        <v>46236</v>
      </c>
      <c r="B782" s="25" t="inlineStr">
        <is>
          <t>HHD001</t>
        </is>
      </c>
      <c r="C782" s="25" t="inlineStr">
        <is>
          <t>Toilet Paper 6pk</t>
        </is>
      </c>
      <c r="D782" s="25" t="inlineStr">
        <is>
          <t>Household</t>
        </is>
      </c>
      <c r="E782" s="26" t="n">
        <v>314.65</v>
      </c>
      <c r="F782" s="27" t="n">
        <v>35</v>
      </c>
      <c r="G782" s="26" t="n">
        <v>108.15</v>
      </c>
    </row>
    <row r="783">
      <c r="A783" s="24" t="n">
        <v>46236</v>
      </c>
      <c r="B783" s="25" t="inlineStr">
        <is>
          <t>HHD002</t>
        </is>
      </c>
      <c r="C783" s="25" t="inlineStr">
        <is>
          <t>Dishwash Liquid</t>
        </is>
      </c>
      <c r="D783" s="25" t="inlineStr">
        <is>
          <t>Household</t>
        </is>
      </c>
      <c r="E783" s="26" t="n">
        <v>64.87</v>
      </c>
      <c r="F783" s="27" t="n">
        <v>13</v>
      </c>
      <c r="G783" s="26" t="n">
        <v>27.17</v>
      </c>
    </row>
    <row r="784">
      <c r="A784" s="24" t="n">
        <v>46236</v>
      </c>
      <c r="B784" s="25" t="inlineStr">
        <is>
          <t>HHD003</t>
        </is>
      </c>
      <c r="C784" s="25" t="inlineStr">
        <is>
          <t>Phone Charger Cable</t>
        </is>
      </c>
      <c r="D784" s="25" t="inlineStr">
        <is>
          <t>Household</t>
        </is>
      </c>
      <c r="E784" s="26" t="n">
        <v>29.98</v>
      </c>
      <c r="F784" s="27" t="n">
        <v>2</v>
      </c>
      <c r="G784" s="26" t="n">
        <v>18.98</v>
      </c>
    </row>
    <row r="785">
      <c r="A785" s="24" t="n">
        <v>46236</v>
      </c>
      <c r="B785" s="25" t="inlineStr">
        <is>
          <t>LIQ001</t>
        </is>
      </c>
      <c r="C785" s="25" t="inlineStr">
        <is>
          <t>Craft Beer 6pk</t>
        </is>
      </c>
      <c r="D785" s="25" t="inlineStr">
        <is>
          <t>Beer &amp; Wine</t>
        </is>
      </c>
      <c r="E785" s="26" t="n">
        <v>735.6800000000001</v>
      </c>
      <c r="F785" s="27" t="n">
        <v>32</v>
      </c>
      <c r="G785" s="26" t="n">
        <v>246.08</v>
      </c>
    </row>
    <row r="786">
      <c r="A786" s="24" t="n">
        <v>46236</v>
      </c>
      <c r="B786" s="25" t="inlineStr">
        <is>
          <t>LIQ002</t>
        </is>
      </c>
      <c r="C786" s="25" t="inlineStr">
        <is>
          <t>Sauvignon Blanc 750ml</t>
        </is>
      </c>
      <c r="D786" s="25" t="inlineStr">
        <is>
          <t>Beer &amp; Wine</t>
        </is>
      </c>
      <c r="E786" s="26" t="n">
        <v>354.96</v>
      </c>
      <c r="F786" s="27" t="n">
        <v>24</v>
      </c>
      <c r="G786" s="26" t="n">
        <v>110.16</v>
      </c>
    </row>
    <row r="787">
      <c r="A787" s="24" t="n">
        <v>46236</v>
      </c>
      <c r="B787" s="25" t="inlineStr">
        <is>
          <t>LIQ003</t>
        </is>
      </c>
      <c r="C787" s="25" t="inlineStr">
        <is>
          <t>RTD 4pk</t>
        </is>
      </c>
      <c r="D787" s="25" t="inlineStr">
        <is>
          <t>Beer &amp; Wine</t>
        </is>
      </c>
      <c r="E787" s="26" t="n">
        <v>467.74</v>
      </c>
      <c r="F787" s="27" t="n">
        <v>26</v>
      </c>
      <c r="G787" s="26" t="n">
        <v>158.34</v>
      </c>
    </row>
    <row r="788">
      <c r="A788" s="24" t="n">
        <v>46236</v>
      </c>
      <c r="B788" s="25" t="inlineStr">
        <is>
          <t>LIQ004</t>
        </is>
      </c>
      <c r="C788" s="25" t="inlineStr">
        <is>
          <t>Pinot Noir 750ml</t>
        </is>
      </c>
      <c r="D788" s="25" t="inlineStr">
        <is>
          <t>Beer &amp; Wine</t>
        </is>
      </c>
      <c r="E788" s="26" t="n">
        <v>439.78</v>
      </c>
      <c r="F788" s="27" t="n">
        <v>22</v>
      </c>
      <c r="G788" s="26" t="n">
        <v>158.18</v>
      </c>
    </row>
    <row r="789">
      <c r="A789" s="24" t="n">
        <v>46236</v>
      </c>
      <c r="B789" s="25" t="inlineStr">
        <is>
          <t>MLK001</t>
        </is>
      </c>
      <c r="C789" s="25" t="inlineStr">
        <is>
          <t>Milk Standard 2L</t>
        </is>
      </c>
      <c r="D789" s="25" t="inlineStr">
        <is>
          <t>Dairy</t>
        </is>
      </c>
      <c r="E789" s="26" t="n">
        <v>1501.23</v>
      </c>
      <c r="F789" s="27" t="n">
        <v>307</v>
      </c>
      <c r="G789" s="26" t="n">
        <v>411.38</v>
      </c>
    </row>
    <row r="790">
      <c r="A790" s="24" t="n">
        <v>46236</v>
      </c>
      <c r="B790" s="25" t="inlineStr">
        <is>
          <t>MLK002</t>
        </is>
      </c>
      <c r="C790" s="25" t="inlineStr">
        <is>
          <t>Milk Lite 2L</t>
        </is>
      </c>
      <c r="D790" s="25" t="inlineStr">
        <is>
          <t>Dairy</t>
        </is>
      </c>
      <c r="E790" s="26" t="n">
        <v>606.36</v>
      </c>
      <c r="F790" s="27" t="n">
        <v>124</v>
      </c>
      <c r="G790" s="26" t="n">
        <v>166.16</v>
      </c>
    </row>
    <row r="791">
      <c r="A791" s="24" t="n">
        <v>46236</v>
      </c>
      <c r="B791" s="25" t="inlineStr">
        <is>
          <t>MLK003</t>
        </is>
      </c>
      <c r="C791" s="25" t="inlineStr">
        <is>
          <t>Oat Milk 1L</t>
        </is>
      </c>
      <c r="D791" s="25" t="inlineStr">
        <is>
          <t>Dairy</t>
        </is>
      </c>
      <c r="E791" s="26" t="n">
        <v>197.34</v>
      </c>
      <c r="F791" s="27" t="n">
        <v>46</v>
      </c>
      <c r="G791" s="26" t="n">
        <v>73.14</v>
      </c>
    </row>
    <row r="792">
      <c r="A792" s="24" t="n">
        <v>46236</v>
      </c>
      <c r="B792" s="25" t="inlineStr">
        <is>
          <t>PHM001</t>
        </is>
      </c>
      <c r="C792" s="25" t="inlineStr">
        <is>
          <t>Paracetamol 20pk</t>
        </is>
      </c>
      <c r="D792" s="25" t="inlineStr">
        <is>
          <t>Health &amp; Beauty</t>
        </is>
      </c>
      <c r="E792" s="26" t="n">
        <v>107.73</v>
      </c>
      <c r="F792" s="27" t="n">
        <v>27</v>
      </c>
      <c r="G792" s="26" t="n">
        <v>64.53</v>
      </c>
    </row>
    <row r="793">
      <c r="A793" s="24" t="n">
        <v>46236</v>
      </c>
      <c r="B793" s="25" t="inlineStr">
        <is>
          <t>PHM002</t>
        </is>
      </c>
      <c r="C793" s="25" t="inlineStr">
        <is>
          <t>Sunscreen SPF50</t>
        </is>
      </c>
      <c r="D793" s="25" t="inlineStr">
        <is>
          <t>Health &amp; Beauty</t>
        </is>
      </c>
      <c r="E793" s="26" t="n">
        <v>239.84</v>
      </c>
      <c r="F793" s="27" t="n">
        <v>16</v>
      </c>
      <c r="G793" s="26" t="n">
        <v>108.64</v>
      </c>
    </row>
    <row r="794">
      <c r="A794" s="24" t="n">
        <v>46236</v>
      </c>
      <c r="B794" s="25" t="inlineStr">
        <is>
          <t>PRD001</t>
        </is>
      </c>
      <c r="C794" s="25" t="inlineStr">
        <is>
          <t>Bananas (each)</t>
        </is>
      </c>
      <c r="D794" s="25" t="inlineStr">
        <is>
          <t>Produce</t>
        </is>
      </c>
      <c r="E794" s="26" t="n">
        <v>164.45</v>
      </c>
      <c r="F794" s="27" t="n">
        <v>271</v>
      </c>
      <c r="G794" s="26" t="n">
        <v>61.47</v>
      </c>
    </row>
    <row r="795">
      <c r="A795" s="24" t="n">
        <v>46236</v>
      </c>
      <c r="B795" s="25" t="inlineStr">
        <is>
          <t>PRD002</t>
        </is>
      </c>
      <c r="C795" s="25" t="inlineStr">
        <is>
          <t>Avocado</t>
        </is>
      </c>
      <c r="D795" s="25" t="inlineStr">
        <is>
          <t>Produce</t>
        </is>
      </c>
      <c r="E795" s="26" t="n">
        <v>97.11</v>
      </c>
      <c r="F795" s="27" t="n">
        <v>39</v>
      </c>
      <c r="G795" s="26" t="n">
        <v>42.51</v>
      </c>
    </row>
    <row r="796">
      <c r="A796" s="24" t="n">
        <v>46236</v>
      </c>
      <c r="B796" s="25" t="inlineStr">
        <is>
          <t>PRD003</t>
        </is>
      </c>
      <c r="C796" s="25" t="inlineStr">
        <is>
          <t>Tomatoes 500g</t>
        </is>
      </c>
      <c r="D796" s="25" t="inlineStr">
        <is>
          <t>Produce</t>
        </is>
      </c>
      <c r="E796" s="26" t="n">
        <v>161.64</v>
      </c>
      <c r="F796" s="27" t="n">
        <v>36</v>
      </c>
      <c r="G796" s="26" t="n">
        <v>68.04000000000001</v>
      </c>
    </row>
    <row r="797">
      <c r="A797" s="24" t="n">
        <v>46236</v>
      </c>
      <c r="B797" s="25" t="inlineStr">
        <is>
          <t>SNK001</t>
        </is>
      </c>
      <c r="C797" s="25" t="inlineStr">
        <is>
          <t>Potato Chips 150g</t>
        </is>
      </c>
      <c r="D797" s="25" t="inlineStr">
        <is>
          <t>Snacks &amp; Confectionery</t>
        </is>
      </c>
      <c r="E797" s="26" t="n">
        <v>635.01</v>
      </c>
      <c r="F797" s="27" t="n">
        <v>179</v>
      </c>
      <c r="G797" s="26" t="n">
        <v>259.11</v>
      </c>
    </row>
    <row r="798">
      <c r="A798" s="24" t="n">
        <v>46236</v>
      </c>
      <c r="B798" s="25" t="inlineStr">
        <is>
          <t>SNK002</t>
        </is>
      </c>
      <c r="C798" s="25" t="inlineStr">
        <is>
          <t>Chocolate Block 200g</t>
        </is>
      </c>
      <c r="D798" s="25" t="inlineStr">
        <is>
          <t>Snacks &amp; Confectionery</t>
        </is>
      </c>
      <c r="E798" s="26" t="n">
        <v>779.58</v>
      </c>
      <c r="F798" s="27" t="n">
        <v>142</v>
      </c>
      <c r="G798" s="26" t="n">
        <v>325.18</v>
      </c>
    </row>
    <row r="799">
      <c r="A799" s="24" t="n">
        <v>46236</v>
      </c>
      <c r="B799" s="25" t="inlineStr">
        <is>
          <t>SNK003</t>
        </is>
      </c>
      <c r="C799" s="25" t="inlineStr">
        <is>
          <t>Muesli Bar 6pk</t>
        </is>
      </c>
      <c r="D799" s="25" t="inlineStr">
        <is>
          <t>Snacks &amp; Confectionery</t>
        </is>
      </c>
      <c r="E799" s="26" t="n">
        <v>296.01</v>
      </c>
      <c r="F799" s="27" t="n">
        <v>69</v>
      </c>
      <c r="G799" s="26" t="n">
        <v>116.61</v>
      </c>
    </row>
    <row r="800">
      <c r="A800" s="24" t="n">
        <v>46236</v>
      </c>
      <c r="B800" s="25" t="inlineStr">
        <is>
          <t>SNK004</t>
        </is>
      </c>
      <c r="C800" s="25" t="inlineStr">
        <is>
          <t>Corn Chips 230g</t>
        </is>
      </c>
      <c r="D800" s="25" t="inlineStr">
        <is>
          <t>Snacks &amp; Confectionery</t>
        </is>
      </c>
      <c r="E800" s="26" t="n">
        <v>282.87</v>
      </c>
      <c r="F800" s="27" t="n">
        <v>63</v>
      </c>
      <c r="G800" s="26" t="n">
        <v>131.67</v>
      </c>
    </row>
    <row r="801">
      <c r="A801" s="24" t="n">
        <v>46236</v>
      </c>
      <c r="B801" s="25" t="inlineStr">
        <is>
          <t>SNK005</t>
        </is>
      </c>
      <c r="C801" s="25" t="inlineStr">
        <is>
          <t>Lollies Bag 200g</t>
        </is>
      </c>
      <c r="D801" s="25" t="inlineStr">
        <is>
          <t>Snacks &amp; Confectionery</t>
        </is>
      </c>
      <c r="E801" s="26" t="n">
        <v>212.89</v>
      </c>
      <c r="F801" s="27" t="n">
        <v>61</v>
      </c>
      <c r="G801" s="26" t="n">
        <v>109.19</v>
      </c>
    </row>
    <row r="802">
      <c r="A802" s="24" t="n">
        <v>46243</v>
      </c>
      <c r="B802" s="25" t="inlineStr">
        <is>
          <t>BAK001</t>
        </is>
      </c>
      <c r="C802" s="25" t="inlineStr">
        <is>
          <t>Toast Bread White</t>
        </is>
      </c>
      <c r="D802" s="25" t="inlineStr">
        <is>
          <t>Bakery</t>
        </is>
      </c>
      <c r="E802" s="26" t="n">
        <v>506.05</v>
      </c>
      <c r="F802" s="27" t="n">
        <v>145</v>
      </c>
      <c r="G802" s="26" t="n">
        <v>187.05</v>
      </c>
    </row>
    <row r="803">
      <c r="A803" s="24" t="n">
        <v>46243</v>
      </c>
      <c r="B803" s="25" t="inlineStr">
        <is>
          <t>BAK002</t>
        </is>
      </c>
      <c r="C803" s="25" t="inlineStr">
        <is>
          <t>Wholemeal Loaf</t>
        </is>
      </c>
      <c r="D803" s="25" t="inlineStr">
        <is>
          <t>Bakery</t>
        </is>
      </c>
      <c r="E803" s="26" t="n">
        <v>377.52</v>
      </c>
      <c r="F803" s="27" t="n">
        <v>88</v>
      </c>
      <c r="G803" s="26" t="n">
        <v>139.92</v>
      </c>
    </row>
    <row r="804">
      <c r="A804" s="24" t="n">
        <v>46243</v>
      </c>
      <c r="B804" s="25" t="inlineStr">
        <is>
          <t>BAK003</t>
        </is>
      </c>
      <c r="C804" s="25" t="inlineStr">
        <is>
          <t>Croissant 4pk</t>
        </is>
      </c>
      <c r="D804" s="25" t="inlineStr">
        <is>
          <t>Bakery</t>
        </is>
      </c>
      <c r="E804" s="26" t="n">
        <v>263.56</v>
      </c>
      <c r="F804" s="27" t="n">
        <v>44</v>
      </c>
      <c r="G804" s="26" t="n">
        <v>118.36</v>
      </c>
    </row>
    <row r="805">
      <c r="A805" s="24" t="n">
        <v>46243</v>
      </c>
      <c r="B805" s="25" t="inlineStr">
        <is>
          <t>BBT001</t>
        </is>
      </c>
      <c r="C805" s="25" t="inlineStr">
        <is>
          <t>Bubble Tea Kit</t>
        </is>
      </c>
      <c r="D805" s="25" t="inlineStr">
        <is>
          <t>Beverages</t>
        </is>
      </c>
      <c r="E805" s="26" t="n">
        <v>223.68</v>
      </c>
      <c r="F805" s="27" t="n">
        <v>32</v>
      </c>
      <c r="G805" s="26" t="n">
        <v>98.88</v>
      </c>
    </row>
    <row r="806">
      <c r="A806" s="24" t="n">
        <v>46243</v>
      </c>
      <c r="B806" s="25" t="inlineStr">
        <is>
          <t>BEV001</t>
        </is>
      </c>
      <c r="C806" s="25" t="inlineStr">
        <is>
          <t>Energy Drink 500ml</t>
        </is>
      </c>
      <c r="D806" s="25" t="inlineStr">
        <is>
          <t>Beverages</t>
        </is>
      </c>
      <c r="E806" s="26" t="n">
        <v>660.66</v>
      </c>
      <c r="F806" s="27" t="n">
        <v>154</v>
      </c>
      <c r="G806" s="26" t="n">
        <v>329.56</v>
      </c>
    </row>
    <row r="807">
      <c r="A807" s="24" t="n">
        <v>46243</v>
      </c>
      <c r="B807" s="25" t="inlineStr">
        <is>
          <t>BEV002</t>
        </is>
      </c>
      <c r="C807" s="25" t="inlineStr">
        <is>
          <t>Cola 1.5L</t>
        </is>
      </c>
      <c r="D807" s="25" t="inlineStr">
        <is>
          <t>Beverages</t>
        </is>
      </c>
      <c r="E807" s="26" t="n">
        <v>386.14</v>
      </c>
      <c r="F807" s="27" t="n">
        <v>86</v>
      </c>
      <c r="G807" s="26" t="n">
        <v>188.34</v>
      </c>
    </row>
    <row r="808">
      <c r="A808" s="24" t="n">
        <v>46243</v>
      </c>
      <c r="B808" s="25" t="inlineStr">
        <is>
          <t>BEV003</t>
        </is>
      </c>
      <c r="C808" s="25" t="inlineStr">
        <is>
          <t>Sparkling Water 1L</t>
        </is>
      </c>
      <c r="D808" s="25" t="inlineStr">
        <is>
          <t>Beverages</t>
        </is>
      </c>
      <c r="E808" s="26" t="n">
        <v>171.81</v>
      </c>
      <c r="F808" s="27" t="n">
        <v>69</v>
      </c>
      <c r="G808" s="26" t="n">
        <v>95.91</v>
      </c>
    </row>
    <row r="809">
      <c r="A809" s="24" t="n">
        <v>46243</v>
      </c>
      <c r="B809" s="25" t="inlineStr">
        <is>
          <t>BEV004</t>
        </is>
      </c>
      <c r="C809" s="25" t="inlineStr">
        <is>
          <t>Iced Coffee 500ml</t>
        </is>
      </c>
      <c r="D809" s="25" t="inlineStr">
        <is>
          <t>Beverages</t>
        </is>
      </c>
      <c r="E809" s="26" t="n">
        <v>409.18</v>
      </c>
      <c r="F809" s="27" t="n">
        <v>82</v>
      </c>
      <c r="G809" s="26" t="n">
        <v>187.78</v>
      </c>
    </row>
    <row r="810">
      <c r="A810" s="24" t="n">
        <v>46243</v>
      </c>
      <c r="B810" s="25" t="inlineStr">
        <is>
          <t>BEV005</t>
        </is>
      </c>
      <c r="C810" s="25" t="inlineStr">
        <is>
          <t>Kombucha 330ml</t>
        </is>
      </c>
      <c r="D810" s="25" t="inlineStr">
        <is>
          <t>Beverages</t>
        </is>
      </c>
      <c r="E810" s="26" t="n">
        <v>143.7</v>
      </c>
      <c r="F810" s="27" t="n">
        <v>30</v>
      </c>
      <c r="G810" s="26" t="n">
        <v>65.7</v>
      </c>
    </row>
    <row r="811">
      <c r="A811" s="24" t="n">
        <v>46243</v>
      </c>
      <c r="B811" s="25" t="inlineStr">
        <is>
          <t>BEV006</t>
        </is>
      </c>
      <c r="C811" s="25" t="inlineStr">
        <is>
          <t>Bottled Water 750ml</t>
        </is>
      </c>
      <c r="D811" s="25" t="inlineStr">
        <is>
          <t>Beverages</t>
        </is>
      </c>
      <c r="E811" s="26" t="n">
        <v>281.06</v>
      </c>
      <c r="F811" s="27" t="n">
        <v>94</v>
      </c>
      <c r="G811" s="26" t="n">
        <v>191.76</v>
      </c>
    </row>
    <row r="812">
      <c r="A812" s="24" t="n">
        <v>46243</v>
      </c>
      <c r="B812" s="25" t="inlineStr">
        <is>
          <t>DRY010</t>
        </is>
      </c>
      <c r="C812" s="25" t="inlineStr">
        <is>
          <t>Butter 500g</t>
        </is>
      </c>
      <c r="D812" s="25" t="inlineStr">
        <is>
          <t>Dairy</t>
        </is>
      </c>
      <c r="E812" s="26" t="n">
        <v>314.58</v>
      </c>
      <c r="F812" s="27" t="n">
        <v>42</v>
      </c>
      <c r="G812" s="26" t="n">
        <v>79.38</v>
      </c>
    </row>
    <row r="813">
      <c r="A813" s="24" t="n">
        <v>46243</v>
      </c>
      <c r="B813" s="25" t="inlineStr">
        <is>
          <t>DRY011</t>
        </is>
      </c>
      <c r="C813" s="25" t="inlineStr">
        <is>
          <t>Greek Yoghurt 1kg</t>
        </is>
      </c>
      <c r="D813" s="25" t="inlineStr">
        <is>
          <t>Dairy</t>
        </is>
      </c>
      <c r="E813" s="26" t="n">
        <v>295.63</v>
      </c>
      <c r="F813" s="27" t="n">
        <v>37</v>
      </c>
      <c r="G813" s="26" t="n">
        <v>106.93</v>
      </c>
    </row>
    <row r="814">
      <c r="A814" s="24" t="n">
        <v>46243</v>
      </c>
      <c r="B814" s="25" t="inlineStr">
        <is>
          <t>DRY012</t>
        </is>
      </c>
      <c r="C814" s="25" t="inlineStr">
        <is>
          <t>Cheese Block 1kg</t>
        </is>
      </c>
      <c r="D814" s="25" t="inlineStr">
        <is>
          <t>Dairy</t>
        </is>
      </c>
      <c r="E814" s="26" t="n">
        <v>377.73</v>
      </c>
      <c r="F814" s="27" t="n">
        <v>27</v>
      </c>
      <c r="G814" s="26" t="n">
        <v>96.93000000000001</v>
      </c>
    </row>
    <row r="815">
      <c r="A815" s="24" t="n">
        <v>46243</v>
      </c>
      <c r="B815" s="25" t="inlineStr">
        <is>
          <t>FRZ001</t>
        </is>
      </c>
      <c r="C815" s="25" t="inlineStr">
        <is>
          <t>Ice Cream Tub 2L</t>
        </is>
      </c>
      <c r="D815" s="25" t="inlineStr">
        <is>
          <t>Frozen</t>
        </is>
      </c>
      <c r="E815" s="26" t="n">
        <v>476.47</v>
      </c>
      <c r="F815" s="27" t="n">
        <v>53</v>
      </c>
      <c r="G815" s="26" t="n">
        <v>190.27</v>
      </c>
    </row>
    <row r="816">
      <c r="A816" s="24" t="n">
        <v>46243</v>
      </c>
      <c r="B816" s="25" t="inlineStr">
        <is>
          <t>FRZ002</t>
        </is>
      </c>
      <c r="C816" s="25" t="inlineStr">
        <is>
          <t>Ice Block Single</t>
        </is>
      </c>
      <c r="D816" s="25" t="inlineStr">
        <is>
          <t>Frozen</t>
        </is>
      </c>
      <c r="E816" s="26" t="n">
        <v>125.58</v>
      </c>
      <c r="F816" s="27" t="n">
        <v>42</v>
      </c>
      <c r="G816" s="26" t="n">
        <v>75.18000000000001</v>
      </c>
    </row>
    <row r="817">
      <c r="A817" s="24" t="n">
        <v>46243</v>
      </c>
      <c r="B817" s="25" t="inlineStr">
        <is>
          <t>FRZ003</t>
        </is>
      </c>
      <c r="C817" s="25" t="inlineStr">
        <is>
          <t>Frozen Pizza</t>
        </is>
      </c>
      <c r="D817" s="25" t="inlineStr">
        <is>
          <t>Frozen</t>
        </is>
      </c>
      <c r="E817" s="26" t="n">
        <v>375.53</v>
      </c>
      <c r="F817" s="27" t="n">
        <v>47</v>
      </c>
      <c r="G817" s="26" t="n">
        <v>154.63</v>
      </c>
    </row>
    <row r="818">
      <c r="A818" s="24" t="n">
        <v>46243</v>
      </c>
      <c r="B818" s="25" t="inlineStr">
        <is>
          <t>FRZ004</t>
        </is>
      </c>
      <c r="C818" s="25" t="inlineStr">
        <is>
          <t>Frozen Dumplings 1kg</t>
        </is>
      </c>
      <c r="D818" s="25" t="inlineStr">
        <is>
          <t>Frozen</t>
        </is>
      </c>
      <c r="E818" s="26" t="n">
        <v>407.66</v>
      </c>
      <c r="F818" s="27" t="n">
        <v>34</v>
      </c>
      <c r="G818" s="26" t="n">
        <v>166.26</v>
      </c>
    </row>
    <row r="819">
      <c r="A819" s="24" t="n">
        <v>46243</v>
      </c>
      <c r="B819" s="25" t="inlineStr">
        <is>
          <t>FTG001</t>
        </is>
      </c>
      <c r="C819" s="25" t="inlineStr">
        <is>
          <t>Chicken Sandwich</t>
        </is>
      </c>
      <c r="D819" s="25" t="inlineStr">
        <is>
          <t>Food To Go</t>
        </is>
      </c>
      <c r="E819" s="26" t="n">
        <v>966.21</v>
      </c>
      <c r="F819" s="27" t="n">
        <v>129</v>
      </c>
      <c r="G819" s="26" t="n">
        <v>463.11</v>
      </c>
    </row>
    <row r="820">
      <c r="A820" s="24" t="n">
        <v>46243</v>
      </c>
      <c r="B820" s="25" t="inlineStr">
        <is>
          <t>FTG002</t>
        </is>
      </c>
      <c r="C820" s="25" t="inlineStr">
        <is>
          <t>Sushi Pack 8pc</t>
        </is>
      </c>
      <c r="D820" s="25" t="inlineStr">
        <is>
          <t>Food To Go</t>
        </is>
      </c>
      <c r="E820" s="26" t="n">
        <v>709.29</v>
      </c>
      <c r="F820" s="27" t="n">
        <v>71</v>
      </c>
      <c r="G820" s="26" t="n">
        <v>311.69</v>
      </c>
    </row>
    <row r="821">
      <c r="A821" s="24" t="n">
        <v>46243</v>
      </c>
      <c r="B821" s="25" t="inlineStr">
        <is>
          <t>FTG003</t>
        </is>
      </c>
      <c r="C821" s="25" t="inlineStr">
        <is>
          <t>Hot Pie Mince &amp; Cheese</t>
        </is>
      </c>
      <c r="D821" s="25" t="inlineStr">
        <is>
          <t>Food To Go</t>
        </is>
      </c>
      <c r="E821" s="26" t="n">
        <v>807.03</v>
      </c>
      <c r="F821" s="27" t="n">
        <v>147</v>
      </c>
      <c r="G821" s="26" t="n">
        <v>454.23</v>
      </c>
    </row>
    <row r="822">
      <c r="A822" s="24" t="n">
        <v>46243</v>
      </c>
      <c r="B822" s="25" t="inlineStr">
        <is>
          <t>FTG004</t>
        </is>
      </c>
      <c r="C822" s="25" t="inlineStr">
        <is>
          <t>Salad Bowl</t>
        </is>
      </c>
      <c r="D822" s="25" t="inlineStr">
        <is>
          <t>Food To Go</t>
        </is>
      </c>
      <c r="E822" s="26" t="n">
        <v>395.64</v>
      </c>
      <c r="F822" s="27" t="n">
        <v>36</v>
      </c>
      <c r="G822" s="26" t="n">
        <v>172.44</v>
      </c>
    </row>
    <row r="823">
      <c r="A823" s="24" t="n">
        <v>46243</v>
      </c>
      <c r="B823" s="25" t="inlineStr">
        <is>
          <t>FTG005</t>
        </is>
      </c>
      <c r="C823" s="25" t="inlineStr">
        <is>
          <t>Filled Roll</t>
        </is>
      </c>
      <c r="D823" s="25" t="inlineStr">
        <is>
          <t>Food To Go</t>
        </is>
      </c>
      <c r="E823" s="26" t="n">
        <v>623.0400000000001</v>
      </c>
      <c r="F823" s="27" t="n">
        <v>96</v>
      </c>
      <c r="G823" s="26" t="n">
        <v>315.84</v>
      </c>
    </row>
    <row r="824">
      <c r="A824" s="24" t="n">
        <v>46243</v>
      </c>
      <c r="B824" s="25" t="inlineStr">
        <is>
          <t>GRO001</t>
        </is>
      </c>
      <c r="C824" s="25" t="inlineStr">
        <is>
          <t>Instant Noodles 5pk</t>
        </is>
      </c>
      <c r="D824" s="25" t="inlineStr">
        <is>
          <t>Grocery</t>
        </is>
      </c>
      <c r="E824" s="26" t="n">
        <v>475.94</v>
      </c>
      <c r="F824" s="27" t="n">
        <v>106</v>
      </c>
      <c r="G824" s="26" t="n">
        <v>200.34</v>
      </c>
    </row>
    <row r="825">
      <c r="A825" s="24" t="n">
        <v>46243</v>
      </c>
      <c r="B825" s="25" t="inlineStr">
        <is>
          <t>GRO002</t>
        </is>
      </c>
      <c r="C825" s="25" t="inlineStr">
        <is>
          <t>Canned Soup 500g</t>
        </is>
      </c>
      <c r="D825" s="25" t="inlineStr">
        <is>
          <t>Grocery</t>
        </is>
      </c>
      <c r="E825" s="26" t="n">
        <v>164.5</v>
      </c>
      <c r="F825" s="27" t="n">
        <v>50</v>
      </c>
      <c r="G825" s="26" t="n">
        <v>69.5</v>
      </c>
    </row>
    <row r="826">
      <c r="A826" s="24" t="n">
        <v>46243</v>
      </c>
      <c r="B826" s="25" t="inlineStr">
        <is>
          <t>GRO003</t>
        </is>
      </c>
      <c r="C826" s="25" t="inlineStr">
        <is>
          <t>Pasta 500g</t>
        </is>
      </c>
      <c r="D826" s="25" t="inlineStr">
        <is>
          <t>Grocery</t>
        </is>
      </c>
      <c r="E826" s="26" t="n">
        <v>104.58</v>
      </c>
      <c r="F826" s="27" t="n">
        <v>42</v>
      </c>
      <c r="G826" s="26" t="n">
        <v>49.98</v>
      </c>
    </row>
    <row r="827">
      <c r="A827" s="24" t="n">
        <v>46243</v>
      </c>
      <c r="B827" s="25" t="inlineStr">
        <is>
          <t>GRO004</t>
        </is>
      </c>
      <c r="C827" s="25" t="inlineStr">
        <is>
          <t>Simmer Sauce 485g</t>
        </is>
      </c>
      <c r="D827" s="25" t="inlineStr">
        <is>
          <t>Grocery</t>
        </is>
      </c>
      <c r="E827" s="26" t="n">
        <v>171.57</v>
      </c>
      <c r="F827" s="27" t="n">
        <v>43</v>
      </c>
      <c r="G827" s="26" t="n">
        <v>72.67</v>
      </c>
    </row>
    <row r="828">
      <c r="A828" s="24" t="n">
        <v>46243</v>
      </c>
      <c r="B828" s="25" t="inlineStr">
        <is>
          <t>GRO005</t>
        </is>
      </c>
      <c r="C828" s="25" t="inlineStr">
        <is>
          <t>Salsa 300g</t>
        </is>
      </c>
      <c r="D828" s="25" t="inlineStr">
        <is>
          <t>Grocery</t>
        </is>
      </c>
      <c r="E828" s="26" t="n">
        <v>86.22</v>
      </c>
      <c r="F828" s="27" t="n">
        <v>18</v>
      </c>
      <c r="G828" s="26" t="n">
        <v>34.02</v>
      </c>
    </row>
    <row r="829">
      <c r="A829" s="24" t="n">
        <v>46243</v>
      </c>
      <c r="B829" s="25" t="inlineStr">
        <is>
          <t>GRO006</t>
        </is>
      </c>
      <c r="C829" s="25" t="inlineStr">
        <is>
          <t>Taco Kit</t>
        </is>
      </c>
      <c r="D829" s="25" t="inlineStr">
        <is>
          <t>Grocery</t>
        </is>
      </c>
      <c r="E829" s="26" t="n">
        <v>103.84</v>
      </c>
      <c r="F829" s="27" t="n">
        <v>16</v>
      </c>
      <c r="G829" s="26" t="n">
        <v>39.84</v>
      </c>
    </row>
    <row r="830">
      <c r="A830" s="24" t="n">
        <v>46243</v>
      </c>
      <c r="B830" s="25" t="inlineStr">
        <is>
          <t>GRO007</t>
        </is>
      </c>
      <c r="C830" s="25" t="inlineStr">
        <is>
          <t>Eggs Free Range 12pk</t>
        </is>
      </c>
      <c r="D830" s="25" t="inlineStr">
        <is>
          <t>Grocery</t>
        </is>
      </c>
      <c r="E830" s="26" t="n">
        <v>692.37</v>
      </c>
      <c r="F830" s="27" t="n">
        <v>63</v>
      </c>
      <c r="G830" s="26" t="n">
        <v>175.77</v>
      </c>
    </row>
    <row r="831">
      <c r="A831" s="24" t="n">
        <v>46243</v>
      </c>
      <c r="B831" s="25" t="inlineStr">
        <is>
          <t>GRO008</t>
        </is>
      </c>
      <c r="C831" s="25" t="inlineStr">
        <is>
          <t>Coffee Beans 200g</t>
        </is>
      </c>
      <c r="D831" s="25" t="inlineStr">
        <is>
          <t>Grocery</t>
        </is>
      </c>
      <c r="E831" s="26" t="n">
        <v>299.75</v>
      </c>
      <c r="F831" s="27" t="n">
        <v>25</v>
      </c>
      <c r="G831" s="26" t="n">
        <v>109.75</v>
      </c>
    </row>
    <row r="832">
      <c r="A832" s="24" t="n">
        <v>46243</v>
      </c>
      <c r="B832" s="25" t="inlineStr">
        <is>
          <t>HHD001</t>
        </is>
      </c>
      <c r="C832" s="25" t="inlineStr">
        <is>
          <t>Toilet Paper 6pk</t>
        </is>
      </c>
      <c r="D832" s="25" t="inlineStr">
        <is>
          <t>Household</t>
        </is>
      </c>
      <c r="E832" s="26" t="n">
        <v>287.68</v>
      </c>
      <c r="F832" s="27" t="n">
        <v>32</v>
      </c>
      <c r="G832" s="26" t="n">
        <v>98.88</v>
      </c>
    </row>
    <row r="833">
      <c r="A833" s="24" t="n">
        <v>46243</v>
      </c>
      <c r="B833" s="25" t="inlineStr">
        <is>
          <t>HHD002</t>
        </is>
      </c>
      <c r="C833" s="25" t="inlineStr">
        <is>
          <t>Dishwash Liquid</t>
        </is>
      </c>
      <c r="D833" s="25" t="inlineStr">
        <is>
          <t>Household</t>
        </is>
      </c>
      <c r="E833" s="26" t="n">
        <v>109.78</v>
      </c>
      <c r="F833" s="27" t="n">
        <v>22</v>
      </c>
      <c r="G833" s="26" t="n">
        <v>45.98</v>
      </c>
    </row>
    <row r="834">
      <c r="A834" s="24" t="n">
        <v>46243</v>
      </c>
      <c r="B834" s="25" t="inlineStr">
        <is>
          <t>HHD003</t>
        </is>
      </c>
      <c r="C834" s="25" t="inlineStr">
        <is>
          <t>Phone Charger Cable</t>
        </is>
      </c>
      <c r="D834" s="25" t="inlineStr">
        <is>
          <t>Household</t>
        </is>
      </c>
      <c r="E834" s="26" t="n">
        <v>44.97</v>
      </c>
      <c r="F834" s="27" t="n">
        <v>3</v>
      </c>
      <c r="G834" s="26" t="n">
        <v>28.47</v>
      </c>
    </row>
    <row r="835">
      <c r="A835" s="24" t="n">
        <v>46243</v>
      </c>
      <c r="B835" s="25" t="inlineStr">
        <is>
          <t>LIQ001</t>
        </is>
      </c>
      <c r="C835" s="25" t="inlineStr">
        <is>
          <t>Craft Beer 6pk</t>
        </is>
      </c>
      <c r="D835" s="25" t="inlineStr">
        <is>
          <t>Beer &amp; Wine</t>
        </is>
      </c>
      <c r="E835" s="26" t="n">
        <v>873.62</v>
      </c>
      <c r="F835" s="27" t="n">
        <v>38</v>
      </c>
      <c r="G835" s="26" t="n">
        <v>292.22</v>
      </c>
    </row>
    <row r="836">
      <c r="A836" s="24" t="n">
        <v>46243</v>
      </c>
      <c r="B836" s="25" t="inlineStr">
        <is>
          <t>LIQ002</t>
        </is>
      </c>
      <c r="C836" s="25" t="inlineStr">
        <is>
          <t>Sauvignon Blanc 750ml</t>
        </is>
      </c>
      <c r="D836" s="25" t="inlineStr">
        <is>
          <t>Beer &amp; Wine</t>
        </is>
      </c>
      <c r="E836" s="26" t="n">
        <v>479.7</v>
      </c>
      <c r="F836" s="27" t="n">
        <v>30</v>
      </c>
      <c r="G836" s="26" t="n">
        <v>173.7</v>
      </c>
    </row>
    <row r="837">
      <c r="A837" s="24" t="n">
        <v>46243</v>
      </c>
      <c r="B837" s="25" t="inlineStr">
        <is>
          <t>LIQ003</t>
        </is>
      </c>
      <c r="C837" s="25" t="inlineStr">
        <is>
          <t>RTD 4pk</t>
        </is>
      </c>
      <c r="D837" s="25" t="inlineStr">
        <is>
          <t>Beer &amp; Wine</t>
        </is>
      </c>
      <c r="E837" s="26" t="n">
        <v>395.78</v>
      </c>
      <c r="F837" s="27" t="n">
        <v>22</v>
      </c>
      <c r="G837" s="26" t="n">
        <v>133.98</v>
      </c>
    </row>
    <row r="838">
      <c r="A838" s="24" t="n">
        <v>46243</v>
      </c>
      <c r="B838" s="25" t="inlineStr">
        <is>
          <t>LIQ004</t>
        </is>
      </c>
      <c r="C838" s="25" t="inlineStr">
        <is>
          <t>Pinot Noir 750ml</t>
        </is>
      </c>
      <c r="D838" s="25" t="inlineStr">
        <is>
          <t>Beer &amp; Wine</t>
        </is>
      </c>
      <c r="E838" s="26" t="n">
        <v>439.78</v>
      </c>
      <c r="F838" s="27" t="n">
        <v>22</v>
      </c>
      <c r="G838" s="26" t="n">
        <v>158.18</v>
      </c>
    </row>
    <row r="839">
      <c r="A839" s="24" t="n">
        <v>46243</v>
      </c>
      <c r="B839" s="25" t="inlineStr">
        <is>
          <t>MLK001</t>
        </is>
      </c>
      <c r="C839" s="25" t="inlineStr">
        <is>
          <t>Milk Standard 2L</t>
        </is>
      </c>
      <c r="D839" s="25" t="inlineStr">
        <is>
          <t>Dairy</t>
        </is>
      </c>
      <c r="E839" s="26" t="n">
        <v>1388.76</v>
      </c>
      <c r="F839" s="27" t="n">
        <v>284</v>
      </c>
      <c r="G839" s="26" t="n">
        <v>380.56</v>
      </c>
    </row>
    <row r="840">
      <c r="A840" s="24" t="n">
        <v>46243</v>
      </c>
      <c r="B840" s="25" t="inlineStr">
        <is>
          <t>MLK002</t>
        </is>
      </c>
      <c r="C840" s="25" t="inlineStr">
        <is>
          <t>Milk Lite 2L</t>
        </is>
      </c>
      <c r="D840" s="25" t="inlineStr">
        <is>
          <t>Dairy</t>
        </is>
      </c>
      <c r="E840" s="26" t="n">
        <v>586.8</v>
      </c>
      <c r="F840" s="27" t="n">
        <v>120</v>
      </c>
      <c r="G840" s="26" t="n">
        <v>160.8</v>
      </c>
    </row>
    <row r="841">
      <c r="A841" s="24" t="n">
        <v>46243</v>
      </c>
      <c r="B841" s="25" t="inlineStr">
        <is>
          <t>MLK003</t>
        </is>
      </c>
      <c r="C841" s="25" t="inlineStr">
        <is>
          <t>Oat Milk 1L</t>
        </is>
      </c>
      <c r="D841" s="25" t="inlineStr">
        <is>
          <t>Dairy</t>
        </is>
      </c>
      <c r="E841" s="26" t="n">
        <v>235.95</v>
      </c>
      <c r="F841" s="27" t="n">
        <v>55</v>
      </c>
      <c r="G841" s="26" t="n">
        <v>87.45</v>
      </c>
    </row>
    <row r="842">
      <c r="A842" s="24" t="n">
        <v>46243</v>
      </c>
      <c r="B842" s="25" t="inlineStr">
        <is>
          <t>PHM001</t>
        </is>
      </c>
      <c r="C842" s="25" t="inlineStr">
        <is>
          <t>Paracetamol 20pk</t>
        </is>
      </c>
      <c r="D842" s="25" t="inlineStr">
        <is>
          <t>Health &amp; Beauty</t>
        </is>
      </c>
      <c r="E842" s="26" t="n">
        <v>167.58</v>
      </c>
      <c r="F842" s="27" t="n">
        <v>42</v>
      </c>
      <c r="G842" s="26" t="n">
        <v>100.38</v>
      </c>
    </row>
    <row r="843">
      <c r="A843" s="24" t="n">
        <v>46243</v>
      </c>
      <c r="B843" s="25" t="inlineStr">
        <is>
          <t>PHM002</t>
        </is>
      </c>
      <c r="C843" s="25" t="inlineStr">
        <is>
          <t>Sunscreen SPF50</t>
        </is>
      </c>
      <c r="D843" s="25" t="inlineStr">
        <is>
          <t>Health &amp; Beauty</t>
        </is>
      </c>
      <c r="E843" s="26" t="n">
        <v>104.93</v>
      </c>
      <c r="F843" s="27" t="n">
        <v>7</v>
      </c>
      <c r="G843" s="26" t="n">
        <v>47.53</v>
      </c>
    </row>
    <row r="844">
      <c r="A844" s="24" t="n">
        <v>46243</v>
      </c>
      <c r="B844" s="25" t="inlineStr">
        <is>
          <t>PRD001</t>
        </is>
      </c>
      <c r="C844" s="25" t="inlineStr">
        <is>
          <t>Bananas (each)</t>
        </is>
      </c>
      <c r="D844" s="25" t="inlineStr">
        <is>
          <t>Produce</t>
        </is>
      </c>
      <c r="E844" s="26" t="n">
        <v>137.31</v>
      </c>
      <c r="F844" s="27" t="n">
        <v>199</v>
      </c>
      <c r="G844" s="26" t="n">
        <v>61.69</v>
      </c>
    </row>
    <row r="845">
      <c r="A845" s="24" t="n">
        <v>46243</v>
      </c>
      <c r="B845" s="25" t="inlineStr">
        <is>
          <t>PRD002</t>
        </is>
      </c>
      <c r="C845" s="25" t="inlineStr">
        <is>
          <t>Avocado</t>
        </is>
      </c>
      <c r="D845" s="25" t="inlineStr">
        <is>
          <t>Produce</t>
        </is>
      </c>
      <c r="E845" s="26" t="n">
        <v>138.88</v>
      </c>
      <c r="F845" s="27" t="n">
        <v>62</v>
      </c>
      <c r="G845" s="26" t="n">
        <v>52.08</v>
      </c>
    </row>
    <row r="846">
      <c r="A846" s="24" t="n">
        <v>46243</v>
      </c>
      <c r="B846" s="25" t="inlineStr">
        <is>
          <t>PRD003</t>
        </is>
      </c>
      <c r="C846" s="25" t="inlineStr">
        <is>
          <t>Tomatoes 500g</t>
        </is>
      </c>
      <c r="D846" s="25" t="inlineStr">
        <is>
          <t>Produce</t>
        </is>
      </c>
      <c r="E846" s="26" t="n">
        <v>58.37</v>
      </c>
      <c r="F846" s="27" t="n">
        <v>13</v>
      </c>
      <c r="G846" s="26" t="n">
        <v>24.57</v>
      </c>
    </row>
    <row r="847">
      <c r="A847" s="24" t="n">
        <v>46243</v>
      </c>
      <c r="B847" s="25" t="inlineStr">
        <is>
          <t>SNK001</t>
        </is>
      </c>
      <c r="C847" s="25" t="inlineStr">
        <is>
          <t>Potato Chips 150g</t>
        </is>
      </c>
      <c r="D847" s="25" t="inlineStr">
        <is>
          <t>Snacks &amp; Confectionery</t>
        </is>
      </c>
      <c r="E847" s="26" t="n">
        <v>594.51</v>
      </c>
      <c r="F847" s="27" t="n">
        <v>149</v>
      </c>
      <c r="G847" s="26" t="n">
        <v>281.61</v>
      </c>
    </row>
    <row r="848">
      <c r="A848" s="24" t="n">
        <v>46243</v>
      </c>
      <c r="B848" s="25" t="inlineStr">
        <is>
          <t>SNK002</t>
        </is>
      </c>
      <c r="C848" s="25" t="inlineStr">
        <is>
          <t>Chocolate Block 200g</t>
        </is>
      </c>
      <c r="D848" s="25" t="inlineStr">
        <is>
          <t>Snacks &amp; Confectionery</t>
        </is>
      </c>
      <c r="E848" s="26" t="n">
        <v>675.27</v>
      </c>
      <c r="F848" s="27" t="n">
        <v>123</v>
      </c>
      <c r="G848" s="26" t="n">
        <v>281.67</v>
      </c>
    </row>
    <row r="849">
      <c r="A849" s="24" t="n">
        <v>46243</v>
      </c>
      <c r="B849" s="25" t="inlineStr">
        <is>
          <t>SNK003</t>
        </is>
      </c>
      <c r="C849" s="25" t="inlineStr">
        <is>
          <t>Muesli Bar 6pk</t>
        </is>
      </c>
      <c r="D849" s="25" t="inlineStr">
        <is>
          <t>Snacks &amp; Confectionery</t>
        </is>
      </c>
      <c r="E849" s="26" t="n">
        <v>261.69</v>
      </c>
      <c r="F849" s="27" t="n">
        <v>61</v>
      </c>
      <c r="G849" s="26" t="n">
        <v>103.09</v>
      </c>
    </row>
    <row r="850">
      <c r="A850" s="24" t="n">
        <v>46243</v>
      </c>
      <c r="B850" s="25" t="inlineStr">
        <is>
          <t>SNK004</t>
        </is>
      </c>
      <c r="C850" s="25" t="inlineStr">
        <is>
          <t>Corn Chips 230g</t>
        </is>
      </c>
      <c r="D850" s="25" t="inlineStr">
        <is>
          <t>Snacks &amp; Confectionery</t>
        </is>
      </c>
      <c r="E850" s="26" t="n">
        <v>300.83</v>
      </c>
      <c r="F850" s="27" t="n">
        <v>67</v>
      </c>
      <c r="G850" s="26" t="n">
        <v>140.03</v>
      </c>
    </row>
    <row r="851">
      <c r="A851" s="24" t="n">
        <v>46243</v>
      </c>
      <c r="B851" s="25" t="inlineStr">
        <is>
          <t>SNK005</t>
        </is>
      </c>
      <c r="C851" s="25" t="inlineStr">
        <is>
          <t>Lollies Bag 200g</t>
        </is>
      </c>
      <c r="D851" s="25" t="inlineStr">
        <is>
          <t>Snacks &amp; Confectionery</t>
        </is>
      </c>
      <c r="E851" s="26" t="n">
        <v>212.89</v>
      </c>
      <c r="F851" s="27" t="n">
        <v>61</v>
      </c>
      <c r="G851" s="26" t="n">
        <v>109.19</v>
      </c>
    </row>
    <row r="852">
      <c r="A852" s="24" t="n">
        <v>46250</v>
      </c>
      <c r="B852" s="25" t="inlineStr">
        <is>
          <t>BAK001</t>
        </is>
      </c>
      <c r="C852" s="25" t="inlineStr">
        <is>
          <t>Toast Bread White</t>
        </is>
      </c>
      <c r="D852" s="25" t="inlineStr">
        <is>
          <t>Bakery</t>
        </is>
      </c>
      <c r="E852" s="26" t="n">
        <v>425.78</v>
      </c>
      <c r="F852" s="27" t="n">
        <v>122</v>
      </c>
      <c r="G852" s="26" t="n">
        <v>157.38</v>
      </c>
    </row>
    <row r="853">
      <c r="A853" s="24" t="n">
        <v>46250</v>
      </c>
      <c r="B853" s="25" t="inlineStr">
        <is>
          <t>BAK002</t>
        </is>
      </c>
      <c r="C853" s="25" t="inlineStr">
        <is>
          <t>Wholemeal Loaf</t>
        </is>
      </c>
      <c r="D853" s="25" t="inlineStr">
        <is>
          <t>Bakery</t>
        </is>
      </c>
      <c r="E853" s="26" t="n">
        <v>291.72</v>
      </c>
      <c r="F853" s="27" t="n">
        <v>68</v>
      </c>
      <c r="G853" s="26" t="n">
        <v>108.12</v>
      </c>
    </row>
    <row r="854">
      <c r="A854" s="24" t="n">
        <v>46250</v>
      </c>
      <c r="B854" s="25" t="inlineStr">
        <is>
          <t>BAK003</t>
        </is>
      </c>
      <c r="C854" s="25" t="inlineStr">
        <is>
          <t>Croissant 4pk</t>
        </is>
      </c>
      <c r="D854" s="25" t="inlineStr">
        <is>
          <t>Bakery</t>
        </is>
      </c>
      <c r="E854" s="26" t="n">
        <v>273.08</v>
      </c>
      <c r="F854" s="27" t="n">
        <v>52</v>
      </c>
      <c r="G854" s="26" t="n">
        <v>101.48</v>
      </c>
    </row>
    <row r="855">
      <c r="A855" s="24" t="n">
        <v>46250</v>
      </c>
      <c r="B855" s="25" t="inlineStr">
        <is>
          <t>BBT001</t>
        </is>
      </c>
      <c r="C855" s="25" t="inlineStr">
        <is>
          <t>Bubble Tea Kit</t>
        </is>
      </c>
      <c r="D855" s="25" t="inlineStr">
        <is>
          <t>Beverages</t>
        </is>
      </c>
      <c r="E855" s="26" t="n">
        <v>195.72</v>
      </c>
      <c r="F855" s="27" t="n">
        <v>28</v>
      </c>
      <c r="G855" s="26" t="n">
        <v>86.52</v>
      </c>
    </row>
    <row r="856">
      <c r="A856" s="24" t="n">
        <v>46250</v>
      </c>
      <c r="B856" s="25" t="inlineStr">
        <is>
          <t>BEV001</t>
        </is>
      </c>
      <c r="C856" s="25" t="inlineStr">
        <is>
          <t>Energy Drink 500ml</t>
        </is>
      </c>
      <c r="D856" s="25" t="inlineStr">
        <is>
          <t>Beverages</t>
        </is>
      </c>
      <c r="E856" s="26" t="n">
        <v>805.4300000000001</v>
      </c>
      <c r="F856" s="27" t="n">
        <v>211</v>
      </c>
      <c r="G856" s="26" t="n">
        <v>351.78</v>
      </c>
    </row>
    <row r="857">
      <c r="A857" s="24" t="n">
        <v>46250</v>
      </c>
      <c r="B857" s="25" t="inlineStr">
        <is>
          <t>BEV002</t>
        </is>
      </c>
      <c r="C857" s="25" t="inlineStr">
        <is>
          <t>Cola 1.5L</t>
        </is>
      </c>
      <c r="D857" s="25" t="inlineStr">
        <is>
          <t>Beverages</t>
        </is>
      </c>
      <c r="E857" s="26" t="n">
        <v>368.18</v>
      </c>
      <c r="F857" s="27" t="n">
        <v>82</v>
      </c>
      <c r="G857" s="26" t="n">
        <v>179.58</v>
      </c>
    </row>
    <row r="858">
      <c r="A858" s="24" t="n">
        <v>46250</v>
      </c>
      <c r="B858" s="25" t="inlineStr">
        <is>
          <t>BEV003</t>
        </is>
      </c>
      <c r="C858" s="25" t="inlineStr">
        <is>
          <t>Sparkling Water 1L</t>
        </is>
      </c>
      <c r="D858" s="25" t="inlineStr">
        <is>
          <t>Beverages</t>
        </is>
      </c>
      <c r="E858" s="26" t="n">
        <v>176.79</v>
      </c>
      <c r="F858" s="27" t="n">
        <v>71</v>
      </c>
      <c r="G858" s="26" t="n">
        <v>98.69</v>
      </c>
    </row>
    <row r="859">
      <c r="A859" s="24" t="n">
        <v>46250</v>
      </c>
      <c r="B859" s="25" t="inlineStr">
        <is>
          <t>BEV004</t>
        </is>
      </c>
      <c r="C859" s="25" t="inlineStr">
        <is>
          <t>Iced Coffee 500ml</t>
        </is>
      </c>
      <c r="D859" s="25" t="inlineStr">
        <is>
          <t>Beverages</t>
        </is>
      </c>
      <c r="E859" s="26" t="n">
        <v>309.38</v>
      </c>
      <c r="F859" s="27" t="n">
        <v>62</v>
      </c>
      <c r="G859" s="26" t="n">
        <v>141.98</v>
      </c>
    </row>
    <row r="860">
      <c r="A860" s="24" t="n">
        <v>46250</v>
      </c>
      <c r="B860" s="25" t="inlineStr">
        <is>
          <t>BEV005</t>
        </is>
      </c>
      <c r="C860" s="25" t="inlineStr">
        <is>
          <t>Kombucha 330ml</t>
        </is>
      </c>
      <c r="D860" s="25" t="inlineStr">
        <is>
          <t>Beverages</t>
        </is>
      </c>
      <c r="E860" s="26" t="n">
        <v>196.39</v>
      </c>
      <c r="F860" s="27" t="n">
        <v>41</v>
      </c>
      <c r="G860" s="26" t="n">
        <v>89.79000000000001</v>
      </c>
    </row>
    <row r="861">
      <c r="A861" s="24" t="n">
        <v>46250</v>
      </c>
      <c r="B861" s="25" t="inlineStr">
        <is>
          <t>BEV006</t>
        </is>
      </c>
      <c r="C861" s="25" t="inlineStr">
        <is>
          <t>Bottled Water 750ml</t>
        </is>
      </c>
      <c r="D861" s="25" t="inlineStr">
        <is>
          <t>Beverages</t>
        </is>
      </c>
      <c r="E861" s="26" t="n">
        <v>364.78</v>
      </c>
      <c r="F861" s="27" t="n">
        <v>122</v>
      </c>
      <c r="G861" s="26" t="n">
        <v>248.88</v>
      </c>
    </row>
    <row r="862">
      <c r="A862" s="24" t="n">
        <v>46250</v>
      </c>
      <c r="B862" s="25" t="inlineStr">
        <is>
          <t>DRY010</t>
        </is>
      </c>
      <c r="C862" s="25" t="inlineStr">
        <is>
          <t>Butter 500g</t>
        </is>
      </c>
      <c r="D862" s="25" t="inlineStr">
        <is>
          <t>Dairy</t>
        </is>
      </c>
      <c r="E862" s="26" t="n">
        <v>307.09</v>
      </c>
      <c r="F862" s="27" t="n">
        <v>41</v>
      </c>
      <c r="G862" s="26" t="n">
        <v>77.48999999999999</v>
      </c>
    </row>
    <row r="863">
      <c r="A863" s="24" t="n">
        <v>46250</v>
      </c>
      <c r="B863" s="25" t="inlineStr">
        <is>
          <t>DRY011</t>
        </is>
      </c>
      <c r="C863" s="25" t="inlineStr">
        <is>
          <t>Greek Yoghurt 1kg</t>
        </is>
      </c>
      <c r="D863" s="25" t="inlineStr">
        <is>
          <t>Dairy</t>
        </is>
      </c>
      <c r="E863" s="26" t="n">
        <v>231.71</v>
      </c>
      <c r="F863" s="27" t="n">
        <v>29</v>
      </c>
      <c r="G863" s="26" t="n">
        <v>83.81</v>
      </c>
    </row>
    <row r="864">
      <c r="A864" s="24" t="n">
        <v>46250</v>
      </c>
      <c r="B864" s="25" t="inlineStr">
        <is>
          <t>DRY012</t>
        </is>
      </c>
      <c r="C864" s="25" t="inlineStr">
        <is>
          <t>Cheese Block 1kg</t>
        </is>
      </c>
      <c r="D864" s="25" t="inlineStr">
        <is>
          <t>Dairy</t>
        </is>
      </c>
      <c r="E864" s="26" t="n">
        <v>531.62</v>
      </c>
      <c r="F864" s="27" t="n">
        <v>38</v>
      </c>
      <c r="G864" s="26" t="n">
        <v>136.42</v>
      </c>
    </row>
    <row r="865">
      <c r="A865" s="24" t="n">
        <v>46250</v>
      </c>
      <c r="B865" s="25" t="inlineStr">
        <is>
          <t>FRZ001</t>
        </is>
      </c>
      <c r="C865" s="25" t="inlineStr">
        <is>
          <t>Ice Cream Tub 2L</t>
        </is>
      </c>
      <c r="D865" s="25" t="inlineStr">
        <is>
          <t>Frozen</t>
        </is>
      </c>
      <c r="E865" s="26" t="n">
        <v>341.62</v>
      </c>
      <c r="F865" s="27" t="n">
        <v>38</v>
      </c>
      <c r="G865" s="26" t="n">
        <v>136.42</v>
      </c>
    </row>
    <row r="866">
      <c r="A866" s="24" t="n">
        <v>46250</v>
      </c>
      <c r="B866" s="25" t="inlineStr">
        <is>
          <t>FRZ002</t>
        </is>
      </c>
      <c r="C866" s="25" t="inlineStr">
        <is>
          <t>Ice Block Single</t>
        </is>
      </c>
      <c r="D866" s="25" t="inlineStr">
        <is>
          <t>Frozen</t>
        </is>
      </c>
      <c r="E866" s="26" t="n">
        <v>173.42</v>
      </c>
      <c r="F866" s="27" t="n">
        <v>58</v>
      </c>
      <c r="G866" s="26" t="n">
        <v>103.82</v>
      </c>
    </row>
    <row r="867">
      <c r="A867" s="24" t="n">
        <v>46250</v>
      </c>
      <c r="B867" s="25" t="inlineStr">
        <is>
          <t>FRZ003</t>
        </is>
      </c>
      <c r="C867" s="25" t="inlineStr">
        <is>
          <t>Frozen Pizza</t>
        </is>
      </c>
      <c r="D867" s="25" t="inlineStr">
        <is>
          <t>Frozen</t>
        </is>
      </c>
      <c r="E867" s="26" t="n">
        <v>383.52</v>
      </c>
      <c r="F867" s="27" t="n">
        <v>48</v>
      </c>
      <c r="G867" s="26" t="n">
        <v>157.92</v>
      </c>
    </row>
    <row r="868">
      <c r="A868" s="24" t="n">
        <v>46250</v>
      </c>
      <c r="B868" s="25" t="inlineStr">
        <is>
          <t>FRZ004</t>
        </is>
      </c>
      <c r="C868" s="25" t="inlineStr">
        <is>
          <t>Frozen Dumplings 1kg</t>
        </is>
      </c>
      <c r="D868" s="25" t="inlineStr">
        <is>
          <t>Frozen</t>
        </is>
      </c>
      <c r="E868" s="26" t="n">
        <v>503.58</v>
      </c>
      <c r="F868" s="27" t="n">
        <v>42</v>
      </c>
      <c r="G868" s="26" t="n">
        <v>205.38</v>
      </c>
    </row>
    <row r="869">
      <c r="A869" s="24" t="n">
        <v>46250</v>
      </c>
      <c r="B869" s="25" t="inlineStr">
        <is>
          <t>FTG001</t>
        </is>
      </c>
      <c r="C869" s="25" t="inlineStr">
        <is>
          <t>Chicken Sandwich</t>
        </is>
      </c>
      <c r="D869" s="25" t="inlineStr">
        <is>
          <t>Food To Go</t>
        </is>
      </c>
      <c r="E869" s="26" t="n">
        <v>1033.62</v>
      </c>
      <c r="F869" s="27" t="n">
        <v>138</v>
      </c>
      <c r="G869" s="26" t="n">
        <v>495.42</v>
      </c>
    </row>
    <row r="870">
      <c r="A870" s="24" t="n">
        <v>46250</v>
      </c>
      <c r="B870" s="25" t="inlineStr">
        <is>
          <t>FTG002</t>
        </is>
      </c>
      <c r="C870" s="25" t="inlineStr">
        <is>
          <t>Sushi Pack 8pc</t>
        </is>
      </c>
      <c r="D870" s="25" t="inlineStr">
        <is>
          <t>Food To Go</t>
        </is>
      </c>
      <c r="E870" s="26" t="n">
        <v>949.0500000000001</v>
      </c>
      <c r="F870" s="27" t="n">
        <v>95</v>
      </c>
      <c r="G870" s="26" t="n">
        <v>417.05</v>
      </c>
    </row>
    <row r="871">
      <c r="A871" s="24" t="n">
        <v>46250</v>
      </c>
      <c r="B871" s="25" t="inlineStr">
        <is>
          <t>FTG003</t>
        </is>
      </c>
      <c r="C871" s="25" t="inlineStr">
        <is>
          <t>Hot Pie Mince &amp; Cheese</t>
        </is>
      </c>
      <c r="D871" s="25" t="inlineStr">
        <is>
          <t>Food To Go</t>
        </is>
      </c>
      <c r="E871" s="26" t="n">
        <v>878.4</v>
      </c>
      <c r="F871" s="27" t="n">
        <v>160</v>
      </c>
      <c r="G871" s="26" t="n">
        <v>494.4</v>
      </c>
    </row>
    <row r="872">
      <c r="A872" s="24" t="n">
        <v>46250</v>
      </c>
      <c r="B872" s="25" t="inlineStr">
        <is>
          <t>FTG004</t>
        </is>
      </c>
      <c r="C872" s="25" t="inlineStr">
        <is>
          <t>Salad Bowl</t>
        </is>
      </c>
      <c r="D872" s="25" t="inlineStr">
        <is>
          <t>Food To Go</t>
        </is>
      </c>
      <c r="E872" s="26" t="n">
        <v>395.64</v>
      </c>
      <c r="F872" s="27" t="n">
        <v>36</v>
      </c>
      <c r="G872" s="26" t="n">
        <v>172.44</v>
      </c>
    </row>
    <row r="873">
      <c r="A873" s="24" t="n">
        <v>46250</v>
      </c>
      <c r="B873" s="25" t="inlineStr">
        <is>
          <t>FTG005</t>
        </is>
      </c>
      <c r="C873" s="25" t="inlineStr">
        <is>
          <t>Filled Roll</t>
        </is>
      </c>
      <c r="D873" s="25" t="inlineStr">
        <is>
          <t>Food To Go</t>
        </is>
      </c>
      <c r="E873" s="26" t="n">
        <v>577.61</v>
      </c>
      <c r="F873" s="27" t="n">
        <v>89</v>
      </c>
      <c r="G873" s="26" t="n">
        <v>292.81</v>
      </c>
    </row>
    <row r="874">
      <c r="A874" s="24" t="n">
        <v>46250</v>
      </c>
      <c r="B874" s="25" t="inlineStr">
        <is>
          <t>GRO001</t>
        </is>
      </c>
      <c r="C874" s="25" t="inlineStr">
        <is>
          <t>Instant Noodles 5pk</t>
        </is>
      </c>
      <c r="D874" s="25" t="inlineStr">
        <is>
          <t>Grocery</t>
        </is>
      </c>
      <c r="E874" s="26" t="n">
        <v>404.1</v>
      </c>
      <c r="F874" s="27" t="n">
        <v>90</v>
      </c>
      <c r="G874" s="26" t="n">
        <v>170.1</v>
      </c>
    </row>
    <row r="875">
      <c r="A875" s="24" t="n">
        <v>46250</v>
      </c>
      <c r="B875" s="25" t="inlineStr">
        <is>
          <t>GRO002</t>
        </is>
      </c>
      <c r="C875" s="25" t="inlineStr">
        <is>
          <t>Canned Soup 500g</t>
        </is>
      </c>
      <c r="D875" s="25" t="inlineStr">
        <is>
          <t>Grocery</t>
        </is>
      </c>
      <c r="E875" s="26" t="n">
        <v>131.6</v>
      </c>
      <c r="F875" s="27" t="n">
        <v>40</v>
      </c>
      <c r="G875" s="26" t="n">
        <v>55.6</v>
      </c>
    </row>
    <row r="876">
      <c r="A876" s="24" t="n">
        <v>46250</v>
      </c>
      <c r="B876" s="25" t="inlineStr">
        <is>
          <t>GRO003</t>
        </is>
      </c>
      <c r="C876" s="25" t="inlineStr">
        <is>
          <t>Pasta 500g</t>
        </is>
      </c>
      <c r="D876" s="25" t="inlineStr">
        <is>
          <t>Grocery</t>
        </is>
      </c>
      <c r="E876" s="26" t="n">
        <v>87.15000000000001</v>
      </c>
      <c r="F876" s="27" t="n">
        <v>35</v>
      </c>
      <c r="G876" s="26" t="n">
        <v>41.65</v>
      </c>
    </row>
    <row r="877">
      <c r="A877" s="24" t="n">
        <v>46250</v>
      </c>
      <c r="B877" s="25" t="inlineStr">
        <is>
          <t>GRO004</t>
        </is>
      </c>
      <c r="C877" s="25" t="inlineStr">
        <is>
          <t>Simmer Sauce 485g</t>
        </is>
      </c>
      <c r="D877" s="25" t="inlineStr">
        <is>
          <t>Grocery</t>
        </is>
      </c>
      <c r="E877" s="26" t="n">
        <v>123.69</v>
      </c>
      <c r="F877" s="27" t="n">
        <v>31</v>
      </c>
      <c r="G877" s="26" t="n">
        <v>52.39</v>
      </c>
    </row>
    <row r="878">
      <c r="A878" s="24" t="n">
        <v>46250</v>
      </c>
      <c r="B878" s="25" t="inlineStr">
        <is>
          <t>GRO005</t>
        </is>
      </c>
      <c r="C878" s="25" t="inlineStr">
        <is>
          <t>Salsa 300g</t>
        </is>
      </c>
      <c r="D878" s="25" t="inlineStr">
        <is>
          <t>Grocery</t>
        </is>
      </c>
      <c r="E878" s="26" t="n">
        <v>95.80000000000001</v>
      </c>
      <c r="F878" s="27" t="n">
        <v>20</v>
      </c>
      <c r="G878" s="26" t="n">
        <v>37.8</v>
      </c>
    </row>
    <row r="879">
      <c r="A879" s="24" t="n">
        <v>46250</v>
      </c>
      <c r="B879" s="25" t="inlineStr">
        <is>
          <t>GRO006</t>
        </is>
      </c>
      <c r="C879" s="25" t="inlineStr">
        <is>
          <t>Taco Kit</t>
        </is>
      </c>
      <c r="D879" s="25" t="inlineStr">
        <is>
          <t>Grocery</t>
        </is>
      </c>
      <c r="E879" s="26" t="n">
        <v>129.8</v>
      </c>
      <c r="F879" s="27" t="n">
        <v>20</v>
      </c>
      <c r="G879" s="26" t="n">
        <v>49.8</v>
      </c>
    </row>
    <row r="880">
      <c r="A880" s="24" t="n">
        <v>46250</v>
      </c>
      <c r="B880" s="25" t="inlineStr">
        <is>
          <t>GRO007</t>
        </is>
      </c>
      <c r="C880" s="25" t="inlineStr">
        <is>
          <t>Eggs Free Range 12pk</t>
        </is>
      </c>
      <c r="D880" s="25" t="inlineStr">
        <is>
          <t>Grocery</t>
        </is>
      </c>
      <c r="E880" s="26" t="n">
        <v>687.91</v>
      </c>
      <c r="F880" s="27" t="n">
        <v>69</v>
      </c>
      <c r="G880" s="26" t="n">
        <v>122.11</v>
      </c>
    </row>
    <row r="881">
      <c r="A881" s="24" t="n">
        <v>46250</v>
      </c>
      <c r="B881" s="25" t="inlineStr">
        <is>
          <t>GRO008</t>
        </is>
      </c>
      <c r="C881" s="25" t="inlineStr">
        <is>
          <t>Coffee Beans 200g</t>
        </is>
      </c>
      <c r="D881" s="25" t="inlineStr">
        <is>
          <t>Grocery</t>
        </is>
      </c>
      <c r="E881" s="26" t="n">
        <v>347.71</v>
      </c>
      <c r="F881" s="27" t="n">
        <v>29</v>
      </c>
      <c r="G881" s="26" t="n">
        <v>127.31</v>
      </c>
    </row>
    <row r="882">
      <c r="A882" s="24" t="n">
        <v>46250</v>
      </c>
      <c r="B882" s="25" t="inlineStr">
        <is>
          <t>HHD001</t>
        </is>
      </c>
      <c r="C882" s="25" t="inlineStr">
        <is>
          <t>Toilet Paper 6pk</t>
        </is>
      </c>
      <c r="D882" s="25" t="inlineStr">
        <is>
          <t>Household</t>
        </is>
      </c>
      <c r="E882" s="26" t="n">
        <v>350.61</v>
      </c>
      <c r="F882" s="27" t="n">
        <v>39</v>
      </c>
      <c r="G882" s="26" t="n">
        <v>120.51</v>
      </c>
    </row>
    <row r="883">
      <c r="A883" s="24" t="n">
        <v>46250</v>
      </c>
      <c r="B883" s="25" t="inlineStr">
        <is>
          <t>HHD002</t>
        </is>
      </c>
      <c r="C883" s="25" t="inlineStr">
        <is>
          <t>Dishwash Liquid</t>
        </is>
      </c>
      <c r="D883" s="25" t="inlineStr">
        <is>
          <t>Household</t>
        </is>
      </c>
      <c r="E883" s="26" t="n">
        <v>119.76</v>
      </c>
      <c r="F883" s="27" t="n">
        <v>24</v>
      </c>
      <c r="G883" s="26" t="n">
        <v>50.16</v>
      </c>
    </row>
    <row r="884">
      <c r="A884" s="24" t="n">
        <v>46250</v>
      </c>
      <c r="B884" s="25" t="inlineStr">
        <is>
          <t>HHD003</t>
        </is>
      </c>
      <c r="C884" s="25" t="inlineStr">
        <is>
          <t>Phone Charger Cable</t>
        </is>
      </c>
      <c r="D884" s="25" t="inlineStr">
        <is>
          <t>Household</t>
        </is>
      </c>
      <c r="E884" s="26" t="n">
        <v>134.91</v>
      </c>
      <c r="F884" s="27" t="n">
        <v>9</v>
      </c>
      <c r="G884" s="26" t="n">
        <v>85.41</v>
      </c>
    </row>
    <row r="885">
      <c r="A885" s="24" t="n">
        <v>46250</v>
      </c>
      <c r="B885" s="25" t="inlineStr">
        <is>
          <t>LIQ001</t>
        </is>
      </c>
      <c r="C885" s="25" t="inlineStr">
        <is>
          <t>Craft Beer 6pk</t>
        </is>
      </c>
      <c r="D885" s="25" t="inlineStr">
        <is>
          <t>Beer &amp; Wine</t>
        </is>
      </c>
      <c r="E885" s="26" t="n">
        <v>781.66</v>
      </c>
      <c r="F885" s="27" t="n">
        <v>34</v>
      </c>
      <c r="G885" s="26" t="n">
        <v>261.46</v>
      </c>
    </row>
    <row r="886">
      <c r="A886" s="24" t="n">
        <v>46250</v>
      </c>
      <c r="B886" s="25" t="inlineStr">
        <is>
          <t>LIQ002</t>
        </is>
      </c>
      <c r="C886" s="25" t="inlineStr">
        <is>
          <t>Sauvignon Blanc 750ml</t>
        </is>
      </c>
      <c r="D886" s="25" t="inlineStr">
        <is>
          <t>Beer &amp; Wine</t>
        </is>
      </c>
      <c r="E886" s="26" t="n">
        <v>351.78</v>
      </c>
      <c r="F886" s="27" t="n">
        <v>22</v>
      </c>
      <c r="G886" s="26" t="n">
        <v>127.38</v>
      </c>
    </row>
    <row r="887">
      <c r="A887" s="24" t="n">
        <v>46250</v>
      </c>
      <c r="B887" s="25" t="inlineStr">
        <is>
          <t>LIQ003</t>
        </is>
      </c>
      <c r="C887" s="25" t="inlineStr">
        <is>
          <t>RTD 4pk</t>
        </is>
      </c>
      <c r="D887" s="25" t="inlineStr">
        <is>
          <t>Beer &amp; Wine</t>
        </is>
      </c>
      <c r="E887" s="26" t="n">
        <v>449.75</v>
      </c>
      <c r="F887" s="27" t="n">
        <v>25</v>
      </c>
      <c r="G887" s="26" t="n">
        <v>152.25</v>
      </c>
    </row>
    <row r="888">
      <c r="A888" s="24" t="n">
        <v>46250</v>
      </c>
      <c r="B888" s="25" t="inlineStr">
        <is>
          <t>LIQ004</t>
        </is>
      </c>
      <c r="C888" s="25" t="inlineStr">
        <is>
          <t>Pinot Noir 750ml</t>
        </is>
      </c>
      <c r="D888" s="25" t="inlineStr">
        <is>
          <t>Beer &amp; Wine</t>
        </is>
      </c>
      <c r="E888" s="26" t="n">
        <v>399.8</v>
      </c>
      <c r="F888" s="27" t="n">
        <v>20</v>
      </c>
      <c r="G888" s="26" t="n">
        <v>143.8</v>
      </c>
    </row>
    <row r="889">
      <c r="A889" s="24" t="n">
        <v>46250</v>
      </c>
      <c r="B889" s="25" t="inlineStr">
        <is>
          <t>MLK001</t>
        </is>
      </c>
      <c r="C889" s="25" t="inlineStr">
        <is>
          <t>Milk Standard 2L</t>
        </is>
      </c>
      <c r="D889" s="25" t="inlineStr">
        <is>
          <t>Dairy</t>
        </is>
      </c>
      <c r="E889" s="26" t="n">
        <v>1378.98</v>
      </c>
      <c r="F889" s="27" t="n">
        <v>282</v>
      </c>
      <c r="G889" s="26" t="n">
        <v>377.88</v>
      </c>
    </row>
    <row r="890">
      <c r="A890" s="24" t="n">
        <v>46250</v>
      </c>
      <c r="B890" s="25" t="inlineStr">
        <is>
          <t>MLK002</t>
        </is>
      </c>
      <c r="C890" s="25" t="inlineStr">
        <is>
          <t>Milk Lite 2L</t>
        </is>
      </c>
      <c r="D890" s="25" t="inlineStr">
        <is>
          <t>Dairy</t>
        </is>
      </c>
      <c r="E890" s="26" t="n">
        <v>616.14</v>
      </c>
      <c r="F890" s="27" t="n">
        <v>126</v>
      </c>
      <c r="G890" s="26" t="n">
        <v>168.84</v>
      </c>
    </row>
    <row r="891">
      <c r="A891" s="24" t="n">
        <v>46250</v>
      </c>
      <c r="B891" s="25" t="inlineStr">
        <is>
          <t>MLK003</t>
        </is>
      </c>
      <c r="C891" s="25" t="inlineStr">
        <is>
          <t>Oat Milk 1L</t>
        </is>
      </c>
      <c r="D891" s="25" t="inlineStr">
        <is>
          <t>Dairy</t>
        </is>
      </c>
      <c r="E891" s="26" t="n">
        <v>163.02</v>
      </c>
      <c r="F891" s="27" t="n">
        <v>38</v>
      </c>
      <c r="G891" s="26" t="n">
        <v>60.42</v>
      </c>
    </row>
    <row r="892">
      <c r="A892" s="24" t="n">
        <v>46250</v>
      </c>
      <c r="B892" s="25" t="inlineStr">
        <is>
          <t>PHM001</t>
        </is>
      </c>
      <c r="C892" s="25" t="inlineStr">
        <is>
          <t>Paracetamol 20pk</t>
        </is>
      </c>
      <c r="D892" s="25" t="inlineStr">
        <is>
          <t>Health &amp; Beauty</t>
        </is>
      </c>
      <c r="E892" s="26" t="n">
        <v>147.63</v>
      </c>
      <c r="F892" s="27" t="n">
        <v>37</v>
      </c>
      <c r="G892" s="26" t="n">
        <v>88.43000000000001</v>
      </c>
    </row>
    <row r="893">
      <c r="A893" s="24" t="n">
        <v>46250</v>
      </c>
      <c r="B893" s="25" t="inlineStr">
        <is>
          <t>PHM002</t>
        </is>
      </c>
      <c r="C893" s="25" t="inlineStr">
        <is>
          <t>Sunscreen SPF50</t>
        </is>
      </c>
      <c r="D893" s="25" t="inlineStr">
        <is>
          <t>Health &amp; Beauty</t>
        </is>
      </c>
      <c r="E893" s="26" t="n">
        <v>224.85</v>
      </c>
      <c r="F893" s="27" t="n">
        <v>15</v>
      </c>
      <c r="G893" s="26" t="n">
        <v>101.85</v>
      </c>
    </row>
    <row r="894">
      <c r="A894" s="24" t="n">
        <v>46250</v>
      </c>
      <c r="B894" s="25" t="inlineStr">
        <is>
          <t>PRD001</t>
        </is>
      </c>
      <c r="C894" s="25" t="inlineStr">
        <is>
          <t>Bananas (each)</t>
        </is>
      </c>
      <c r="D894" s="25" t="inlineStr">
        <is>
          <t>Produce</t>
        </is>
      </c>
      <c r="E894" s="26" t="n">
        <v>153.87</v>
      </c>
      <c r="F894" s="27" t="n">
        <v>223</v>
      </c>
      <c r="G894" s="26" t="n">
        <v>69.13</v>
      </c>
    </row>
    <row r="895">
      <c r="A895" s="24" t="n">
        <v>46250</v>
      </c>
      <c r="B895" s="25" t="inlineStr">
        <is>
          <t>PRD002</t>
        </is>
      </c>
      <c r="C895" s="25" t="inlineStr">
        <is>
          <t>Avocado</t>
        </is>
      </c>
      <c r="D895" s="25" t="inlineStr">
        <is>
          <t>Produce</t>
        </is>
      </c>
      <c r="E895" s="26" t="n">
        <v>114.54</v>
      </c>
      <c r="F895" s="27" t="n">
        <v>46</v>
      </c>
      <c r="G895" s="26" t="n">
        <v>50.14</v>
      </c>
    </row>
    <row r="896">
      <c r="A896" s="24" t="n">
        <v>46250</v>
      </c>
      <c r="B896" s="25" t="inlineStr">
        <is>
          <t>PRD003</t>
        </is>
      </c>
      <c r="C896" s="25" t="inlineStr">
        <is>
          <t>Tomatoes 500g</t>
        </is>
      </c>
      <c r="D896" s="25" t="inlineStr">
        <is>
          <t>Produce</t>
        </is>
      </c>
      <c r="E896" s="26" t="n">
        <v>121.23</v>
      </c>
      <c r="F896" s="27" t="n">
        <v>27</v>
      </c>
      <c r="G896" s="26" t="n">
        <v>51.03</v>
      </c>
    </row>
    <row r="897">
      <c r="A897" s="24" t="n">
        <v>46250</v>
      </c>
      <c r="B897" s="25" t="inlineStr">
        <is>
          <t>SNK001</t>
        </is>
      </c>
      <c r="C897" s="25" t="inlineStr">
        <is>
          <t>Potato Chips 150g</t>
        </is>
      </c>
      <c r="D897" s="25" t="inlineStr">
        <is>
          <t>Snacks &amp; Confectionery</t>
        </is>
      </c>
      <c r="E897" s="26" t="n">
        <v>522.6900000000001</v>
      </c>
      <c r="F897" s="27" t="n">
        <v>131</v>
      </c>
      <c r="G897" s="26" t="n">
        <v>247.59</v>
      </c>
    </row>
    <row r="898">
      <c r="A898" s="24" t="n">
        <v>46250</v>
      </c>
      <c r="B898" s="25" t="inlineStr">
        <is>
          <t>SNK002</t>
        </is>
      </c>
      <c r="C898" s="25" t="inlineStr">
        <is>
          <t>Chocolate Block 200g</t>
        </is>
      </c>
      <c r="D898" s="25" t="inlineStr">
        <is>
          <t>Snacks &amp; Confectionery</t>
        </is>
      </c>
      <c r="E898" s="26" t="n">
        <v>760.75</v>
      </c>
      <c r="F898" s="27" t="n">
        <v>155</v>
      </c>
      <c r="G898" s="26" t="n">
        <v>264.75</v>
      </c>
    </row>
    <row r="899">
      <c r="A899" s="24" t="n">
        <v>46250</v>
      </c>
      <c r="B899" s="25" t="inlineStr">
        <is>
          <t>SNK003</t>
        </is>
      </c>
      <c r="C899" s="25" t="inlineStr">
        <is>
          <t>Muesli Bar 6pk</t>
        </is>
      </c>
      <c r="D899" s="25" t="inlineStr">
        <is>
          <t>Snacks &amp; Confectionery</t>
        </is>
      </c>
      <c r="E899" s="26" t="n">
        <v>184.47</v>
      </c>
      <c r="F899" s="27" t="n">
        <v>43</v>
      </c>
      <c r="G899" s="26" t="n">
        <v>72.67</v>
      </c>
    </row>
    <row r="900">
      <c r="A900" s="24" t="n">
        <v>46250</v>
      </c>
      <c r="B900" s="25" t="inlineStr">
        <is>
          <t>SNK004</t>
        </is>
      </c>
      <c r="C900" s="25" t="inlineStr">
        <is>
          <t>Corn Chips 230g</t>
        </is>
      </c>
      <c r="D900" s="25" t="inlineStr">
        <is>
          <t>Snacks &amp; Confectionery</t>
        </is>
      </c>
      <c r="E900" s="26" t="n">
        <v>296.34</v>
      </c>
      <c r="F900" s="27" t="n">
        <v>66</v>
      </c>
      <c r="G900" s="26" t="n">
        <v>137.94</v>
      </c>
    </row>
    <row r="901">
      <c r="A901" s="24" t="n">
        <v>46250</v>
      </c>
      <c r="B901" s="25" t="inlineStr">
        <is>
          <t>SNK005</t>
        </is>
      </c>
      <c r="C901" s="25" t="inlineStr">
        <is>
          <t>Lollies Bag 200g</t>
        </is>
      </c>
      <c r="D901" s="25" t="inlineStr">
        <is>
          <t>Snacks &amp; Confectionery</t>
        </is>
      </c>
      <c r="E901" s="26" t="n">
        <v>240.81</v>
      </c>
      <c r="F901" s="27" t="n">
        <v>69</v>
      </c>
      <c r="G901" s="26" t="n">
        <v>123.51</v>
      </c>
    </row>
    <row r="902">
      <c r="A902" s="24" t="n">
        <v>46257</v>
      </c>
      <c r="B902" s="25" t="inlineStr">
        <is>
          <t>BAK001</t>
        </is>
      </c>
      <c r="C902" s="25" t="inlineStr">
        <is>
          <t>Toast Bread White</t>
        </is>
      </c>
      <c r="D902" s="25" t="inlineStr">
        <is>
          <t>Bakery</t>
        </is>
      </c>
      <c r="E902" s="26" t="n">
        <v>446.72</v>
      </c>
      <c r="F902" s="27" t="n">
        <v>128</v>
      </c>
      <c r="G902" s="26" t="n">
        <v>165.12</v>
      </c>
    </row>
    <row r="903">
      <c r="A903" s="24" t="n">
        <v>46257</v>
      </c>
      <c r="B903" s="25" t="inlineStr">
        <is>
          <t>BAK002</t>
        </is>
      </c>
      <c r="C903" s="25" t="inlineStr">
        <is>
          <t>Wholemeal Loaf</t>
        </is>
      </c>
      <c r="D903" s="25" t="inlineStr">
        <is>
          <t>Bakery</t>
        </is>
      </c>
      <c r="E903" s="26" t="n">
        <v>304.59</v>
      </c>
      <c r="F903" s="27" t="n">
        <v>71</v>
      </c>
      <c r="G903" s="26" t="n">
        <v>112.89</v>
      </c>
    </row>
    <row r="904">
      <c r="A904" s="24" t="n">
        <v>46257</v>
      </c>
      <c r="B904" s="25" t="inlineStr">
        <is>
          <t>BAK003</t>
        </is>
      </c>
      <c r="C904" s="25" t="inlineStr">
        <is>
          <t>Croissant 4pk</t>
        </is>
      </c>
      <c r="D904" s="25" t="inlineStr">
        <is>
          <t>Bakery</t>
        </is>
      </c>
      <c r="E904" s="26" t="n">
        <v>227.62</v>
      </c>
      <c r="F904" s="27" t="n">
        <v>38</v>
      </c>
      <c r="G904" s="26" t="n">
        <v>102.22</v>
      </c>
    </row>
    <row r="905">
      <c r="A905" s="24" t="n">
        <v>46257</v>
      </c>
      <c r="B905" s="25" t="inlineStr">
        <is>
          <t>BBT001</t>
        </is>
      </c>
      <c r="C905" s="25" t="inlineStr">
        <is>
          <t>Bubble Tea Kit</t>
        </is>
      </c>
      <c r="D905" s="25" t="inlineStr">
        <is>
          <t>Beverages</t>
        </is>
      </c>
      <c r="E905" s="26" t="n">
        <v>181.74</v>
      </c>
      <c r="F905" s="27" t="n">
        <v>26</v>
      </c>
      <c r="G905" s="26" t="n">
        <v>80.34</v>
      </c>
    </row>
    <row r="906">
      <c r="A906" s="24" t="n">
        <v>46257</v>
      </c>
      <c r="B906" s="25" t="inlineStr">
        <is>
          <t>BEV001</t>
        </is>
      </c>
      <c r="C906" s="25" t="inlineStr">
        <is>
          <t>Energy Drink 500ml</t>
        </is>
      </c>
      <c r="D906" s="25" t="inlineStr">
        <is>
          <t>Beverages</t>
        </is>
      </c>
      <c r="E906" s="26" t="n">
        <v>763.62</v>
      </c>
      <c r="F906" s="27" t="n">
        <v>178</v>
      </c>
      <c r="G906" s="26" t="n">
        <v>380.92</v>
      </c>
    </row>
    <row r="907">
      <c r="A907" s="24" t="n">
        <v>46257</v>
      </c>
      <c r="B907" s="25" t="inlineStr">
        <is>
          <t>BEV002</t>
        </is>
      </c>
      <c r="C907" s="25" t="inlineStr">
        <is>
          <t>Cola 1.5L</t>
        </is>
      </c>
      <c r="D907" s="25" t="inlineStr">
        <is>
          <t>Beverages</t>
        </is>
      </c>
      <c r="E907" s="26" t="n">
        <v>475.94</v>
      </c>
      <c r="F907" s="27" t="n">
        <v>106</v>
      </c>
      <c r="G907" s="26" t="n">
        <v>232.14</v>
      </c>
    </row>
    <row r="908">
      <c r="A908" s="24" t="n">
        <v>46257</v>
      </c>
      <c r="B908" s="25" t="inlineStr">
        <is>
          <t>BEV003</t>
        </is>
      </c>
      <c r="C908" s="25" t="inlineStr">
        <is>
          <t>Sparkling Water 1L</t>
        </is>
      </c>
      <c r="D908" s="25" t="inlineStr">
        <is>
          <t>Beverages</t>
        </is>
      </c>
      <c r="E908" s="26" t="n">
        <v>196.71</v>
      </c>
      <c r="F908" s="27" t="n">
        <v>79</v>
      </c>
      <c r="G908" s="26" t="n">
        <v>109.81</v>
      </c>
    </row>
    <row r="909">
      <c r="A909" s="24" t="n">
        <v>46257</v>
      </c>
      <c r="B909" s="25" t="inlineStr">
        <is>
          <t>BEV004</t>
        </is>
      </c>
      <c r="C909" s="25" t="inlineStr">
        <is>
          <t>Iced Coffee 500ml</t>
        </is>
      </c>
      <c r="D909" s="25" t="inlineStr">
        <is>
          <t>Beverages</t>
        </is>
      </c>
      <c r="E909" s="26" t="n">
        <v>369.26</v>
      </c>
      <c r="F909" s="27" t="n">
        <v>74</v>
      </c>
      <c r="G909" s="26" t="n">
        <v>169.46</v>
      </c>
    </row>
    <row r="910">
      <c r="A910" s="24" t="n">
        <v>46257</v>
      </c>
      <c r="B910" s="25" t="inlineStr">
        <is>
          <t>BEV005</t>
        </is>
      </c>
      <c r="C910" s="25" t="inlineStr">
        <is>
          <t>Kombucha 330ml</t>
        </is>
      </c>
      <c r="D910" s="25" t="inlineStr">
        <is>
          <t>Beverages</t>
        </is>
      </c>
      <c r="E910" s="26" t="n">
        <v>148.49</v>
      </c>
      <c r="F910" s="27" t="n">
        <v>31</v>
      </c>
      <c r="G910" s="26" t="n">
        <v>67.89</v>
      </c>
    </row>
    <row r="911">
      <c r="A911" s="24" t="n">
        <v>46257</v>
      </c>
      <c r="B911" s="25" t="inlineStr">
        <is>
          <t>BEV006</t>
        </is>
      </c>
      <c r="C911" s="25" t="inlineStr">
        <is>
          <t>Bottled Water 750ml</t>
        </is>
      </c>
      <c r="D911" s="25" t="inlineStr">
        <is>
          <t>Beverages</t>
        </is>
      </c>
      <c r="E911" s="26" t="n">
        <v>361.79</v>
      </c>
      <c r="F911" s="27" t="n">
        <v>121</v>
      </c>
      <c r="G911" s="26" t="n">
        <v>246.84</v>
      </c>
    </row>
    <row r="912">
      <c r="A912" s="24" t="n">
        <v>46257</v>
      </c>
      <c r="B912" s="25" t="inlineStr">
        <is>
          <t>DRY010</t>
        </is>
      </c>
      <c r="C912" s="25" t="inlineStr">
        <is>
          <t>Butter 500g</t>
        </is>
      </c>
      <c r="D912" s="25" t="inlineStr">
        <is>
          <t>Dairy</t>
        </is>
      </c>
      <c r="E912" s="26" t="n">
        <v>344.54</v>
      </c>
      <c r="F912" s="27" t="n">
        <v>46</v>
      </c>
      <c r="G912" s="26" t="n">
        <v>86.94</v>
      </c>
    </row>
    <row r="913">
      <c r="A913" s="24" t="n">
        <v>46257</v>
      </c>
      <c r="B913" s="25" t="inlineStr">
        <is>
          <t>DRY011</t>
        </is>
      </c>
      <c r="C913" s="25" t="inlineStr">
        <is>
          <t>Greek Yoghurt 1kg</t>
        </is>
      </c>
      <c r="D913" s="25" t="inlineStr">
        <is>
          <t>Dairy</t>
        </is>
      </c>
      <c r="E913" s="26" t="n">
        <v>135.83</v>
      </c>
      <c r="F913" s="27" t="n">
        <v>17</v>
      </c>
      <c r="G913" s="26" t="n">
        <v>49.13</v>
      </c>
    </row>
    <row r="914">
      <c r="A914" s="24" t="n">
        <v>46257</v>
      </c>
      <c r="B914" s="25" t="inlineStr">
        <is>
          <t>DRY012</t>
        </is>
      </c>
      <c r="C914" s="25" t="inlineStr">
        <is>
          <t>Cheese Block 1kg</t>
        </is>
      </c>
      <c r="D914" s="25" t="inlineStr">
        <is>
          <t>Dairy</t>
        </is>
      </c>
      <c r="E914" s="26" t="n">
        <v>769.45</v>
      </c>
      <c r="F914" s="27" t="n">
        <v>55</v>
      </c>
      <c r="G914" s="26" t="n">
        <v>197.45</v>
      </c>
    </row>
    <row r="915">
      <c r="A915" s="24" t="n">
        <v>46257</v>
      </c>
      <c r="B915" s="25" t="inlineStr">
        <is>
          <t>FRZ001</t>
        </is>
      </c>
      <c r="C915" s="25" t="inlineStr">
        <is>
          <t>Ice Cream Tub 2L</t>
        </is>
      </c>
      <c r="D915" s="25" t="inlineStr">
        <is>
          <t>Frozen</t>
        </is>
      </c>
      <c r="E915" s="26" t="n">
        <v>449.5</v>
      </c>
      <c r="F915" s="27" t="n">
        <v>50</v>
      </c>
      <c r="G915" s="26" t="n">
        <v>179.5</v>
      </c>
    </row>
    <row r="916">
      <c r="A916" s="24" t="n">
        <v>46257</v>
      </c>
      <c r="B916" s="25" t="inlineStr">
        <is>
          <t>FRZ002</t>
        </is>
      </c>
      <c r="C916" s="25" t="inlineStr">
        <is>
          <t>Ice Block Single</t>
        </is>
      </c>
      <c r="D916" s="25" t="inlineStr">
        <is>
          <t>Frozen</t>
        </is>
      </c>
      <c r="E916" s="26" t="n">
        <v>212.29</v>
      </c>
      <c r="F916" s="27" t="n">
        <v>71</v>
      </c>
      <c r="G916" s="26" t="n">
        <v>127.09</v>
      </c>
    </row>
    <row r="917">
      <c r="A917" s="24" t="n">
        <v>46257</v>
      </c>
      <c r="B917" s="25" t="inlineStr">
        <is>
          <t>FRZ003</t>
        </is>
      </c>
      <c r="C917" s="25" t="inlineStr">
        <is>
          <t>Frozen Pizza</t>
        </is>
      </c>
      <c r="D917" s="25" t="inlineStr">
        <is>
          <t>Frozen</t>
        </is>
      </c>
      <c r="E917" s="26" t="n">
        <v>519.35</v>
      </c>
      <c r="F917" s="27" t="n">
        <v>65</v>
      </c>
      <c r="G917" s="26" t="n">
        <v>213.85</v>
      </c>
    </row>
    <row r="918">
      <c r="A918" s="24" t="n">
        <v>46257</v>
      </c>
      <c r="B918" s="25" t="inlineStr">
        <is>
          <t>FRZ004</t>
        </is>
      </c>
      <c r="C918" s="25" t="inlineStr">
        <is>
          <t>Frozen Dumplings 1kg</t>
        </is>
      </c>
      <c r="D918" s="25" t="inlineStr">
        <is>
          <t>Frozen</t>
        </is>
      </c>
      <c r="E918" s="26" t="n">
        <v>419.65</v>
      </c>
      <c r="F918" s="27" t="n">
        <v>35</v>
      </c>
      <c r="G918" s="26" t="n">
        <v>171.15</v>
      </c>
    </row>
    <row r="919">
      <c r="A919" s="24" t="n">
        <v>46257</v>
      </c>
      <c r="B919" s="25" t="inlineStr">
        <is>
          <t>FTG001</t>
        </is>
      </c>
      <c r="C919" s="25" t="inlineStr">
        <is>
          <t>Chicken Sandwich</t>
        </is>
      </c>
      <c r="D919" s="25" t="inlineStr">
        <is>
          <t>Food To Go</t>
        </is>
      </c>
      <c r="E919" s="26" t="n">
        <v>1033.62</v>
      </c>
      <c r="F919" s="27" t="n">
        <v>138</v>
      </c>
      <c r="G919" s="26" t="n">
        <v>495.42</v>
      </c>
    </row>
    <row r="920">
      <c r="A920" s="24" t="n">
        <v>46257</v>
      </c>
      <c r="B920" s="25" t="inlineStr">
        <is>
          <t>FTG002</t>
        </is>
      </c>
      <c r="C920" s="25" t="inlineStr">
        <is>
          <t>Sushi Pack 8pc</t>
        </is>
      </c>
      <c r="D920" s="25" t="inlineStr">
        <is>
          <t>Food To Go</t>
        </is>
      </c>
      <c r="E920" s="26" t="n">
        <v>745.15</v>
      </c>
      <c r="F920" s="27" t="n">
        <v>85</v>
      </c>
      <c r="G920" s="26" t="n">
        <v>269.15</v>
      </c>
    </row>
    <row r="921">
      <c r="A921" s="24" t="n">
        <v>46257</v>
      </c>
      <c r="B921" s="25" t="inlineStr">
        <is>
          <t>FTG003</t>
        </is>
      </c>
      <c r="C921" s="25" t="inlineStr">
        <is>
          <t>Hot Pie Mince &amp; Cheese</t>
        </is>
      </c>
      <c r="D921" s="25" t="inlineStr">
        <is>
          <t>Food To Go</t>
        </is>
      </c>
      <c r="E921" s="26" t="n">
        <v>828.99</v>
      </c>
      <c r="F921" s="27" t="n">
        <v>151</v>
      </c>
      <c r="G921" s="26" t="n">
        <v>466.59</v>
      </c>
    </row>
    <row r="922">
      <c r="A922" s="24" t="n">
        <v>46257</v>
      </c>
      <c r="B922" s="25" t="inlineStr">
        <is>
          <t>FTG004</t>
        </is>
      </c>
      <c r="C922" s="25" t="inlineStr">
        <is>
          <t>Salad Bowl</t>
        </is>
      </c>
      <c r="D922" s="25" t="inlineStr">
        <is>
          <t>Food To Go</t>
        </is>
      </c>
      <c r="E922" s="26" t="n">
        <v>373.66</v>
      </c>
      <c r="F922" s="27" t="n">
        <v>34</v>
      </c>
      <c r="G922" s="26" t="n">
        <v>162.86</v>
      </c>
    </row>
    <row r="923">
      <c r="A923" s="24" t="n">
        <v>46257</v>
      </c>
      <c r="B923" s="25" t="inlineStr">
        <is>
          <t>FTG005</t>
        </is>
      </c>
      <c r="C923" s="25" t="inlineStr">
        <is>
          <t>Filled Roll</t>
        </is>
      </c>
      <c r="D923" s="25" t="inlineStr">
        <is>
          <t>Food To Go</t>
        </is>
      </c>
      <c r="E923" s="26" t="n">
        <v>558.14</v>
      </c>
      <c r="F923" s="27" t="n">
        <v>86</v>
      </c>
      <c r="G923" s="26" t="n">
        <v>282.94</v>
      </c>
    </row>
    <row r="924">
      <c r="A924" s="24" t="n">
        <v>46257</v>
      </c>
      <c r="B924" s="25" t="inlineStr">
        <is>
          <t>GRO001</t>
        </is>
      </c>
      <c r="C924" s="25" t="inlineStr">
        <is>
          <t>Instant Noodles 5pk</t>
        </is>
      </c>
      <c r="D924" s="25" t="inlineStr">
        <is>
          <t>Grocery</t>
        </is>
      </c>
      <c r="E924" s="26" t="n">
        <v>426.55</v>
      </c>
      <c r="F924" s="27" t="n">
        <v>95</v>
      </c>
      <c r="G924" s="26" t="n">
        <v>179.55</v>
      </c>
    </row>
    <row r="925">
      <c r="A925" s="24" t="n">
        <v>46257</v>
      </c>
      <c r="B925" s="25" t="inlineStr">
        <is>
          <t>GRO002</t>
        </is>
      </c>
      <c r="C925" s="25" t="inlineStr">
        <is>
          <t>Canned Soup 500g</t>
        </is>
      </c>
      <c r="D925" s="25" t="inlineStr">
        <is>
          <t>Grocery</t>
        </is>
      </c>
      <c r="E925" s="26" t="n">
        <v>164.5</v>
      </c>
      <c r="F925" s="27" t="n">
        <v>50</v>
      </c>
      <c r="G925" s="26" t="n">
        <v>69.5</v>
      </c>
    </row>
    <row r="926">
      <c r="A926" s="24" t="n">
        <v>46257</v>
      </c>
      <c r="B926" s="25" t="inlineStr">
        <is>
          <t>GRO003</t>
        </is>
      </c>
      <c r="C926" s="25" t="inlineStr">
        <is>
          <t>Pasta 500g</t>
        </is>
      </c>
      <c r="D926" s="25" t="inlineStr">
        <is>
          <t>Grocery</t>
        </is>
      </c>
      <c r="E926" s="26" t="n">
        <v>124.5</v>
      </c>
      <c r="F926" s="27" t="n">
        <v>50</v>
      </c>
      <c r="G926" s="26" t="n">
        <v>59.5</v>
      </c>
    </row>
    <row r="927">
      <c r="A927" s="24" t="n">
        <v>46257</v>
      </c>
      <c r="B927" s="25" t="inlineStr">
        <is>
          <t>GRO004</t>
        </is>
      </c>
      <c r="C927" s="25" t="inlineStr">
        <is>
          <t>Simmer Sauce 485g</t>
        </is>
      </c>
      <c r="D927" s="25" t="inlineStr">
        <is>
          <t>Grocery</t>
        </is>
      </c>
      <c r="E927" s="26" t="n">
        <v>163.59</v>
      </c>
      <c r="F927" s="27" t="n">
        <v>41</v>
      </c>
      <c r="G927" s="26" t="n">
        <v>69.29000000000001</v>
      </c>
    </row>
    <row r="928">
      <c r="A928" s="24" t="n">
        <v>46257</v>
      </c>
      <c r="B928" s="25" t="inlineStr">
        <is>
          <t>GRO005</t>
        </is>
      </c>
      <c r="C928" s="25" t="inlineStr">
        <is>
          <t>Salsa 300g</t>
        </is>
      </c>
      <c r="D928" s="25" t="inlineStr">
        <is>
          <t>Grocery</t>
        </is>
      </c>
      <c r="E928" s="26" t="n">
        <v>91.00999999999999</v>
      </c>
      <c r="F928" s="27" t="n">
        <v>19</v>
      </c>
      <c r="G928" s="26" t="n">
        <v>35.91</v>
      </c>
    </row>
    <row r="929">
      <c r="A929" s="24" t="n">
        <v>46257</v>
      </c>
      <c r="B929" s="25" t="inlineStr">
        <is>
          <t>GRO006</t>
        </is>
      </c>
      <c r="C929" s="25" t="inlineStr">
        <is>
          <t>Taco Kit</t>
        </is>
      </c>
      <c r="D929" s="25" t="inlineStr">
        <is>
          <t>Grocery</t>
        </is>
      </c>
      <c r="E929" s="26" t="n">
        <v>175.23</v>
      </c>
      <c r="F929" s="27" t="n">
        <v>27</v>
      </c>
      <c r="G929" s="26" t="n">
        <v>67.23</v>
      </c>
    </row>
    <row r="930">
      <c r="A930" s="24" t="n">
        <v>46257</v>
      </c>
      <c r="B930" s="25" t="inlineStr">
        <is>
          <t>GRO007</t>
        </is>
      </c>
      <c r="C930" s="25" t="inlineStr">
        <is>
          <t>Eggs Free Range 12pk</t>
        </is>
      </c>
      <c r="D930" s="25" t="inlineStr">
        <is>
          <t>Grocery</t>
        </is>
      </c>
      <c r="E930" s="26" t="n">
        <v>725.34</v>
      </c>
      <c r="F930" s="27" t="n">
        <v>66</v>
      </c>
      <c r="G930" s="26" t="n">
        <v>184.14</v>
      </c>
    </row>
    <row r="931">
      <c r="A931" s="24" t="n">
        <v>46257</v>
      </c>
      <c r="B931" s="25" t="inlineStr">
        <is>
          <t>GRO008</t>
        </is>
      </c>
      <c r="C931" s="25" t="inlineStr">
        <is>
          <t>Coffee Beans 200g</t>
        </is>
      </c>
      <c r="D931" s="25" t="inlineStr">
        <is>
          <t>Grocery</t>
        </is>
      </c>
      <c r="E931" s="26" t="n">
        <v>383.6799999999999</v>
      </c>
      <c r="F931" s="27" t="n">
        <v>32</v>
      </c>
      <c r="G931" s="26" t="n">
        <v>140.48</v>
      </c>
    </row>
    <row r="932">
      <c r="A932" s="24" t="n">
        <v>46257</v>
      </c>
      <c r="B932" s="25" t="inlineStr">
        <is>
          <t>HHD001</t>
        </is>
      </c>
      <c r="C932" s="25" t="inlineStr">
        <is>
          <t>Toilet Paper 6pk</t>
        </is>
      </c>
      <c r="D932" s="25" t="inlineStr">
        <is>
          <t>Household</t>
        </is>
      </c>
      <c r="E932" s="26" t="n">
        <v>296.67</v>
      </c>
      <c r="F932" s="27" t="n">
        <v>33</v>
      </c>
      <c r="G932" s="26" t="n">
        <v>101.97</v>
      </c>
    </row>
    <row r="933">
      <c r="A933" s="24" t="n">
        <v>46257</v>
      </c>
      <c r="B933" s="25" t="inlineStr">
        <is>
          <t>HHD002</t>
        </is>
      </c>
      <c r="C933" s="25" t="inlineStr">
        <is>
          <t>Dishwash Liquid</t>
        </is>
      </c>
      <c r="D933" s="25" t="inlineStr">
        <is>
          <t>Household</t>
        </is>
      </c>
      <c r="E933" s="26" t="n">
        <v>124.75</v>
      </c>
      <c r="F933" s="27" t="n">
        <v>25</v>
      </c>
      <c r="G933" s="26" t="n">
        <v>52.25</v>
      </c>
    </row>
    <row r="934">
      <c r="A934" s="24" t="n">
        <v>46257</v>
      </c>
      <c r="B934" s="25" t="inlineStr">
        <is>
          <t>HHD003</t>
        </is>
      </c>
      <c r="C934" s="25" t="inlineStr">
        <is>
          <t>Phone Charger Cable</t>
        </is>
      </c>
      <c r="D934" s="25" t="inlineStr">
        <is>
          <t>Household</t>
        </is>
      </c>
      <c r="E934" s="26" t="n">
        <v>74.95</v>
      </c>
      <c r="F934" s="27" t="n">
        <v>5</v>
      </c>
      <c r="G934" s="26" t="n">
        <v>47.45</v>
      </c>
    </row>
    <row r="935">
      <c r="A935" s="24" t="n">
        <v>46257</v>
      </c>
      <c r="B935" s="25" t="inlineStr">
        <is>
          <t>LIQ001</t>
        </is>
      </c>
      <c r="C935" s="25" t="inlineStr">
        <is>
          <t>Craft Beer 6pk</t>
        </is>
      </c>
      <c r="D935" s="25" t="inlineStr">
        <is>
          <t>Beer &amp; Wine</t>
        </is>
      </c>
      <c r="E935" s="26" t="n">
        <v>827.64</v>
      </c>
      <c r="F935" s="27" t="n">
        <v>36</v>
      </c>
      <c r="G935" s="26" t="n">
        <v>276.84</v>
      </c>
    </row>
    <row r="936">
      <c r="A936" s="24" t="n">
        <v>46257</v>
      </c>
      <c r="B936" s="25" t="inlineStr">
        <is>
          <t>LIQ002</t>
        </is>
      </c>
      <c r="C936" s="25" t="inlineStr">
        <is>
          <t>Sauvignon Blanc 750ml</t>
        </is>
      </c>
      <c r="D936" s="25" t="inlineStr">
        <is>
          <t>Beer &amp; Wine</t>
        </is>
      </c>
      <c r="E936" s="26" t="n">
        <v>463.71</v>
      </c>
      <c r="F936" s="27" t="n">
        <v>29</v>
      </c>
      <c r="G936" s="26" t="n">
        <v>167.91</v>
      </c>
    </row>
    <row r="937">
      <c r="A937" s="24" t="n">
        <v>46257</v>
      </c>
      <c r="B937" s="25" t="inlineStr">
        <is>
          <t>LIQ003</t>
        </is>
      </c>
      <c r="C937" s="25" t="inlineStr">
        <is>
          <t>RTD 4pk</t>
        </is>
      </c>
      <c r="D937" s="25" t="inlineStr">
        <is>
          <t>Beer &amp; Wine</t>
        </is>
      </c>
      <c r="E937" s="26" t="n">
        <v>503.72</v>
      </c>
      <c r="F937" s="27" t="n">
        <v>28</v>
      </c>
      <c r="G937" s="26" t="n">
        <v>170.52</v>
      </c>
    </row>
    <row r="938">
      <c r="A938" s="24" t="n">
        <v>46257</v>
      </c>
      <c r="B938" s="25" t="inlineStr">
        <is>
          <t>LIQ004</t>
        </is>
      </c>
      <c r="C938" s="25" t="inlineStr">
        <is>
          <t>Pinot Noir 750ml</t>
        </is>
      </c>
      <c r="D938" s="25" t="inlineStr">
        <is>
          <t>Beer &amp; Wine</t>
        </is>
      </c>
      <c r="E938" s="26" t="n">
        <v>259.87</v>
      </c>
      <c r="F938" s="27" t="n">
        <v>13</v>
      </c>
      <c r="G938" s="26" t="n">
        <v>93.47</v>
      </c>
    </row>
    <row r="939">
      <c r="A939" s="24" t="n">
        <v>46257</v>
      </c>
      <c r="B939" s="25" t="inlineStr">
        <is>
          <t>MLK001</t>
        </is>
      </c>
      <c r="C939" s="25" t="inlineStr">
        <is>
          <t>Milk Standard 2L</t>
        </is>
      </c>
      <c r="D939" s="25" t="inlineStr">
        <is>
          <t>Dairy</t>
        </is>
      </c>
      <c r="E939" s="26" t="n">
        <v>1261.62</v>
      </c>
      <c r="F939" s="27" t="n">
        <v>258</v>
      </c>
      <c r="G939" s="26" t="n">
        <v>345.72</v>
      </c>
    </row>
    <row r="940">
      <c r="A940" s="24" t="n">
        <v>46257</v>
      </c>
      <c r="B940" s="25" t="inlineStr">
        <is>
          <t>MLK002</t>
        </is>
      </c>
      <c r="C940" s="25" t="inlineStr">
        <is>
          <t>Milk Lite 2L</t>
        </is>
      </c>
      <c r="D940" s="25" t="inlineStr">
        <is>
          <t>Dairy</t>
        </is>
      </c>
      <c r="E940" s="26" t="n">
        <v>528.12</v>
      </c>
      <c r="F940" s="27" t="n">
        <v>108</v>
      </c>
      <c r="G940" s="26" t="n">
        <v>144.72</v>
      </c>
    </row>
    <row r="941">
      <c r="A941" s="24" t="n">
        <v>46257</v>
      </c>
      <c r="B941" s="25" t="inlineStr">
        <is>
          <t>MLK003</t>
        </is>
      </c>
      <c r="C941" s="25" t="inlineStr">
        <is>
          <t>Oat Milk 1L</t>
        </is>
      </c>
      <c r="D941" s="25" t="inlineStr">
        <is>
          <t>Dairy</t>
        </is>
      </c>
      <c r="E941" s="26" t="n">
        <v>188.76</v>
      </c>
      <c r="F941" s="27" t="n">
        <v>44</v>
      </c>
      <c r="G941" s="26" t="n">
        <v>69.95999999999999</v>
      </c>
    </row>
    <row r="942">
      <c r="A942" s="24" t="n">
        <v>46257</v>
      </c>
      <c r="B942" s="25" t="inlineStr">
        <is>
          <t>PHM001</t>
        </is>
      </c>
      <c r="C942" s="25" t="inlineStr">
        <is>
          <t>Paracetamol 20pk</t>
        </is>
      </c>
      <c r="D942" s="25" t="inlineStr">
        <is>
          <t>Health &amp; Beauty</t>
        </is>
      </c>
      <c r="E942" s="26" t="n">
        <v>119.7</v>
      </c>
      <c r="F942" s="27" t="n">
        <v>30</v>
      </c>
      <c r="G942" s="26" t="n">
        <v>71.7</v>
      </c>
    </row>
    <row r="943">
      <c r="A943" s="24" t="n">
        <v>46257</v>
      </c>
      <c r="B943" s="25" t="inlineStr">
        <is>
          <t>PHM002</t>
        </is>
      </c>
      <c r="C943" s="25" t="inlineStr">
        <is>
          <t>Sunscreen SPF50</t>
        </is>
      </c>
      <c r="D943" s="25" t="inlineStr">
        <is>
          <t>Health &amp; Beauty</t>
        </is>
      </c>
      <c r="E943" s="26" t="n">
        <v>119.92</v>
      </c>
      <c r="F943" s="27" t="n">
        <v>8</v>
      </c>
      <c r="G943" s="26" t="n">
        <v>54.32</v>
      </c>
    </row>
    <row r="944">
      <c r="A944" s="24" t="n">
        <v>46257</v>
      </c>
      <c r="B944" s="25" t="inlineStr">
        <is>
          <t>PRD001</t>
        </is>
      </c>
      <c r="C944" s="25" t="inlineStr">
        <is>
          <t>Bananas (each)</t>
        </is>
      </c>
      <c r="D944" s="25" t="inlineStr">
        <is>
          <t>Produce</t>
        </is>
      </c>
      <c r="E944" s="26" t="n">
        <v>146.97</v>
      </c>
      <c r="F944" s="27" t="n">
        <v>213</v>
      </c>
      <c r="G944" s="26" t="n">
        <v>66.03</v>
      </c>
    </row>
    <row r="945">
      <c r="A945" s="24" t="n">
        <v>46257</v>
      </c>
      <c r="B945" s="25" t="inlineStr">
        <is>
          <t>PRD002</t>
        </is>
      </c>
      <c r="C945" s="25" t="inlineStr">
        <is>
          <t>Avocado</t>
        </is>
      </c>
      <c r="D945" s="25" t="inlineStr">
        <is>
          <t>Produce</t>
        </is>
      </c>
      <c r="E945" s="26" t="n">
        <v>104.58</v>
      </c>
      <c r="F945" s="27" t="n">
        <v>42</v>
      </c>
      <c r="G945" s="26" t="n">
        <v>45.78</v>
      </c>
    </row>
    <row r="946">
      <c r="A946" s="24" t="n">
        <v>46257</v>
      </c>
      <c r="B946" s="25" t="inlineStr">
        <is>
          <t>PRD003</t>
        </is>
      </c>
      <c r="C946" s="25" t="inlineStr">
        <is>
          <t>Tomatoes 500g</t>
        </is>
      </c>
      <c r="D946" s="25" t="inlineStr">
        <is>
          <t>Produce</t>
        </is>
      </c>
      <c r="E946" s="26" t="n">
        <v>175.11</v>
      </c>
      <c r="F946" s="27" t="n">
        <v>39</v>
      </c>
      <c r="G946" s="26" t="n">
        <v>73.70999999999999</v>
      </c>
    </row>
    <row r="947">
      <c r="A947" s="24" t="n">
        <v>46257</v>
      </c>
      <c r="B947" s="25" t="inlineStr">
        <is>
          <t>SNK001</t>
        </is>
      </c>
      <c r="C947" s="25" t="inlineStr">
        <is>
          <t>Potato Chips 150g</t>
        </is>
      </c>
      <c r="D947" s="25" t="inlineStr">
        <is>
          <t>Snacks &amp; Confectionery</t>
        </is>
      </c>
      <c r="E947" s="26" t="n">
        <v>578.55</v>
      </c>
      <c r="F947" s="27" t="n">
        <v>145</v>
      </c>
      <c r="G947" s="26" t="n">
        <v>274.05</v>
      </c>
    </row>
    <row r="948">
      <c r="A948" s="24" t="n">
        <v>46257</v>
      </c>
      <c r="B948" s="25" t="inlineStr">
        <is>
          <t>SNK002</t>
        </is>
      </c>
      <c r="C948" s="25" t="inlineStr">
        <is>
          <t>Chocolate Block 200g</t>
        </is>
      </c>
      <c r="D948" s="25" t="inlineStr">
        <is>
          <t>Snacks &amp; Confectionery</t>
        </is>
      </c>
      <c r="E948" s="26" t="n">
        <v>675.27</v>
      </c>
      <c r="F948" s="27" t="n">
        <v>123</v>
      </c>
      <c r="G948" s="26" t="n">
        <v>281.67</v>
      </c>
    </row>
    <row r="949">
      <c r="A949" s="24" t="n">
        <v>46257</v>
      </c>
      <c r="B949" s="25" t="inlineStr">
        <is>
          <t>SNK003</t>
        </is>
      </c>
      <c r="C949" s="25" t="inlineStr">
        <is>
          <t>Muesli Bar 6pk</t>
        </is>
      </c>
      <c r="D949" s="25" t="inlineStr">
        <is>
          <t>Snacks &amp; Confectionery</t>
        </is>
      </c>
      <c r="E949" s="26" t="n">
        <v>227.37</v>
      </c>
      <c r="F949" s="27" t="n">
        <v>53</v>
      </c>
      <c r="G949" s="26" t="n">
        <v>89.56999999999999</v>
      </c>
    </row>
    <row r="950">
      <c r="A950" s="24" t="n">
        <v>46257</v>
      </c>
      <c r="B950" s="25" t="inlineStr">
        <is>
          <t>SNK004</t>
        </is>
      </c>
      <c r="C950" s="25" t="inlineStr">
        <is>
          <t>Corn Chips 230g</t>
        </is>
      </c>
      <c r="D950" s="25" t="inlineStr">
        <is>
          <t>Snacks &amp; Confectionery</t>
        </is>
      </c>
      <c r="E950" s="26" t="n">
        <v>224.5</v>
      </c>
      <c r="F950" s="27" t="n">
        <v>50</v>
      </c>
      <c r="G950" s="26" t="n">
        <v>104.5</v>
      </c>
    </row>
    <row r="951">
      <c r="A951" s="24" t="n">
        <v>46257</v>
      </c>
      <c r="B951" s="25" t="inlineStr">
        <is>
          <t>SNK005</t>
        </is>
      </c>
      <c r="C951" s="25" t="inlineStr">
        <is>
          <t>Lollies Bag 200g</t>
        </is>
      </c>
      <c r="D951" s="25" t="inlineStr">
        <is>
          <t>Snacks &amp; Confectionery</t>
        </is>
      </c>
      <c r="E951" s="26" t="n">
        <v>233.83</v>
      </c>
      <c r="F951" s="27" t="n">
        <v>67</v>
      </c>
      <c r="G951" s="26" t="n">
        <v>119.93</v>
      </c>
    </row>
    <row r="952">
      <c r="A952" s="24" t="n">
        <v>46264</v>
      </c>
      <c r="B952" s="25" t="inlineStr">
        <is>
          <t>BAK001</t>
        </is>
      </c>
      <c r="C952" s="25" t="inlineStr">
        <is>
          <t>Toast Bread White</t>
        </is>
      </c>
      <c r="D952" s="25" t="inlineStr">
        <is>
          <t>Bakery</t>
        </is>
      </c>
      <c r="E952" s="26" t="n">
        <v>471.15</v>
      </c>
      <c r="F952" s="27" t="n">
        <v>135</v>
      </c>
      <c r="G952" s="26" t="n">
        <v>174.15</v>
      </c>
    </row>
    <row r="953">
      <c r="A953" s="24" t="n">
        <v>46264</v>
      </c>
      <c r="B953" s="25" t="inlineStr">
        <is>
          <t>BAK002</t>
        </is>
      </c>
      <c r="C953" s="25" t="inlineStr">
        <is>
          <t>Wholemeal Loaf</t>
        </is>
      </c>
      <c r="D953" s="25" t="inlineStr">
        <is>
          <t>Bakery</t>
        </is>
      </c>
      <c r="E953" s="26" t="n">
        <v>343.2</v>
      </c>
      <c r="F953" s="27" t="n">
        <v>80</v>
      </c>
      <c r="G953" s="26" t="n">
        <v>127.2</v>
      </c>
    </row>
    <row r="954">
      <c r="A954" s="24" t="n">
        <v>46264</v>
      </c>
      <c r="B954" s="25" t="inlineStr">
        <is>
          <t>BAK003</t>
        </is>
      </c>
      <c r="C954" s="25" t="inlineStr">
        <is>
          <t>Croissant 4pk</t>
        </is>
      </c>
      <c r="D954" s="25" t="inlineStr">
        <is>
          <t>Bakery</t>
        </is>
      </c>
      <c r="E954" s="26" t="n">
        <v>317.47</v>
      </c>
      <c r="F954" s="27" t="n">
        <v>53</v>
      </c>
      <c r="G954" s="26" t="n">
        <v>142.57</v>
      </c>
    </row>
    <row r="955">
      <c r="A955" s="24" t="n">
        <v>46264</v>
      </c>
      <c r="B955" s="25" t="inlineStr">
        <is>
          <t>BBT001</t>
        </is>
      </c>
      <c r="C955" s="25" t="inlineStr">
        <is>
          <t>Bubble Tea Kit</t>
        </is>
      </c>
      <c r="D955" s="25" t="inlineStr">
        <is>
          <t>Beverages</t>
        </is>
      </c>
      <c r="E955" s="26" t="n">
        <v>174.75</v>
      </c>
      <c r="F955" s="27" t="n">
        <v>25</v>
      </c>
      <c r="G955" s="26" t="n">
        <v>77.25</v>
      </c>
    </row>
    <row r="956">
      <c r="A956" s="24" t="n">
        <v>46264</v>
      </c>
      <c r="B956" s="25" t="inlineStr">
        <is>
          <t>BEV001</t>
        </is>
      </c>
      <c r="C956" s="25" t="inlineStr">
        <is>
          <t>Energy Drink 500ml</t>
        </is>
      </c>
      <c r="D956" s="25" t="inlineStr">
        <is>
          <t>Beverages</t>
        </is>
      </c>
      <c r="E956" s="26" t="n">
        <v>626.34</v>
      </c>
      <c r="F956" s="27" t="n">
        <v>146</v>
      </c>
      <c r="G956" s="26" t="n">
        <v>312.44</v>
      </c>
    </row>
    <row r="957">
      <c r="A957" s="24" t="n">
        <v>46264</v>
      </c>
      <c r="B957" s="25" t="inlineStr">
        <is>
          <t>BEV002</t>
        </is>
      </c>
      <c r="C957" s="25" t="inlineStr">
        <is>
          <t>Cola 1.5L</t>
        </is>
      </c>
      <c r="D957" s="25" t="inlineStr">
        <is>
          <t>Beverages</t>
        </is>
      </c>
      <c r="E957" s="26" t="n">
        <v>408.59</v>
      </c>
      <c r="F957" s="27" t="n">
        <v>91</v>
      </c>
      <c r="G957" s="26" t="n">
        <v>199.29</v>
      </c>
    </row>
    <row r="958">
      <c r="A958" s="24" t="n">
        <v>46264</v>
      </c>
      <c r="B958" s="25" t="inlineStr">
        <is>
          <t>BEV003</t>
        </is>
      </c>
      <c r="C958" s="25" t="inlineStr">
        <is>
          <t>Sparkling Water 1L</t>
        </is>
      </c>
      <c r="D958" s="25" t="inlineStr">
        <is>
          <t>Beverages</t>
        </is>
      </c>
      <c r="E958" s="26" t="n">
        <v>194.22</v>
      </c>
      <c r="F958" s="27" t="n">
        <v>78</v>
      </c>
      <c r="G958" s="26" t="n">
        <v>108.42</v>
      </c>
    </row>
    <row r="959">
      <c r="A959" s="24" t="n">
        <v>46264</v>
      </c>
      <c r="B959" s="25" t="inlineStr">
        <is>
          <t>BEV004</t>
        </is>
      </c>
      <c r="C959" s="25" t="inlineStr">
        <is>
          <t>Iced Coffee 500ml</t>
        </is>
      </c>
      <c r="D959" s="25" t="inlineStr">
        <is>
          <t>Beverages</t>
        </is>
      </c>
      <c r="E959" s="26" t="n">
        <v>384.23</v>
      </c>
      <c r="F959" s="27" t="n">
        <v>77</v>
      </c>
      <c r="G959" s="26" t="n">
        <v>176.33</v>
      </c>
    </row>
    <row r="960">
      <c r="A960" s="24" t="n">
        <v>46264</v>
      </c>
      <c r="B960" s="25" t="inlineStr">
        <is>
          <t>BEV005</t>
        </is>
      </c>
      <c r="C960" s="25" t="inlineStr">
        <is>
          <t>Kombucha 330ml</t>
        </is>
      </c>
      <c r="D960" s="25" t="inlineStr">
        <is>
          <t>Beverages</t>
        </is>
      </c>
      <c r="E960" s="26" t="n">
        <v>172.39</v>
      </c>
      <c r="F960" s="27" t="n">
        <v>41</v>
      </c>
      <c r="G960" s="26" t="n">
        <v>65.79000000000001</v>
      </c>
    </row>
    <row r="961">
      <c r="A961" s="24" t="n">
        <v>46264</v>
      </c>
      <c r="B961" s="25" t="inlineStr">
        <is>
          <t>BEV006</t>
        </is>
      </c>
      <c r="C961" s="25" t="inlineStr">
        <is>
          <t>Bottled Water 750ml</t>
        </is>
      </c>
      <c r="D961" s="25" t="inlineStr">
        <is>
          <t>Beverages</t>
        </is>
      </c>
      <c r="E961" s="26" t="n">
        <v>454.48</v>
      </c>
      <c r="F961" s="27" t="n">
        <v>152</v>
      </c>
      <c r="G961" s="26" t="n">
        <v>310.08</v>
      </c>
    </row>
    <row r="962">
      <c r="A962" s="24" t="n">
        <v>46264</v>
      </c>
      <c r="B962" s="25" t="inlineStr">
        <is>
          <t>DRY010</t>
        </is>
      </c>
      <c r="C962" s="25" t="inlineStr">
        <is>
          <t>Butter 500g</t>
        </is>
      </c>
      <c r="D962" s="25" t="inlineStr">
        <is>
          <t>Dairy</t>
        </is>
      </c>
      <c r="E962" s="26" t="n">
        <v>284.62</v>
      </c>
      <c r="F962" s="27" t="n">
        <v>38</v>
      </c>
      <c r="G962" s="26" t="n">
        <v>71.81999999999999</v>
      </c>
    </row>
    <row r="963">
      <c r="A963" s="24" t="n">
        <v>46264</v>
      </c>
      <c r="B963" s="25" t="inlineStr">
        <is>
          <t>DRY011</t>
        </is>
      </c>
      <c r="C963" s="25" t="inlineStr">
        <is>
          <t>Greek Yoghurt 1kg</t>
        </is>
      </c>
      <c r="D963" s="25" t="inlineStr">
        <is>
          <t>Dairy</t>
        </is>
      </c>
      <c r="E963" s="26" t="n">
        <v>247.69</v>
      </c>
      <c r="F963" s="27" t="n">
        <v>31</v>
      </c>
      <c r="G963" s="26" t="n">
        <v>89.59</v>
      </c>
    </row>
    <row r="964">
      <c r="A964" s="24" t="n">
        <v>46264</v>
      </c>
      <c r="B964" s="25" t="inlineStr">
        <is>
          <t>DRY012</t>
        </is>
      </c>
      <c r="C964" s="25" t="inlineStr">
        <is>
          <t>Cheese Block 1kg</t>
        </is>
      </c>
      <c r="D964" s="25" t="inlineStr">
        <is>
          <t>Dairy</t>
        </is>
      </c>
      <c r="E964" s="26" t="n">
        <v>391.72</v>
      </c>
      <c r="F964" s="27" t="n">
        <v>28</v>
      </c>
      <c r="G964" s="26" t="n">
        <v>100.52</v>
      </c>
    </row>
    <row r="965">
      <c r="A965" s="24" t="n">
        <v>46264</v>
      </c>
      <c r="B965" s="25" t="inlineStr">
        <is>
          <t>FRZ001</t>
        </is>
      </c>
      <c r="C965" s="25" t="inlineStr">
        <is>
          <t>Ice Cream Tub 2L</t>
        </is>
      </c>
      <c r="D965" s="25" t="inlineStr">
        <is>
          <t>Frozen</t>
        </is>
      </c>
      <c r="E965" s="26" t="n">
        <v>359.6</v>
      </c>
      <c r="F965" s="27" t="n">
        <v>40</v>
      </c>
      <c r="G965" s="26" t="n">
        <v>143.6</v>
      </c>
    </row>
    <row r="966">
      <c r="A966" s="24" t="n">
        <v>46264</v>
      </c>
      <c r="B966" s="25" t="inlineStr">
        <is>
          <t>FRZ002</t>
        </is>
      </c>
      <c r="C966" s="25" t="inlineStr">
        <is>
          <t>Ice Block Single</t>
        </is>
      </c>
      <c r="D966" s="25" t="inlineStr">
        <is>
          <t>Frozen</t>
        </is>
      </c>
      <c r="E966" s="26" t="n">
        <v>257.14</v>
      </c>
      <c r="F966" s="27" t="n">
        <v>86</v>
      </c>
      <c r="G966" s="26" t="n">
        <v>153.94</v>
      </c>
    </row>
    <row r="967">
      <c r="A967" s="24" t="n">
        <v>46264</v>
      </c>
      <c r="B967" s="25" t="inlineStr">
        <is>
          <t>FRZ003</t>
        </is>
      </c>
      <c r="C967" s="25" t="inlineStr">
        <is>
          <t>Frozen Pizza</t>
        </is>
      </c>
      <c r="D967" s="25" t="inlineStr">
        <is>
          <t>Frozen</t>
        </is>
      </c>
      <c r="E967" s="26" t="n">
        <v>311.61</v>
      </c>
      <c r="F967" s="27" t="n">
        <v>39</v>
      </c>
      <c r="G967" s="26" t="n">
        <v>128.31</v>
      </c>
    </row>
    <row r="968">
      <c r="A968" s="24" t="n">
        <v>46264</v>
      </c>
      <c r="B968" s="25" t="inlineStr">
        <is>
          <t>FRZ004</t>
        </is>
      </c>
      <c r="C968" s="25" t="inlineStr">
        <is>
          <t>Frozen Dumplings 1kg</t>
        </is>
      </c>
      <c r="D968" s="25" t="inlineStr">
        <is>
          <t>Frozen</t>
        </is>
      </c>
      <c r="E968" s="26" t="n">
        <v>335.72</v>
      </c>
      <c r="F968" s="27" t="n">
        <v>28</v>
      </c>
      <c r="G968" s="26" t="n">
        <v>136.92</v>
      </c>
    </row>
    <row r="969">
      <c r="A969" s="24" t="n">
        <v>46264</v>
      </c>
      <c r="B969" s="25" t="inlineStr">
        <is>
          <t>FTG001</t>
        </is>
      </c>
      <c r="C969" s="25" t="inlineStr">
        <is>
          <t>Chicken Sandwich</t>
        </is>
      </c>
      <c r="D969" s="25" t="inlineStr">
        <is>
          <t>Food To Go</t>
        </is>
      </c>
      <c r="E969" s="26" t="n">
        <v>816.41</v>
      </c>
      <c r="F969" s="27" t="n">
        <v>109</v>
      </c>
      <c r="G969" s="26" t="n">
        <v>391.31</v>
      </c>
    </row>
    <row r="970">
      <c r="A970" s="24" t="n">
        <v>46264</v>
      </c>
      <c r="B970" s="25" t="inlineStr">
        <is>
          <t>FTG002</t>
        </is>
      </c>
      <c r="C970" s="25" t="inlineStr">
        <is>
          <t>Sushi Pack 8pc</t>
        </is>
      </c>
      <c r="D970" s="25" t="inlineStr">
        <is>
          <t>Food To Go</t>
        </is>
      </c>
      <c r="E970" s="26" t="n">
        <v>779.22</v>
      </c>
      <c r="F970" s="27" t="n">
        <v>78</v>
      </c>
      <c r="G970" s="26" t="n">
        <v>342.42</v>
      </c>
    </row>
    <row r="971">
      <c r="A971" s="24" t="n">
        <v>46264</v>
      </c>
      <c r="B971" s="25" t="inlineStr">
        <is>
          <t>FTG003</t>
        </is>
      </c>
      <c r="C971" s="25" t="inlineStr">
        <is>
          <t>Hot Pie Mince &amp; Cheese</t>
        </is>
      </c>
      <c r="D971" s="25" t="inlineStr">
        <is>
          <t>Food To Go</t>
        </is>
      </c>
      <c r="E971" s="26" t="n">
        <v>796.0500000000001</v>
      </c>
      <c r="F971" s="27" t="n">
        <v>145</v>
      </c>
      <c r="G971" s="26" t="n">
        <v>448.05</v>
      </c>
    </row>
    <row r="972">
      <c r="A972" s="24" t="n">
        <v>46264</v>
      </c>
      <c r="B972" s="25" t="inlineStr">
        <is>
          <t>FTG004</t>
        </is>
      </c>
      <c r="C972" s="25" t="inlineStr">
        <is>
          <t>Salad Bowl</t>
        </is>
      </c>
      <c r="D972" s="25" t="inlineStr">
        <is>
          <t>Food To Go</t>
        </is>
      </c>
      <c r="E972" s="26" t="n">
        <v>329.7</v>
      </c>
      <c r="F972" s="27" t="n">
        <v>30</v>
      </c>
      <c r="G972" s="26" t="n">
        <v>143.7</v>
      </c>
    </row>
    <row r="973">
      <c r="A973" s="24" t="n">
        <v>46264</v>
      </c>
      <c r="B973" s="25" t="inlineStr">
        <is>
          <t>FTG005</t>
        </is>
      </c>
      <c r="C973" s="25" t="inlineStr">
        <is>
          <t>Filled Roll</t>
        </is>
      </c>
      <c r="D973" s="25" t="inlineStr">
        <is>
          <t>Food To Go</t>
        </is>
      </c>
      <c r="E973" s="26" t="n">
        <v>506.22</v>
      </c>
      <c r="F973" s="27" t="n">
        <v>78</v>
      </c>
      <c r="G973" s="26" t="n">
        <v>256.62</v>
      </c>
    </row>
    <row r="974">
      <c r="A974" s="24" t="n">
        <v>46264</v>
      </c>
      <c r="B974" s="25" t="inlineStr">
        <is>
          <t>GRO001</t>
        </is>
      </c>
      <c r="C974" s="25" t="inlineStr">
        <is>
          <t>Instant Noodles 5pk</t>
        </is>
      </c>
      <c r="D974" s="25" t="inlineStr">
        <is>
          <t>Grocery</t>
        </is>
      </c>
      <c r="E974" s="26" t="n">
        <v>399.61</v>
      </c>
      <c r="F974" s="27" t="n">
        <v>89</v>
      </c>
      <c r="G974" s="26" t="n">
        <v>168.21</v>
      </c>
    </row>
    <row r="975">
      <c r="A975" s="24" t="n">
        <v>46264</v>
      </c>
      <c r="B975" s="25" t="inlineStr">
        <is>
          <t>GRO002</t>
        </is>
      </c>
      <c r="C975" s="25" t="inlineStr">
        <is>
          <t>Canned Soup 500g</t>
        </is>
      </c>
      <c r="D975" s="25" t="inlineStr">
        <is>
          <t>Grocery</t>
        </is>
      </c>
      <c r="E975" s="26" t="n">
        <v>148.05</v>
      </c>
      <c r="F975" s="27" t="n">
        <v>45</v>
      </c>
      <c r="G975" s="26" t="n">
        <v>62.55</v>
      </c>
    </row>
    <row r="976">
      <c r="A976" s="24" t="n">
        <v>46264</v>
      </c>
      <c r="B976" s="25" t="inlineStr">
        <is>
          <t>GRO003</t>
        </is>
      </c>
      <c r="C976" s="25" t="inlineStr">
        <is>
          <t>Pasta 500g</t>
        </is>
      </c>
      <c r="D976" s="25" t="inlineStr">
        <is>
          <t>Grocery</t>
        </is>
      </c>
      <c r="E976" s="26" t="n">
        <v>117.03</v>
      </c>
      <c r="F976" s="27" t="n">
        <v>47</v>
      </c>
      <c r="G976" s="26" t="n">
        <v>55.93</v>
      </c>
    </row>
    <row r="977">
      <c r="A977" s="24" t="n">
        <v>46264</v>
      </c>
      <c r="B977" s="25" t="inlineStr">
        <is>
          <t>GRO004</t>
        </is>
      </c>
      <c r="C977" s="25" t="inlineStr">
        <is>
          <t>Simmer Sauce 485g</t>
        </is>
      </c>
      <c r="D977" s="25" t="inlineStr">
        <is>
          <t>Grocery</t>
        </is>
      </c>
      <c r="E977" s="26" t="n">
        <v>167.58</v>
      </c>
      <c r="F977" s="27" t="n">
        <v>42</v>
      </c>
      <c r="G977" s="26" t="n">
        <v>70.98</v>
      </c>
    </row>
    <row r="978">
      <c r="A978" s="24" t="n">
        <v>46264</v>
      </c>
      <c r="B978" s="25" t="inlineStr">
        <is>
          <t>GRO005</t>
        </is>
      </c>
      <c r="C978" s="25" t="inlineStr">
        <is>
          <t>Salsa 300g</t>
        </is>
      </c>
      <c r="D978" s="25" t="inlineStr">
        <is>
          <t>Grocery</t>
        </is>
      </c>
      <c r="E978" s="26" t="n">
        <v>110.17</v>
      </c>
      <c r="F978" s="27" t="n">
        <v>23</v>
      </c>
      <c r="G978" s="26" t="n">
        <v>43.47</v>
      </c>
    </row>
    <row r="979">
      <c r="A979" s="24" t="n">
        <v>46264</v>
      </c>
      <c r="B979" s="25" t="inlineStr">
        <is>
          <t>GRO006</t>
        </is>
      </c>
      <c r="C979" s="25" t="inlineStr">
        <is>
          <t>Taco Kit</t>
        </is>
      </c>
      <c r="D979" s="25" t="inlineStr">
        <is>
          <t>Grocery</t>
        </is>
      </c>
      <c r="E979" s="26" t="n">
        <v>168.74</v>
      </c>
      <c r="F979" s="27" t="n">
        <v>26</v>
      </c>
      <c r="G979" s="26" t="n">
        <v>64.73999999999999</v>
      </c>
    </row>
    <row r="980">
      <c r="A980" s="24" t="n">
        <v>46264</v>
      </c>
      <c r="B980" s="25" t="inlineStr">
        <is>
          <t>GRO007</t>
        </is>
      </c>
      <c r="C980" s="25" t="inlineStr">
        <is>
          <t>Eggs Free Range 12pk</t>
        </is>
      </c>
      <c r="D980" s="25" t="inlineStr">
        <is>
          <t>Grocery</t>
        </is>
      </c>
      <c r="E980" s="26" t="n">
        <v>736.33</v>
      </c>
      <c r="F980" s="27" t="n">
        <v>67</v>
      </c>
      <c r="G980" s="26" t="n">
        <v>186.93</v>
      </c>
    </row>
    <row r="981">
      <c r="A981" s="24" t="n">
        <v>46264</v>
      </c>
      <c r="B981" s="25" t="inlineStr">
        <is>
          <t>GRO008</t>
        </is>
      </c>
      <c r="C981" s="25" t="inlineStr">
        <is>
          <t>Coffee Beans 200g</t>
        </is>
      </c>
      <c r="D981" s="25" t="inlineStr">
        <is>
          <t>Grocery</t>
        </is>
      </c>
      <c r="E981" s="26" t="n">
        <v>311.74</v>
      </c>
      <c r="F981" s="27" t="n">
        <v>26</v>
      </c>
      <c r="G981" s="26" t="n">
        <v>114.14</v>
      </c>
    </row>
    <row r="982">
      <c r="A982" s="24" t="n">
        <v>46264</v>
      </c>
      <c r="B982" s="25" t="inlineStr">
        <is>
          <t>HHD001</t>
        </is>
      </c>
      <c r="C982" s="25" t="inlineStr">
        <is>
          <t>Toilet Paper 6pk</t>
        </is>
      </c>
      <c r="D982" s="25" t="inlineStr">
        <is>
          <t>Household</t>
        </is>
      </c>
      <c r="E982" s="26" t="n">
        <v>377.58</v>
      </c>
      <c r="F982" s="27" t="n">
        <v>42</v>
      </c>
      <c r="G982" s="26" t="n">
        <v>129.78</v>
      </c>
    </row>
    <row r="983">
      <c r="A983" s="24" t="n">
        <v>46264</v>
      </c>
      <c r="B983" s="25" t="inlineStr">
        <is>
          <t>HHD002</t>
        </is>
      </c>
      <c r="C983" s="25" t="inlineStr">
        <is>
          <t>Dishwash Liquid</t>
        </is>
      </c>
      <c r="D983" s="25" t="inlineStr">
        <is>
          <t>Household</t>
        </is>
      </c>
      <c r="E983" s="26" t="n">
        <v>109.78</v>
      </c>
      <c r="F983" s="27" t="n">
        <v>22</v>
      </c>
      <c r="G983" s="26" t="n">
        <v>45.98</v>
      </c>
    </row>
    <row r="984">
      <c r="A984" s="24" t="n">
        <v>46264</v>
      </c>
      <c r="B984" s="25" t="inlineStr">
        <is>
          <t>HHD003</t>
        </is>
      </c>
      <c r="C984" s="25" t="inlineStr">
        <is>
          <t>Phone Charger Cable</t>
        </is>
      </c>
      <c r="D984" s="25" t="inlineStr">
        <is>
          <t>Household</t>
        </is>
      </c>
      <c r="E984" s="26" t="n">
        <v>119.92</v>
      </c>
      <c r="F984" s="27" t="n">
        <v>8</v>
      </c>
      <c r="G984" s="26" t="n">
        <v>75.92</v>
      </c>
    </row>
    <row r="985">
      <c r="A985" s="24" t="n">
        <v>46264</v>
      </c>
      <c r="B985" s="25" t="inlineStr">
        <is>
          <t>LIQ001</t>
        </is>
      </c>
      <c r="C985" s="25" t="inlineStr">
        <is>
          <t>Craft Beer 6pk</t>
        </is>
      </c>
      <c r="D985" s="25" t="inlineStr">
        <is>
          <t>Beer &amp; Wine</t>
        </is>
      </c>
      <c r="E985" s="26" t="n">
        <v>827.64</v>
      </c>
      <c r="F985" s="27" t="n">
        <v>36</v>
      </c>
      <c r="G985" s="26" t="n">
        <v>276.84</v>
      </c>
    </row>
    <row r="986">
      <c r="A986" s="24" t="n">
        <v>46264</v>
      </c>
      <c r="B986" s="25" t="inlineStr">
        <is>
          <t>LIQ002</t>
        </is>
      </c>
      <c r="C986" s="25" t="inlineStr">
        <is>
          <t>Sauvignon Blanc 750ml</t>
        </is>
      </c>
      <c r="D986" s="25" t="inlineStr">
        <is>
          <t>Beer &amp; Wine</t>
        </is>
      </c>
      <c r="E986" s="26" t="n">
        <v>559.65</v>
      </c>
      <c r="F986" s="27" t="n">
        <v>35</v>
      </c>
      <c r="G986" s="26" t="n">
        <v>202.65</v>
      </c>
    </row>
    <row r="987">
      <c r="A987" s="24" t="n">
        <v>46264</v>
      </c>
      <c r="B987" s="25" t="inlineStr">
        <is>
          <t>LIQ003</t>
        </is>
      </c>
      <c r="C987" s="25" t="inlineStr">
        <is>
          <t>RTD 4pk</t>
        </is>
      </c>
      <c r="D987" s="25" t="inlineStr">
        <is>
          <t>Beer &amp; Wine</t>
        </is>
      </c>
      <c r="E987" s="26" t="n">
        <v>413.77</v>
      </c>
      <c r="F987" s="27" t="n">
        <v>23</v>
      </c>
      <c r="G987" s="26" t="n">
        <v>140.07</v>
      </c>
    </row>
    <row r="988">
      <c r="A988" s="24" t="n">
        <v>46264</v>
      </c>
      <c r="B988" s="25" t="inlineStr">
        <is>
          <t>LIQ004</t>
        </is>
      </c>
      <c r="C988" s="25" t="inlineStr">
        <is>
          <t>Pinot Noir 750ml</t>
        </is>
      </c>
      <c r="D988" s="25" t="inlineStr">
        <is>
          <t>Beer &amp; Wine</t>
        </is>
      </c>
      <c r="E988" s="26" t="n">
        <v>159.92</v>
      </c>
      <c r="F988" s="27" t="n">
        <v>8</v>
      </c>
      <c r="G988" s="26" t="n">
        <v>57.52</v>
      </c>
    </row>
    <row r="989">
      <c r="A989" s="24" t="n">
        <v>46264</v>
      </c>
      <c r="B989" s="25" t="inlineStr">
        <is>
          <t>MLK001</t>
        </is>
      </c>
      <c r="C989" s="25" t="inlineStr">
        <is>
          <t>Milk Standard 2L</t>
        </is>
      </c>
      <c r="D989" s="25" t="inlineStr">
        <is>
          <t>Dairy</t>
        </is>
      </c>
      <c r="E989" s="26" t="n">
        <v>1398.54</v>
      </c>
      <c r="F989" s="27" t="n">
        <v>286</v>
      </c>
      <c r="G989" s="26" t="n">
        <v>383.24</v>
      </c>
    </row>
    <row r="990">
      <c r="A990" s="24" t="n">
        <v>46264</v>
      </c>
      <c r="B990" s="25" t="inlineStr">
        <is>
          <t>MLK002</t>
        </is>
      </c>
      <c r="C990" s="25" t="inlineStr">
        <is>
          <t>Milk Lite 2L</t>
        </is>
      </c>
      <c r="D990" s="25" t="inlineStr">
        <is>
          <t>Dairy</t>
        </is>
      </c>
      <c r="E990" s="26" t="n">
        <v>528.12</v>
      </c>
      <c r="F990" s="27" t="n">
        <v>108</v>
      </c>
      <c r="G990" s="26" t="n">
        <v>144.72</v>
      </c>
    </row>
    <row r="991">
      <c r="A991" s="24" t="n">
        <v>46264</v>
      </c>
      <c r="B991" s="25" t="inlineStr">
        <is>
          <t>MLK003</t>
        </is>
      </c>
      <c r="C991" s="25" t="inlineStr">
        <is>
          <t>Oat Milk 1L</t>
        </is>
      </c>
      <c r="D991" s="25" t="inlineStr">
        <is>
          <t>Dairy</t>
        </is>
      </c>
      <c r="E991" s="26" t="n">
        <v>244.53</v>
      </c>
      <c r="F991" s="27" t="n">
        <v>57</v>
      </c>
      <c r="G991" s="26" t="n">
        <v>90.63</v>
      </c>
    </row>
    <row r="992">
      <c r="A992" s="24" t="n">
        <v>46264</v>
      </c>
      <c r="B992" s="25" t="inlineStr">
        <is>
          <t>PHM001</t>
        </is>
      </c>
      <c r="C992" s="25" t="inlineStr">
        <is>
          <t>Paracetamol 20pk</t>
        </is>
      </c>
      <c r="D992" s="25" t="inlineStr">
        <is>
          <t>Health &amp; Beauty</t>
        </is>
      </c>
      <c r="E992" s="26" t="n">
        <v>123.69</v>
      </c>
      <c r="F992" s="27" t="n">
        <v>31</v>
      </c>
      <c r="G992" s="26" t="n">
        <v>74.09</v>
      </c>
    </row>
    <row r="993">
      <c r="A993" s="24" t="n">
        <v>46264</v>
      </c>
      <c r="B993" s="25" t="inlineStr">
        <is>
          <t>PHM002</t>
        </is>
      </c>
      <c r="C993" s="25" t="inlineStr">
        <is>
          <t>Sunscreen SPF50</t>
        </is>
      </c>
      <c r="D993" s="25" t="inlineStr">
        <is>
          <t>Health &amp; Beauty</t>
        </is>
      </c>
      <c r="E993" s="26" t="n">
        <v>170.87</v>
      </c>
      <c r="F993" s="27" t="n">
        <v>13</v>
      </c>
      <c r="G993" s="26" t="n">
        <v>64.27</v>
      </c>
    </row>
    <row r="994">
      <c r="A994" s="24" t="n">
        <v>46264</v>
      </c>
      <c r="B994" s="25" t="inlineStr">
        <is>
          <t>PRD001</t>
        </is>
      </c>
      <c r="C994" s="25" t="inlineStr">
        <is>
          <t>Bananas (each)</t>
        </is>
      </c>
      <c r="D994" s="25" t="inlineStr">
        <is>
          <t>Produce</t>
        </is>
      </c>
      <c r="E994" s="26" t="n">
        <v>150.42</v>
      </c>
      <c r="F994" s="27" t="n">
        <v>218</v>
      </c>
      <c r="G994" s="26" t="n">
        <v>67.58</v>
      </c>
    </row>
    <row r="995">
      <c r="A995" s="24" t="n">
        <v>46264</v>
      </c>
      <c r="B995" s="25" t="inlineStr">
        <is>
          <t>PRD002</t>
        </is>
      </c>
      <c r="C995" s="25" t="inlineStr">
        <is>
          <t>Avocado</t>
        </is>
      </c>
      <c r="D995" s="25" t="inlineStr">
        <is>
          <t>Produce</t>
        </is>
      </c>
      <c r="E995" s="26" t="n">
        <v>129.48</v>
      </c>
      <c r="F995" s="27" t="n">
        <v>52</v>
      </c>
      <c r="G995" s="26" t="n">
        <v>56.68</v>
      </c>
    </row>
    <row r="996">
      <c r="A996" s="24" t="n">
        <v>46264</v>
      </c>
      <c r="B996" s="25" t="inlineStr">
        <is>
          <t>PRD003</t>
        </is>
      </c>
      <c r="C996" s="25" t="inlineStr">
        <is>
          <t>Tomatoes 500g</t>
        </is>
      </c>
      <c r="D996" s="25" t="inlineStr">
        <is>
          <t>Produce</t>
        </is>
      </c>
      <c r="E996" s="26" t="n">
        <v>152.66</v>
      </c>
      <c r="F996" s="27" t="n">
        <v>34</v>
      </c>
      <c r="G996" s="26" t="n">
        <v>64.26000000000001</v>
      </c>
    </row>
    <row r="997">
      <c r="A997" s="24" t="n">
        <v>46264</v>
      </c>
      <c r="B997" s="25" t="inlineStr">
        <is>
          <t>SNK001</t>
        </is>
      </c>
      <c r="C997" s="25" t="inlineStr">
        <is>
          <t>Potato Chips 150g</t>
        </is>
      </c>
      <c r="D997" s="25" t="inlineStr">
        <is>
          <t>Snacks &amp; Confectionery</t>
        </is>
      </c>
      <c r="E997" s="26" t="n">
        <v>518.6999999999999</v>
      </c>
      <c r="F997" s="27" t="n">
        <v>130</v>
      </c>
      <c r="G997" s="26" t="n">
        <v>245.7</v>
      </c>
    </row>
    <row r="998">
      <c r="A998" s="24" t="n">
        <v>46264</v>
      </c>
      <c r="B998" s="25" t="inlineStr">
        <is>
          <t>SNK002</t>
        </is>
      </c>
      <c r="C998" s="25" t="inlineStr">
        <is>
          <t>Chocolate Block 200g</t>
        </is>
      </c>
      <c r="D998" s="25" t="inlineStr">
        <is>
          <t>Snacks &amp; Confectionery</t>
        </is>
      </c>
      <c r="E998" s="26" t="n">
        <v>735.66</v>
      </c>
      <c r="F998" s="27" t="n">
        <v>134</v>
      </c>
      <c r="G998" s="26" t="n">
        <v>306.86</v>
      </c>
    </row>
    <row r="999">
      <c r="A999" s="24" t="n">
        <v>46264</v>
      </c>
      <c r="B999" s="25" t="inlineStr">
        <is>
          <t>SNK003</t>
        </is>
      </c>
      <c r="C999" s="25" t="inlineStr">
        <is>
          <t>Muesli Bar 6pk</t>
        </is>
      </c>
      <c r="D999" s="25" t="inlineStr">
        <is>
          <t>Snacks &amp; Confectionery</t>
        </is>
      </c>
      <c r="E999" s="26" t="n">
        <v>321.75</v>
      </c>
      <c r="F999" s="27" t="n">
        <v>75</v>
      </c>
      <c r="G999" s="26" t="n">
        <v>126.75</v>
      </c>
    </row>
    <row r="1000">
      <c r="A1000" s="24" t="n">
        <v>46264</v>
      </c>
      <c r="B1000" s="25" t="inlineStr">
        <is>
          <t>SNK004</t>
        </is>
      </c>
      <c r="C1000" s="25" t="inlineStr">
        <is>
          <t>Corn Chips 230g</t>
        </is>
      </c>
      <c r="D1000" s="25" t="inlineStr">
        <is>
          <t>Snacks &amp; Confectionery</t>
        </is>
      </c>
      <c r="E1000" s="26" t="n">
        <v>305.32</v>
      </c>
      <c r="F1000" s="27" t="n">
        <v>68</v>
      </c>
      <c r="G1000" s="26" t="n">
        <v>142.12</v>
      </c>
    </row>
    <row r="1001">
      <c r="A1001" s="24" t="n">
        <v>46264</v>
      </c>
      <c r="B1001" s="25" t="inlineStr">
        <is>
          <t>SNK005</t>
        </is>
      </c>
      <c r="C1001" s="25" t="inlineStr">
        <is>
          <t>Lollies Bag 200g</t>
        </is>
      </c>
      <c r="D1001" s="25" t="inlineStr">
        <is>
          <t>Snacks &amp; Confectionery</t>
        </is>
      </c>
      <c r="E1001" s="26" t="n">
        <v>233.83</v>
      </c>
      <c r="F1001" s="27" t="n">
        <v>67</v>
      </c>
      <c r="G1001" s="26" t="n">
        <v>119.93</v>
      </c>
    </row>
    <row r="1002">
      <c r="A1002" s="24" t="n">
        <v>46271</v>
      </c>
      <c r="B1002" s="25" t="inlineStr">
        <is>
          <t>BAK001</t>
        </is>
      </c>
      <c r="C1002" s="25" t="inlineStr">
        <is>
          <t>Toast Bread White</t>
        </is>
      </c>
      <c r="D1002" s="25" t="inlineStr">
        <is>
          <t>Bakery</t>
        </is>
      </c>
      <c r="E1002" s="26" t="n">
        <v>586.3200000000001</v>
      </c>
      <c r="F1002" s="27" t="n">
        <v>168</v>
      </c>
      <c r="G1002" s="26" t="n">
        <v>216.72</v>
      </c>
    </row>
    <row r="1003">
      <c r="A1003" s="24" t="n">
        <v>46271</v>
      </c>
      <c r="B1003" s="25" t="inlineStr">
        <is>
          <t>BAK002</t>
        </is>
      </c>
      <c r="C1003" s="25" t="inlineStr">
        <is>
          <t>Wholemeal Loaf</t>
        </is>
      </c>
      <c r="D1003" s="25" t="inlineStr">
        <is>
          <t>Bakery</t>
        </is>
      </c>
      <c r="E1003" s="26" t="n">
        <v>326.04</v>
      </c>
      <c r="F1003" s="27" t="n">
        <v>76</v>
      </c>
      <c r="G1003" s="26" t="n">
        <v>120.84</v>
      </c>
    </row>
    <row r="1004">
      <c r="A1004" s="24" t="n">
        <v>46271</v>
      </c>
      <c r="B1004" s="25" t="inlineStr">
        <is>
          <t>BAK003</t>
        </is>
      </c>
      <c r="C1004" s="25" t="inlineStr">
        <is>
          <t>Croissant 4pk</t>
        </is>
      </c>
      <c r="D1004" s="25" t="inlineStr">
        <is>
          <t>Bakery</t>
        </is>
      </c>
      <c r="E1004" s="26" t="n">
        <v>287.52</v>
      </c>
      <c r="F1004" s="27" t="n">
        <v>48</v>
      </c>
      <c r="G1004" s="26" t="n">
        <v>129.12</v>
      </c>
    </row>
    <row r="1005">
      <c r="A1005" s="24" t="n">
        <v>46271</v>
      </c>
      <c r="B1005" s="25" t="inlineStr">
        <is>
          <t>BBT001</t>
        </is>
      </c>
      <c r="C1005" s="25" t="inlineStr">
        <is>
          <t>Bubble Tea Kit</t>
        </is>
      </c>
      <c r="D1005" s="25" t="inlineStr">
        <is>
          <t>Beverages</t>
        </is>
      </c>
      <c r="E1005" s="26" t="n">
        <v>237.66</v>
      </c>
      <c r="F1005" s="27" t="n">
        <v>34</v>
      </c>
      <c r="G1005" s="26" t="n">
        <v>105.06</v>
      </c>
    </row>
    <row r="1006">
      <c r="A1006" s="24" t="n">
        <v>46271</v>
      </c>
      <c r="B1006" s="25" t="inlineStr">
        <is>
          <t>BEV001</t>
        </is>
      </c>
      <c r="C1006" s="25" t="inlineStr">
        <is>
          <t>Energy Drink 500ml</t>
        </is>
      </c>
      <c r="D1006" s="25" t="inlineStr">
        <is>
          <t>Beverages</t>
        </is>
      </c>
      <c r="E1006" s="26" t="n">
        <v>699.27</v>
      </c>
      <c r="F1006" s="27" t="n">
        <v>163</v>
      </c>
      <c r="G1006" s="26" t="n">
        <v>348.82</v>
      </c>
    </row>
    <row r="1007">
      <c r="A1007" s="24" t="n">
        <v>46271</v>
      </c>
      <c r="B1007" s="25" t="inlineStr">
        <is>
          <t>BEV002</t>
        </is>
      </c>
      <c r="C1007" s="25" t="inlineStr">
        <is>
          <t>Cola 1.5L</t>
        </is>
      </c>
      <c r="D1007" s="25" t="inlineStr">
        <is>
          <t>Beverages</t>
        </is>
      </c>
      <c r="E1007" s="26" t="n">
        <v>350.22</v>
      </c>
      <c r="F1007" s="27" t="n">
        <v>78</v>
      </c>
      <c r="G1007" s="26" t="n">
        <v>170.82</v>
      </c>
    </row>
    <row r="1008">
      <c r="A1008" s="24" t="n">
        <v>46271</v>
      </c>
      <c r="B1008" s="25" t="inlineStr">
        <is>
          <t>BEV003</t>
        </is>
      </c>
      <c r="C1008" s="25" t="inlineStr">
        <is>
          <t>Sparkling Water 1L</t>
        </is>
      </c>
      <c r="D1008" s="25" t="inlineStr">
        <is>
          <t>Beverages</t>
        </is>
      </c>
      <c r="E1008" s="26" t="n">
        <v>176.79</v>
      </c>
      <c r="F1008" s="27" t="n">
        <v>71</v>
      </c>
      <c r="G1008" s="26" t="n">
        <v>98.69</v>
      </c>
    </row>
    <row r="1009">
      <c r="A1009" s="24" t="n">
        <v>46271</v>
      </c>
      <c r="B1009" s="25" t="inlineStr">
        <is>
          <t>BEV004</t>
        </is>
      </c>
      <c r="C1009" s="25" t="inlineStr">
        <is>
          <t>Iced Coffee 500ml</t>
        </is>
      </c>
      <c r="D1009" s="25" t="inlineStr">
        <is>
          <t>Beverages</t>
        </is>
      </c>
      <c r="E1009" s="26" t="n">
        <v>424.15</v>
      </c>
      <c r="F1009" s="27" t="n">
        <v>85</v>
      </c>
      <c r="G1009" s="26" t="n">
        <v>194.65</v>
      </c>
    </row>
    <row r="1010">
      <c r="A1010" s="24" t="n">
        <v>46271</v>
      </c>
      <c r="B1010" s="25" t="inlineStr">
        <is>
          <t>BEV005</t>
        </is>
      </c>
      <c r="C1010" s="25" t="inlineStr">
        <is>
          <t>Kombucha 330ml</t>
        </is>
      </c>
      <c r="D1010" s="25" t="inlineStr">
        <is>
          <t>Beverages</t>
        </is>
      </c>
      <c r="E1010" s="26" t="n">
        <v>201.18</v>
      </c>
      <c r="F1010" s="27" t="n">
        <v>42</v>
      </c>
      <c r="G1010" s="26" t="n">
        <v>91.98</v>
      </c>
    </row>
    <row r="1011">
      <c r="A1011" s="24" t="n">
        <v>46271</v>
      </c>
      <c r="B1011" s="25" t="inlineStr">
        <is>
          <t>BEV006</t>
        </is>
      </c>
      <c r="C1011" s="25" t="inlineStr">
        <is>
          <t>Bottled Water 750ml</t>
        </is>
      </c>
      <c r="D1011" s="25" t="inlineStr">
        <is>
          <t>Beverages</t>
        </is>
      </c>
      <c r="E1011" s="26" t="n">
        <v>376.74</v>
      </c>
      <c r="F1011" s="27" t="n">
        <v>126</v>
      </c>
      <c r="G1011" s="26" t="n">
        <v>257.04</v>
      </c>
    </row>
    <row r="1012">
      <c r="A1012" s="24" t="n">
        <v>46271</v>
      </c>
      <c r="B1012" s="25" t="inlineStr">
        <is>
          <t>DRY010</t>
        </is>
      </c>
      <c r="C1012" s="25" t="inlineStr">
        <is>
          <t>Butter 500g</t>
        </is>
      </c>
      <c r="D1012" s="25" t="inlineStr">
        <is>
          <t>Dairy</t>
        </is>
      </c>
      <c r="E1012" s="26" t="n">
        <v>292.11</v>
      </c>
      <c r="F1012" s="27" t="n">
        <v>39</v>
      </c>
      <c r="G1012" s="26" t="n">
        <v>73.70999999999999</v>
      </c>
    </row>
    <row r="1013">
      <c r="A1013" s="24" t="n">
        <v>46271</v>
      </c>
      <c r="B1013" s="25" t="inlineStr">
        <is>
          <t>DRY011</t>
        </is>
      </c>
      <c r="C1013" s="25" t="inlineStr">
        <is>
          <t>Greek Yoghurt 1kg</t>
        </is>
      </c>
      <c r="D1013" s="25" t="inlineStr">
        <is>
          <t>Dairy</t>
        </is>
      </c>
      <c r="E1013" s="26" t="n">
        <v>175.78</v>
      </c>
      <c r="F1013" s="27" t="n">
        <v>22</v>
      </c>
      <c r="G1013" s="26" t="n">
        <v>63.58</v>
      </c>
    </row>
    <row r="1014">
      <c r="A1014" s="24" t="n">
        <v>46271</v>
      </c>
      <c r="B1014" s="25" t="inlineStr">
        <is>
          <t>DRY012</t>
        </is>
      </c>
      <c r="C1014" s="25" t="inlineStr">
        <is>
          <t>Cheese Block 1kg</t>
        </is>
      </c>
      <c r="D1014" s="25" t="inlineStr">
        <is>
          <t>Dairy</t>
        </is>
      </c>
      <c r="E1014" s="26" t="n">
        <v>489.65</v>
      </c>
      <c r="F1014" s="27" t="n">
        <v>35</v>
      </c>
      <c r="G1014" s="26" t="n">
        <v>125.65</v>
      </c>
    </row>
    <row r="1015">
      <c r="A1015" s="24" t="n">
        <v>46271</v>
      </c>
      <c r="B1015" s="25" t="inlineStr">
        <is>
          <t>FRZ001</t>
        </is>
      </c>
      <c r="C1015" s="25" t="inlineStr">
        <is>
          <t>Ice Cream Tub 2L</t>
        </is>
      </c>
      <c r="D1015" s="25" t="inlineStr">
        <is>
          <t>Frozen</t>
        </is>
      </c>
      <c r="E1015" s="26" t="n">
        <v>539.4</v>
      </c>
      <c r="F1015" s="27" t="n">
        <v>60</v>
      </c>
      <c r="G1015" s="26" t="n">
        <v>215.4</v>
      </c>
    </row>
    <row r="1016">
      <c r="A1016" s="24" t="n">
        <v>46271</v>
      </c>
      <c r="B1016" s="25" t="inlineStr">
        <is>
          <t>FRZ002</t>
        </is>
      </c>
      <c r="C1016" s="25" t="inlineStr">
        <is>
          <t>Ice Block Single</t>
        </is>
      </c>
      <c r="D1016" s="25" t="inlineStr">
        <is>
          <t>Frozen</t>
        </is>
      </c>
      <c r="E1016" s="26" t="n">
        <v>185.38</v>
      </c>
      <c r="F1016" s="27" t="n">
        <v>62</v>
      </c>
      <c r="G1016" s="26" t="n">
        <v>110.98</v>
      </c>
    </row>
    <row r="1017">
      <c r="A1017" s="24" t="n">
        <v>46271</v>
      </c>
      <c r="B1017" s="25" t="inlineStr">
        <is>
          <t>FRZ003</t>
        </is>
      </c>
      <c r="C1017" s="25" t="inlineStr">
        <is>
          <t>Frozen Pizza</t>
        </is>
      </c>
      <c r="D1017" s="25" t="inlineStr">
        <is>
          <t>Frozen</t>
        </is>
      </c>
      <c r="E1017" s="26" t="n">
        <v>423.47</v>
      </c>
      <c r="F1017" s="27" t="n">
        <v>53</v>
      </c>
      <c r="G1017" s="26" t="n">
        <v>174.37</v>
      </c>
    </row>
    <row r="1018">
      <c r="A1018" s="24" t="n">
        <v>46271</v>
      </c>
      <c r="B1018" s="25" t="inlineStr">
        <is>
          <t>FRZ004</t>
        </is>
      </c>
      <c r="C1018" s="25" t="inlineStr">
        <is>
          <t>Frozen Dumplings 1kg</t>
        </is>
      </c>
      <c r="D1018" s="25" t="inlineStr">
        <is>
          <t>Frozen</t>
        </is>
      </c>
      <c r="E1018" s="26" t="n">
        <v>227.81</v>
      </c>
      <c r="F1018" s="27" t="n">
        <v>19</v>
      </c>
      <c r="G1018" s="26" t="n">
        <v>92.91</v>
      </c>
    </row>
    <row r="1019">
      <c r="A1019" s="24" t="n">
        <v>46271</v>
      </c>
      <c r="B1019" s="25" t="inlineStr">
        <is>
          <t>FTG001</t>
        </is>
      </c>
      <c r="C1019" s="25" t="inlineStr">
        <is>
          <t>Chicken Sandwich</t>
        </is>
      </c>
      <c r="D1019" s="25" t="inlineStr">
        <is>
          <t>Food To Go</t>
        </is>
      </c>
      <c r="E1019" s="26" t="n">
        <v>808.9200000000001</v>
      </c>
      <c r="F1019" s="27" t="n">
        <v>108</v>
      </c>
      <c r="G1019" s="26" t="n">
        <v>387.72</v>
      </c>
    </row>
    <row r="1020">
      <c r="A1020" s="24" t="n">
        <v>46271</v>
      </c>
      <c r="B1020" s="25" t="inlineStr">
        <is>
          <t>FTG002</t>
        </is>
      </c>
      <c r="C1020" s="25" t="inlineStr">
        <is>
          <t>Sushi Pack 8pc</t>
        </is>
      </c>
      <c r="D1020" s="25" t="inlineStr">
        <is>
          <t>Food To Go</t>
        </is>
      </c>
      <c r="E1020" s="26" t="n">
        <v>699.3000000000001</v>
      </c>
      <c r="F1020" s="27" t="n">
        <v>70</v>
      </c>
      <c r="G1020" s="26" t="n">
        <v>307.3</v>
      </c>
    </row>
    <row r="1021">
      <c r="A1021" s="24" t="n">
        <v>46271</v>
      </c>
      <c r="B1021" s="25" t="inlineStr">
        <is>
          <t>FTG003</t>
        </is>
      </c>
      <c r="C1021" s="25" t="inlineStr">
        <is>
          <t>Hot Pie Mince &amp; Cheese</t>
        </is>
      </c>
      <c r="D1021" s="25" t="inlineStr">
        <is>
          <t>Food To Go</t>
        </is>
      </c>
      <c r="E1021" s="26" t="n">
        <v>752.13</v>
      </c>
      <c r="F1021" s="27" t="n">
        <v>137</v>
      </c>
      <c r="G1021" s="26" t="n">
        <v>423.33</v>
      </c>
    </row>
    <row r="1022">
      <c r="A1022" s="24" t="n">
        <v>46271</v>
      </c>
      <c r="B1022" s="25" t="inlineStr">
        <is>
          <t>FTG004</t>
        </is>
      </c>
      <c r="C1022" s="25" t="inlineStr">
        <is>
          <t>Salad Bowl</t>
        </is>
      </c>
      <c r="D1022" s="25" t="inlineStr">
        <is>
          <t>Food To Go</t>
        </is>
      </c>
      <c r="E1022" s="26" t="n">
        <v>351.68</v>
      </c>
      <c r="F1022" s="27" t="n">
        <v>32</v>
      </c>
      <c r="G1022" s="26" t="n">
        <v>153.28</v>
      </c>
    </row>
    <row r="1023">
      <c r="A1023" s="24" t="n">
        <v>46271</v>
      </c>
      <c r="B1023" s="25" t="inlineStr">
        <is>
          <t>FTG005</t>
        </is>
      </c>
      <c r="C1023" s="25" t="inlineStr">
        <is>
          <t>Filled Roll</t>
        </is>
      </c>
      <c r="D1023" s="25" t="inlineStr">
        <is>
          <t>Food To Go</t>
        </is>
      </c>
      <c r="E1023" s="26" t="n">
        <v>434.83</v>
      </c>
      <c r="F1023" s="27" t="n">
        <v>67</v>
      </c>
      <c r="G1023" s="26" t="n">
        <v>220.43</v>
      </c>
    </row>
    <row r="1024">
      <c r="A1024" s="24" t="n">
        <v>46271</v>
      </c>
      <c r="B1024" s="25" t="inlineStr">
        <is>
          <t>GRO001</t>
        </is>
      </c>
      <c r="C1024" s="25" t="inlineStr">
        <is>
          <t>Instant Noodles 5pk</t>
        </is>
      </c>
      <c r="D1024" s="25" t="inlineStr">
        <is>
          <t>Grocery</t>
        </is>
      </c>
      <c r="E1024" s="26" t="n">
        <v>404.1</v>
      </c>
      <c r="F1024" s="27" t="n">
        <v>90</v>
      </c>
      <c r="G1024" s="26" t="n">
        <v>170.1</v>
      </c>
    </row>
    <row r="1025">
      <c r="A1025" s="24" t="n">
        <v>46271</v>
      </c>
      <c r="B1025" s="25" t="inlineStr">
        <is>
          <t>GRO002</t>
        </is>
      </c>
      <c r="C1025" s="25" t="inlineStr">
        <is>
          <t>Canned Soup 500g</t>
        </is>
      </c>
      <c r="D1025" s="25" t="inlineStr">
        <is>
          <t>Grocery</t>
        </is>
      </c>
      <c r="E1025" s="26" t="n">
        <v>171.08</v>
      </c>
      <c r="F1025" s="27" t="n">
        <v>52</v>
      </c>
      <c r="G1025" s="26" t="n">
        <v>72.28</v>
      </c>
    </row>
    <row r="1026">
      <c r="A1026" s="24" t="n">
        <v>46271</v>
      </c>
      <c r="B1026" s="25" t="inlineStr">
        <is>
          <t>GRO003</t>
        </is>
      </c>
      <c r="C1026" s="25" t="inlineStr">
        <is>
          <t>Pasta 500g</t>
        </is>
      </c>
      <c r="D1026" s="25" t="inlineStr">
        <is>
          <t>Grocery</t>
        </is>
      </c>
      <c r="E1026" s="26" t="n">
        <v>112.05</v>
      </c>
      <c r="F1026" s="27" t="n">
        <v>45</v>
      </c>
      <c r="G1026" s="26" t="n">
        <v>53.55</v>
      </c>
    </row>
    <row r="1027">
      <c r="A1027" s="24" t="n">
        <v>46271</v>
      </c>
      <c r="B1027" s="25" t="inlineStr">
        <is>
          <t>GRO004</t>
        </is>
      </c>
      <c r="C1027" s="25" t="inlineStr">
        <is>
          <t>Simmer Sauce 485g</t>
        </is>
      </c>
      <c r="D1027" s="25" t="inlineStr">
        <is>
          <t>Grocery</t>
        </is>
      </c>
      <c r="E1027" s="26" t="n">
        <v>67.83</v>
      </c>
      <c r="F1027" s="27" t="n">
        <v>17</v>
      </c>
      <c r="G1027" s="26" t="n">
        <v>28.73</v>
      </c>
    </row>
    <row r="1028">
      <c r="A1028" s="24" t="n">
        <v>46271</v>
      </c>
      <c r="B1028" s="25" t="inlineStr">
        <is>
          <t>GRO005</t>
        </is>
      </c>
      <c r="C1028" s="25" t="inlineStr">
        <is>
          <t>Salsa 300g</t>
        </is>
      </c>
      <c r="D1028" s="25" t="inlineStr">
        <is>
          <t>Grocery</t>
        </is>
      </c>
      <c r="E1028" s="26" t="n">
        <v>92.90000000000001</v>
      </c>
      <c r="F1028" s="27" t="n">
        <v>22</v>
      </c>
      <c r="G1028" s="26" t="n">
        <v>29.1</v>
      </c>
    </row>
    <row r="1029">
      <c r="A1029" s="24" t="n">
        <v>46271</v>
      </c>
      <c r="B1029" s="25" t="inlineStr">
        <is>
          <t>GRO006</t>
        </is>
      </c>
      <c r="C1029" s="25" t="inlineStr">
        <is>
          <t>Taco Kit</t>
        </is>
      </c>
      <c r="D1029" s="25" t="inlineStr">
        <is>
          <t>Grocery</t>
        </is>
      </c>
      <c r="E1029" s="26" t="n">
        <v>142.78</v>
      </c>
      <c r="F1029" s="27" t="n">
        <v>22</v>
      </c>
      <c r="G1029" s="26" t="n">
        <v>54.78</v>
      </c>
    </row>
    <row r="1030">
      <c r="A1030" s="24" t="n">
        <v>46271</v>
      </c>
      <c r="B1030" s="25" t="inlineStr">
        <is>
          <t>GRO007</t>
        </is>
      </c>
      <c r="C1030" s="25" t="inlineStr">
        <is>
          <t>Eggs Free Range 12pk</t>
        </is>
      </c>
      <c r="D1030" s="25" t="inlineStr">
        <is>
          <t>Grocery</t>
        </is>
      </c>
      <c r="E1030" s="26" t="n">
        <v>747.3200000000001</v>
      </c>
      <c r="F1030" s="27" t="n">
        <v>68</v>
      </c>
      <c r="G1030" s="26" t="n">
        <v>189.72</v>
      </c>
    </row>
    <row r="1031">
      <c r="A1031" s="24" t="n">
        <v>46271</v>
      </c>
      <c r="B1031" s="25" t="inlineStr">
        <is>
          <t>GRO008</t>
        </is>
      </c>
      <c r="C1031" s="25" t="inlineStr">
        <is>
          <t>Coffee Beans 200g</t>
        </is>
      </c>
      <c r="D1031" s="25" t="inlineStr">
        <is>
          <t>Grocery</t>
        </is>
      </c>
      <c r="E1031" s="26" t="n">
        <v>239.8</v>
      </c>
      <c r="F1031" s="27" t="n">
        <v>20</v>
      </c>
      <c r="G1031" s="26" t="n">
        <v>87.8</v>
      </c>
    </row>
    <row r="1032">
      <c r="A1032" s="24" t="n">
        <v>46271</v>
      </c>
      <c r="B1032" s="25" t="inlineStr">
        <is>
          <t>HHD001</t>
        </is>
      </c>
      <c r="C1032" s="25" t="inlineStr">
        <is>
          <t>Toilet Paper 6pk</t>
        </is>
      </c>
      <c r="D1032" s="25" t="inlineStr">
        <is>
          <t>Household</t>
        </is>
      </c>
      <c r="E1032" s="26" t="n">
        <v>296.67</v>
      </c>
      <c r="F1032" s="27" t="n">
        <v>33</v>
      </c>
      <c r="G1032" s="26" t="n">
        <v>101.97</v>
      </c>
    </row>
    <row r="1033">
      <c r="A1033" s="24" t="n">
        <v>46271</v>
      </c>
      <c r="B1033" s="25" t="inlineStr">
        <is>
          <t>HHD002</t>
        </is>
      </c>
      <c r="C1033" s="25" t="inlineStr">
        <is>
          <t>Dishwash Liquid</t>
        </is>
      </c>
      <c r="D1033" s="25" t="inlineStr">
        <is>
          <t>Household</t>
        </is>
      </c>
      <c r="E1033" s="26" t="n">
        <v>104.79</v>
      </c>
      <c r="F1033" s="27" t="n">
        <v>21</v>
      </c>
      <c r="G1033" s="26" t="n">
        <v>43.89</v>
      </c>
    </row>
    <row r="1034">
      <c r="A1034" s="24" t="n">
        <v>46271</v>
      </c>
      <c r="B1034" s="25" t="inlineStr">
        <is>
          <t>HHD003</t>
        </is>
      </c>
      <c r="C1034" s="25" t="inlineStr">
        <is>
          <t>Phone Charger Cable</t>
        </is>
      </c>
      <c r="D1034" s="25" t="inlineStr">
        <is>
          <t>Household</t>
        </is>
      </c>
      <c r="E1034" s="26" t="n">
        <v>194.87</v>
      </c>
      <c r="F1034" s="27" t="n">
        <v>13</v>
      </c>
      <c r="G1034" s="26" t="n">
        <v>123.37</v>
      </c>
    </row>
    <row r="1035">
      <c r="A1035" s="24" t="n">
        <v>46271</v>
      </c>
      <c r="B1035" s="25" t="inlineStr">
        <is>
          <t>LIQ001</t>
        </is>
      </c>
      <c r="C1035" s="25" t="inlineStr">
        <is>
          <t>Craft Beer 6pk</t>
        </is>
      </c>
      <c r="D1035" s="25" t="inlineStr">
        <is>
          <t>Beer &amp; Wine</t>
        </is>
      </c>
      <c r="E1035" s="26" t="n">
        <v>965.5799999999999</v>
      </c>
      <c r="F1035" s="27" t="n">
        <v>42</v>
      </c>
      <c r="G1035" s="26" t="n">
        <v>322.98</v>
      </c>
    </row>
    <row r="1036">
      <c r="A1036" s="24" t="n">
        <v>46271</v>
      </c>
      <c r="B1036" s="25" t="inlineStr">
        <is>
          <t>LIQ002</t>
        </is>
      </c>
      <c r="C1036" s="25" t="inlineStr">
        <is>
          <t>Sauvignon Blanc 750ml</t>
        </is>
      </c>
      <c r="D1036" s="25" t="inlineStr">
        <is>
          <t>Beer &amp; Wine</t>
        </is>
      </c>
      <c r="E1036" s="26" t="n">
        <v>655.59</v>
      </c>
      <c r="F1036" s="27" t="n">
        <v>41</v>
      </c>
      <c r="G1036" s="26" t="n">
        <v>237.39</v>
      </c>
    </row>
    <row r="1037">
      <c r="A1037" s="24" t="n">
        <v>46271</v>
      </c>
      <c r="B1037" s="25" t="inlineStr">
        <is>
          <t>LIQ003</t>
        </is>
      </c>
      <c r="C1037" s="25" t="inlineStr">
        <is>
          <t>RTD 4pk</t>
        </is>
      </c>
      <c r="D1037" s="25" t="inlineStr">
        <is>
          <t>Beer &amp; Wine</t>
        </is>
      </c>
      <c r="E1037" s="26" t="n">
        <v>413.77</v>
      </c>
      <c r="F1037" s="27" t="n">
        <v>23</v>
      </c>
      <c r="G1037" s="26" t="n">
        <v>140.07</v>
      </c>
    </row>
    <row r="1038">
      <c r="A1038" s="24" t="n">
        <v>46271</v>
      </c>
      <c r="B1038" s="25" t="inlineStr">
        <is>
          <t>LIQ004</t>
        </is>
      </c>
      <c r="C1038" s="25" t="inlineStr">
        <is>
          <t>Pinot Noir 750ml</t>
        </is>
      </c>
      <c r="D1038" s="25" t="inlineStr">
        <is>
          <t>Beer &amp; Wine</t>
        </is>
      </c>
      <c r="E1038" s="26" t="n">
        <v>299.85</v>
      </c>
      <c r="F1038" s="27" t="n">
        <v>15</v>
      </c>
      <c r="G1038" s="26" t="n">
        <v>107.85</v>
      </c>
    </row>
    <row r="1039">
      <c r="A1039" s="24" t="n">
        <v>46271</v>
      </c>
      <c r="B1039" s="25" t="inlineStr">
        <is>
          <t>MLK001</t>
        </is>
      </c>
      <c r="C1039" s="25" t="inlineStr">
        <is>
          <t>Milk Standard 2L</t>
        </is>
      </c>
      <c r="D1039" s="25" t="inlineStr">
        <is>
          <t>Dairy</t>
        </is>
      </c>
      <c r="E1039" s="26" t="n">
        <v>1344.75</v>
      </c>
      <c r="F1039" s="27" t="n">
        <v>275</v>
      </c>
      <c r="G1039" s="26" t="n">
        <v>368.5</v>
      </c>
    </row>
    <row r="1040">
      <c r="A1040" s="24" t="n">
        <v>46271</v>
      </c>
      <c r="B1040" s="25" t="inlineStr">
        <is>
          <t>MLK002</t>
        </is>
      </c>
      <c r="C1040" s="25" t="inlineStr">
        <is>
          <t>Milk Lite 2L</t>
        </is>
      </c>
      <c r="D1040" s="25" t="inlineStr">
        <is>
          <t>Dairy</t>
        </is>
      </c>
      <c r="E1040" s="26" t="n">
        <v>444.99</v>
      </c>
      <c r="F1040" s="27" t="n">
        <v>91</v>
      </c>
      <c r="G1040" s="26" t="n">
        <v>121.94</v>
      </c>
    </row>
    <row r="1041">
      <c r="A1041" s="24" t="n">
        <v>46271</v>
      </c>
      <c r="B1041" s="25" t="inlineStr">
        <is>
          <t>MLK003</t>
        </is>
      </c>
      <c r="C1041" s="25" t="inlineStr">
        <is>
          <t>Oat Milk 1L</t>
        </is>
      </c>
      <c r="D1041" s="25" t="inlineStr">
        <is>
          <t>Dairy</t>
        </is>
      </c>
      <c r="E1041" s="26" t="n">
        <v>315.65</v>
      </c>
      <c r="F1041" s="27" t="n">
        <v>83</v>
      </c>
      <c r="G1041" s="26" t="n">
        <v>91.55</v>
      </c>
    </row>
    <row r="1042">
      <c r="A1042" s="24" t="n">
        <v>46271</v>
      </c>
      <c r="B1042" s="25" t="inlineStr">
        <is>
          <t>PHM001</t>
        </is>
      </c>
      <c r="C1042" s="25" t="inlineStr">
        <is>
          <t>Paracetamol 20pk</t>
        </is>
      </c>
      <c r="D1042" s="25" t="inlineStr">
        <is>
          <t>Health &amp; Beauty</t>
        </is>
      </c>
      <c r="E1042" s="26" t="n">
        <v>155.61</v>
      </c>
      <c r="F1042" s="27" t="n">
        <v>39</v>
      </c>
      <c r="G1042" s="26" t="n">
        <v>93.20999999999999</v>
      </c>
    </row>
    <row r="1043">
      <c r="A1043" s="24" t="n">
        <v>46271</v>
      </c>
      <c r="B1043" s="25" t="inlineStr">
        <is>
          <t>PHM002</t>
        </is>
      </c>
      <c r="C1043" s="25" t="inlineStr">
        <is>
          <t>Sunscreen SPF50</t>
        </is>
      </c>
      <c r="D1043" s="25" t="inlineStr">
        <is>
          <t>Health &amp; Beauty</t>
        </is>
      </c>
      <c r="E1043" s="26" t="n">
        <v>224.85</v>
      </c>
      <c r="F1043" s="27" t="n">
        <v>15</v>
      </c>
      <c r="G1043" s="26" t="n">
        <v>101.85</v>
      </c>
    </row>
    <row r="1044">
      <c r="A1044" s="24" t="n">
        <v>46271</v>
      </c>
      <c r="B1044" s="25" t="inlineStr">
        <is>
          <t>PRD001</t>
        </is>
      </c>
      <c r="C1044" s="25" t="inlineStr">
        <is>
          <t>Bananas (each)</t>
        </is>
      </c>
      <c r="D1044" s="25" t="inlineStr">
        <is>
          <t>Produce</t>
        </is>
      </c>
      <c r="E1044" s="26" t="n">
        <v>164.22</v>
      </c>
      <c r="F1044" s="27" t="n">
        <v>238</v>
      </c>
      <c r="G1044" s="26" t="n">
        <v>73.78</v>
      </c>
    </row>
    <row r="1045">
      <c r="A1045" s="24" t="n">
        <v>46271</v>
      </c>
      <c r="B1045" s="25" t="inlineStr">
        <is>
          <t>PRD002</t>
        </is>
      </c>
      <c r="C1045" s="25" t="inlineStr">
        <is>
          <t>Avocado</t>
        </is>
      </c>
      <c r="D1045" s="25" t="inlineStr">
        <is>
          <t>Produce</t>
        </is>
      </c>
      <c r="E1045" s="26" t="n">
        <v>154.38</v>
      </c>
      <c r="F1045" s="27" t="n">
        <v>62</v>
      </c>
      <c r="G1045" s="26" t="n">
        <v>67.58</v>
      </c>
    </row>
    <row r="1046">
      <c r="A1046" s="24" t="n">
        <v>46271</v>
      </c>
      <c r="B1046" s="25" t="inlineStr">
        <is>
          <t>PRD003</t>
        </is>
      </c>
      <c r="C1046" s="25" t="inlineStr">
        <is>
          <t>Tomatoes 500g</t>
        </is>
      </c>
      <c r="D1046" s="25" t="inlineStr">
        <is>
          <t>Produce</t>
        </is>
      </c>
      <c r="E1046" s="26" t="n">
        <v>130.21</v>
      </c>
      <c r="F1046" s="27" t="n">
        <v>29</v>
      </c>
      <c r="G1046" s="26" t="n">
        <v>54.81</v>
      </c>
    </row>
    <row r="1047">
      <c r="A1047" s="24" t="n">
        <v>46271</v>
      </c>
      <c r="B1047" s="25" t="inlineStr">
        <is>
          <t>SNK001</t>
        </is>
      </c>
      <c r="C1047" s="25" t="inlineStr">
        <is>
          <t>Potato Chips 150g</t>
        </is>
      </c>
      <c r="D1047" s="25" t="inlineStr">
        <is>
          <t>Snacks &amp; Confectionery</t>
        </is>
      </c>
      <c r="E1047" s="26" t="n">
        <v>593.55</v>
      </c>
      <c r="F1047" s="27" t="n">
        <v>165</v>
      </c>
      <c r="G1047" s="26" t="n">
        <v>247.05</v>
      </c>
    </row>
    <row r="1048">
      <c r="A1048" s="24" t="n">
        <v>46271</v>
      </c>
      <c r="B1048" s="25" t="inlineStr">
        <is>
          <t>SNK002</t>
        </is>
      </c>
      <c r="C1048" s="25" t="inlineStr">
        <is>
          <t>Chocolate Block 200g</t>
        </is>
      </c>
      <c r="D1048" s="25" t="inlineStr">
        <is>
          <t>Snacks &amp; Confectionery</t>
        </is>
      </c>
      <c r="E1048" s="26" t="n">
        <v>592.9200000000001</v>
      </c>
      <c r="F1048" s="27" t="n">
        <v>108</v>
      </c>
      <c r="G1048" s="26" t="n">
        <v>247.32</v>
      </c>
    </row>
    <row r="1049">
      <c r="A1049" s="24" t="n">
        <v>46271</v>
      </c>
      <c r="B1049" s="25" t="inlineStr">
        <is>
          <t>SNK003</t>
        </is>
      </c>
      <c r="C1049" s="25" t="inlineStr">
        <is>
          <t>Muesli Bar 6pk</t>
        </is>
      </c>
      <c r="D1049" s="25" t="inlineStr">
        <is>
          <t>Snacks &amp; Confectionery</t>
        </is>
      </c>
      <c r="E1049" s="26" t="n">
        <v>214.5</v>
      </c>
      <c r="F1049" s="27" t="n">
        <v>50</v>
      </c>
      <c r="G1049" s="26" t="n">
        <v>84.5</v>
      </c>
    </row>
    <row r="1050">
      <c r="A1050" s="24" t="n">
        <v>46271</v>
      </c>
      <c r="B1050" s="25" t="inlineStr">
        <is>
          <t>SNK004</t>
        </is>
      </c>
      <c r="C1050" s="25" t="inlineStr">
        <is>
          <t>Corn Chips 230g</t>
        </is>
      </c>
      <c r="D1050" s="25" t="inlineStr">
        <is>
          <t>Snacks &amp; Confectionery</t>
        </is>
      </c>
      <c r="E1050" s="26" t="n">
        <v>291.85</v>
      </c>
      <c r="F1050" s="27" t="n">
        <v>65</v>
      </c>
      <c r="G1050" s="26" t="n">
        <v>135.85</v>
      </c>
    </row>
    <row r="1051">
      <c r="A1051" s="24" t="n">
        <v>46271</v>
      </c>
      <c r="B1051" s="25" t="inlineStr">
        <is>
          <t>SNK005</t>
        </is>
      </c>
      <c r="C1051" s="25" t="inlineStr">
        <is>
          <t>Lollies Bag 200g</t>
        </is>
      </c>
      <c r="D1051" s="25" t="inlineStr">
        <is>
          <t>Snacks &amp; Confectionery</t>
        </is>
      </c>
      <c r="E1051" s="26" t="n">
        <v>237.32</v>
      </c>
      <c r="F1051" s="27" t="n">
        <v>68</v>
      </c>
      <c r="G1051" s="26" t="n">
        <v>121.72</v>
      </c>
    </row>
    <row r="1052">
      <c r="A1052" s="24" t="n">
        <v>46278</v>
      </c>
      <c r="B1052" s="25" t="inlineStr">
        <is>
          <t>BAK001</t>
        </is>
      </c>
      <c r="C1052" s="25" t="inlineStr">
        <is>
          <t>Toast Bread White</t>
        </is>
      </c>
      <c r="D1052" s="25" t="inlineStr">
        <is>
          <t>Bakery</t>
        </is>
      </c>
      <c r="E1052" s="26" t="n">
        <v>558.4</v>
      </c>
      <c r="F1052" s="27" t="n">
        <v>160</v>
      </c>
      <c r="G1052" s="26" t="n">
        <v>206.4</v>
      </c>
    </row>
    <row r="1053">
      <c r="A1053" s="24" t="n">
        <v>46278</v>
      </c>
      <c r="B1053" s="25" t="inlineStr">
        <is>
          <t>BAK002</t>
        </is>
      </c>
      <c r="C1053" s="25" t="inlineStr">
        <is>
          <t>Wholemeal Loaf</t>
        </is>
      </c>
      <c r="D1053" s="25" t="inlineStr">
        <is>
          <t>Bakery</t>
        </is>
      </c>
      <c r="E1053" s="26" t="n">
        <v>338.91</v>
      </c>
      <c r="F1053" s="27" t="n">
        <v>79</v>
      </c>
      <c r="G1053" s="26" t="n">
        <v>125.61</v>
      </c>
    </row>
    <row r="1054">
      <c r="A1054" s="24" t="n">
        <v>46278</v>
      </c>
      <c r="B1054" s="25" t="inlineStr">
        <is>
          <t>BAK003</t>
        </is>
      </c>
      <c r="C1054" s="25" t="inlineStr">
        <is>
          <t>Croissant 4pk</t>
        </is>
      </c>
      <c r="D1054" s="25" t="inlineStr">
        <is>
          <t>Bakery</t>
        </is>
      </c>
      <c r="E1054" s="26" t="n">
        <v>179.7</v>
      </c>
      <c r="F1054" s="27" t="n">
        <v>30</v>
      </c>
      <c r="G1054" s="26" t="n">
        <v>80.7</v>
      </c>
    </row>
    <row r="1055">
      <c r="A1055" s="24" t="n">
        <v>46278</v>
      </c>
      <c r="B1055" s="25" t="inlineStr">
        <is>
          <t>BBT001</t>
        </is>
      </c>
      <c r="C1055" s="25" t="inlineStr">
        <is>
          <t>Bubble Tea Kit</t>
        </is>
      </c>
      <c r="D1055" s="25" t="inlineStr">
        <is>
          <t>Beverages</t>
        </is>
      </c>
      <c r="E1055" s="26" t="n">
        <v>174.75</v>
      </c>
      <c r="F1055" s="27" t="n">
        <v>25</v>
      </c>
      <c r="G1055" s="26" t="n">
        <v>77.25</v>
      </c>
    </row>
    <row r="1056">
      <c r="A1056" s="24" t="n">
        <v>46278</v>
      </c>
      <c r="B1056" s="25" t="inlineStr">
        <is>
          <t>BEV001</t>
        </is>
      </c>
      <c r="C1056" s="25" t="inlineStr">
        <is>
          <t>Energy Drink 500ml</t>
        </is>
      </c>
      <c r="D1056" s="25" t="inlineStr">
        <is>
          <t>Beverages</t>
        </is>
      </c>
      <c r="E1056" s="26" t="n">
        <v>789.36</v>
      </c>
      <c r="F1056" s="27" t="n">
        <v>184</v>
      </c>
      <c r="G1056" s="26" t="n">
        <v>393.76</v>
      </c>
    </row>
    <row r="1057">
      <c r="A1057" s="24" t="n">
        <v>46278</v>
      </c>
      <c r="B1057" s="25" t="inlineStr">
        <is>
          <t>BEV002</t>
        </is>
      </c>
      <c r="C1057" s="25" t="inlineStr">
        <is>
          <t>Cola 1.5L</t>
        </is>
      </c>
      <c r="D1057" s="25" t="inlineStr">
        <is>
          <t>Beverages</t>
        </is>
      </c>
      <c r="E1057" s="26" t="n">
        <v>408.59</v>
      </c>
      <c r="F1057" s="27" t="n">
        <v>91</v>
      </c>
      <c r="G1057" s="26" t="n">
        <v>199.29</v>
      </c>
    </row>
    <row r="1058">
      <c r="A1058" s="24" t="n">
        <v>46278</v>
      </c>
      <c r="B1058" s="25" t="inlineStr">
        <is>
          <t>BEV003</t>
        </is>
      </c>
      <c r="C1058" s="25" t="inlineStr">
        <is>
          <t>Sparkling Water 1L</t>
        </is>
      </c>
      <c r="D1058" s="25" t="inlineStr">
        <is>
          <t>Beverages</t>
        </is>
      </c>
      <c r="E1058" s="26" t="n">
        <v>217.49</v>
      </c>
      <c r="F1058" s="27" t="n">
        <v>101</v>
      </c>
      <c r="G1058" s="26" t="n">
        <v>106.39</v>
      </c>
    </row>
    <row r="1059">
      <c r="A1059" s="24" t="n">
        <v>46278</v>
      </c>
      <c r="B1059" s="25" t="inlineStr">
        <is>
          <t>BEV004</t>
        </is>
      </c>
      <c r="C1059" s="25" t="inlineStr">
        <is>
          <t>Iced Coffee 500ml</t>
        </is>
      </c>
      <c r="D1059" s="25" t="inlineStr">
        <is>
          <t>Beverages</t>
        </is>
      </c>
      <c r="E1059" s="26" t="n">
        <v>389.22</v>
      </c>
      <c r="F1059" s="27" t="n">
        <v>78</v>
      </c>
      <c r="G1059" s="26" t="n">
        <v>178.62</v>
      </c>
    </row>
    <row r="1060">
      <c r="A1060" s="24" t="n">
        <v>46278</v>
      </c>
      <c r="B1060" s="25" t="inlineStr">
        <is>
          <t>BEV005</t>
        </is>
      </c>
      <c r="C1060" s="25" t="inlineStr">
        <is>
          <t>Kombucha 330ml</t>
        </is>
      </c>
      <c r="D1060" s="25" t="inlineStr">
        <is>
          <t>Beverages</t>
        </is>
      </c>
      <c r="E1060" s="26" t="n">
        <v>148.49</v>
      </c>
      <c r="F1060" s="27" t="n">
        <v>31</v>
      </c>
      <c r="G1060" s="26" t="n">
        <v>67.89</v>
      </c>
    </row>
    <row r="1061">
      <c r="A1061" s="24" t="n">
        <v>46278</v>
      </c>
      <c r="B1061" s="25" t="inlineStr">
        <is>
          <t>BEV006</t>
        </is>
      </c>
      <c r="C1061" s="25" t="inlineStr">
        <is>
          <t>Bottled Water 750ml</t>
        </is>
      </c>
      <c r="D1061" s="25" t="inlineStr">
        <is>
          <t>Beverages</t>
        </is>
      </c>
      <c r="E1061" s="26" t="n">
        <v>358.8</v>
      </c>
      <c r="F1061" s="27" t="n">
        <v>120</v>
      </c>
      <c r="G1061" s="26" t="n">
        <v>244.8</v>
      </c>
    </row>
    <row r="1062">
      <c r="A1062" s="24" t="n">
        <v>46278</v>
      </c>
      <c r="B1062" s="25" t="inlineStr">
        <is>
          <t>DRY010</t>
        </is>
      </c>
      <c r="C1062" s="25" t="inlineStr">
        <is>
          <t>Butter 500g</t>
        </is>
      </c>
      <c r="D1062" s="25" t="inlineStr">
        <is>
          <t>Dairy</t>
        </is>
      </c>
      <c r="E1062" s="26" t="n">
        <v>272.56</v>
      </c>
      <c r="F1062" s="27" t="n">
        <v>44</v>
      </c>
      <c r="G1062" s="26" t="n">
        <v>26.16</v>
      </c>
    </row>
    <row r="1063">
      <c r="A1063" s="24" t="n">
        <v>46278</v>
      </c>
      <c r="B1063" s="25" t="inlineStr">
        <is>
          <t>DRY011</t>
        </is>
      </c>
      <c r="C1063" s="25" t="inlineStr">
        <is>
          <t>Greek Yoghurt 1kg</t>
        </is>
      </c>
      <c r="D1063" s="25" t="inlineStr">
        <is>
          <t>Dairy</t>
        </is>
      </c>
      <c r="E1063" s="26" t="n">
        <v>215.73</v>
      </c>
      <c r="F1063" s="27" t="n">
        <v>27</v>
      </c>
      <c r="G1063" s="26" t="n">
        <v>78.03</v>
      </c>
    </row>
    <row r="1064">
      <c r="A1064" s="24" t="n">
        <v>46278</v>
      </c>
      <c r="B1064" s="25" t="inlineStr">
        <is>
          <t>DRY012</t>
        </is>
      </c>
      <c r="C1064" s="25" t="inlineStr">
        <is>
          <t>Cheese Block 1kg</t>
        </is>
      </c>
      <c r="D1064" s="25" t="inlineStr">
        <is>
          <t>Dairy</t>
        </is>
      </c>
      <c r="E1064" s="26" t="n">
        <v>433.69</v>
      </c>
      <c r="F1064" s="27" t="n">
        <v>31</v>
      </c>
      <c r="G1064" s="26" t="n">
        <v>111.29</v>
      </c>
    </row>
    <row r="1065">
      <c r="A1065" s="24" t="n">
        <v>46278</v>
      </c>
      <c r="B1065" s="25" t="inlineStr">
        <is>
          <t>FRZ001</t>
        </is>
      </c>
      <c r="C1065" s="25" t="inlineStr">
        <is>
          <t>Ice Cream Tub 2L</t>
        </is>
      </c>
      <c r="D1065" s="25" t="inlineStr">
        <is>
          <t>Frozen</t>
        </is>
      </c>
      <c r="E1065" s="26" t="n">
        <v>363.15</v>
      </c>
      <c r="F1065" s="27" t="n">
        <v>45</v>
      </c>
      <c r="G1065" s="26" t="n">
        <v>120.15</v>
      </c>
    </row>
    <row r="1066">
      <c r="A1066" s="24" t="n">
        <v>46278</v>
      </c>
      <c r="B1066" s="25" t="inlineStr">
        <is>
          <t>FRZ002</t>
        </is>
      </c>
      <c r="C1066" s="25" t="inlineStr">
        <is>
          <t>Ice Block Single</t>
        </is>
      </c>
      <c r="D1066" s="25" t="inlineStr">
        <is>
          <t>Frozen</t>
        </is>
      </c>
      <c r="E1066" s="26" t="n">
        <v>227.24</v>
      </c>
      <c r="F1066" s="27" t="n">
        <v>76</v>
      </c>
      <c r="G1066" s="26" t="n">
        <v>136.04</v>
      </c>
    </row>
    <row r="1067">
      <c r="A1067" s="24" t="n">
        <v>46278</v>
      </c>
      <c r="B1067" s="25" t="inlineStr">
        <is>
          <t>FRZ003</t>
        </is>
      </c>
      <c r="C1067" s="25" t="inlineStr">
        <is>
          <t>Frozen Pizza</t>
        </is>
      </c>
      <c r="D1067" s="25" t="inlineStr">
        <is>
          <t>Frozen</t>
        </is>
      </c>
      <c r="E1067" s="26" t="n">
        <v>335.58</v>
      </c>
      <c r="F1067" s="27" t="n">
        <v>42</v>
      </c>
      <c r="G1067" s="26" t="n">
        <v>138.18</v>
      </c>
    </row>
    <row r="1068">
      <c r="A1068" s="24" t="n">
        <v>46278</v>
      </c>
      <c r="B1068" s="25" t="inlineStr">
        <is>
          <t>FRZ004</t>
        </is>
      </c>
      <c r="C1068" s="25" t="inlineStr">
        <is>
          <t>Frozen Dumplings 1kg</t>
        </is>
      </c>
      <c r="D1068" s="25" t="inlineStr">
        <is>
          <t>Frozen</t>
        </is>
      </c>
      <c r="E1068" s="26" t="n">
        <v>479.6</v>
      </c>
      <c r="F1068" s="27" t="n">
        <v>40</v>
      </c>
      <c r="G1068" s="26" t="n">
        <v>195.6</v>
      </c>
    </row>
    <row r="1069">
      <c r="A1069" s="24" t="n">
        <v>46278</v>
      </c>
      <c r="B1069" s="25" t="inlineStr">
        <is>
          <t>FTG001</t>
        </is>
      </c>
      <c r="C1069" s="25" t="inlineStr">
        <is>
          <t>Chicken Sandwich</t>
        </is>
      </c>
      <c r="D1069" s="25" t="inlineStr">
        <is>
          <t>Food To Go</t>
        </is>
      </c>
      <c r="E1069" s="26" t="n">
        <v>951.23</v>
      </c>
      <c r="F1069" s="27" t="n">
        <v>127</v>
      </c>
      <c r="G1069" s="26" t="n">
        <v>455.93</v>
      </c>
    </row>
    <row r="1070">
      <c r="A1070" s="24" t="n">
        <v>46278</v>
      </c>
      <c r="B1070" s="25" t="inlineStr">
        <is>
          <t>FTG002</t>
        </is>
      </c>
      <c r="C1070" s="25" t="inlineStr">
        <is>
          <t>Sushi Pack 8pc</t>
        </is>
      </c>
      <c r="D1070" s="25" t="inlineStr">
        <is>
          <t>Food To Go</t>
        </is>
      </c>
      <c r="E1070" s="26" t="n">
        <v>829.17</v>
      </c>
      <c r="F1070" s="27" t="n">
        <v>83</v>
      </c>
      <c r="G1070" s="26" t="n">
        <v>364.37</v>
      </c>
    </row>
    <row r="1071">
      <c r="A1071" s="24" t="n">
        <v>46278</v>
      </c>
      <c r="B1071" s="25" t="inlineStr">
        <is>
          <t>FTG003</t>
        </is>
      </c>
      <c r="C1071" s="25" t="inlineStr">
        <is>
          <t>Hot Pie Mince &amp; Cheese</t>
        </is>
      </c>
      <c r="D1071" s="25" t="inlineStr">
        <is>
          <t>Food To Go</t>
        </is>
      </c>
      <c r="E1071" s="26" t="n">
        <v>752.13</v>
      </c>
      <c r="F1071" s="27" t="n">
        <v>137</v>
      </c>
      <c r="G1071" s="26" t="n">
        <v>423.33</v>
      </c>
    </row>
    <row r="1072">
      <c r="A1072" s="24" t="n">
        <v>46278</v>
      </c>
      <c r="B1072" s="25" t="inlineStr">
        <is>
          <t>FTG004</t>
        </is>
      </c>
      <c r="C1072" s="25" t="inlineStr">
        <is>
          <t>Salad Bowl</t>
        </is>
      </c>
      <c r="D1072" s="25" t="inlineStr">
        <is>
          <t>Food To Go</t>
        </is>
      </c>
      <c r="E1072" s="26" t="n">
        <v>450.59</v>
      </c>
      <c r="F1072" s="27" t="n">
        <v>41</v>
      </c>
      <c r="G1072" s="26" t="n">
        <v>196.39</v>
      </c>
    </row>
    <row r="1073">
      <c r="A1073" s="24" t="n">
        <v>46278</v>
      </c>
      <c r="B1073" s="25" t="inlineStr">
        <is>
          <t>FTG005</t>
        </is>
      </c>
      <c r="C1073" s="25" t="inlineStr">
        <is>
          <t>Filled Roll</t>
        </is>
      </c>
      <c r="D1073" s="25" t="inlineStr">
        <is>
          <t>Food To Go</t>
        </is>
      </c>
      <c r="E1073" s="26" t="n">
        <v>616.55</v>
      </c>
      <c r="F1073" s="27" t="n">
        <v>95</v>
      </c>
      <c r="G1073" s="26" t="n">
        <v>312.55</v>
      </c>
    </row>
    <row r="1074">
      <c r="A1074" s="24" t="n">
        <v>46278</v>
      </c>
      <c r="B1074" s="25" t="inlineStr">
        <is>
          <t>GRO001</t>
        </is>
      </c>
      <c r="C1074" s="25" t="inlineStr">
        <is>
          <t>Instant Noodles 5pk</t>
        </is>
      </c>
      <c r="D1074" s="25" t="inlineStr">
        <is>
          <t>Grocery</t>
        </is>
      </c>
      <c r="E1074" s="26" t="n">
        <v>435.53</v>
      </c>
      <c r="F1074" s="27" t="n">
        <v>97</v>
      </c>
      <c r="G1074" s="26" t="n">
        <v>183.33</v>
      </c>
    </row>
    <row r="1075">
      <c r="A1075" s="24" t="n">
        <v>46278</v>
      </c>
      <c r="B1075" s="25" t="inlineStr">
        <is>
          <t>GRO002</t>
        </is>
      </c>
      <c r="C1075" s="25" t="inlineStr">
        <is>
          <t>Canned Soup 500g</t>
        </is>
      </c>
      <c r="D1075" s="25" t="inlineStr">
        <is>
          <t>Grocery</t>
        </is>
      </c>
      <c r="E1075" s="26" t="n">
        <v>134.89</v>
      </c>
      <c r="F1075" s="27" t="n">
        <v>41</v>
      </c>
      <c r="G1075" s="26" t="n">
        <v>56.99</v>
      </c>
    </row>
    <row r="1076">
      <c r="A1076" s="24" t="n">
        <v>46278</v>
      </c>
      <c r="B1076" s="25" t="inlineStr">
        <is>
          <t>GRO003</t>
        </is>
      </c>
      <c r="C1076" s="25" t="inlineStr">
        <is>
          <t>Pasta 500g</t>
        </is>
      </c>
      <c r="D1076" s="25" t="inlineStr">
        <is>
          <t>Grocery</t>
        </is>
      </c>
      <c r="E1076" s="26" t="n">
        <v>99.59999999999999</v>
      </c>
      <c r="F1076" s="27" t="n">
        <v>40</v>
      </c>
      <c r="G1076" s="26" t="n">
        <v>47.6</v>
      </c>
    </row>
    <row r="1077">
      <c r="A1077" s="24" t="n">
        <v>46278</v>
      </c>
      <c r="B1077" s="25" t="inlineStr">
        <is>
          <t>GRO004</t>
        </is>
      </c>
      <c r="C1077" s="25" t="inlineStr">
        <is>
          <t>Simmer Sauce 485g</t>
        </is>
      </c>
      <c r="D1077" s="25" t="inlineStr">
        <is>
          <t>Grocery</t>
        </is>
      </c>
      <c r="E1077" s="26" t="n">
        <v>147.63</v>
      </c>
      <c r="F1077" s="27" t="n">
        <v>37</v>
      </c>
      <c r="G1077" s="26" t="n">
        <v>62.53</v>
      </c>
    </row>
    <row r="1078">
      <c r="A1078" s="24" t="n">
        <v>46278</v>
      </c>
      <c r="B1078" s="25" t="inlineStr">
        <is>
          <t>GRO005</t>
        </is>
      </c>
      <c r="C1078" s="25" t="inlineStr">
        <is>
          <t>Salsa 300g</t>
        </is>
      </c>
      <c r="D1078" s="25" t="inlineStr">
        <is>
          <t>Grocery</t>
        </is>
      </c>
      <c r="E1078" s="26" t="n">
        <v>113.01</v>
      </c>
      <c r="F1078" s="27" t="n">
        <v>27</v>
      </c>
      <c r="G1078" s="26" t="n">
        <v>34.71</v>
      </c>
    </row>
    <row r="1079">
      <c r="A1079" s="24" t="n">
        <v>46278</v>
      </c>
      <c r="B1079" s="25" t="inlineStr">
        <is>
          <t>GRO006</t>
        </is>
      </c>
      <c r="C1079" s="25" t="inlineStr">
        <is>
          <t>Taco Kit</t>
        </is>
      </c>
      <c r="D1079" s="25" t="inlineStr">
        <is>
          <t>Grocery</t>
        </is>
      </c>
      <c r="E1079" s="26" t="n">
        <v>201.19</v>
      </c>
      <c r="F1079" s="27" t="n">
        <v>31</v>
      </c>
      <c r="G1079" s="26" t="n">
        <v>77.19</v>
      </c>
    </row>
    <row r="1080">
      <c r="A1080" s="24" t="n">
        <v>46278</v>
      </c>
      <c r="B1080" s="25" t="inlineStr">
        <is>
          <t>GRO007</t>
        </is>
      </c>
      <c r="C1080" s="25" t="inlineStr">
        <is>
          <t>Eggs Free Range 12pk</t>
        </is>
      </c>
      <c r="D1080" s="25" t="inlineStr">
        <is>
          <t>Grocery</t>
        </is>
      </c>
      <c r="E1080" s="26" t="n">
        <v>736.33</v>
      </c>
      <c r="F1080" s="27" t="n">
        <v>67</v>
      </c>
      <c r="G1080" s="26" t="n">
        <v>186.93</v>
      </c>
    </row>
    <row r="1081">
      <c r="A1081" s="24" t="n">
        <v>46278</v>
      </c>
      <c r="B1081" s="25" t="inlineStr">
        <is>
          <t>GRO008</t>
        </is>
      </c>
      <c r="C1081" s="25" t="inlineStr">
        <is>
          <t>Coffee Beans 200g</t>
        </is>
      </c>
      <c r="D1081" s="25" t="inlineStr">
        <is>
          <t>Grocery</t>
        </is>
      </c>
      <c r="E1081" s="26" t="n">
        <v>347.71</v>
      </c>
      <c r="F1081" s="27" t="n">
        <v>29</v>
      </c>
      <c r="G1081" s="26" t="n">
        <v>127.31</v>
      </c>
    </row>
    <row r="1082">
      <c r="A1082" s="24" t="n">
        <v>46278</v>
      </c>
      <c r="B1082" s="25" t="inlineStr">
        <is>
          <t>HHD001</t>
        </is>
      </c>
      <c r="C1082" s="25" t="inlineStr">
        <is>
          <t>Toilet Paper 6pk</t>
        </is>
      </c>
      <c r="D1082" s="25" t="inlineStr">
        <is>
          <t>Household</t>
        </is>
      </c>
      <c r="E1082" s="26" t="n">
        <v>413.54</v>
      </c>
      <c r="F1082" s="27" t="n">
        <v>46</v>
      </c>
      <c r="G1082" s="26" t="n">
        <v>142.14</v>
      </c>
    </row>
    <row r="1083">
      <c r="A1083" s="24" t="n">
        <v>46278</v>
      </c>
      <c r="B1083" s="25" t="inlineStr">
        <is>
          <t>HHD002</t>
        </is>
      </c>
      <c r="C1083" s="25" t="inlineStr">
        <is>
          <t>Dishwash Liquid</t>
        </is>
      </c>
      <c r="D1083" s="25" t="inlineStr">
        <is>
          <t>Household</t>
        </is>
      </c>
      <c r="E1083" s="26" t="n">
        <v>64.87</v>
      </c>
      <c r="F1083" s="27" t="n">
        <v>13</v>
      </c>
      <c r="G1083" s="26" t="n">
        <v>27.17</v>
      </c>
    </row>
    <row r="1084">
      <c r="A1084" s="24" t="n">
        <v>46278</v>
      </c>
      <c r="B1084" s="25" t="inlineStr">
        <is>
          <t>HHD003</t>
        </is>
      </c>
      <c r="C1084" s="25" t="inlineStr">
        <is>
          <t>Phone Charger Cable</t>
        </is>
      </c>
      <c r="D1084" s="25" t="inlineStr">
        <is>
          <t>Household</t>
        </is>
      </c>
      <c r="E1084" s="26" t="n">
        <v>74.95</v>
      </c>
      <c r="F1084" s="27" t="n">
        <v>5</v>
      </c>
      <c r="G1084" s="26" t="n">
        <v>47.45</v>
      </c>
    </row>
    <row r="1085">
      <c r="A1085" s="24" t="n">
        <v>46278</v>
      </c>
      <c r="B1085" s="25" t="inlineStr">
        <is>
          <t>LIQ001</t>
        </is>
      </c>
      <c r="C1085" s="25" t="inlineStr">
        <is>
          <t>Craft Beer 6pk</t>
        </is>
      </c>
      <c r="D1085" s="25" t="inlineStr">
        <is>
          <t>Beer &amp; Wine</t>
        </is>
      </c>
      <c r="E1085" s="26" t="n">
        <v>758.67</v>
      </c>
      <c r="F1085" s="27" t="n">
        <v>33</v>
      </c>
      <c r="G1085" s="26" t="n">
        <v>253.77</v>
      </c>
    </row>
    <row r="1086">
      <c r="A1086" s="24" t="n">
        <v>46278</v>
      </c>
      <c r="B1086" s="25" t="inlineStr">
        <is>
          <t>LIQ002</t>
        </is>
      </c>
      <c r="C1086" s="25" t="inlineStr">
        <is>
          <t>Sauvignon Blanc 750ml</t>
        </is>
      </c>
      <c r="D1086" s="25" t="inlineStr">
        <is>
          <t>Beer &amp; Wine</t>
        </is>
      </c>
      <c r="E1086" s="26" t="n">
        <v>463.71</v>
      </c>
      <c r="F1086" s="27" t="n">
        <v>29</v>
      </c>
      <c r="G1086" s="26" t="n">
        <v>167.91</v>
      </c>
    </row>
    <row r="1087">
      <c r="A1087" s="24" t="n">
        <v>46278</v>
      </c>
      <c r="B1087" s="25" t="inlineStr">
        <is>
          <t>LIQ003</t>
        </is>
      </c>
      <c r="C1087" s="25" t="inlineStr">
        <is>
          <t>RTD 4pk</t>
        </is>
      </c>
      <c r="D1087" s="25" t="inlineStr">
        <is>
          <t>Beer &amp; Wine</t>
        </is>
      </c>
      <c r="E1087" s="26" t="n">
        <v>485.73</v>
      </c>
      <c r="F1087" s="27" t="n">
        <v>27</v>
      </c>
      <c r="G1087" s="26" t="n">
        <v>164.43</v>
      </c>
    </row>
    <row r="1088">
      <c r="A1088" s="24" t="n">
        <v>46278</v>
      </c>
      <c r="B1088" s="25" t="inlineStr">
        <is>
          <t>LIQ004</t>
        </is>
      </c>
      <c r="C1088" s="25" t="inlineStr">
        <is>
          <t>Pinot Noir 750ml</t>
        </is>
      </c>
      <c r="D1088" s="25" t="inlineStr">
        <is>
          <t>Beer &amp; Wine</t>
        </is>
      </c>
      <c r="E1088" s="26" t="n">
        <v>259.87</v>
      </c>
      <c r="F1088" s="27" t="n">
        <v>13</v>
      </c>
      <c r="G1088" s="26" t="n">
        <v>93.47</v>
      </c>
    </row>
    <row r="1089">
      <c r="A1089" s="24" t="n">
        <v>46278</v>
      </c>
      <c r="B1089" s="25" t="inlineStr">
        <is>
          <t>MLK001</t>
        </is>
      </c>
      <c r="C1089" s="25" t="inlineStr">
        <is>
          <t>Milk Standard 2L</t>
        </is>
      </c>
      <c r="D1089" s="25" t="inlineStr">
        <is>
          <t>Dairy</t>
        </is>
      </c>
      <c r="E1089" s="26" t="n">
        <v>1447.44</v>
      </c>
      <c r="F1089" s="27" t="n">
        <v>296</v>
      </c>
      <c r="G1089" s="26" t="n">
        <v>396.64</v>
      </c>
    </row>
    <row r="1090">
      <c r="A1090" s="24" t="n">
        <v>46278</v>
      </c>
      <c r="B1090" s="25" t="inlineStr">
        <is>
          <t>MLK002</t>
        </is>
      </c>
      <c r="C1090" s="25" t="inlineStr">
        <is>
          <t>Milk Lite 2L</t>
        </is>
      </c>
      <c r="D1090" s="25" t="inlineStr">
        <is>
          <t>Dairy</t>
        </is>
      </c>
      <c r="E1090" s="26" t="n">
        <v>464.55</v>
      </c>
      <c r="F1090" s="27" t="n">
        <v>95</v>
      </c>
      <c r="G1090" s="26" t="n">
        <v>127.3</v>
      </c>
    </row>
    <row r="1091">
      <c r="A1091" s="24" t="n">
        <v>46278</v>
      </c>
      <c r="B1091" s="25" t="inlineStr">
        <is>
          <t>MLK003</t>
        </is>
      </c>
      <c r="C1091" s="25" t="inlineStr">
        <is>
          <t>Oat Milk 1L</t>
        </is>
      </c>
      <c r="D1091" s="25" t="inlineStr">
        <is>
          <t>Dairy</t>
        </is>
      </c>
      <c r="E1091" s="26" t="n">
        <v>261.69</v>
      </c>
      <c r="F1091" s="27" t="n">
        <v>61</v>
      </c>
      <c r="G1091" s="26" t="n">
        <v>96.98999999999999</v>
      </c>
    </row>
    <row r="1092">
      <c r="A1092" s="24" t="n">
        <v>46278</v>
      </c>
      <c r="B1092" s="25" t="inlineStr">
        <is>
          <t>PHM001</t>
        </is>
      </c>
      <c r="C1092" s="25" t="inlineStr">
        <is>
          <t>Paracetamol 20pk</t>
        </is>
      </c>
      <c r="D1092" s="25" t="inlineStr">
        <is>
          <t>Health &amp; Beauty</t>
        </is>
      </c>
      <c r="E1092" s="26" t="n">
        <v>151.62</v>
      </c>
      <c r="F1092" s="27" t="n">
        <v>38</v>
      </c>
      <c r="G1092" s="26" t="n">
        <v>90.81999999999999</v>
      </c>
    </row>
    <row r="1093">
      <c r="A1093" s="24" t="n">
        <v>46278</v>
      </c>
      <c r="B1093" s="25" t="inlineStr">
        <is>
          <t>PHM002</t>
        </is>
      </c>
      <c r="C1093" s="25" t="inlineStr">
        <is>
          <t>Sunscreen SPF50</t>
        </is>
      </c>
      <c r="D1093" s="25" t="inlineStr">
        <is>
          <t>Health &amp; Beauty</t>
        </is>
      </c>
      <c r="E1093" s="26" t="n">
        <v>284.81</v>
      </c>
      <c r="F1093" s="27" t="n">
        <v>19</v>
      </c>
      <c r="G1093" s="26" t="n">
        <v>129.01</v>
      </c>
    </row>
    <row r="1094">
      <c r="A1094" s="24" t="n">
        <v>46278</v>
      </c>
      <c r="B1094" s="25" t="inlineStr">
        <is>
          <t>PRD001</t>
        </is>
      </c>
      <c r="C1094" s="25" t="inlineStr">
        <is>
          <t>Bananas (each)</t>
        </is>
      </c>
      <c r="D1094" s="25" t="inlineStr">
        <is>
          <t>Produce</t>
        </is>
      </c>
      <c r="E1094" s="26" t="n">
        <v>147.66</v>
      </c>
      <c r="F1094" s="27" t="n">
        <v>214</v>
      </c>
      <c r="G1094" s="26" t="n">
        <v>66.34</v>
      </c>
    </row>
    <row r="1095">
      <c r="A1095" s="24" t="n">
        <v>46278</v>
      </c>
      <c r="B1095" s="25" t="inlineStr">
        <is>
          <t>PRD002</t>
        </is>
      </c>
      <c r="C1095" s="25" t="inlineStr">
        <is>
          <t>Avocado</t>
        </is>
      </c>
      <c r="D1095" s="25" t="inlineStr">
        <is>
          <t>Produce</t>
        </is>
      </c>
      <c r="E1095" s="26" t="n">
        <v>139.44</v>
      </c>
      <c r="F1095" s="27" t="n">
        <v>56</v>
      </c>
      <c r="G1095" s="26" t="n">
        <v>61.04</v>
      </c>
    </row>
    <row r="1096">
      <c r="A1096" s="24" t="n">
        <v>46278</v>
      </c>
      <c r="B1096" s="25" t="inlineStr">
        <is>
          <t>PRD003</t>
        </is>
      </c>
      <c r="C1096" s="25" t="inlineStr">
        <is>
          <t>Tomatoes 500g</t>
        </is>
      </c>
      <c r="D1096" s="25" t="inlineStr">
        <is>
          <t>Produce</t>
        </is>
      </c>
      <c r="E1096" s="26" t="n">
        <v>139.19</v>
      </c>
      <c r="F1096" s="27" t="n">
        <v>31</v>
      </c>
      <c r="G1096" s="26" t="n">
        <v>58.59</v>
      </c>
    </row>
    <row r="1097">
      <c r="A1097" s="24" t="n">
        <v>46278</v>
      </c>
      <c r="B1097" s="25" t="inlineStr">
        <is>
          <t>SNK001</t>
        </is>
      </c>
      <c r="C1097" s="25" t="inlineStr">
        <is>
          <t>Potato Chips 150g</t>
        </is>
      </c>
      <c r="D1097" s="25" t="inlineStr">
        <is>
          <t>Snacks &amp; Confectionery</t>
        </is>
      </c>
      <c r="E1097" s="26" t="n">
        <v>690.27</v>
      </c>
      <c r="F1097" s="27" t="n">
        <v>173</v>
      </c>
      <c r="G1097" s="26" t="n">
        <v>326.97</v>
      </c>
    </row>
    <row r="1098">
      <c r="A1098" s="24" t="n">
        <v>46278</v>
      </c>
      <c r="B1098" s="25" t="inlineStr">
        <is>
          <t>SNK002</t>
        </is>
      </c>
      <c r="C1098" s="25" t="inlineStr">
        <is>
          <t>Chocolate Block 200g</t>
        </is>
      </c>
      <c r="D1098" s="25" t="inlineStr">
        <is>
          <t>Snacks &amp; Confectionery</t>
        </is>
      </c>
      <c r="E1098" s="26" t="n">
        <v>636.84</v>
      </c>
      <c r="F1098" s="27" t="n">
        <v>116</v>
      </c>
      <c r="G1098" s="26" t="n">
        <v>265.64</v>
      </c>
    </row>
    <row r="1099">
      <c r="A1099" s="24" t="n">
        <v>46278</v>
      </c>
      <c r="B1099" s="25" t="inlineStr">
        <is>
          <t>SNK003</t>
        </is>
      </c>
      <c r="C1099" s="25" t="inlineStr">
        <is>
          <t>Muesli Bar 6pk</t>
        </is>
      </c>
      <c r="D1099" s="25" t="inlineStr">
        <is>
          <t>Snacks &amp; Confectionery</t>
        </is>
      </c>
      <c r="E1099" s="26" t="n">
        <v>231.66</v>
      </c>
      <c r="F1099" s="27" t="n">
        <v>54</v>
      </c>
      <c r="G1099" s="26" t="n">
        <v>91.26000000000001</v>
      </c>
    </row>
    <row r="1100">
      <c r="A1100" s="24" t="n">
        <v>46278</v>
      </c>
      <c r="B1100" s="25" t="inlineStr">
        <is>
          <t>SNK004</t>
        </is>
      </c>
      <c r="C1100" s="25" t="inlineStr">
        <is>
          <t>Corn Chips 230g</t>
        </is>
      </c>
      <c r="D1100" s="25" t="inlineStr">
        <is>
          <t>Snacks &amp; Confectionery</t>
        </is>
      </c>
      <c r="E1100" s="26" t="n">
        <v>264.91</v>
      </c>
      <c r="F1100" s="27" t="n">
        <v>59</v>
      </c>
      <c r="G1100" s="26" t="n">
        <v>123.31</v>
      </c>
    </row>
    <row r="1101">
      <c r="A1101" s="24" t="n">
        <v>46278</v>
      </c>
      <c r="B1101" s="25" t="inlineStr">
        <is>
          <t>SNK005</t>
        </is>
      </c>
      <c r="C1101" s="25" t="inlineStr">
        <is>
          <t>Lollies Bag 200g</t>
        </is>
      </c>
      <c r="D1101" s="25" t="inlineStr">
        <is>
          <t>Snacks &amp; Confectionery</t>
        </is>
      </c>
      <c r="E1101" s="26" t="n">
        <v>254.77</v>
      </c>
      <c r="F1101" s="27" t="n">
        <v>73</v>
      </c>
      <c r="G1101" s="26" t="n">
        <v>130.67</v>
      </c>
    </row>
    <row r="1102">
      <c r="A1102" s="24" t="n">
        <v>46285</v>
      </c>
      <c r="B1102" s="25" t="inlineStr">
        <is>
          <t>BAK001</t>
        </is>
      </c>
      <c r="C1102" s="25" t="inlineStr">
        <is>
          <t>Toast Bread White</t>
        </is>
      </c>
      <c r="D1102" s="25" t="inlineStr">
        <is>
          <t>Bakery</t>
        </is>
      </c>
      <c r="E1102" s="26" t="n">
        <v>530.48</v>
      </c>
      <c r="F1102" s="27" t="n">
        <v>152</v>
      </c>
      <c r="G1102" s="26" t="n">
        <v>196.08</v>
      </c>
    </row>
    <row r="1103">
      <c r="A1103" s="24" t="n">
        <v>46285</v>
      </c>
      <c r="B1103" s="25" t="inlineStr">
        <is>
          <t>BAK002</t>
        </is>
      </c>
      <c r="C1103" s="25" t="inlineStr">
        <is>
          <t>Wholemeal Loaf</t>
        </is>
      </c>
      <c r="D1103" s="25" t="inlineStr">
        <is>
          <t>Bakery</t>
        </is>
      </c>
      <c r="E1103" s="26" t="n">
        <v>373.23</v>
      </c>
      <c r="F1103" s="27" t="n">
        <v>87</v>
      </c>
      <c r="G1103" s="26" t="n">
        <v>138.33</v>
      </c>
    </row>
    <row r="1104">
      <c r="A1104" s="24" t="n">
        <v>46285</v>
      </c>
      <c r="B1104" s="25" t="inlineStr">
        <is>
          <t>BAK003</t>
        </is>
      </c>
      <c r="C1104" s="25" t="inlineStr">
        <is>
          <t>Croissant 4pk</t>
        </is>
      </c>
      <c r="D1104" s="25" t="inlineStr">
        <is>
          <t>Bakery</t>
        </is>
      </c>
      <c r="E1104" s="26" t="n">
        <v>311.48</v>
      </c>
      <c r="F1104" s="27" t="n">
        <v>52</v>
      </c>
      <c r="G1104" s="26" t="n">
        <v>139.88</v>
      </c>
    </row>
    <row r="1105">
      <c r="A1105" s="24" t="n">
        <v>46285</v>
      </c>
      <c r="B1105" s="25" t="inlineStr">
        <is>
          <t>BBT001</t>
        </is>
      </c>
      <c r="C1105" s="25" t="inlineStr">
        <is>
          <t>Bubble Tea Kit</t>
        </is>
      </c>
      <c r="D1105" s="25" t="inlineStr">
        <is>
          <t>Beverages</t>
        </is>
      </c>
      <c r="E1105" s="26" t="n">
        <v>223.68</v>
      </c>
      <c r="F1105" s="27" t="n">
        <v>32</v>
      </c>
      <c r="G1105" s="26" t="n">
        <v>98.88</v>
      </c>
    </row>
    <row r="1106">
      <c r="A1106" s="24" t="n">
        <v>46285</v>
      </c>
      <c r="B1106" s="25" t="inlineStr">
        <is>
          <t>BEV001</t>
        </is>
      </c>
      <c r="C1106" s="25" t="inlineStr">
        <is>
          <t>Energy Drink 500ml</t>
        </is>
      </c>
      <c r="D1106" s="25" t="inlineStr">
        <is>
          <t>Beverages</t>
        </is>
      </c>
      <c r="E1106" s="26" t="n">
        <v>763.62</v>
      </c>
      <c r="F1106" s="27" t="n">
        <v>178</v>
      </c>
      <c r="G1106" s="26" t="n">
        <v>380.92</v>
      </c>
    </row>
    <row r="1107">
      <c r="A1107" s="24" t="n">
        <v>46285</v>
      </c>
      <c r="B1107" s="25" t="inlineStr">
        <is>
          <t>BEV002</t>
        </is>
      </c>
      <c r="C1107" s="25" t="inlineStr">
        <is>
          <t>Cola 1.5L</t>
        </is>
      </c>
      <c r="D1107" s="25" t="inlineStr">
        <is>
          <t>Beverages</t>
        </is>
      </c>
      <c r="E1107" s="26" t="n">
        <v>489.41</v>
      </c>
      <c r="F1107" s="27" t="n">
        <v>109</v>
      </c>
      <c r="G1107" s="26" t="n">
        <v>238.71</v>
      </c>
    </row>
    <row r="1108">
      <c r="A1108" s="24" t="n">
        <v>46285</v>
      </c>
      <c r="B1108" s="25" t="inlineStr">
        <is>
          <t>BEV003</t>
        </is>
      </c>
      <c r="C1108" s="25" t="inlineStr">
        <is>
          <t>Sparkling Water 1L</t>
        </is>
      </c>
      <c r="D1108" s="25" t="inlineStr">
        <is>
          <t>Beverages</t>
        </is>
      </c>
      <c r="E1108" s="26" t="n">
        <v>219.12</v>
      </c>
      <c r="F1108" s="27" t="n">
        <v>88</v>
      </c>
      <c r="G1108" s="26" t="n">
        <v>122.32</v>
      </c>
    </row>
    <row r="1109">
      <c r="A1109" s="24" t="n">
        <v>46285</v>
      </c>
      <c r="B1109" s="25" t="inlineStr">
        <is>
          <t>BEV004</t>
        </is>
      </c>
      <c r="C1109" s="25" t="inlineStr">
        <is>
          <t>Iced Coffee 500ml</t>
        </is>
      </c>
      <c r="D1109" s="25" t="inlineStr">
        <is>
          <t>Beverages</t>
        </is>
      </c>
      <c r="E1109" s="26" t="n">
        <v>469.06</v>
      </c>
      <c r="F1109" s="27" t="n">
        <v>94</v>
      </c>
      <c r="G1109" s="26" t="n">
        <v>215.26</v>
      </c>
    </row>
    <row r="1110">
      <c r="A1110" s="24" t="n">
        <v>46285</v>
      </c>
      <c r="B1110" s="25" t="inlineStr">
        <is>
          <t>BEV005</t>
        </is>
      </c>
      <c r="C1110" s="25" t="inlineStr">
        <is>
          <t>Kombucha 330ml</t>
        </is>
      </c>
      <c r="D1110" s="25" t="inlineStr">
        <is>
          <t>Beverages</t>
        </is>
      </c>
      <c r="E1110" s="26" t="n">
        <v>167.65</v>
      </c>
      <c r="F1110" s="27" t="n">
        <v>35</v>
      </c>
      <c r="G1110" s="26" t="n">
        <v>76.65000000000001</v>
      </c>
    </row>
    <row r="1111">
      <c r="A1111" s="24" t="n">
        <v>46285</v>
      </c>
      <c r="B1111" s="25" t="inlineStr">
        <is>
          <t>BEV006</t>
        </is>
      </c>
      <c r="C1111" s="25" t="inlineStr">
        <is>
          <t>Bottled Water 750ml</t>
        </is>
      </c>
      <c r="D1111" s="25" t="inlineStr">
        <is>
          <t>Beverages</t>
        </is>
      </c>
      <c r="E1111" s="26" t="n">
        <v>355.81</v>
      </c>
      <c r="F1111" s="27" t="n">
        <v>119</v>
      </c>
      <c r="G1111" s="26" t="n">
        <v>242.76</v>
      </c>
    </row>
    <row r="1112">
      <c r="A1112" s="24" t="n">
        <v>46285</v>
      </c>
      <c r="B1112" s="25" t="inlineStr">
        <is>
          <t>DRY010</t>
        </is>
      </c>
      <c r="C1112" s="25" t="inlineStr">
        <is>
          <t>Butter 500g</t>
        </is>
      </c>
      <c r="D1112" s="25" t="inlineStr">
        <is>
          <t>Dairy</t>
        </is>
      </c>
      <c r="E1112" s="26" t="n">
        <v>401.39</v>
      </c>
      <c r="F1112" s="27" t="n">
        <v>61</v>
      </c>
      <c r="G1112" s="26" t="n">
        <v>59.79</v>
      </c>
    </row>
    <row r="1113">
      <c r="A1113" s="24" t="n">
        <v>46285</v>
      </c>
      <c r="B1113" s="25" t="inlineStr">
        <is>
          <t>DRY011</t>
        </is>
      </c>
      <c r="C1113" s="25" t="inlineStr">
        <is>
          <t>Greek Yoghurt 1kg</t>
        </is>
      </c>
      <c r="D1113" s="25" t="inlineStr">
        <is>
          <t>Dairy</t>
        </is>
      </c>
      <c r="E1113" s="26" t="n">
        <v>183.77</v>
      </c>
      <c r="F1113" s="27" t="n">
        <v>23</v>
      </c>
      <c r="G1113" s="26" t="n">
        <v>66.47</v>
      </c>
    </row>
    <row r="1114">
      <c r="A1114" s="24" t="n">
        <v>46285</v>
      </c>
      <c r="B1114" s="25" t="inlineStr">
        <is>
          <t>DRY012</t>
        </is>
      </c>
      <c r="C1114" s="25" t="inlineStr">
        <is>
          <t>Cheese Block 1kg</t>
        </is>
      </c>
      <c r="D1114" s="25" t="inlineStr">
        <is>
          <t>Dairy</t>
        </is>
      </c>
      <c r="E1114" s="26" t="n">
        <v>475.66</v>
      </c>
      <c r="F1114" s="27" t="n">
        <v>34</v>
      </c>
      <c r="G1114" s="26" t="n">
        <v>122.06</v>
      </c>
    </row>
    <row r="1115">
      <c r="A1115" s="24" t="n">
        <v>46285</v>
      </c>
      <c r="B1115" s="25" t="inlineStr">
        <is>
          <t>FRZ001</t>
        </is>
      </c>
      <c r="C1115" s="25" t="inlineStr">
        <is>
          <t>Ice Cream Tub 2L</t>
        </is>
      </c>
      <c r="D1115" s="25" t="inlineStr">
        <is>
          <t>Frozen</t>
        </is>
      </c>
      <c r="E1115" s="26" t="n">
        <v>512.4299999999999</v>
      </c>
      <c r="F1115" s="27" t="n">
        <v>57</v>
      </c>
      <c r="G1115" s="26" t="n">
        <v>204.63</v>
      </c>
    </row>
    <row r="1116">
      <c r="A1116" s="24" t="n">
        <v>46285</v>
      </c>
      <c r="B1116" s="25" t="inlineStr">
        <is>
          <t>FRZ002</t>
        </is>
      </c>
      <c r="C1116" s="25" t="inlineStr">
        <is>
          <t>Ice Block Single</t>
        </is>
      </c>
      <c r="D1116" s="25" t="inlineStr">
        <is>
          <t>Frozen</t>
        </is>
      </c>
      <c r="E1116" s="26" t="n">
        <v>170.43</v>
      </c>
      <c r="F1116" s="27" t="n">
        <v>57</v>
      </c>
      <c r="G1116" s="26" t="n">
        <v>102.03</v>
      </c>
    </row>
    <row r="1117">
      <c r="A1117" s="24" t="n">
        <v>46285</v>
      </c>
      <c r="B1117" s="25" t="inlineStr">
        <is>
          <t>FRZ003</t>
        </is>
      </c>
      <c r="C1117" s="25" t="inlineStr">
        <is>
          <t>Frozen Pizza</t>
        </is>
      </c>
      <c r="D1117" s="25" t="inlineStr">
        <is>
          <t>Frozen</t>
        </is>
      </c>
      <c r="E1117" s="26" t="n">
        <v>394.64</v>
      </c>
      <c r="F1117" s="27" t="n">
        <v>56</v>
      </c>
      <c r="G1117" s="26" t="n">
        <v>131.44</v>
      </c>
    </row>
    <row r="1118">
      <c r="A1118" s="24" t="n">
        <v>46285</v>
      </c>
      <c r="B1118" s="25" t="inlineStr">
        <is>
          <t>FRZ004</t>
        </is>
      </c>
      <c r="C1118" s="25" t="inlineStr">
        <is>
          <t>Frozen Dumplings 1kg</t>
        </is>
      </c>
      <c r="D1118" s="25" t="inlineStr">
        <is>
          <t>Frozen</t>
        </is>
      </c>
      <c r="E1118" s="26" t="n">
        <v>474.74</v>
      </c>
      <c r="F1118" s="27" t="n">
        <v>46</v>
      </c>
      <c r="G1118" s="26" t="n">
        <v>148.14</v>
      </c>
    </row>
    <row r="1119">
      <c r="A1119" s="24" t="n">
        <v>46285</v>
      </c>
      <c r="B1119" s="25" t="inlineStr">
        <is>
          <t>FTG001</t>
        </is>
      </c>
      <c r="C1119" s="25" t="inlineStr">
        <is>
          <t>Chicken Sandwich</t>
        </is>
      </c>
      <c r="D1119" s="25" t="inlineStr">
        <is>
          <t>Food To Go</t>
        </is>
      </c>
      <c r="E1119" s="26" t="n">
        <v>1213.38</v>
      </c>
      <c r="F1119" s="27" t="n">
        <v>162</v>
      </c>
      <c r="G1119" s="26" t="n">
        <v>581.58</v>
      </c>
    </row>
    <row r="1120">
      <c r="A1120" s="24" t="n">
        <v>46285</v>
      </c>
      <c r="B1120" s="25" t="inlineStr">
        <is>
          <t>FTG002</t>
        </is>
      </c>
      <c r="C1120" s="25" t="inlineStr">
        <is>
          <t>Sushi Pack 8pc</t>
        </is>
      </c>
      <c r="D1120" s="25" t="inlineStr">
        <is>
          <t>Food To Go</t>
        </is>
      </c>
      <c r="E1120" s="26" t="n">
        <v>999</v>
      </c>
      <c r="F1120" s="27" t="n">
        <v>100</v>
      </c>
      <c r="G1120" s="26" t="n">
        <v>439</v>
      </c>
    </row>
    <row r="1121">
      <c r="A1121" s="24" t="n">
        <v>46285</v>
      </c>
      <c r="B1121" s="25" t="inlineStr">
        <is>
          <t>FTG003</t>
        </is>
      </c>
      <c r="C1121" s="25" t="inlineStr">
        <is>
          <t>Hot Pie Mince &amp; Cheese</t>
        </is>
      </c>
      <c r="D1121" s="25" t="inlineStr">
        <is>
          <t>Food To Go</t>
        </is>
      </c>
      <c r="E1121" s="26" t="n">
        <v>790.5599999999999</v>
      </c>
      <c r="F1121" s="27" t="n">
        <v>144</v>
      </c>
      <c r="G1121" s="26" t="n">
        <v>444.96</v>
      </c>
    </row>
    <row r="1122">
      <c r="A1122" s="24" t="n">
        <v>46285</v>
      </c>
      <c r="B1122" s="25" t="inlineStr">
        <is>
          <t>FTG004</t>
        </is>
      </c>
      <c r="C1122" s="25" t="inlineStr">
        <is>
          <t>Salad Bowl</t>
        </is>
      </c>
      <c r="D1122" s="25" t="inlineStr">
        <is>
          <t>Food To Go</t>
        </is>
      </c>
      <c r="E1122" s="26" t="n">
        <v>406.63</v>
      </c>
      <c r="F1122" s="27" t="n">
        <v>37</v>
      </c>
      <c r="G1122" s="26" t="n">
        <v>177.23</v>
      </c>
    </row>
    <row r="1123">
      <c r="A1123" s="24" t="n">
        <v>46285</v>
      </c>
      <c r="B1123" s="25" t="inlineStr">
        <is>
          <t>FTG005</t>
        </is>
      </c>
      <c r="C1123" s="25" t="inlineStr">
        <is>
          <t>Filled Roll</t>
        </is>
      </c>
      <c r="D1123" s="25" t="inlineStr">
        <is>
          <t>Food To Go</t>
        </is>
      </c>
      <c r="E1123" s="26" t="n">
        <v>499.73</v>
      </c>
      <c r="F1123" s="27" t="n">
        <v>77</v>
      </c>
      <c r="G1123" s="26" t="n">
        <v>253.33</v>
      </c>
    </row>
    <row r="1124">
      <c r="A1124" s="24" t="n">
        <v>46285</v>
      </c>
      <c r="B1124" s="25" t="inlineStr">
        <is>
          <t>GRO001</t>
        </is>
      </c>
      <c r="C1124" s="25" t="inlineStr">
        <is>
          <t>Instant Noodles 5pk</t>
        </is>
      </c>
      <c r="D1124" s="25" t="inlineStr">
        <is>
          <t>Grocery</t>
        </is>
      </c>
      <c r="E1124" s="26" t="n">
        <v>520.84</v>
      </c>
      <c r="F1124" s="27" t="n">
        <v>116</v>
      </c>
      <c r="G1124" s="26" t="n">
        <v>219.24</v>
      </c>
    </row>
    <row r="1125">
      <c r="A1125" s="24" t="n">
        <v>46285</v>
      </c>
      <c r="B1125" s="25" t="inlineStr">
        <is>
          <t>GRO002</t>
        </is>
      </c>
      <c r="C1125" s="25" t="inlineStr">
        <is>
          <t>Canned Soup 500g</t>
        </is>
      </c>
      <c r="D1125" s="25" t="inlineStr">
        <is>
          <t>Grocery</t>
        </is>
      </c>
      <c r="E1125" s="26" t="n">
        <v>131.6</v>
      </c>
      <c r="F1125" s="27" t="n">
        <v>40</v>
      </c>
      <c r="G1125" s="26" t="n">
        <v>55.6</v>
      </c>
    </row>
    <row r="1126">
      <c r="A1126" s="24" t="n">
        <v>46285</v>
      </c>
      <c r="B1126" s="25" t="inlineStr">
        <is>
          <t>GRO003</t>
        </is>
      </c>
      <c r="C1126" s="25" t="inlineStr">
        <is>
          <t>Pasta 500g</t>
        </is>
      </c>
      <c r="D1126" s="25" t="inlineStr">
        <is>
          <t>Grocery</t>
        </is>
      </c>
      <c r="E1126" s="26" t="n">
        <v>104.58</v>
      </c>
      <c r="F1126" s="27" t="n">
        <v>42</v>
      </c>
      <c r="G1126" s="26" t="n">
        <v>49.98</v>
      </c>
    </row>
    <row r="1127">
      <c r="A1127" s="24" t="n">
        <v>46285</v>
      </c>
      <c r="B1127" s="25" t="inlineStr">
        <is>
          <t>GRO004</t>
        </is>
      </c>
      <c r="C1127" s="25" t="inlineStr">
        <is>
          <t>Simmer Sauce 485g</t>
        </is>
      </c>
      <c r="D1127" s="25" t="inlineStr">
        <is>
          <t>Grocery</t>
        </is>
      </c>
      <c r="E1127" s="26" t="n">
        <v>163.59</v>
      </c>
      <c r="F1127" s="27" t="n">
        <v>41</v>
      </c>
      <c r="G1127" s="26" t="n">
        <v>69.29000000000001</v>
      </c>
    </row>
    <row r="1128">
      <c r="A1128" s="24" t="n">
        <v>46285</v>
      </c>
      <c r="B1128" s="25" t="inlineStr">
        <is>
          <t>GRO005</t>
        </is>
      </c>
      <c r="C1128" s="25" t="inlineStr">
        <is>
          <t>Salsa 300g</t>
        </is>
      </c>
      <c r="D1128" s="25" t="inlineStr">
        <is>
          <t>Grocery</t>
        </is>
      </c>
      <c r="E1128" s="26" t="n">
        <v>119.75</v>
      </c>
      <c r="F1128" s="27" t="n">
        <v>25</v>
      </c>
      <c r="G1128" s="26" t="n">
        <v>47.25</v>
      </c>
    </row>
    <row r="1129">
      <c r="A1129" s="24" t="n">
        <v>46285</v>
      </c>
      <c r="B1129" s="25" t="inlineStr">
        <is>
          <t>GRO006</t>
        </is>
      </c>
      <c r="C1129" s="25" t="inlineStr">
        <is>
          <t>Taco Kit</t>
        </is>
      </c>
      <c r="D1129" s="25" t="inlineStr">
        <is>
          <t>Grocery</t>
        </is>
      </c>
      <c r="E1129" s="26" t="n">
        <v>162.25</v>
      </c>
      <c r="F1129" s="27" t="n">
        <v>25</v>
      </c>
      <c r="G1129" s="26" t="n">
        <v>62.25</v>
      </c>
    </row>
    <row r="1130">
      <c r="A1130" s="24" t="n">
        <v>46285</v>
      </c>
      <c r="B1130" s="25" t="inlineStr">
        <is>
          <t>GRO007</t>
        </is>
      </c>
      <c r="C1130" s="25" t="inlineStr">
        <is>
          <t>Eggs Free Range 12pk</t>
        </is>
      </c>
      <c r="D1130" s="25" t="inlineStr">
        <is>
          <t>Grocery</t>
        </is>
      </c>
      <c r="E1130" s="26" t="n">
        <v>967.12</v>
      </c>
      <c r="F1130" s="27" t="n">
        <v>88</v>
      </c>
      <c r="G1130" s="26" t="n">
        <v>245.52</v>
      </c>
    </row>
    <row r="1131">
      <c r="A1131" s="24" t="n">
        <v>46285</v>
      </c>
      <c r="B1131" s="25" t="inlineStr">
        <is>
          <t>GRO008</t>
        </is>
      </c>
      <c r="C1131" s="25" t="inlineStr">
        <is>
          <t>Coffee Beans 200g</t>
        </is>
      </c>
      <c r="D1131" s="25" t="inlineStr">
        <is>
          <t>Grocery</t>
        </is>
      </c>
      <c r="E1131" s="26" t="n">
        <v>263.78</v>
      </c>
      <c r="F1131" s="27" t="n">
        <v>22</v>
      </c>
      <c r="G1131" s="26" t="n">
        <v>96.58</v>
      </c>
    </row>
    <row r="1132">
      <c r="A1132" s="24" t="n">
        <v>46285</v>
      </c>
      <c r="B1132" s="25" t="inlineStr">
        <is>
          <t>HHD001</t>
        </is>
      </c>
      <c r="C1132" s="25" t="inlineStr">
        <is>
          <t>Toilet Paper 6pk</t>
        </is>
      </c>
      <c r="D1132" s="25" t="inlineStr">
        <is>
          <t>Household</t>
        </is>
      </c>
      <c r="E1132" s="26" t="n">
        <v>287.68</v>
      </c>
      <c r="F1132" s="27" t="n">
        <v>32</v>
      </c>
      <c r="G1132" s="26" t="n">
        <v>98.88</v>
      </c>
    </row>
    <row r="1133">
      <c r="A1133" s="24" t="n">
        <v>46285</v>
      </c>
      <c r="B1133" s="25" t="inlineStr">
        <is>
          <t>HHD002</t>
        </is>
      </c>
      <c r="C1133" s="25" t="inlineStr">
        <is>
          <t>Dishwash Liquid</t>
        </is>
      </c>
      <c r="D1133" s="25" t="inlineStr">
        <is>
          <t>Household</t>
        </is>
      </c>
      <c r="E1133" s="26" t="n">
        <v>134.73</v>
      </c>
      <c r="F1133" s="27" t="n">
        <v>27</v>
      </c>
      <c r="G1133" s="26" t="n">
        <v>56.43</v>
      </c>
    </row>
    <row r="1134">
      <c r="A1134" s="24" t="n">
        <v>46285</v>
      </c>
      <c r="B1134" s="25" t="inlineStr">
        <is>
          <t>HHD003</t>
        </is>
      </c>
      <c r="C1134" s="25" t="inlineStr">
        <is>
          <t>Phone Charger Cable</t>
        </is>
      </c>
      <c r="D1134" s="25" t="inlineStr">
        <is>
          <t>Household</t>
        </is>
      </c>
      <c r="E1134" s="26" t="n">
        <v>194.87</v>
      </c>
      <c r="F1134" s="27" t="n">
        <v>13</v>
      </c>
      <c r="G1134" s="26" t="n">
        <v>123.37</v>
      </c>
    </row>
    <row r="1135">
      <c r="A1135" s="24" t="n">
        <v>46285</v>
      </c>
      <c r="B1135" s="25" t="inlineStr">
        <is>
          <t>LIQ001</t>
        </is>
      </c>
      <c r="C1135" s="25" t="inlineStr">
        <is>
          <t>Craft Beer 6pk</t>
        </is>
      </c>
      <c r="D1135" s="25" t="inlineStr">
        <is>
          <t>Beer &amp; Wine</t>
        </is>
      </c>
      <c r="E1135" s="26" t="n">
        <v>1108.05</v>
      </c>
      <c r="F1135" s="27" t="n">
        <v>55</v>
      </c>
      <c r="G1135" s="26" t="n">
        <v>266.55</v>
      </c>
    </row>
    <row r="1136">
      <c r="A1136" s="24" t="n">
        <v>46285</v>
      </c>
      <c r="B1136" s="25" t="inlineStr">
        <is>
          <t>LIQ002</t>
        </is>
      </c>
      <c r="C1136" s="25" t="inlineStr">
        <is>
          <t>Sauvignon Blanc 750ml</t>
        </is>
      </c>
      <c r="D1136" s="25" t="inlineStr">
        <is>
          <t>Beer &amp; Wine</t>
        </is>
      </c>
      <c r="E1136" s="26" t="n">
        <v>495.69</v>
      </c>
      <c r="F1136" s="27" t="n">
        <v>31</v>
      </c>
      <c r="G1136" s="26" t="n">
        <v>179.49</v>
      </c>
    </row>
    <row r="1137">
      <c r="A1137" s="24" t="n">
        <v>46285</v>
      </c>
      <c r="B1137" s="25" t="inlineStr">
        <is>
          <t>LIQ003</t>
        </is>
      </c>
      <c r="C1137" s="25" t="inlineStr">
        <is>
          <t>RTD 4pk</t>
        </is>
      </c>
      <c r="D1137" s="25" t="inlineStr">
        <is>
          <t>Beer &amp; Wine</t>
        </is>
      </c>
      <c r="E1137" s="26" t="n">
        <v>323.82</v>
      </c>
      <c r="F1137" s="27" t="n">
        <v>18</v>
      </c>
      <c r="G1137" s="26" t="n">
        <v>109.62</v>
      </c>
    </row>
    <row r="1138">
      <c r="A1138" s="24" t="n">
        <v>46285</v>
      </c>
      <c r="B1138" s="25" t="inlineStr">
        <is>
          <t>LIQ004</t>
        </is>
      </c>
      <c r="C1138" s="25" t="inlineStr">
        <is>
          <t>Pinot Noir 750ml</t>
        </is>
      </c>
      <c r="D1138" s="25" t="inlineStr">
        <is>
          <t>Beer &amp; Wine</t>
        </is>
      </c>
      <c r="E1138" s="26" t="n">
        <v>439.78</v>
      </c>
      <c r="F1138" s="27" t="n">
        <v>22</v>
      </c>
      <c r="G1138" s="26" t="n">
        <v>158.18</v>
      </c>
    </row>
    <row r="1139">
      <c r="A1139" s="24" t="n">
        <v>46285</v>
      </c>
      <c r="B1139" s="25" t="inlineStr">
        <is>
          <t>MLK001</t>
        </is>
      </c>
      <c r="C1139" s="25" t="inlineStr">
        <is>
          <t>Milk Standard 2L</t>
        </is>
      </c>
      <c r="D1139" s="25" t="inlineStr">
        <is>
          <t>Dairy</t>
        </is>
      </c>
      <c r="E1139" s="26" t="n">
        <v>1183.38</v>
      </c>
      <c r="F1139" s="27" t="n">
        <v>242</v>
      </c>
      <c r="G1139" s="26" t="n">
        <v>324.28</v>
      </c>
    </row>
    <row r="1140">
      <c r="A1140" s="24" t="n">
        <v>46285</v>
      </c>
      <c r="B1140" s="25" t="inlineStr">
        <is>
          <t>MLK002</t>
        </is>
      </c>
      <c r="C1140" s="25" t="inlineStr">
        <is>
          <t>Milk Lite 2L</t>
        </is>
      </c>
      <c r="D1140" s="25" t="inlineStr">
        <is>
          <t>Dairy</t>
        </is>
      </c>
      <c r="E1140" s="26" t="n">
        <v>547.6799999999999</v>
      </c>
      <c r="F1140" s="27" t="n">
        <v>112</v>
      </c>
      <c r="G1140" s="26" t="n">
        <v>150.08</v>
      </c>
    </row>
    <row r="1141">
      <c r="A1141" s="24" t="n">
        <v>46285</v>
      </c>
      <c r="B1141" s="25" t="inlineStr">
        <is>
          <t>MLK003</t>
        </is>
      </c>
      <c r="C1141" s="25" t="inlineStr">
        <is>
          <t>Oat Milk 1L</t>
        </is>
      </c>
      <c r="D1141" s="25" t="inlineStr">
        <is>
          <t>Dairy</t>
        </is>
      </c>
      <c r="E1141" s="26" t="n">
        <v>167.31</v>
      </c>
      <c r="F1141" s="27" t="n">
        <v>39</v>
      </c>
      <c r="G1141" s="26" t="n">
        <v>62.01</v>
      </c>
    </row>
    <row r="1142">
      <c r="A1142" s="24" t="n">
        <v>46285</v>
      </c>
      <c r="B1142" s="25" t="inlineStr">
        <is>
          <t>PHM001</t>
        </is>
      </c>
      <c r="C1142" s="25" t="inlineStr">
        <is>
          <t>Paracetamol 20pk</t>
        </is>
      </c>
      <c r="D1142" s="25" t="inlineStr">
        <is>
          <t>Health &amp; Beauty</t>
        </is>
      </c>
      <c r="E1142" s="26" t="n">
        <v>131.67</v>
      </c>
      <c r="F1142" s="27" t="n">
        <v>33</v>
      </c>
      <c r="G1142" s="26" t="n">
        <v>78.87</v>
      </c>
    </row>
    <row r="1143">
      <c r="A1143" s="24" t="n">
        <v>46285</v>
      </c>
      <c r="B1143" s="25" t="inlineStr">
        <is>
          <t>PHM002</t>
        </is>
      </c>
      <c r="C1143" s="25" t="inlineStr">
        <is>
          <t>Sunscreen SPF50</t>
        </is>
      </c>
      <c r="D1143" s="25" t="inlineStr">
        <is>
          <t>Health &amp; Beauty</t>
        </is>
      </c>
      <c r="E1143" s="26" t="n">
        <v>239.84</v>
      </c>
      <c r="F1143" s="27" t="n">
        <v>16</v>
      </c>
      <c r="G1143" s="26" t="n">
        <v>108.64</v>
      </c>
    </row>
    <row r="1144">
      <c r="A1144" s="24" t="n">
        <v>46285</v>
      </c>
      <c r="B1144" s="25" t="inlineStr">
        <is>
          <t>PRD001</t>
        </is>
      </c>
      <c r="C1144" s="25" t="inlineStr">
        <is>
          <t>Bananas (each)</t>
        </is>
      </c>
      <c r="D1144" s="25" t="inlineStr">
        <is>
          <t>Produce</t>
        </is>
      </c>
      <c r="E1144" s="26" t="n">
        <v>147.66</v>
      </c>
      <c r="F1144" s="27" t="n">
        <v>214</v>
      </c>
      <c r="G1144" s="26" t="n">
        <v>66.34</v>
      </c>
    </row>
    <row r="1145">
      <c r="A1145" s="24" t="n">
        <v>46285</v>
      </c>
      <c r="B1145" s="25" t="inlineStr">
        <is>
          <t>PRD002</t>
        </is>
      </c>
      <c r="C1145" s="25" t="inlineStr">
        <is>
          <t>Avocado</t>
        </is>
      </c>
      <c r="D1145" s="25" t="inlineStr">
        <is>
          <t>Produce</t>
        </is>
      </c>
      <c r="E1145" s="26" t="n">
        <v>126.99</v>
      </c>
      <c r="F1145" s="27" t="n">
        <v>51</v>
      </c>
      <c r="G1145" s="26" t="n">
        <v>55.59</v>
      </c>
    </row>
    <row r="1146">
      <c r="A1146" s="24" t="n">
        <v>46285</v>
      </c>
      <c r="B1146" s="25" t="inlineStr">
        <is>
          <t>PRD003</t>
        </is>
      </c>
      <c r="C1146" s="25" t="inlineStr">
        <is>
          <t>Tomatoes 500g</t>
        </is>
      </c>
      <c r="D1146" s="25" t="inlineStr">
        <is>
          <t>Produce</t>
        </is>
      </c>
      <c r="E1146" s="26" t="n">
        <v>134.7</v>
      </c>
      <c r="F1146" s="27" t="n">
        <v>30</v>
      </c>
      <c r="G1146" s="26" t="n">
        <v>56.7</v>
      </c>
    </row>
    <row r="1147">
      <c r="A1147" s="24" t="n">
        <v>46285</v>
      </c>
      <c r="B1147" s="25" t="inlineStr">
        <is>
          <t>SNK001</t>
        </is>
      </c>
      <c r="C1147" s="25" t="inlineStr">
        <is>
          <t>Potato Chips 150g</t>
        </is>
      </c>
      <c r="D1147" s="25" t="inlineStr">
        <is>
          <t>Snacks &amp; Confectionery</t>
        </is>
      </c>
      <c r="E1147" s="26" t="n">
        <v>630.42</v>
      </c>
      <c r="F1147" s="27" t="n">
        <v>158</v>
      </c>
      <c r="G1147" s="26" t="n">
        <v>298.62</v>
      </c>
    </row>
    <row r="1148">
      <c r="A1148" s="24" t="n">
        <v>46285</v>
      </c>
      <c r="B1148" s="25" t="inlineStr">
        <is>
          <t>SNK002</t>
        </is>
      </c>
      <c r="C1148" s="25" t="inlineStr">
        <is>
          <t>Chocolate Block 200g</t>
        </is>
      </c>
      <c r="D1148" s="25" t="inlineStr">
        <is>
          <t>Snacks &amp; Confectionery</t>
        </is>
      </c>
      <c r="E1148" s="26" t="n">
        <v>658.8</v>
      </c>
      <c r="F1148" s="27" t="n">
        <v>120</v>
      </c>
      <c r="G1148" s="26" t="n">
        <v>274.8</v>
      </c>
    </row>
    <row r="1149">
      <c r="A1149" s="24" t="n">
        <v>46285</v>
      </c>
      <c r="B1149" s="25" t="inlineStr">
        <is>
          <t>SNK003</t>
        </is>
      </c>
      <c r="C1149" s="25" t="inlineStr">
        <is>
          <t>Muesli Bar 6pk</t>
        </is>
      </c>
      <c r="D1149" s="25" t="inlineStr">
        <is>
          <t>Snacks &amp; Confectionery</t>
        </is>
      </c>
      <c r="E1149" s="26" t="n">
        <v>356.07</v>
      </c>
      <c r="F1149" s="27" t="n">
        <v>83</v>
      </c>
      <c r="G1149" s="26" t="n">
        <v>140.27</v>
      </c>
    </row>
    <row r="1150">
      <c r="A1150" s="24" t="n">
        <v>46285</v>
      </c>
      <c r="B1150" s="25" t="inlineStr">
        <is>
          <t>SNK004</t>
        </is>
      </c>
      <c r="C1150" s="25" t="inlineStr">
        <is>
          <t>Corn Chips 230g</t>
        </is>
      </c>
      <c r="D1150" s="25" t="inlineStr">
        <is>
          <t>Snacks &amp; Confectionery</t>
        </is>
      </c>
      <c r="E1150" s="26" t="n">
        <v>323.28</v>
      </c>
      <c r="F1150" s="27" t="n">
        <v>72</v>
      </c>
      <c r="G1150" s="26" t="n">
        <v>150.48</v>
      </c>
    </row>
    <row r="1151">
      <c r="A1151" s="24" t="n">
        <v>46285</v>
      </c>
      <c r="B1151" s="25" t="inlineStr">
        <is>
          <t>SNK005</t>
        </is>
      </c>
      <c r="C1151" s="25" t="inlineStr">
        <is>
          <t>Lollies Bag 200g</t>
        </is>
      </c>
      <c r="D1151" s="25" t="inlineStr">
        <is>
          <t>Snacks &amp; Confectionery</t>
        </is>
      </c>
      <c r="E1151" s="26" t="n">
        <v>247.79</v>
      </c>
      <c r="F1151" s="27" t="n">
        <v>71</v>
      </c>
      <c r="G1151" s="26" t="n">
        <v>127.09</v>
      </c>
    </row>
    <row r="1152">
      <c r="A1152" s="24" t="n">
        <v>46292</v>
      </c>
      <c r="B1152" s="25" t="inlineStr">
        <is>
          <t>BAK001</t>
        </is>
      </c>
      <c r="C1152" s="25" t="inlineStr">
        <is>
          <t>Toast Bread White</t>
        </is>
      </c>
      <c r="D1152" s="25" t="inlineStr">
        <is>
          <t>Bakery</t>
        </is>
      </c>
      <c r="E1152" s="26" t="n">
        <v>502.56</v>
      </c>
      <c r="F1152" s="27" t="n">
        <v>144</v>
      </c>
      <c r="G1152" s="26" t="n">
        <v>185.76</v>
      </c>
    </row>
    <row r="1153">
      <c r="A1153" s="24" t="n">
        <v>46292</v>
      </c>
      <c r="B1153" s="25" t="inlineStr">
        <is>
          <t>BAK002</t>
        </is>
      </c>
      <c r="C1153" s="25" t="inlineStr">
        <is>
          <t>Wholemeal Loaf</t>
        </is>
      </c>
      <c r="D1153" s="25" t="inlineStr">
        <is>
          <t>Bakery</t>
        </is>
      </c>
      <c r="E1153" s="26" t="n">
        <v>317.46</v>
      </c>
      <c r="F1153" s="27" t="n">
        <v>74</v>
      </c>
      <c r="G1153" s="26" t="n">
        <v>117.66</v>
      </c>
    </row>
    <row r="1154">
      <c r="A1154" s="24" t="n">
        <v>46292</v>
      </c>
      <c r="B1154" s="25" t="inlineStr">
        <is>
          <t>BAK003</t>
        </is>
      </c>
      <c r="C1154" s="25" t="inlineStr">
        <is>
          <t>Croissant 4pk</t>
        </is>
      </c>
      <c r="D1154" s="25" t="inlineStr">
        <is>
          <t>Bakery</t>
        </is>
      </c>
      <c r="E1154" s="26" t="n">
        <v>275.54</v>
      </c>
      <c r="F1154" s="27" t="n">
        <v>46</v>
      </c>
      <c r="G1154" s="26" t="n">
        <v>123.74</v>
      </c>
    </row>
    <row r="1155">
      <c r="A1155" s="24" t="n">
        <v>46292</v>
      </c>
      <c r="B1155" s="25" t="inlineStr">
        <is>
          <t>BBT001</t>
        </is>
      </c>
      <c r="C1155" s="25" t="inlineStr">
        <is>
          <t>Bubble Tea Kit</t>
        </is>
      </c>
      <c r="D1155" s="25" t="inlineStr">
        <is>
          <t>Beverages</t>
        </is>
      </c>
      <c r="E1155" s="26" t="n">
        <v>244.65</v>
      </c>
      <c r="F1155" s="27" t="n">
        <v>35</v>
      </c>
      <c r="G1155" s="26" t="n">
        <v>108.15</v>
      </c>
    </row>
    <row r="1156">
      <c r="A1156" s="24" t="n">
        <v>46292</v>
      </c>
      <c r="B1156" s="25" t="inlineStr">
        <is>
          <t>BEV001</t>
        </is>
      </c>
      <c r="C1156" s="25" t="inlineStr">
        <is>
          <t>Energy Drink 500ml</t>
        </is>
      </c>
      <c r="D1156" s="25" t="inlineStr">
        <is>
          <t>Beverages</t>
        </is>
      </c>
      <c r="E1156" s="26" t="n">
        <v>767.91</v>
      </c>
      <c r="F1156" s="27" t="n">
        <v>179</v>
      </c>
      <c r="G1156" s="26" t="n">
        <v>383.06</v>
      </c>
    </row>
    <row r="1157">
      <c r="A1157" s="24" t="n">
        <v>46292</v>
      </c>
      <c r="B1157" s="25" t="inlineStr">
        <is>
          <t>BEV002</t>
        </is>
      </c>
      <c r="C1157" s="25" t="inlineStr">
        <is>
          <t>Cola 1.5L</t>
        </is>
      </c>
      <c r="D1157" s="25" t="inlineStr">
        <is>
          <t>Beverages</t>
        </is>
      </c>
      <c r="E1157" s="26" t="n">
        <v>431.04</v>
      </c>
      <c r="F1157" s="27" t="n">
        <v>96</v>
      </c>
      <c r="G1157" s="26" t="n">
        <v>210.24</v>
      </c>
    </row>
    <row r="1158">
      <c r="A1158" s="24" t="n">
        <v>46292</v>
      </c>
      <c r="B1158" s="25" t="inlineStr">
        <is>
          <t>BEV003</t>
        </is>
      </c>
      <c r="C1158" s="25" t="inlineStr">
        <is>
          <t>Sparkling Water 1L</t>
        </is>
      </c>
      <c r="D1158" s="25" t="inlineStr">
        <is>
          <t>Beverages</t>
        </is>
      </c>
      <c r="E1158" s="26" t="n">
        <v>186.75</v>
      </c>
      <c r="F1158" s="27" t="n">
        <v>75</v>
      </c>
      <c r="G1158" s="26" t="n">
        <v>104.25</v>
      </c>
    </row>
    <row r="1159">
      <c r="A1159" s="24" t="n">
        <v>46292</v>
      </c>
      <c r="B1159" s="25" t="inlineStr">
        <is>
          <t>BEV004</t>
        </is>
      </c>
      <c r="C1159" s="25" t="inlineStr">
        <is>
          <t>Iced Coffee 500ml</t>
        </is>
      </c>
      <c r="D1159" s="25" t="inlineStr">
        <is>
          <t>Beverages</t>
        </is>
      </c>
      <c r="E1159" s="26" t="n">
        <v>469.06</v>
      </c>
      <c r="F1159" s="27" t="n">
        <v>94</v>
      </c>
      <c r="G1159" s="26" t="n">
        <v>215.26</v>
      </c>
    </row>
    <row r="1160">
      <c r="A1160" s="24" t="n">
        <v>46292</v>
      </c>
      <c r="B1160" s="25" t="inlineStr">
        <is>
          <t>BEV005</t>
        </is>
      </c>
      <c r="C1160" s="25" t="inlineStr">
        <is>
          <t>Kombucha 330ml</t>
        </is>
      </c>
      <c r="D1160" s="25" t="inlineStr">
        <is>
          <t>Beverages</t>
        </is>
      </c>
      <c r="E1160" s="26" t="n">
        <v>158.07</v>
      </c>
      <c r="F1160" s="27" t="n">
        <v>33</v>
      </c>
      <c r="G1160" s="26" t="n">
        <v>72.27</v>
      </c>
    </row>
    <row r="1161">
      <c r="A1161" s="24" t="n">
        <v>46292</v>
      </c>
      <c r="B1161" s="25" t="inlineStr">
        <is>
          <t>BEV006</t>
        </is>
      </c>
      <c r="C1161" s="25" t="inlineStr">
        <is>
          <t>Bottled Water 750ml</t>
        </is>
      </c>
      <c r="D1161" s="25" t="inlineStr">
        <is>
          <t>Beverages</t>
        </is>
      </c>
      <c r="E1161" s="26" t="n">
        <v>400.66</v>
      </c>
      <c r="F1161" s="27" t="n">
        <v>134</v>
      </c>
      <c r="G1161" s="26" t="n">
        <v>273.36</v>
      </c>
    </row>
    <row r="1162">
      <c r="A1162" s="24" t="n">
        <v>46292</v>
      </c>
      <c r="B1162" s="25" t="inlineStr">
        <is>
          <t>DRY010</t>
        </is>
      </c>
      <c r="C1162" s="25" t="inlineStr">
        <is>
          <t>Butter 500g</t>
        </is>
      </c>
      <c r="D1162" s="25" t="inlineStr">
        <is>
          <t>Dairy</t>
        </is>
      </c>
      <c r="E1162" s="26" t="n">
        <v>329.56</v>
      </c>
      <c r="F1162" s="27" t="n">
        <v>44</v>
      </c>
      <c r="G1162" s="26" t="n">
        <v>83.16</v>
      </c>
    </row>
    <row r="1163">
      <c r="A1163" s="24" t="n">
        <v>46292</v>
      </c>
      <c r="B1163" s="25" t="inlineStr">
        <is>
          <t>DRY011</t>
        </is>
      </c>
      <c r="C1163" s="25" t="inlineStr">
        <is>
          <t>Greek Yoghurt 1kg</t>
        </is>
      </c>
      <c r="D1163" s="25" t="inlineStr">
        <is>
          <t>Dairy</t>
        </is>
      </c>
      <c r="E1163" s="26" t="n">
        <v>215.73</v>
      </c>
      <c r="F1163" s="27" t="n">
        <v>27</v>
      </c>
      <c r="G1163" s="26" t="n">
        <v>78.03</v>
      </c>
    </row>
    <row r="1164">
      <c r="A1164" s="24" t="n">
        <v>46292</v>
      </c>
      <c r="B1164" s="25" t="inlineStr">
        <is>
          <t>DRY012</t>
        </is>
      </c>
      <c r="C1164" s="25" t="inlineStr">
        <is>
          <t>Cheese Block 1kg</t>
        </is>
      </c>
      <c r="D1164" s="25" t="inlineStr">
        <is>
          <t>Dairy</t>
        </is>
      </c>
      <c r="E1164" s="26" t="n">
        <v>601.5700000000001</v>
      </c>
      <c r="F1164" s="27" t="n">
        <v>43</v>
      </c>
      <c r="G1164" s="26" t="n">
        <v>154.37</v>
      </c>
    </row>
    <row r="1165">
      <c r="A1165" s="24" t="n">
        <v>46292</v>
      </c>
      <c r="B1165" s="25" t="inlineStr">
        <is>
          <t>FRZ001</t>
        </is>
      </c>
      <c r="C1165" s="25" t="inlineStr">
        <is>
          <t>Ice Cream Tub 2L</t>
        </is>
      </c>
      <c r="D1165" s="25" t="inlineStr">
        <is>
          <t>Frozen</t>
        </is>
      </c>
      <c r="E1165" s="26" t="n">
        <v>359.6</v>
      </c>
      <c r="F1165" s="27" t="n">
        <v>40</v>
      </c>
      <c r="G1165" s="26" t="n">
        <v>143.6</v>
      </c>
    </row>
    <row r="1166">
      <c r="A1166" s="24" t="n">
        <v>46292</v>
      </c>
      <c r="B1166" s="25" t="inlineStr">
        <is>
          <t>FRZ002</t>
        </is>
      </c>
      <c r="C1166" s="25" t="inlineStr">
        <is>
          <t>Ice Block Single</t>
        </is>
      </c>
      <c r="D1166" s="25" t="inlineStr">
        <is>
          <t>Frozen</t>
        </is>
      </c>
      <c r="E1166" s="26" t="n">
        <v>233.22</v>
      </c>
      <c r="F1166" s="27" t="n">
        <v>78</v>
      </c>
      <c r="G1166" s="26" t="n">
        <v>139.62</v>
      </c>
    </row>
    <row r="1167">
      <c r="A1167" s="24" t="n">
        <v>46292</v>
      </c>
      <c r="B1167" s="25" t="inlineStr">
        <is>
          <t>FRZ003</t>
        </is>
      </c>
      <c r="C1167" s="25" t="inlineStr">
        <is>
          <t>Frozen Pizza</t>
        </is>
      </c>
      <c r="D1167" s="25" t="inlineStr">
        <is>
          <t>Frozen</t>
        </is>
      </c>
      <c r="E1167" s="26" t="n">
        <v>351.56</v>
      </c>
      <c r="F1167" s="27" t="n">
        <v>44</v>
      </c>
      <c r="G1167" s="26" t="n">
        <v>144.76</v>
      </c>
    </row>
    <row r="1168">
      <c r="A1168" s="24" t="n">
        <v>46292</v>
      </c>
      <c r="B1168" s="25" t="inlineStr">
        <is>
          <t>FRZ004</t>
        </is>
      </c>
      <c r="C1168" s="25" t="inlineStr">
        <is>
          <t>Frozen Dumplings 1kg</t>
        </is>
      </c>
      <c r="D1168" s="25" t="inlineStr">
        <is>
          <t>Frozen</t>
        </is>
      </c>
      <c r="E1168" s="26" t="n">
        <v>371.69</v>
      </c>
      <c r="F1168" s="27" t="n">
        <v>31</v>
      </c>
      <c r="G1168" s="26" t="n">
        <v>151.59</v>
      </c>
    </row>
    <row r="1169">
      <c r="A1169" s="24" t="n">
        <v>46292</v>
      </c>
      <c r="B1169" s="25" t="inlineStr">
        <is>
          <t>FTG001</t>
        </is>
      </c>
      <c r="C1169" s="25" t="inlineStr">
        <is>
          <t>Chicken Sandwich</t>
        </is>
      </c>
      <c r="D1169" s="25" t="inlineStr">
        <is>
          <t>Food To Go</t>
        </is>
      </c>
      <c r="E1169" s="26" t="n">
        <v>898.8000000000001</v>
      </c>
      <c r="F1169" s="27" t="n">
        <v>120</v>
      </c>
      <c r="G1169" s="26" t="n">
        <v>430.8</v>
      </c>
    </row>
    <row r="1170">
      <c r="A1170" s="24" t="n">
        <v>46292</v>
      </c>
      <c r="B1170" s="25" t="inlineStr">
        <is>
          <t>FTG002</t>
        </is>
      </c>
      <c r="C1170" s="25" t="inlineStr">
        <is>
          <t>Sushi Pack 8pc</t>
        </is>
      </c>
      <c r="D1170" s="25" t="inlineStr">
        <is>
          <t>Food To Go</t>
        </is>
      </c>
      <c r="E1170" s="26" t="n">
        <v>929.0700000000001</v>
      </c>
      <c r="F1170" s="27" t="n">
        <v>93</v>
      </c>
      <c r="G1170" s="26" t="n">
        <v>408.27</v>
      </c>
    </row>
    <row r="1171">
      <c r="A1171" s="24" t="n">
        <v>46292</v>
      </c>
      <c r="B1171" s="25" t="inlineStr">
        <is>
          <t>FTG003</t>
        </is>
      </c>
      <c r="C1171" s="25" t="inlineStr">
        <is>
          <t>Hot Pie Mince &amp; Cheese</t>
        </is>
      </c>
      <c r="D1171" s="25" t="inlineStr">
        <is>
          <t>Food To Go</t>
        </is>
      </c>
      <c r="E1171" s="26" t="n">
        <v>620.37</v>
      </c>
      <c r="F1171" s="27" t="n">
        <v>113</v>
      </c>
      <c r="G1171" s="26" t="n">
        <v>349.17</v>
      </c>
    </row>
    <row r="1172">
      <c r="A1172" s="24" t="n">
        <v>46292</v>
      </c>
      <c r="B1172" s="25" t="inlineStr">
        <is>
          <t>FTG004</t>
        </is>
      </c>
      <c r="C1172" s="25" t="inlineStr">
        <is>
          <t>Salad Bowl</t>
        </is>
      </c>
      <c r="D1172" s="25" t="inlineStr">
        <is>
          <t>Food To Go</t>
        </is>
      </c>
      <c r="E1172" s="26" t="n">
        <v>406.63</v>
      </c>
      <c r="F1172" s="27" t="n">
        <v>37</v>
      </c>
      <c r="G1172" s="26" t="n">
        <v>177.23</v>
      </c>
    </row>
    <row r="1173">
      <c r="A1173" s="24" t="n">
        <v>46292</v>
      </c>
      <c r="B1173" s="25" t="inlineStr">
        <is>
          <t>FTG005</t>
        </is>
      </c>
      <c r="C1173" s="25" t="inlineStr">
        <is>
          <t>Filled Roll</t>
        </is>
      </c>
      <c r="D1173" s="25" t="inlineStr">
        <is>
          <t>Food To Go</t>
        </is>
      </c>
      <c r="E1173" s="26" t="n">
        <v>428.34</v>
      </c>
      <c r="F1173" s="27" t="n">
        <v>66</v>
      </c>
      <c r="G1173" s="26" t="n">
        <v>217.14</v>
      </c>
    </row>
    <row r="1174">
      <c r="A1174" s="24" t="n">
        <v>46292</v>
      </c>
      <c r="B1174" s="25" t="inlineStr">
        <is>
          <t>GRO001</t>
        </is>
      </c>
      <c r="C1174" s="25" t="inlineStr">
        <is>
          <t>Instant Noodles 5pk</t>
        </is>
      </c>
      <c r="D1174" s="25" t="inlineStr">
        <is>
          <t>Grocery</t>
        </is>
      </c>
      <c r="E1174" s="26" t="n">
        <v>484.92</v>
      </c>
      <c r="F1174" s="27" t="n">
        <v>108</v>
      </c>
      <c r="G1174" s="26" t="n">
        <v>204.12</v>
      </c>
    </row>
    <row r="1175">
      <c r="A1175" s="24" t="n">
        <v>46292</v>
      </c>
      <c r="B1175" s="25" t="inlineStr">
        <is>
          <t>GRO002</t>
        </is>
      </c>
      <c r="C1175" s="25" t="inlineStr">
        <is>
          <t>Canned Soup 500g</t>
        </is>
      </c>
      <c r="D1175" s="25" t="inlineStr">
        <is>
          <t>Grocery</t>
        </is>
      </c>
      <c r="E1175" s="26" t="n">
        <v>144.76</v>
      </c>
      <c r="F1175" s="27" t="n">
        <v>44</v>
      </c>
      <c r="G1175" s="26" t="n">
        <v>61.16</v>
      </c>
    </row>
    <row r="1176">
      <c r="A1176" s="24" t="n">
        <v>46292</v>
      </c>
      <c r="B1176" s="25" t="inlineStr">
        <is>
          <t>GRO003</t>
        </is>
      </c>
      <c r="C1176" s="25" t="inlineStr">
        <is>
          <t>Pasta 500g</t>
        </is>
      </c>
      <c r="D1176" s="25" t="inlineStr">
        <is>
          <t>Grocery</t>
        </is>
      </c>
      <c r="E1176" s="26" t="n">
        <v>117.03</v>
      </c>
      <c r="F1176" s="27" t="n">
        <v>47</v>
      </c>
      <c r="G1176" s="26" t="n">
        <v>55.93</v>
      </c>
    </row>
    <row r="1177">
      <c r="A1177" s="24" t="n">
        <v>46292</v>
      </c>
      <c r="B1177" s="25" t="inlineStr">
        <is>
          <t>GRO004</t>
        </is>
      </c>
      <c r="C1177" s="25" t="inlineStr">
        <is>
          <t>Simmer Sauce 485g</t>
        </is>
      </c>
      <c r="D1177" s="25" t="inlineStr">
        <is>
          <t>Grocery</t>
        </is>
      </c>
      <c r="E1177" s="26" t="n">
        <v>119.7</v>
      </c>
      <c r="F1177" s="27" t="n">
        <v>30</v>
      </c>
      <c r="G1177" s="26" t="n">
        <v>50.7</v>
      </c>
    </row>
    <row r="1178">
      <c r="A1178" s="24" t="n">
        <v>46292</v>
      </c>
      <c r="B1178" s="25" t="inlineStr">
        <is>
          <t>GRO005</t>
        </is>
      </c>
      <c r="C1178" s="25" t="inlineStr">
        <is>
          <t>Salsa 300g</t>
        </is>
      </c>
      <c r="D1178" s="25" t="inlineStr">
        <is>
          <t>Grocery</t>
        </is>
      </c>
      <c r="E1178" s="26" t="n">
        <v>119.75</v>
      </c>
      <c r="F1178" s="27" t="n">
        <v>25</v>
      </c>
      <c r="G1178" s="26" t="n">
        <v>47.25</v>
      </c>
    </row>
    <row r="1179">
      <c r="A1179" s="24" t="n">
        <v>46292</v>
      </c>
      <c r="B1179" s="25" t="inlineStr">
        <is>
          <t>GRO006</t>
        </is>
      </c>
      <c r="C1179" s="25" t="inlineStr">
        <is>
          <t>Taco Kit</t>
        </is>
      </c>
      <c r="D1179" s="25" t="inlineStr">
        <is>
          <t>Grocery</t>
        </is>
      </c>
      <c r="E1179" s="26" t="n">
        <v>145.34</v>
      </c>
      <c r="F1179" s="27" t="n">
        <v>26</v>
      </c>
      <c r="G1179" s="26" t="n">
        <v>41.34</v>
      </c>
    </row>
    <row r="1180">
      <c r="A1180" s="24" t="n">
        <v>46292</v>
      </c>
      <c r="B1180" s="25" t="inlineStr">
        <is>
          <t>GRO007</t>
        </is>
      </c>
      <c r="C1180" s="25" t="inlineStr">
        <is>
          <t>Eggs Free Range 12pk</t>
        </is>
      </c>
      <c r="D1180" s="25" t="inlineStr">
        <is>
          <t>Grocery</t>
        </is>
      </c>
      <c r="E1180" s="26" t="n">
        <v>626.4299999999999</v>
      </c>
      <c r="F1180" s="27" t="n">
        <v>57</v>
      </c>
      <c r="G1180" s="26" t="n">
        <v>159.03</v>
      </c>
    </row>
    <row r="1181">
      <c r="A1181" s="24" t="n">
        <v>46292</v>
      </c>
      <c r="B1181" s="25" t="inlineStr">
        <is>
          <t>GRO008</t>
        </is>
      </c>
      <c r="C1181" s="25" t="inlineStr">
        <is>
          <t>Coffee Beans 200g</t>
        </is>
      </c>
      <c r="D1181" s="25" t="inlineStr">
        <is>
          <t>Grocery</t>
        </is>
      </c>
      <c r="E1181" s="26" t="n">
        <v>311.74</v>
      </c>
      <c r="F1181" s="27" t="n">
        <v>26</v>
      </c>
      <c r="G1181" s="26" t="n">
        <v>114.14</v>
      </c>
    </row>
    <row r="1182">
      <c r="A1182" s="24" t="n">
        <v>46292</v>
      </c>
      <c r="B1182" s="25" t="inlineStr">
        <is>
          <t>HHD001</t>
        </is>
      </c>
      <c r="C1182" s="25" t="inlineStr">
        <is>
          <t>Toilet Paper 6pk</t>
        </is>
      </c>
      <c r="D1182" s="25" t="inlineStr">
        <is>
          <t>Household</t>
        </is>
      </c>
      <c r="E1182" s="26" t="n">
        <v>206.77</v>
      </c>
      <c r="F1182" s="27" t="n">
        <v>23</v>
      </c>
      <c r="G1182" s="26" t="n">
        <v>71.06999999999999</v>
      </c>
    </row>
    <row r="1183">
      <c r="A1183" s="24" t="n">
        <v>46292</v>
      </c>
      <c r="B1183" s="25" t="inlineStr">
        <is>
          <t>HHD002</t>
        </is>
      </c>
      <c r="C1183" s="25" t="inlineStr">
        <is>
          <t>Dishwash Liquid</t>
        </is>
      </c>
      <c r="D1183" s="25" t="inlineStr">
        <is>
          <t>Household</t>
        </is>
      </c>
      <c r="E1183" s="26" t="n">
        <v>159.68</v>
      </c>
      <c r="F1183" s="27" t="n">
        <v>32</v>
      </c>
      <c r="G1183" s="26" t="n">
        <v>66.88</v>
      </c>
    </row>
    <row r="1184">
      <c r="A1184" s="24" t="n">
        <v>46292</v>
      </c>
      <c r="B1184" s="25" t="inlineStr">
        <is>
          <t>HHD003</t>
        </is>
      </c>
      <c r="C1184" s="25" t="inlineStr">
        <is>
          <t>Phone Charger Cable</t>
        </is>
      </c>
      <c r="D1184" s="25" t="inlineStr">
        <is>
          <t>Household</t>
        </is>
      </c>
      <c r="E1184" s="26" t="n">
        <v>74.95</v>
      </c>
      <c r="F1184" s="27" t="n">
        <v>5</v>
      </c>
      <c r="G1184" s="26" t="n">
        <v>47.45</v>
      </c>
    </row>
    <row r="1185">
      <c r="A1185" s="24" t="n">
        <v>46292</v>
      </c>
      <c r="B1185" s="25" t="inlineStr">
        <is>
          <t>LIQ001</t>
        </is>
      </c>
      <c r="C1185" s="25" t="inlineStr">
        <is>
          <t>Craft Beer 6pk</t>
        </is>
      </c>
      <c r="D1185" s="25" t="inlineStr">
        <is>
          <t>Beer &amp; Wine</t>
        </is>
      </c>
      <c r="E1185" s="26" t="n">
        <v>735.6800000000001</v>
      </c>
      <c r="F1185" s="27" t="n">
        <v>32</v>
      </c>
      <c r="G1185" s="26" t="n">
        <v>246.08</v>
      </c>
    </row>
    <row r="1186">
      <c r="A1186" s="24" t="n">
        <v>46292</v>
      </c>
      <c r="B1186" s="25" t="inlineStr">
        <is>
          <t>LIQ002</t>
        </is>
      </c>
      <c r="C1186" s="25" t="inlineStr">
        <is>
          <t>Sauvignon Blanc 750ml</t>
        </is>
      </c>
      <c r="D1186" s="25" t="inlineStr">
        <is>
          <t>Beer &amp; Wine</t>
        </is>
      </c>
      <c r="E1186" s="26" t="n">
        <v>559.65</v>
      </c>
      <c r="F1186" s="27" t="n">
        <v>35</v>
      </c>
      <c r="G1186" s="26" t="n">
        <v>202.65</v>
      </c>
    </row>
    <row r="1187">
      <c r="A1187" s="24" t="n">
        <v>46292</v>
      </c>
      <c r="B1187" s="25" t="inlineStr">
        <is>
          <t>LIQ003</t>
        </is>
      </c>
      <c r="C1187" s="25" t="inlineStr">
        <is>
          <t>RTD 4pk</t>
        </is>
      </c>
      <c r="D1187" s="25" t="inlineStr">
        <is>
          <t>Beer &amp; Wine</t>
        </is>
      </c>
      <c r="E1187" s="26" t="n">
        <v>539.6999999999999</v>
      </c>
      <c r="F1187" s="27" t="n">
        <v>30</v>
      </c>
      <c r="G1187" s="26" t="n">
        <v>182.7</v>
      </c>
    </row>
    <row r="1188">
      <c r="A1188" s="24" t="n">
        <v>46292</v>
      </c>
      <c r="B1188" s="25" t="inlineStr">
        <is>
          <t>LIQ004</t>
        </is>
      </c>
      <c r="C1188" s="25" t="inlineStr">
        <is>
          <t>Pinot Noir 750ml</t>
        </is>
      </c>
      <c r="D1188" s="25" t="inlineStr">
        <is>
          <t>Beer &amp; Wine</t>
        </is>
      </c>
      <c r="E1188" s="26" t="n">
        <v>319.84</v>
      </c>
      <c r="F1188" s="27" t="n">
        <v>16</v>
      </c>
      <c r="G1188" s="26" t="n">
        <v>115.04</v>
      </c>
    </row>
    <row r="1189">
      <c r="A1189" s="24" t="n">
        <v>46292</v>
      </c>
      <c r="B1189" s="25" t="inlineStr">
        <is>
          <t>MLK001</t>
        </is>
      </c>
      <c r="C1189" s="25" t="inlineStr">
        <is>
          <t>Milk Standard 2L</t>
        </is>
      </c>
      <c r="D1189" s="25" t="inlineStr">
        <is>
          <t>Dairy</t>
        </is>
      </c>
      <c r="E1189" s="26" t="n">
        <v>1403.43</v>
      </c>
      <c r="F1189" s="27" t="n">
        <v>287</v>
      </c>
      <c r="G1189" s="26" t="n">
        <v>384.58</v>
      </c>
    </row>
    <row r="1190">
      <c r="A1190" s="24" t="n">
        <v>46292</v>
      </c>
      <c r="B1190" s="25" t="inlineStr">
        <is>
          <t>MLK002</t>
        </is>
      </c>
      <c r="C1190" s="25" t="inlineStr">
        <is>
          <t>Milk Lite 2L</t>
        </is>
      </c>
      <c r="D1190" s="25" t="inlineStr">
        <is>
          <t>Dairy</t>
        </is>
      </c>
      <c r="E1190" s="26" t="n">
        <v>489</v>
      </c>
      <c r="F1190" s="27" t="n">
        <v>100</v>
      </c>
      <c r="G1190" s="26" t="n">
        <v>134</v>
      </c>
    </row>
    <row r="1191">
      <c r="A1191" s="24" t="n">
        <v>46292</v>
      </c>
      <c r="B1191" s="25" t="inlineStr">
        <is>
          <t>MLK003</t>
        </is>
      </c>
      <c r="C1191" s="25" t="inlineStr">
        <is>
          <t>Oat Milk 1L</t>
        </is>
      </c>
      <c r="D1191" s="25" t="inlineStr">
        <is>
          <t>Dairy</t>
        </is>
      </c>
      <c r="E1191" s="26" t="n">
        <v>227.37</v>
      </c>
      <c r="F1191" s="27" t="n">
        <v>53</v>
      </c>
      <c r="G1191" s="26" t="n">
        <v>84.27</v>
      </c>
    </row>
    <row r="1192">
      <c r="A1192" s="24" t="n">
        <v>46292</v>
      </c>
      <c r="B1192" s="25" t="inlineStr">
        <is>
          <t>PHM001</t>
        </is>
      </c>
      <c r="C1192" s="25" t="inlineStr">
        <is>
          <t>Paracetamol 20pk</t>
        </is>
      </c>
      <c r="D1192" s="25" t="inlineStr">
        <is>
          <t>Health &amp; Beauty</t>
        </is>
      </c>
      <c r="E1192" s="26" t="n">
        <v>103.74</v>
      </c>
      <c r="F1192" s="27" t="n">
        <v>26</v>
      </c>
      <c r="G1192" s="26" t="n">
        <v>62.14</v>
      </c>
    </row>
    <row r="1193">
      <c r="A1193" s="24" t="n">
        <v>46292</v>
      </c>
      <c r="B1193" s="25" t="inlineStr">
        <is>
          <t>PHM002</t>
        </is>
      </c>
      <c r="C1193" s="25" t="inlineStr">
        <is>
          <t>Sunscreen SPF50</t>
        </is>
      </c>
      <c r="D1193" s="25" t="inlineStr">
        <is>
          <t>Health &amp; Beauty</t>
        </is>
      </c>
      <c r="E1193" s="26" t="n">
        <v>164.89</v>
      </c>
      <c r="F1193" s="27" t="n">
        <v>11</v>
      </c>
      <c r="G1193" s="26" t="n">
        <v>74.69</v>
      </c>
    </row>
    <row r="1194">
      <c r="A1194" s="24" t="n">
        <v>46292</v>
      </c>
      <c r="B1194" s="25" t="inlineStr">
        <is>
          <t>PRD001</t>
        </is>
      </c>
      <c r="C1194" s="25" t="inlineStr">
        <is>
          <t>Bananas (each)</t>
        </is>
      </c>
      <c r="D1194" s="25" t="inlineStr">
        <is>
          <t>Produce</t>
        </is>
      </c>
      <c r="E1194" s="26" t="n">
        <v>161.46</v>
      </c>
      <c r="F1194" s="27" t="n">
        <v>234</v>
      </c>
      <c r="G1194" s="26" t="n">
        <v>72.54000000000001</v>
      </c>
    </row>
    <row r="1195">
      <c r="A1195" s="24" t="n">
        <v>46292</v>
      </c>
      <c r="B1195" s="25" t="inlineStr">
        <is>
          <t>PRD002</t>
        </is>
      </c>
      <c r="C1195" s="25" t="inlineStr">
        <is>
          <t>Avocado</t>
        </is>
      </c>
      <c r="D1195" s="25" t="inlineStr">
        <is>
          <t>Produce</t>
        </is>
      </c>
      <c r="E1195" s="26" t="n">
        <v>109.56</v>
      </c>
      <c r="F1195" s="27" t="n">
        <v>44</v>
      </c>
      <c r="G1195" s="26" t="n">
        <v>47.96</v>
      </c>
    </row>
    <row r="1196">
      <c r="A1196" s="24" t="n">
        <v>46292</v>
      </c>
      <c r="B1196" s="25" t="inlineStr">
        <is>
          <t>PRD003</t>
        </is>
      </c>
      <c r="C1196" s="25" t="inlineStr">
        <is>
          <t>Tomatoes 500g</t>
        </is>
      </c>
      <c r="D1196" s="25" t="inlineStr">
        <is>
          <t>Produce</t>
        </is>
      </c>
      <c r="E1196" s="26" t="n">
        <v>107.76</v>
      </c>
      <c r="F1196" s="27" t="n">
        <v>24</v>
      </c>
      <c r="G1196" s="26" t="n">
        <v>45.36</v>
      </c>
    </row>
    <row r="1197">
      <c r="A1197" s="24" t="n">
        <v>46292</v>
      </c>
      <c r="B1197" s="25" t="inlineStr">
        <is>
          <t>SNK001</t>
        </is>
      </c>
      <c r="C1197" s="25" t="inlineStr">
        <is>
          <t>Potato Chips 150g</t>
        </is>
      </c>
      <c r="D1197" s="25" t="inlineStr">
        <is>
          <t>Snacks &amp; Confectionery</t>
        </is>
      </c>
      <c r="E1197" s="26" t="n">
        <v>578.55</v>
      </c>
      <c r="F1197" s="27" t="n">
        <v>145</v>
      </c>
      <c r="G1197" s="26" t="n">
        <v>274.05</v>
      </c>
    </row>
    <row r="1198">
      <c r="A1198" s="24" t="n">
        <v>46292</v>
      </c>
      <c r="B1198" s="25" t="inlineStr">
        <is>
          <t>SNK002</t>
        </is>
      </c>
      <c r="C1198" s="25" t="inlineStr">
        <is>
          <t>Chocolate Block 200g</t>
        </is>
      </c>
      <c r="D1198" s="25" t="inlineStr">
        <is>
          <t>Snacks &amp; Confectionery</t>
        </is>
      </c>
      <c r="E1198" s="26" t="n">
        <v>686.25</v>
      </c>
      <c r="F1198" s="27" t="n">
        <v>125</v>
      </c>
      <c r="G1198" s="26" t="n">
        <v>286.25</v>
      </c>
    </row>
    <row r="1199">
      <c r="A1199" s="24" t="n">
        <v>46292</v>
      </c>
      <c r="B1199" s="25" t="inlineStr">
        <is>
          <t>SNK003</t>
        </is>
      </c>
      <c r="C1199" s="25" t="inlineStr">
        <is>
          <t>Muesli Bar 6pk</t>
        </is>
      </c>
      <c r="D1199" s="25" t="inlineStr">
        <is>
          <t>Snacks &amp; Confectionery</t>
        </is>
      </c>
      <c r="E1199" s="26" t="n">
        <v>223.88</v>
      </c>
      <c r="F1199" s="27" t="n">
        <v>58</v>
      </c>
      <c r="G1199" s="26" t="n">
        <v>73.08</v>
      </c>
    </row>
    <row r="1200">
      <c r="A1200" s="24" t="n">
        <v>46292</v>
      </c>
      <c r="B1200" s="25" t="inlineStr">
        <is>
          <t>SNK004</t>
        </is>
      </c>
      <c r="C1200" s="25" t="inlineStr">
        <is>
          <t>Corn Chips 230g</t>
        </is>
      </c>
      <c r="D1200" s="25" t="inlineStr">
        <is>
          <t>Snacks &amp; Confectionery</t>
        </is>
      </c>
      <c r="E1200" s="26" t="n">
        <v>327.77</v>
      </c>
      <c r="F1200" s="27" t="n">
        <v>73</v>
      </c>
      <c r="G1200" s="26" t="n">
        <v>152.57</v>
      </c>
    </row>
    <row r="1201">
      <c r="A1201" s="24" t="n">
        <v>46292</v>
      </c>
      <c r="B1201" s="25" t="inlineStr">
        <is>
          <t>SNK005</t>
        </is>
      </c>
      <c r="C1201" s="25" t="inlineStr">
        <is>
          <t>Lollies Bag 200g</t>
        </is>
      </c>
      <c r="D1201" s="25" t="inlineStr">
        <is>
          <t>Snacks &amp; Confectionery</t>
        </is>
      </c>
      <c r="E1201" s="26" t="n">
        <v>265.24</v>
      </c>
      <c r="F1201" s="27" t="n">
        <v>76</v>
      </c>
      <c r="G1201" s="26" t="n">
        <v>136.04</v>
      </c>
    </row>
    <row r="1202">
      <c r="A1202" s="24" t="n">
        <v>46299</v>
      </c>
      <c r="B1202" s="25" t="inlineStr">
        <is>
          <t>BAK001</t>
        </is>
      </c>
      <c r="C1202" s="25" t="inlineStr">
        <is>
          <t>Toast Bread White</t>
        </is>
      </c>
      <c r="D1202" s="25" t="inlineStr">
        <is>
          <t>Bakery</t>
        </is>
      </c>
      <c r="E1202" s="26" t="n">
        <v>436.25</v>
      </c>
      <c r="F1202" s="27" t="n">
        <v>125</v>
      </c>
      <c r="G1202" s="26" t="n">
        <v>161.25</v>
      </c>
    </row>
    <row r="1203">
      <c r="A1203" s="24" t="n">
        <v>46299</v>
      </c>
      <c r="B1203" s="25" t="inlineStr">
        <is>
          <t>BAK002</t>
        </is>
      </c>
      <c r="C1203" s="25" t="inlineStr">
        <is>
          <t>Wholemeal Loaf</t>
        </is>
      </c>
      <c r="D1203" s="25" t="inlineStr">
        <is>
          <t>Bakery</t>
        </is>
      </c>
      <c r="E1203" s="26" t="n">
        <v>364.65</v>
      </c>
      <c r="F1203" s="27" t="n">
        <v>85</v>
      </c>
      <c r="G1203" s="26" t="n">
        <v>135.15</v>
      </c>
    </row>
    <row r="1204">
      <c r="A1204" s="24" t="n">
        <v>46299</v>
      </c>
      <c r="B1204" s="25" t="inlineStr">
        <is>
          <t>BAK003</t>
        </is>
      </c>
      <c r="C1204" s="25" t="inlineStr">
        <is>
          <t>Croissant 4pk</t>
        </is>
      </c>
      <c r="D1204" s="25" t="inlineStr">
        <is>
          <t>Bakery</t>
        </is>
      </c>
      <c r="E1204" s="26" t="n">
        <v>293.45</v>
      </c>
      <c r="F1204" s="27" t="n">
        <v>55</v>
      </c>
      <c r="G1204" s="26" t="n">
        <v>111.95</v>
      </c>
    </row>
    <row r="1205">
      <c r="A1205" s="24" t="n">
        <v>46299</v>
      </c>
      <c r="B1205" s="25" t="inlineStr">
        <is>
          <t>BBT001</t>
        </is>
      </c>
      <c r="C1205" s="25" t="inlineStr">
        <is>
          <t>Bubble Tea Kit</t>
        </is>
      </c>
      <c r="D1205" s="25" t="inlineStr">
        <is>
          <t>Beverages</t>
        </is>
      </c>
      <c r="E1205" s="26" t="n">
        <v>174.75</v>
      </c>
      <c r="F1205" s="27" t="n">
        <v>25</v>
      </c>
      <c r="G1205" s="26" t="n">
        <v>77.25</v>
      </c>
    </row>
    <row r="1206">
      <c r="A1206" s="24" t="n">
        <v>46299</v>
      </c>
      <c r="B1206" s="25" t="inlineStr">
        <is>
          <t>BEV001</t>
        </is>
      </c>
      <c r="C1206" s="25" t="inlineStr">
        <is>
          <t>Energy Drink 500ml</t>
        </is>
      </c>
      <c r="D1206" s="25" t="inlineStr">
        <is>
          <t>Beverages</t>
        </is>
      </c>
      <c r="E1206" s="26" t="n">
        <v>840.84</v>
      </c>
      <c r="F1206" s="27" t="n">
        <v>196</v>
      </c>
      <c r="G1206" s="26" t="n">
        <v>419.44</v>
      </c>
    </row>
    <row r="1207">
      <c r="A1207" s="24" t="n">
        <v>46299</v>
      </c>
      <c r="B1207" s="25" t="inlineStr">
        <is>
          <t>BEV002</t>
        </is>
      </c>
      <c r="C1207" s="25" t="inlineStr">
        <is>
          <t>Cola 1.5L</t>
        </is>
      </c>
      <c r="D1207" s="25" t="inlineStr">
        <is>
          <t>Beverages</t>
        </is>
      </c>
      <c r="E1207" s="26" t="n">
        <v>431.04</v>
      </c>
      <c r="F1207" s="27" t="n">
        <v>96</v>
      </c>
      <c r="G1207" s="26" t="n">
        <v>210.24</v>
      </c>
    </row>
    <row r="1208">
      <c r="A1208" s="24" t="n">
        <v>46299</v>
      </c>
      <c r="B1208" s="25" t="inlineStr">
        <is>
          <t>BEV003</t>
        </is>
      </c>
      <c r="C1208" s="25" t="inlineStr">
        <is>
          <t>Sparkling Water 1L</t>
        </is>
      </c>
      <c r="D1208" s="25" t="inlineStr">
        <is>
          <t>Beverages</t>
        </is>
      </c>
      <c r="E1208" s="26" t="n">
        <v>256.47</v>
      </c>
      <c r="F1208" s="27" t="n">
        <v>103</v>
      </c>
      <c r="G1208" s="26" t="n">
        <v>143.17</v>
      </c>
    </row>
    <row r="1209">
      <c r="A1209" s="24" t="n">
        <v>46299</v>
      </c>
      <c r="B1209" s="25" t="inlineStr">
        <is>
          <t>BEV004</t>
        </is>
      </c>
      <c r="C1209" s="25" t="inlineStr">
        <is>
          <t>Iced Coffee 500ml</t>
        </is>
      </c>
      <c r="D1209" s="25" t="inlineStr">
        <is>
          <t>Beverages</t>
        </is>
      </c>
      <c r="E1209" s="26" t="n">
        <v>464.07</v>
      </c>
      <c r="F1209" s="27" t="n">
        <v>93</v>
      </c>
      <c r="G1209" s="26" t="n">
        <v>212.97</v>
      </c>
    </row>
    <row r="1210">
      <c r="A1210" s="24" t="n">
        <v>46299</v>
      </c>
      <c r="B1210" s="25" t="inlineStr">
        <is>
          <t>BEV005</t>
        </is>
      </c>
      <c r="C1210" s="25" t="inlineStr">
        <is>
          <t>Kombucha 330ml</t>
        </is>
      </c>
      <c r="D1210" s="25" t="inlineStr">
        <is>
          <t>Beverages</t>
        </is>
      </c>
      <c r="E1210" s="26" t="n">
        <v>177.23</v>
      </c>
      <c r="F1210" s="27" t="n">
        <v>37</v>
      </c>
      <c r="G1210" s="26" t="n">
        <v>81.03</v>
      </c>
    </row>
    <row r="1211">
      <c r="A1211" s="24" t="n">
        <v>46299</v>
      </c>
      <c r="B1211" s="25" t="inlineStr">
        <is>
          <t>BEV006</t>
        </is>
      </c>
      <c r="C1211" s="25" t="inlineStr">
        <is>
          <t>Bottled Water 750ml</t>
        </is>
      </c>
      <c r="D1211" s="25" t="inlineStr">
        <is>
          <t>Beverages</t>
        </is>
      </c>
      <c r="E1211" s="26" t="n">
        <v>397.67</v>
      </c>
      <c r="F1211" s="27" t="n">
        <v>133</v>
      </c>
      <c r="G1211" s="26" t="n">
        <v>271.32</v>
      </c>
    </row>
    <row r="1212">
      <c r="A1212" s="24" t="n">
        <v>46299</v>
      </c>
      <c r="B1212" s="25" t="inlineStr">
        <is>
          <t>DRY010</t>
        </is>
      </c>
      <c r="C1212" s="25" t="inlineStr">
        <is>
          <t>Butter 500g</t>
        </is>
      </c>
      <c r="D1212" s="25" t="inlineStr">
        <is>
          <t>Dairy</t>
        </is>
      </c>
      <c r="E1212" s="26" t="n">
        <v>262.15</v>
      </c>
      <c r="F1212" s="27" t="n">
        <v>35</v>
      </c>
      <c r="G1212" s="26" t="n">
        <v>66.15000000000001</v>
      </c>
    </row>
    <row r="1213">
      <c r="A1213" s="24" t="n">
        <v>46299</v>
      </c>
      <c r="B1213" s="25" t="inlineStr">
        <is>
          <t>DRY011</t>
        </is>
      </c>
      <c r="C1213" s="25" t="inlineStr">
        <is>
          <t>Greek Yoghurt 1kg</t>
        </is>
      </c>
      <c r="D1213" s="25" t="inlineStr">
        <is>
          <t>Dairy</t>
        </is>
      </c>
      <c r="E1213" s="26" t="n">
        <v>215.73</v>
      </c>
      <c r="F1213" s="27" t="n">
        <v>27</v>
      </c>
      <c r="G1213" s="26" t="n">
        <v>78.03</v>
      </c>
    </row>
    <row r="1214">
      <c r="A1214" s="24" t="n">
        <v>46299</v>
      </c>
      <c r="B1214" s="25" t="inlineStr">
        <is>
          <t>DRY012</t>
        </is>
      </c>
      <c r="C1214" s="25" t="inlineStr">
        <is>
          <t>Cheese Block 1kg</t>
        </is>
      </c>
      <c r="D1214" s="25" t="inlineStr">
        <is>
          <t>Dairy</t>
        </is>
      </c>
      <c r="E1214" s="26" t="n">
        <v>699.5</v>
      </c>
      <c r="F1214" s="27" t="n">
        <v>50</v>
      </c>
      <c r="G1214" s="26" t="n">
        <v>179.5</v>
      </c>
    </row>
    <row r="1215">
      <c r="A1215" s="24" t="n">
        <v>46299</v>
      </c>
      <c r="B1215" s="25" t="inlineStr">
        <is>
          <t>FRZ001</t>
        </is>
      </c>
      <c r="C1215" s="25" t="inlineStr">
        <is>
          <t>Ice Cream Tub 2L</t>
        </is>
      </c>
      <c r="D1215" s="25" t="inlineStr">
        <is>
          <t>Frozen</t>
        </is>
      </c>
      <c r="E1215" s="26" t="n">
        <v>431.52</v>
      </c>
      <c r="F1215" s="27" t="n">
        <v>48</v>
      </c>
      <c r="G1215" s="26" t="n">
        <v>172.32</v>
      </c>
    </row>
    <row r="1216">
      <c r="A1216" s="24" t="n">
        <v>46299</v>
      </c>
      <c r="B1216" s="25" t="inlineStr">
        <is>
          <t>FRZ002</t>
        </is>
      </c>
      <c r="C1216" s="25" t="inlineStr">
        <is>
          <t>Ice Block Single</t>
        </is>
      </c>
      <c r="D1216" s="25" t="inlineStr">
        <is>
          <t>Frozen</t>
        </is>
      </c>
      <c r="E1216" s="26" t="n">
        <v>236.21</v>
      </c>
      <c r="F1216" s="27" t="n">
        <v>79</v>
      </c>
      <c r="G1216" s="26" t="n">
        <v>141.41</v>
      </c>
    </row>
    <row r="1217">
      <c r="A1217" s="24" t="n">
        <v>46299</v>
      </c>
      <c r="B1217" s="25" t="inlineStr">
        <is>
          <t>FRZ003</t>
        </is>
      </c>
      <c r="C1217" s="25" t="inlineStr">
        <is>
          <t>Frozen Pizza</t>
        </is>
      </c>
      <c r="D1217" s="25" t="inlineStr">
        <is>
          <t>Frozen</t>
        </is>
      </c>
      <c r="E1217" s="26" t="n">
        <v>367.54</v>
      </c>
      <c r="F1217" s="27" t="n">
        <v>46</v>
      </c>
      <c r="G1217" s="26" t="n">
        <v>151.34</v>
      </c>
    </row>
    <row r="1218">
      <c r="A1218" s="24" t="n">
        <v>46299</v>
      </c>
      <c r="B1218" s="25" t="inlineStr">
        <is>
          <t>FRZ004</t>
        </is>
      </c>
      <c r="C1218" s="25" t="inlineStr">
        <is>
          <t>Frozen Dumplings 1kg</t>
        </is>
      </c>
      <c r="D1218" s="25" t="inlineStr">
        <is>
          <t>Frozen</t>
        </is>
      </c>
      <c r="E1218" s="26" t="n">
        <v>407.66</v>
      </c>
      <c r="F1218" s="27" t="n">
        <v>34</v>
      </c>
      <c r="G1218" s="26" t="n">
        <v>166.26</v>
      </c>
    </row>
    <row r="1219">
      <c r="A1219" s="24" t="n">
        <v>46299</v>
      </c>
      <c r="B1219" s="25" t="inlineStr">
        <is>
          <t>FTG001</t>
        </is>
      </c>
      <c r="C1219" s="25" t="inlineStr">
        <is>
          <t>Chicken Sandwich</t>
        </is>
      </c>
      <c r="D1219" s="25" t="inlineStr">
        <is>
          <t>Food To Go</t>
        </is>
      </c>
      <c r="E1219" s="26" t="n">
        <v>1116.01</v>
      </c>
      <c r="F1219" s="27" t="n">
        <v>149</v>
      </c>
      <c r="G1219" s="26" t="n">
        <v>534.91</v>
      </c>
    </row>
    <row r="1220">
      <c r="A1220" s="24" t="n">
        <v>46299</v>
      </c>
      <c r="B1220" s="25" t="inlineStr">
        <is>
          <t>FTG002</t>
        </is>
      </c>
      <c r="C1220" s="25" t="inlineStr">
        <is>
          <t>Sushi Pack 8pc</t>
        </is>
      </c>
      <c r="D1220" s="25" t="inlineStr">
        <is>
          <t>Food To Go</t>
        </is>
      </c>
      <c r="E1220" s="26" t="n">
        <v>799.2</v>
      </c>
      <c r="F1220" s="27" t="n">
        <v>80</v>
      </c>
      <c r="G1220" s="26" t="n">
        <v>351.2</v>
      </c>
    </row>
    <row r="1221">
      <c r="A1221" s="24" t="n">
        <v>46299</v>
      </c>
      <c r="B1221" s="25" t="inlineStr">
        <is>
          <t>FTG003</t>
        </is>
      </c>
      <c r="C1221" s="25" t="inlineStr">
        <is>
          <t>Hot Pie Mince &amp; Cheese</t>
        </is>
      </c>
      <c r="D1221" s="25" t="inlineStr">
        <is>
          <t>Food To Go</t>
        </is>
      </c>
      <c r="E1221" s="26" t="n">
        <v>680.76</v>
      </c>
      <c r="F1221" s="27" t="n">
        <v>124</v>
      </c>
      <c r="G1221" s="26" t="n">
        <v>383.16</v>
      </c>
    </row>
    <row r="1222">
      <c r="A1222" s="24" t="n">
        <v>46299</v>
      </c>
      <c r="B1222" s="25" t="inlineStr">
        <is>
          <t>FTG004</t>
        </is>
      </c>
      <c r="C1222" s="25" t="inlineStr">
        <is>
          <t>Salad Bowl</t>
        </is>
      </c>
      <c r="D1222" s="25" t="inlineStr">
        <is>
          <t>Food To Go</t>
        </is>
      </c>
      <c r="E1222" s="26" t="n">
        <v>406.63</v>
      </c>
      <c r="F1222" s="27" t="n">
        <v>37</v>
      </c>
      <c r="G1222" s="26" t="n">
        <v>177.23</v>
      </c>
    </row>
    <row r="1223">
      <c r="A1223" s="24" t="n">
        <v>46299</v>
      </c>
      <c r="B1223" s="25" t="inlineStr">
        <is>
          <t>FTG005</t>
        </is>
      </c>
      <c r="C1223" s="25" t="inlineStr">
        <is>
          <t>Filled Roll</t>
        </is>
      </c>
      <c r="D1223" s="25" t="inlineStr">
        <is>
          <t>Food To Go</t>
        </is>
      </c>
      <c r="E1223" s="26" t="n">
        <v>525.6900000000001</v>
      </c>
      <c r="F1223" s="27" t="n">
        <v>81</v>
      </c>
      <c r="G1223" s="26" t="n">
        <v>266.49</v>
      </c>
    </row>
    <row r="1224">
      <c r="A1224" s="24" t="n">
        <v>46299</v>
      </c>
      <c r="B1224" s="25" t="inlineStr">
        <is>
          <t>GRO001</t>
        </is>
      </c>
      <c r="C1224" s="25" t="inlineStr">
        <is>
          <t>Instant Noodles 5pk</t>
        </is>
      </c>
      <c r="D1224" s="25" t="inlineStr">
        <is>
          <t>Grocery</t>
        </is>
      </c>
      <c r="E1224" s="26" t="n">
        <v>449</v>
      </c>
      <c r="F1224" s="27" t="n">
        <v>100</v>
      </c>
      <c r="G1224" s="26" t="n">
        <v>189</v>
      </c>
    </row>
    <row r="1225">
      <c r="A1225" s="24" t="n">
        <v>46299</v>
      </c>
      <c r="B1225" s="25" t="inlineStr">
        <is>
          <t>GRO002</t>
        </is>
      </c>
      <c r="C1225" s="25" t="inlineStr">
        <is>
          <t>Canned Soup 500g</t>
        </is>
      </c>
      <c r="D1225" s="25" t="inlineStr">
        <is>
          <t>Grocery</t>
        </is>
      </c>
      <c r="E1225" s="26" t="n">
        <v>121.73</v>
      </c>
      <c r="F1225" s="27" t="n">
        <v>37</v>
      </c>
      <c r="G1225" s="26" t="n">
        <v>51.43</v>
      </c>
    </row>
    <row r="1226">
      <c r="A1226" s="24" t="n">
        <v>46299</v>
      </c>
      <c r="B1226" s="25" t="inlineStr">
        <is>
          <t>GRO003</t>
        </is>
      </c>
      <c r="C1226" s="25" t="inlineStr">
        <is>
          <t>Pasta 500g</t>
        </is>
      </c>
      <c r="D1226" s="25" t="inlineStr">
        <is>
          <t>Grocery</t>
        </is>
      </c>
      <c r="E1226" s="26" t="n">
        <v>107.07</v>
      </c>
      <c r="F1226" s="27" t="n">
        <v>43</v>
      </c>
      <c r="G1226" s="26" t="n">
        <v>51.17</v>
      </c>
    </row>
    <row r="1227">
      <c r="A1227" s="24" t="n">
        <v>46299</v>
      </c>
      <c r="B1227" s="25" t="inlineStr">
        <is>
          <t>GRO004</t>
        </is>
      </c>
      <c r="C1227" s="25" t="inlineStr">
        <is>
          <t>Simmer Sauce 485g</t>
        </is>
      </c>
      <c r="D1227" s="25" t="inlineStr">
        <is>
          <t>Grocery</t>
        </is>
      </c>
      <c r="E1227" s="26" t="n">
        <v>179.55</v>
      </c>
      <c r="F1227" s="27" t="n">
        <v>45</v>
      </c>
      <c r="G1227" s="26" t="n">
        <v>76.05</v>
      </c>
    </row>
    <row r="1228">
      <c r="A1228" s="24" t="n">
        <v>46299</v>
      </c>
      <c r="B1228" s="25" t="inlineStr">
        <is>
          <t>GRO005</t>
        </is>
      </c>
      <c r="C1228" s="25" t="inlineStr">
        <is>
          <t>Salsa 300g</t>
        </is>
      </c>
      <c r="D1228" s="25" t="inlineStr">
        <is>
          <t>Grocery</t>
        </is>
      </c>
      <c r="E1228" s="26" t="n">
        <v>91.01000000000001</v>
      </c>
      <c r="F1228" s="27" t="n">
        <v>19</v>
      </c>
      <c r="G1228" s="26" t="n">
        <v>35.91</v>
      </c>
    </row>
    <row r="1229">
      <c r="A1229" s="24" t="n">
        <v>46299</v>
      </c>
      <c r="B1229" s="25" t="inlineStr">
        <is>
          <t>GRO006</t>
        </is>
      </c>
      <c r="C1229" s="25" t="inlineStr">
        <is>
          <t>Taco Kit</t>
        </is>
      </c>
      <c r="D1229" s="25" t="inlineStr">
        <is>
          <t>Grocery</t>
        </is>
      </c>
      <c r="E1229" s="26" t="n">
        <v>168.74</v>
      </c>
      <c r="F1229" s="27" t="n">
        <v>26</v>
      </c>
      <c r="G1229" s="26" t="n">
        <v>64.73999999999999</v>
      </c>
    </row>
    <row r="1230">
      <c r="A1230" s="24" t="n">
        <v>46299</v>
      </c>
      <c r="B1230" s="25" t="inlineStr">
        <is>
          <t>GRO007</t>
        </is>
      </c>
      <c r="C1230" s="25" t="inlineStr">
        <is>
          <t>Eggs Free Range 12pk</t>
        </is>
      </c>
      <c r="D1230" s="25" t="inlineStr">
        <is>
          <t>Grocery</t>
        </is>
      </c>
      <c r="E1230" s="26" t="n">
        <v>802.27</v>
      </c>
      <c r="F1230" s="27" t="n">
        <v>73</v>
      </c>
      <c r="G1230" s="26" t="n">
        <v>203.67</v>
      </c>
    </row>
    <row r="1231">
      <c r="A1231" s="24" t="n">
        <v>46299</v>
      </c>
      <c r="B1231" s="25" t="inlineStr">
        <is>
          <t>GRO008</t>
        </is>
      </c>
      <c r="C1231" s="25" t="inlineStr">
        <is>
          <t>Coffee Beans 200g</t>
        </is>
      </c>
      <c r="D1231" s="25" t="inlineStr">
        <is>
          <t>Grocery</t>
        </is>
      </c>
      <c r="E1231" s="26" t="n">
        <v>251.79</v>
      </c>
      <c r="F1231" s="27" t="n">
        <v>21</v>
      </c>
      <c r="G1231" s="26" t="n">
        <v>92.19</v>
      </c>
    </row>
    <row r="1232">
      <c r="A1232" s="24" t="n">
        <v>46299</v>
      </c>
      <c r="B1232" s="25" t="inlineStr">
        <is>
          <t>HHD001</t>
        </is>
      </c>
      <c r="C1232" s="25" t="inlineStr">
        <is>
          <t>Toilet Paper 6pk</t>
        </is>
      </c>
      <c r="D1232" s="25" t="inlineStr">
        <is>
          <t>Household</t>
        </is>
      </c>
      <c r="E1232" s="26" t="n">
        <v>287.68</v>
      </c>
      <c r="F1232" s="27" t="n">
        <v>32</v>
      </c>
      <c r="G1232" s="26" t="n">
        <v>98.88</v>
      </c>
    </row>
    <row r="1233">
      <c r="A1233" s="24" t="n">
        <v>46299</v>
      </c>
      <c r="B1233" s="25" t="inlineStr">
        <is>
          <t>HHD002</t>
        </is>
      </c>
      <c r="C1233" s="25" t="inlineStr">
        <is>
          <t>Dishwash Liquid</t>
        </is>
      </c>
      <c r="D1233" s="25" t="inlineStr">
        <is>
          <t>Household</t>
        </is>
      </c>
      <c r="E1233" s="26" t="n">
        <v>94.81</v>
      </c>
      <c r="F1233" s="27" t="n">
        <v>19</v>
      </c>
      <c r="G1233" s="26" t="n">
        <v>39.71</v>
      </c>
    </row>
    <row r="1234">
      <c r="A1234" s="24" t="n">
        <v>46299</v>
      </c>
      <c r="B1234" s="25" t="inlineStr">
        <is>
          <t>HHD003</t>
        </is>
      </c>
      <c r="C1234" s="25" t="inlineStr">
        <is>
          <t>Phone Charger Cable</t>
        </is>
      </c>
      <c r="D1234" s="25" t="inlineStr">
        <is>
          <t>Household</t>
        </is>
      </c>
      <c r="E1234" s="26" t="n">
        <v>89.94</v>
      </c>
      <c r="F1234" s="27" t="n">
        <v>6</v>
      </c>
      <c r="G1234" s="26" t="n">
        <v>56.94</v>
      </c>
    </row>
    <row r="1235">
      <c r="A1235" s="24" t="n">
        <v>46299</v>
      </c>
      <c r="B1235" s="25" t="inlineStr">
        <is>
          <t>LIQ001</t>
        </is>
      </c>
      <c r="C1235" s="25" t="inlineStr">
        <is>
          <t>Craft Beer 6pk</t>
        </is>
      </c>
      <c r="D1235" s="25" t="inlineStr">
        <is>
          <t>Beer &amp; Wine</t>
        </is>
      </c>
      <c r="E1235" s="26" t="n">
        <v>873.62</v>
      </c>
      <c r="F1235" s="27" t="n">
        <v>38</v>
      </c>
      <c r="G1235" s="26" t="n">
        <v>292.22</v>
      </c>
    </row>
    <row r="1236">
      <c r="A1236" s="24" t="n">
        <v>46299</v>
      </c>
      <c r="B1236" s="25" t="inlineStr">
        <is>
          <t>LIQ002</t>
        </is>
      </c>
      <c r="C1236" s="25" t="inlineStr">
        <is>
          <t>Sauvignon Blanc 750ml</t>
        </is>
      </c>
      <c r="D1236" s="25" t="inlineStr">
        <is>
          <t>Beer &amp; Wine</t>
        </is>
      </c>
      <c r="E1236" s="26" t="n">
        <v>479.7</v>
      </c>
      <c r="F1236" s="27" t="n">
        <v>30</v>
      </c>
      <c r="G1236" s="26" t="n">
        <v>173.7</v>
      </c>
    </row>
    <row r="1237">
      <c r="A1237" s="24" t="n">
        <v>46299</v>
      </c>
      <c r="B1237" s="25" t="inlineStr">
        <is>
          <t>LIQ003</t>
        </is>
      </c>
      <c r="C1237" s="25" t="inlineStr">
        <is>
          <t>RTD 4pk</t>
        </is>
      </c>
      <c r="D1237" s="25" t="inlineStr">
        <is>
          <t>Beer &amp; Wine</t>
        </is>
      </c>
      <c r="E1237" s="26" t="n">
        <v>719.6</v>
      </c>
      <c r="F1237" s="27" t="n">
        <v>40</v>
      </c>
      <c r="G1237" s="26" t="n">
        <v>243.6</v>
      </c>
    </row>
    <row r="1238">
      <c r="A1238" s="24" t="n">
        <v>46299</v>
      </c>
      <c r="B1238" s="25" t="inlineStr">
        <is>
          <t>LIQ004</t>
        </is>
      </c>
      <c r="C1238" s="25" t="inlineStr">
        <is>
          <t>Pinot Noir 750ml</t>
        </is>
      </c>
      <c r="D1238" s="25" t="inlineStr">
        <is>
          <t>Beer &amp; Wine</t>
        </is>
      </c>
      <c r="E1238" s="26" t="n">
        <v>207.88</v>
      </c>
      <c r="F1238" s="27" t="n">
        <v>12</v>
      </c>
      <c r="G1238" s="26" t="n">
        <v>54.28</v>
      </c>
    </row>
    <row r="1239">
      <c r="A1239" s="24" t="n">
        <v>46299</v>
      </c>
      <c r="B1239" s="25" t="inlineStr">
        <is>
          <t>MLK001</t>
        </is>
      </c>
      <c r="C1239" s="25" t="inlineStr">
        <is>
          <t>Milk Standard 2L</t>
        </is>
      </c>
      <c r="D1239" s="25" t="inlineStr">
        <is>
          <t>Dairy</t>
        </is>
      </c>
      <c r="E1239" s="26" t="n">
        <v>987.78</v>
      </c>
      <c r="F1239" s="27" t="n">
        <v>202</v>
      </c>
      <c r="G1239" s="26" t="n">
        <v>270.68</v>
      </c>
    </row>
    <row r="1240">
      <c r="A1240" s="24" t="n">
        <v>46299</v>
      </c>
      <c r="B1240" s="25" t="inlineStr">
        <is>
          <t>MLK002</t>
        </is>
      </c>
      <c r="C1240" s="25" t="inlineStr">
        <is>
          <t>Milk Lite 2L</t>
        </is>
      </c>
      <c r="D1240" s="25" t="inlineStr">
        <is>
          <t>Dairy</t>
        </is>
      </c>
      <c r="E1240" s="26" t="n">
        <v>611.25</v>
      </c>
      <c r="F1240" s="27" t="n">
        <v>125</v>
      </c>
      <c r="G1240" s="26" t="n">
        <v>167.5</v>
      </c>
    </row>
    <row r="1241">
      <c r="A1241" s="24" t="n">
        <v>46299</v>
      </c>
      <c r="B1241" s="25" t="inlineStr">
        <is>
          <t>MLK003</t>
        </is>
      </c>
      <c r="C1241" s="25" t="inlineStr">
        <is>
          <t>Oat Milk 1L</t>
        </is>
      </c>
      <c r="D1241" s="25" t="inlineStr">
        <is>
          <t>Dairy</t>
        </is>
      </c>
      <c r="E1241" s="26" t="n">
        <v>227.37</v>
      </c>
      <c r="F1241" s="27" t="n">
        <v>53</v>
      </c>
      <c r="G1241" s="26" t="n">
        <v>84.27</v>
      </c>
    </row>
    <row r="1242">
      <c r="A1242" s="24" t="n">
        <v>46299</v>
      </c>
      <c r="B1242" s="25" t="inlineStr">
        <is>
          <t>PHM001</t>
        </is>
      </c>
      <c r="C1242" s="25" t="inlineStr">
        <is>
          <t>Paracetamol 20pk</t>
        </is>
      </c>
      <c r="D1242" s="25" t="inlineStr">
        <is>
          <t>Health &amp; Beauty</t>
        </is>
      </c>
      <c r="E1242" s="26" t="n">
        <v>91.77</v>
      </c>
      <c r="F1242" s="27" t="n">
        <v>23</v>
      </c>
      <c r="G1242" s="26" t="n">
        <v>54.97</v>
      </c>
    </row>
    <row r="1243">
      <c r="A1243" s="24" t="n">
        <v>46299</v>
      </c>
      <c r="B1243" s="25" t="inlineStr">
        <is>
          <t>PHM002</t>
        </is>
      </c>
      <c r="C1243" s="25" t="inlineStr">
        <is>
          <t>Sunscreen SPF50</t>
        </is>
      </c>
      <c r="D1243" s="25" t="inlineStr">
        <is>
          <t>Health &amp; Beauty</t>
        </is>
      </c>
      <c r="E1243" s="26" t="n">
        <v>194.87</v>
      </c>
      <c r="F1243" s="27" t="n">
        <v>13</v>
      </c>
      <c r="G1243" s="26" t="n">
        <v>88.27</v>
      </c>
    </row>
    <row r="1244">
      <c r="A1244" s="24" t="n">
        <v>46299</v>
      </c>
      <c r="B1244" s="25" t="inlineStr">
        <is>
          <t>PRD001</t>
        </is>
      </c>
      <c r="C1244" s="25" t="inlineStr">
        <is>
          <t>Bananas (each)</t>
        </is>
      </c>
      <c r="D1244" s="25" t="inlineStr">
        <is>
          <t>Produce</t>
        </is>
      </c>
      <c r="E1244" s="26" t="n">
        <v>158.7</v>
      </c>
      <c r="F1244" s="27" t="n">
        <v>230</v>
      </c>
      <c r="G1244" s="26" t="n">
        <v>71.3</v>
      </c>
    </row>
    <row r="1245">
      <c r="A1245" s="24" t="n">
        <v>46299</v>
      </c>
      <c r="B1245" s="25" t="inlineStr">
        <is>
          <t>PRD002</t>
        </is>
      </c>
      <c r="C1245" s="25" t="inlineStr">
        <is>
          <t>Avocado</t>
        </is>
      </c>
      <c r="D1245" s="25" t="inlineStr">
        <is>
          <t>Produce</t>
        </is>
      </c>
      <c r="E1245" s="26" t="n">
        <v>131.97</v>
      </c>
      <c r="F1245" s="27" t="n">
        <v>53</v>
      </c>
      <c r="G1245" s="26" t="n">
        <v>57.77</v>
      </c>
    </row>
    <row r="1246">
      <c r="A1246" s="24" t="n">
        <v>46299</v>
      </c>
      <c r="B1246" s="25" t="inlineStr">
        <is>
          <t>PRD003</t>
        </is>
      </c>
      <c r="C1246" s="25" t="inlineStr">
        <is>
          <t>Tomatoes 500g</t>
        </is>
      </c>
      <c r="D1246" s="25" t="inlineStr">
        <is>
          <t>Produce</t>
        </is>
      </c>
      <c r="E1246" s="26" t="n">
        <v>125.72</v>
      </c>
      <c r="F1246" s="27" t="n">
        <v>28</v>
      </c>
      <c r="G1246" s="26" t="n">
        <v>52.92</v>
      </c>
    </row>
    <row r="1247">
      <c r="A1247" s="24" t="n">
        <v>46299</v>
      </c>
      <c r="B1247" s="25" t="inlineStr">
        <is>
          <t>SNK001</t>
        </is>
      </c>
      <c r="C1247" s="25" t="inlineStr">
        <is>
          <t>Potato Chips 150g</t>
        </is>
      </c>
      <c r="D1247" s="25" t="inlineStr">
        <is>
          <t>Snacks &amp; Confectionery</t>
        </is>
      </c>
      <c r="E1247" s="26" t="n">
        <v>674.3099999999999</v>
      </c>
      <c r="F1247" s="27" t="n">
        <v>169</v>
      </c>
      <c r="G1247" s="26" t="n">
        <v>319.41</v>
      </c>
    </row>
    <row r="1248">
      <c r="A1248" s="24" t="n">
        <v>46299</v>
      </c>
      <c r="B1248" s="25" t="inlineStr">
        <is>
          <t>SNK002</t>
        </is>
      </c>
      <c r="C1248" s="25" t="inlineStr">
        <is>
          <t>Chocolate Block 200g</t>
        </is>
      </c>
      <c r="D1248" s="25" t="inlineStr">
        <is>
          <t>Snacks &amp; Confectionery</t>
        </is>
      </c>
      <c r="E1248" s="26" t="n">
        <v>774.09</v>
      </c>
      <c r="F1248" s="27" t="n">
        <v>141</v>
      </c>
      <c r="G1248" s="26" t="n">
        <v>322.89</v>
      </c>
    </row>
    <row r="1249">
      <c r="A1249" s="24" t="n">
        <v>46299</v>
      </c>
      <c r="B1249" s="25" t="inlineStr">
        <is>
          <t>SNK003</t>
        </is>
      </c>
      <c r="C1249" s="25" t="inlineStr">
        <is>
          <t>Muesli Bar 6pk</t>
        </is>
      </c>
      <c r="D1249" s="25" t="inlineStr">
        <is>
          <t>Snacks &amp; Confectionery</t>
        </is>
      </c>
      <c r="E1249" s="26" t="n">
        <v>244.53</v>
      </c>
      <c r="F1249" s="27" t="n">
        <v>57</v>
      </c>
      <c r="G1249" s="26" t="n">
        <v>96.33</v>
      </c>
    </row>
    <row r="1250">
      <c r="A1250" s="24" t="n">
        <v>46299</v>
      </c>
      <c r="B1250" s="25" t="inlineStr">
        <is>
          <t>SNK004</t>
        </is>
      </c>
      <c r="C1250" s="25" t="inlineStr">
        <is>
          <t>Corn Chips 230g</t>
        </is>
      </c>
      <c r="D1250" s="25" t="inlineStr">
        <is>
          <t>Snacks &amp; Confectionery</t>
        </is>
      </c>
      <c r="E1250" s="26" t="n">
        <v>255.93</v>
      </c>
      <c r="F1250" s="27" t="n">
        <v>57</v>
      </c>
      <c r="G1250" s="26" t="n">
        <v>119.13</v>
      </c>
    </row>
    <row r="1251">
      <c r="A1251" s="24" t="n">
        <v>46299</v>
      </c>
      <c r="B1251" s="25" t="inlineStr">
        <is>
          <t>SNK005</t>
        </is>
      </c>
      <c r="C1251" s="25" t="inlineStr">
        <is>
          <t>Lollies Bag 200g</t>
        </is>
      </c>
      <c r="D1251" s="25" t="inlineStr">
        <is>
          <t>Snacks &amp; Confectionery</t>
        </is>
      </c>
      <c r="E1251" s="26" t="n">
        <v>240.81</v>
      </c>
      <c r="F1251" s="27" t="n">
        <v>69</v>
      </c>
      <c r="G1251" s="26" t="n">
        <v>123.51</v>
      </c>
    </row>
    <row r="1252">
      <c r="A1252" s="24" t="n">
        <v>46306</v>
      </c>
      <c r="B1252" s="25" t="inlineStr">
        <is>
          <t>BAK001</t>
        </is>
      </c>
      <c r="C1252" s="25" t="inlineStr">
        <is>
          <t>Toast Bread White</t>
        </is>
      </c>
      <c r="D1252" s="25" t="inlineStr">
        <is>
          <t>Bakery</t>
        </is>
      </c>
      <c r="E1252" s="26" t="n">
        <v>523.5</v>
      </c>
      <c r="F1252" s="27" t="n">
        <v>150</v>
      </c>
      <c r="G1252" s="26" t="n">
        <v>193.5</v>
      </c>
    </row>
    <row r="1253">
      <c r="A1253" s="24" t="n">
        <v>46306</v>
      </c>
      <c r="B1253" s="25" t="inlineStr">
        <is>
          <t>BAK002</t>
        </is>
      </c>
      <c r="C1253" s="25" t="inlineStr">
        <is>
          <t>Wholemeal Loaf</t>
        </is>
      </c>
      <c r="D1253" s="25" t="inlineStr">
        <is>
          <t>Bakery</t>
        </is>
      </c>
      <c r="E1253" s="26" t="n">
        <v>373.23</v>
      </c>
      <c r="F1253" s="27" t="n">
        <v>87</v>
      </c>
      <c r="G1253" s="26" t="n">
        <v>138.33</v>
      </c>
    </row>
    <row r="1254">
      <c r="A1254" s="24" t="n">
        <v>46306</v>
      </c>
      <c r="B1254" s="25" t="inlineStr">
        <is>
          <t>BAK003</t>
        </is>
      </c>
      <c r="C1254" s="25" t="inlineStr">
        <is>
          <t>Croissant 4pk</t>
        </is>
      </c>
      <c r="D1254" s="25" t="inlineStr">
        <is>
          <t>Bakery</t>
        </is>
      </c>
      <c r="E1254" s="26" t="n">
        <v>245.59</v>
      </c>
      <c r="F1254" s="27" t="n">
        <v>41</v>
      </c>
      <c r="G1254" s="26" t="n">
        <v>110.29</v>
      </c>
    </row>
    <row r="1255">
      <c r="A1255" s="24" t="n">
        <v>46306</v>
      </c>
      <c r="B1255" s="25" t="inlineStr">
        <is>
          <t>BBT001</t>
        </is>
      </c>
      <c r="C1255" s="25" t="inlineStr">
        <is>
          <t>Bubble Tea Kit</t>
        </is>
      </c>
      <c r="D1255" s="25" t="inlineStr">
        <is>
          <t>Beverages</t>
        </is>
      </c>
      <c r="E1255" s="26" t="n">
        <v>356.49</v>
      </c>
      <c r="F1255" s="27" t="n">
        <v>51</v>
      </c>
      <c r="G1255" s="26" t="n">
        <v>157.59</v>
      </c>
    </row>
    <row r="1256">
      <c r="A1256" s="24" t="n">
        <v>46306</v>
      </c>
      <c r="B1256" s="25" t="inlineStr">
        <is>
          <t>BEV001</t>
        </is>
      </c>
      <c r="C1256" s="25" t="inlineStr">
        <is>
          <t>Energy Drink 500ml</t>
        </is>
      </c>
      <c r="D1256" s="25" t="inlineStr">
        <is>
          <t>Beverages</t>
        </is>
      </c>
      <c r="E1256" s="26" t="n">
        <v>1389.96</v>
      </c>
      <c r="F1256" s="27" t="n">
        <v>324</v>
      </c>
      <c r="G1256" s="26" t="n">
        <v>693.36</v>
      </c>
    </row>
    <row r="1257">
      <c r="A1257" s="24" t="n">
        <v>46306</v>
      </c>
      <c r="B1257" s="25" t="inlineStr">
        <is>
          <t>BEV002</t>
        </is>
      </c>
      <c r="C1257" s="25" t="inlineStr">
        <is>
          <t>Cola 1.5L</t>
        </is>
      </c>
      <c r="D1257" s="25" t="inlineStr">
        <is>
          <t>Beverages</t>
        </is>
      </c>
      <c r="E1257" s="26" t="n">
        <v>417.57</v>
      </c>
      <c r="F1257" s="27" t="n">
        <v>93</v>
      </c>
      <c r="G1257" s="26" t="n">
        <v>203.67</v>
      </c>
    </row>
    <row r="1258">
      <c r="A1258" s="24" t="n">
        <v>46306</v>
      </c>
      <c r="B1258" s="25" t="inlineStr">
        <is>
          <t>BEV003</t>
        </is>
      </c>
      <c r="C1258" s="25" t="inlineStr">
        <is>
          <t>Sparkling Water 1L</t>
        </is>
      </c>
      <c r="D1258" s="25" t="inlineStr">
        <is>
          <t>Beverages</t>
        </is>
      </c>
      <c r="E1258" s="26" t="n">
        <v>171.81</v>
      </c>
      <c r="F1258" s="27" t="n">
        <v>69</v>
      </c>
      <c r="G1258" s="26" t="n">
        <v>95.91</v>
      </c>
    </row>
    <row r="1259">
      <c r="A1259" s="24" t="n">
        <v>46306</v>
      </c>
      <c r="B1259" s="25" t="inlineStr">
        <is>
          <t>BEV004</t>
        </is>
      </c>
      <c r="C1259" s="25" t="inlineStr">
        <is>
          <t>Iced Coffee 500ml</t>
        </is>
      </c>
      <c r="D1259" s="25" t="inlineStr">
        <is>
          <t>Beverages</t>
        </is>
      </c>
      <c r="E1259" s="26" t="n">
        <v>404.19</v>
      </c>
      <c r="F1259" s="27" t="n">
        <v>81</v>
      </c>
      <c r="G1259" s="26" t="n">
        <v>185.49</v>
      </c>
    </row>
    <row r="1260">
      <c r="A1260" s="24" t="n">
        <v>46306</v>
      </c>
      <c r="B1260" s="25" t="inlineStr">
        <is>
          <t>BEV005</t>
        </is>
      </c>
      <c r="C1260" s="25" t="inlineStr">
        <is>
          <t>Kombucha 330ml</t>
        </is>
      </c>
      <c r="D1260" s="25" t="inlineStr">
        <is>
          <t>Beverages</t>
        </is>
      </c>
      <c r="E1260" s="26" t="n">
        <v>148.49</v>
      </c>
      <c r="F1260" s="27" t="n">
        <v>31</v>
      </c>
      <c r="G1260" s="26" t="n">
        <v>67.89</v>
      </c>
    </row>
    <row r="1261">
      <c r="A1261" s="24" t="n">
        <v>46306</v>
      </c>
      <c r="B1261" s="25" t="inlineStr">
        <is>
          <t>BEV006</t>
        </is>
      </c>
      <c r="C1261" s="25" t="inlineStr">
        <is>
          <t>Bottled Water 750ml</t>
        </is>
      </c>
      <c r="D1261" s="25" t="inlineStr">
        <is>
          <t>Beverages</t>
        </is>
      </c>
      <c r="E1261" s="26" t="n">
        <v>358.8</v>
      </c>
      <c r="F1261" s="27" t="n">
        <v>120</v>
      </c>
      <c r="G1261" s="26" t="n">
        <v>244.8</v>
      </c>
    </row>
    <row r="1262">
      <c r="A1262" s="24" t="n">
        <v>46306</v>
      </c>
      <c r="B1262" s="25" t="inlineStr">
        <is>
          <t>DRY010</t>
        </is>
      </c>
      <c r="C1262" s="25" t="inlineStr">
        <is>
          <t>Butter 500g</t>
        </is>
      </c>
      <c r="D1262" s="25" t="inlineStr">
        <is>
          <t>Dairy</t>
        </is>
      </c>
      <c r="E1262" s="26" t="n">
        <v>359.52</v>
      </c>
      <c r="F1262" s="27" t="n">
        <v>48</v>
      </c>
      <c r="G1262" s="26" t="n">
        <v>90.72</v>
      </c>
    </row>
    <row r="1263">
      <c r="A1263" s="24" t="n">
        <v>46306</v>
      </c>
      <c r="B1263" s="25" t="inlineStr">
        <is>
          <t>DRY011</t>
        </is>
      </c>
      <c r="C1263" s="25" t="inlineStr">
        <is>
          <t>Greek Yoghurt 1kg</t>
        </is>
      </c>
      <c r="D1263" s="25" t="inlineStr">
        <is>
          <t>Dairy</t>
        </is>
      </c>
      <c r="E1263" s="26" t="n">
        <v>319.6</v>
      </c>
      <c r="F1263" s="27" t="n">
        <v>40</v>
      </c>
      <c r="G1263" s="26" t="n">
        <v>115.6</v>
      </c>
    </row>
    <row r="1264">
      <c r="A1264" s="24" t="n">
        <v>46306</v>
      </c>
      <c r="B1264" s="25" t="inlineStr">
        <is>
          <t>DRY012</t>
        </is>
      </c>
      <c r="C1264" s="25" t="inlineStr">
        <is>
          <t>Cheese Block 1kg</t>
        </is>
      </c>
      <c r="D1264" s="25" t="inlineStr">
        <is>
          <t>Dairy</t>
        </is>
      </c>
      <c r="E1264" s="26" t="n">
        <v>573.59</v>
      </c>
      <c r="F1264" s="27" t="n">
        <v>41</v>
      </c>
      <c r="G1264" s="26" t="n">
        <v>147.19</v>
      </c>
    </row>
    <row r="1265">
      <c r="A1265" s="24" t="n">
        <v>46306</v>
      </c>
      <c r="B1265" s="25" t="inlineStr">
        <is>
          <t>FRZ001</t>
        </is>
      </c>
      <c r="C1265" s="25" t="inlineStr">
        <is>
          <t>Ice Cream Tub 2L</t>
        </is>
      </c>
      <c r="D1265" s="25" t="inlineStr">
        <is>
          <t>Frozen</t>
        </is>
      </c>
      <c r="E1265" s="26" t="n">
        <v>341.62</v>
      </c>
      <c r="F1265" s="27" t="n">
        <v>38</v>
      </c>
      <c r="G1265" s="26" t="n">
        <v>136.42</v>
      </c>
    </row>
    <row r="1266">
      <c r="A1266" s="24" t="n">
        <v>46306</v>
      </c>
      <c r="B1266" s="25" t="inlineStr">
        <is>
          <t>FRZ002</t>
        </is>
      </c>
      <c r="C1266" s="25" t="inlineStr">
        <is>
          <t>Ice Block Single</t>
        </is>
      </c>
      <c r="D1266" s="25" t="inlineStr">
        <is>
          <t>Frozen</t>
        </is>
      </c>
      <c r="E1266" s="26" t="n">
        <v>313.95</v>
      </c>
      <c r="F1266" s="27" t="n">
        <v>105</v>
      </c>
      <c r="G1266" s="26" t="n">
        <v>187.95</v>
      </c>
    </row>
    <row r="1267">
      <c r="A1267" s="24" t="n">
        <v>46306</v>
      </c>
      <c r="B1267" s="25" t="inlineStr">
        <is>
          <t>FRZ003</t>
        </is>
      </c>
      <c r="C1267" s="25" t="inlineStr">
        <is>
          <t>Frozen Pizza</t>
        </is>
      </c>
      <c r="D1267" s="25" t="inlineStr">
        <is>
          <t>Frozen</t>
        </is>
      </c>
      <c r="E1267" s="26" t="n">
        <v>231.71</v>
      </c>
      <c r="F1267" s="27" t="n">
        <v>29</v>
      </c>
      <c r="G1267" s="26" t="n">
        <v>95.41</v>
      </c>
    </row>
    <row r="1268">
      <c r="A1268" s="24" t="n">
        <v>46306</v>
      </c>
      <c r="B1268" s="25" t="inlineStr">
        <is>
          <t>FRZ004</t>
        </is>
      </c>
      <c r="C1268" s="25" t="inlineStr">
        <is>
          <t>Frozen Dumplings 1kg</t>
        </is>
      </c>
      <c r="D1268" s="25" t="inlineStr">
        <is>
          <t>Frozen</t>
        </is>
      </c>
      <c r="E1268" s="26" t="n">
        <v>275.77</v>
      </c>
      <c r="F1268" s="27" t="n">
        <v>23</v>
      </c>
      <c r="G1268" s="26" t="n">
        <v>112.47</v>
      </c>
    </row>
    <row r="1269">
      <c r="A1269" s="24" t="n">
        <v>46306</v>
      </c>
      <c r="B1269" s="25" t="inlineStr">
        <is>
          <t>FTG001</t>
        </is>
      </c>
      <c r="C1269" s="25" t="inlineStr">
        <is>
          <t>Chicken Sandwich</t>
        </is>
      </c>
      <c r="D1269" s="25" t="inlineStr">
        <is>
          <t>Food To Go</t>
        </is>
      </c>
      <c r="E1269" s="26" t="n">
        <v>1041.11</v>
      </c>
      <c r="F1269" s="27" t="n">
        <v>139</v>
      </c>
      <c r="G1269" s="26" t="n">
        <v>499.01</v>
      </c>
    </row>
    <row r="1270">
      <c r="A1270" s="24" t="n">
        <v>46306</v>
      </c>
      <c r="B1270" s="25" t="inlineStr">
        <is>
          <t>FTG002</t>
        </is>
      </c>
      <c r="C1270" s="25" t="inlineStr">
        <is>
          <t>Sushi Pack 8pc</t>
        </is>
      </c>
      <c r="D1270" s="25" t="inlineStr">
        <is>
          <t>Food To Go</t>
        </is>
      </c>
      <c r="E1270" s="26" t="n">
        <v>559.4400000000001</v>
      </c>
      <c r="F1270" s="27" t="n">
        <v>56</v>
      </c>
      <c r="G1270" s="26" t="n">
        <v>245.84</v>
      </c>
    </row>
    <row r="1271">
      <c r="A1271" s="24" t="n">
        <v>46306</v>
      </c>
      <c r="B1271" s="25" t="inlineStr">
        <is>
          <t>FTG003</t>
        </is>
      </c>
      <c r="C1271" s="25" t="inlineStr">
        <is>
          <t>Hot Pie Mince &amp; Cheese</t>
        </is>
      </c>
      <c r="D1271" s="25" t="inlineStr">
        <is>
          <t>Food To Go</t>
        </is>
      </c>
      <c r="E1271" s="26" t="n">
        <v>483.12</v>
      </c>
      <c r="F1271" s="27" t="n">
        <v>88</v>
      </c>
      <c r="G1271" s="26" t="n">
        <v>271.92</v>
      </c>
    </row>
    <row r="1272">
      <c r="A1272" s="24" t="n">
        <v>46306</v>
      </c>
      <c r="B1272" s="25" t="inlineStr">
        <is>
          <t>FTG004</t>
        </is>
      </c>
      <c r="C1272" s="25" t="inlineStr">
        <is>
          <t>Salad Bowl</t>
        </is>
      </c>
      <c r="D1272" s="25" t="inlineStr">
        <is>
          <t>Food To Go</t>
        </is>
      </c>
      <c r="E1272" s="26" t="n">
        <v>461.58</v>
      </c>
      <c r="F1272" s="27" t="n">
        <v>42</v>
      </c>
      <c r="G1272" s="26" t="n">
        <v>201.18</v>
      </c>
    </row>
    <row r="1273">
      <c r="A1273" s="24" t="n">
        <v>46306</v>
      </c>
      <c r="B1273" s="25" t="inlineStr">
        <is>
          <t>FTG005</t>
        </is>
      </c>
      <c r="C1273" s="25" t="inlineStr">
        <is>
          <t>Filled Roll</t>
        </is>
      </c>
      <c r="D1273" s="25" t="inlineStr">
        <is>
          <t>Food To Go</t>
        </is>
      </c>
      <c r="E1273" s="26" t="n">
        <v>460.79</v>
      </c>
      <c r="F1273" s="27" t="n">
        <v>71</v>
      </c>
      <c r="G1273" s="26" t="n">
        <v>233.59</v>
      </c>
    </row>
    <row r="1274">
      <c r="A1274" s="24" t="n">
        <v>46306</v>
      </c>
      <c r="B1274" s="25" t="inlineStr">
        <is>
          <t>GRO001</t>
        </is>
      </c>
      <c r="C1274" s="25" t="inlineStr">
        <is>
          <t>Instant Noodles 5pk</t>
        </is>
      </c>
      <c r="D1274" s="25" t="inlineStr">
        <is>
          <t>Grocery</t>
        </is>
      </c>
      <c r="E1274" s="26" t="n">
        <v>354.71</v>
      </c>
      <c r="F1274" s="27" t="n">
        <v>79</v>
      </c>
      <c r="G1274" s="26" t="n">
        <v>149.31</v>
      </c>
    </row>
    <row r="1275">
      <c r="A1275" s="24" t="n">
        <v>46306</v>
      </c>
      <c r="B1275" s="25" t="inlineStr">
        <is>
          <t>GRO002</t>
        </is>
      </c>
      <c r="C1275" s="25" t="inlineStr">
        <is>
          <t>Canned Soup 500g</t>
        </is>
      </c>
      <c r="D1275" s="25" t="inlineStr">
        <is>
          <t>Grocery</t>
        </is>
      </c>
      <c r="E1275" s="26" t="n">
        <v>131.6</v>
      </c>
      <c r="F1275" s="27" t="n">
        <v>40</v>
      </c>
      <c r="G1275" s="26" t="n">
        <v>55.6</v>
      </c>
    </row>
    <row r="1276">
      <c r="A1276" s="24" t="n">
        <v>46306</v>
      </c>
      <c r="B1276" s="25" t="inlineStr">
        <is>
          <t>GRO003</t>
        </is>
      </c>
      <c r="C1276" s="25" t="inlineStr">
        <is>
          <t>Pasta 500g</t>
        </is>
      </c>
      <c r="D1276" s="25" t="inlineStr">
        <is>
          <t>Grocery</t>
        </is>
      </c>
      <c r="E1276" s="26" t="n">
        <v>84.66</v>
      </c>
      <c r="F1276" s="27" t="n">
        <v>34</v>
      </c>
      <c r="G1276" s="26" t="n">
        <v>40.46</v>
      </c>
    </row>
    <row r="1277">
      <c r="A1277" s="24" t="n">
        <v>46306</v>
      </c>
      <c r="B1277" s="25" t="inlineStr">
        <is>
          <t>GRO004</t>
        </is>
      </c>
      <c r="C1277" s="25" t="inlineStr">
        <is>
          <t>Simmer Sauce 485g</t>
        </is>
      </c>
      <c r="D1277" s="25" t="inlineStr">
        <is>
          <t>Grocery</t>
        </is>
      </c>
      <c r="E1277" s="26" t="n">
        <v>131.67</v>
      </c>
      <c r="F1277" s="27" t="n">
        <v>33</v>
      </c>
      <c r="G1277" s="26" t="n">
        <v>55.77</v>
      </c>
    </row>
    <row r="1278">
      <c r="A1278" s="24" t="n">
        <v>46306</v>
      </c>
      <c r="B1278" s="25" t="inlineStr">
        <is>
          <t>GRO005</t>
        </is>
      </c>
      <c r="C1278" s="25" t="inlineStr">
        <is>
          <t>Salsa 300g</t>
        </is>
      </c>
      <c r="D1278" s="25" t="inlineStr">
        <is>
          <t>Grocery</t>
        </is>
      </c>
      <c r="E1278" s="26" t="n">
        <v>118.77</v>
      </c>
      <c r="F1278" s="27" t="n">
        <v>27</v>
      </c>
      <c r="G1278" s="26" t="n">
        <v>40.47</v>
      </c>
    </row>
    <row r="1279">
      <c r="A1279" s="24" t="n">
        <v>46306</v>
      </c>
      <c r="B1279" s="25" t="inlineStr">
        <is>
          <t>GRO006</t>
        </is>
      </c>
      <c r="C1279" s="25" t="inlineStr">
        <is>
          <t>Taco Kit</t>
        </is>
      </c>
      <c r="D1279" s="25" t="inlineStr">
        <is>
          <t>Grocery</t>
        </is>
      </c>
      <c r="E1279" s="26" t="n">
        <v>142.78</v>
      </c>
      <c r="F1279" s="27" t="n">
        <v>22</v>
      </c>
      <c r="G1279" s="26" t="n">
        <v>54.78</v>
      </c>
    </row>
    <row r="1280">
      <c r="A1280" s="24" t="n">
        <v>46306</v>
      </c>
      <c r="B1280" s="25" t="inlineStr">
        <is>
          <t>GRO007</t>
        </is>
      </c>
      <c r="C1280" s="25" t="inlineStr">
        <is>
          <t>Eggs Free Range 12pk</t>
        </is>
      </c>
      <c r="D1280" s="25" t="inlineStr">
        <is>
          <t>Grocery</t>
        </is>
      </c>
      <c r="E1280" s="26" t="n">
        <v>648.41</v>
      </c>
      <c r="F1280" s="27" t="n">
        <v>59</v>
      </c>
      <c r="G1280" s="26" t="n">
        <v>164.61</v>
      </c>
    </row>
    <row r="1281">
      <c r="A1281" s="24" t="n">
        <v>46306</v>
      </c>
      <c r="B1281" s="25" t="inlineStr">
        <is>
          <t>GRO008</t>
        </is>
      </c>
      <c r="C1281" s="25" t="inlineStr">
        <is>
          <t>Coffee Beans 200g</t>
        </is>
      </c>
      <c r="D1281" s="25" t="inlineStr">
        <is>
          <t>Grocery</t>
        </is>
      </c>
      <c r="E1281" s="26" t="n">
        <v>179.85</v>
      </c>
      <c r="F1281" s="27" t="n">
        <v>15</v>
      </c>
      <c r="G1281" s="26" t="n">
        <v>65.84999999999999</v>
      </c>
    </row>
    <row r="1282">
      <c r="A1282" s="24" t="n">
        <v>46306</v>
      </c>
      <c r="B1282" s="25" t="inlineStr">
        <is>
          <t>HHD001</t>
        </is>
      </c>
      <c r="C1282" s="25" t="inlineStr">
        <is>
          <t>Toilet Paper 6pk</t>
        </is>
      </c>
      <c r="D1282" s="25" t="inlineStr">
        <is>
          <t>Household</t>
        </is>
      </c>
      <c r="E1282" s="26" t="n">
        <v>314.65</v>
      </c>
      <c r="F1282" s="27" t="n">
        <v>35</v>
      </c>
      <c r="G1282" s="26" t="n">
        <v>108.15</v>
      </c>
    </row>
    <row r="1283">
      <c r="A1283" s="24" t="n">
        <v>46306</v>
      </c>
      <c r="B1283" s="25" t="inlineStr">
        <is>
          <t>HHD002</t>
        </is>
      </c>
      <c r="C1283" s="25" t="inlineStr">
        <is>
          <t>Dishwash Liquid</t>
        </is>
      </c>
      <c r="D1283" s="25" t="inlineStr">
        <is>
          <t>Household</t>
        </is>
      </c>
      <c r="E1283" s="26" t="n">
        <v>104.79</v>
      </c>
      <c r="F1283" s="27" t="n">
        <v>21</v>
      </c>
      <c r="G1283" s="26" t="n">
        <v>43.89</v>
      </c>
    </row>
    <row r="1284">
      <c r="A1284" s="24" t="n">
        <v>46306</v>
      </c>
      <c r="B1284" s="25" t="inlineStr">
        <is>
          <t>HHD003</t>
        </is>
      </c>
      <c r="C1284" s="25" t="inlineStr">
        <is>
          <t>Phone Charger Cable</t>
        </is>
      </c>
      <c r="D1284" s="25" t="inlineStr">
        <is>
          <t>Household</t>
        </is>
      </c>
      <c r="E1284" s="26" t="n">
        <v>119.92</v>
      </c>
      <c r="F1284" s="27" t="n">
        <v>8</v>
      </c>
      <c r="G1284" s="26" t="n">
        <v>75.92</v>
      </c>
    </row>
    <row r="1285">
      <c r="A1285" s="24" t="n">
        <v>46306</v>
      </c>
      <c r="B1285" s="25" t="inlineStr">
        <is>
          <t>LIQ001</t>
        </is>
      </c>
      <c r="C1285" s="25" t="inlineStr">
        <is>
          <t>Craft Beer 6pk</t>
        </is>
      </c>
      <c r="D1285" s="25" t="inlineStr">
        <is>
          <t>Beer &amp; Wine</t>
        </is>
      </c>
      <c r="E1285" s="26" t="n">
        <v>758.67</v>
      </c>
      <c r="F1285" s="27" t="n">
        <v>33</v>
      </c>
      <c r="G1285" s="26" t="n">
        <v>253.77</v>
      </c>
    </row>
    <row r="1286">
      <c r="A1286" s="24" t="n">
        <v>46306</v>
      </c>
      <c r="B1286" s="25" t="inlineStr">
        <is>
          <t>LIQ002</t>
        </is>
      </c>
      <c r="C1286" s="25" t="inlineStr">
        <is>
          <t>Sauvignon Blanc 750ml</t>
        </is>
      </c>
      <c r="D1286" s="25" t="inlineStr">
        <is>
          <t>Beer &amp; Wine</t>
        </is>
      </c>
      <c r="E1286" s="26" t="n">
        <v>383.76</v>
      </c>
      <c r="F1286" s="27" t="n">
        <v>24</v>
      </c>
      <c r="G1286" s="26" t="n">
        <v>138.96</v>
      </c>
    </row>
    <row r="1287">
      <c r="A1287" s="24" t="n">
        <v>46306</v>
      </c>
      <c r="B1287" s="25" t="inlineStr">
        <is>
          <t>LIQ003</t>
        </is>
      </c>
      <c r="C1287" s="25" t="inlineStr">
        <is>
          <t>RTD 4pk</t>
        </is>
      </c>
      <c r="D1287" s="25" t="inlineStr">
        <is>
          <t>Beer &amp; Wine</t>
        </is>
      </c>
      <c r="E1287" s="26" t="n">
        <v>629.65</v>
      </c>
      <c r="F1287" s="27" t="n">
        <v>35</v>
      </c>
      <c r="G1287" s="26" t="n">
        <v>213.15</v>
      </c>
    </row>
    <row r="1288">
      <c r="A1288" s="24" t="n">
        <v>46306</v>
      </c>
      <c r="B1288" s="25" t="inlineStr">
        <is>
          <t>LIQ004</t>
        </is>
      </c>
      <c r="C1288" s="25" t="inlineStr">
        <is>
          <t>Pinot Noir 750ml</t>
        </is>
      </c>
      <c r="D1288" s="25" t="inlineStr">
        <is>
          <t>Beer &amp; Wine</t>
        </is>
      </c>
      <c r="E1288" s="26" t="n">
        <v>299.85</v>
      </c>
      <c r="F1288" s="27" t="n">
        <v>15</v>
      </c>
      <c r="G1288" s="26" t="n">
        <v>107.85</v>
      </c>
    </row>
    <row r="1289">
      <c r="A1289" s="24" t="n">
        <v>46306</v>
      </c>
      <c r="B1289" s="25" t="inlineStr">
        <is>
          <t>MLK001</t>
        </is>
      </c>
      <c r="C1289" s="25" t="inlineStr">
        <is>
          <t>Milk Standard 2L</t>
        </is>
      </c>
      <c r="D1289" s="25" t="inlineStr">
        <is>
          <t>Dairy</t>
        </is>
      </c>
      <c r="E1289" s="26" t="n">
        <v>1134.48</v>
      </c>
      <c r="F1289" s="27" t="n">
        <v>232</v>
      </c>
      <c r="G1289" s="26" t="n">
        <v>310.88</v>
      </c>
    </row>
    <row r="1290">
      <c r="A1290" s="24" t="n">
        <v>46306</v>
      </c>
      <c r="B1290" s="25" t="inlineStr">
        <is>
          <t>MLK002</t>
        </is>
      </c>
      <c r="C1290" s="25" t="inlineStr">
        <is>
          <t>Milk Lite 2L</t>
        </is>
      </c>
      <c r="D1290" s="25" t="inlineStr">
        <is>
          <t>Dairy</t>
        </is>
      </c>
      <c r="E1290" s="26" t="n">
        <v>557.46</v>
      </c>
      <c r="F1290" s="27" t="n">
        <v>114</v>
      </c>
      <c r="G1290" s="26" t="n">
        <v>152.76</v>
      </c>
    </row>
    <row r="1291">
      <c r="A1291" s="24" t="n">
        <v>46306</v>
      </c>
      <c r="B1291" s="25" t="inlineStr">
        <is>
          <t>MLK003</t>
        </is>
      </c>
      <c r="C1291" s="25" t="inlineStr">
        <is>
          <t>Oat Milk 1L</t>
        </is>
      </c>
      <c r="D1291" s="25" t="inlineStr">
        <is>
          <t>Dairy</t>
        </is>
      </c>
      <c r="E1291" s="26" t="n">
        <v>180.18</v>
      </c>
      <c r="F1291" s="27" t="n">
        <v>42</v>
      </c>
      <c r="G1291" s="26" t="n">
        <v>66.78</v>
      </c>
    </row>
    <row r="1292">
      <c r="A1292" s="24" t="n">
        <v>46306</v>
      </c>
      <c r="B1292" s="25" t="inlineStr">
        <is>
          <t>PHM001</t>
        </is>
      </c>
      <c r="C1292" s="25" t="inlineStr">
        <is>
          <t>Paracetamol 20pk</t>
        </is>
      </c>
      <c r="D1292" s="25" t="inlineStr">
        <is>
          <t>Health &amp; Beauty</t>
        </is>
      </c>
      <c r="E1292" s="26" t="n">
        <v>111.72</v>
      </c>
      <c r="F1292" s="27" t="n">
        <v>28</v>
      </c>
      <c r="G1292" s="26" t="n">
        <v>66.92</v>
      </c>
    </row>
    <row r="1293">
      <c r="A1293" s="24" t="n">
        <v>46306</v>
      </c>
      <c r="B1293" s="25" t="inlineStr">
        <is>
          <t>PHM002</t>
        </is>
      </c>
      <c r="C1293" s="25" t="inlineStr">
        <is>
          <t>Sunscreen SPF50</t>
        </is>
      </c>
      <c r="D1293" s="25" t="inlineStr">
        <is>
          <t>Health &amp; Beauty</t>
        </is>
      </c>
      <c r="E1293" s="26" t="n">
        <v>221.83</v>
      </c>
      <c r="F1293" s="27" t="n">
        <v>17</v>
      </c>
      <c r="G1293" s="26" t="n">
        <v>82.43000000000001</v>
      </c>
    </row>
    <row r="1294">
      <c r="A1294" s="24" t="n">
        <v>46306</v>
      </c>
      <c r="B1294" s="25" t="inlineStr">
        <is>
          <t>PRD001</t>
        </is>
      </c>
      <c r="C1294" s="25" t="inlineStr">
        <is>
          <t>Bananas (each)</t>
        </is>
      </c>
      <c r="D1294" s="25" t="inlineStr">
        <is>
          <t>Produce</t>
        </is>
      </c>
      <c r="E1294" s="26" t="n">
        <v>132.48</v>
      </c>
      <c r="F1294" s="27" t="n">
        <v>192</v>
      </c>
      <c r="G1294" s="26" t="n">
        <v>59.52</v>
      </c>
    </row>
    <row r="1295">
      <c r="A1295" s="24" t="n">
        <v>46306</v>
      </c>
      <c r="B1295" s="25" t="inlineStr">
        <is>
          <t>PRD002</t>
        </is>
      </c>
      <c r="C1295" s="25" t="inlineStr">
        <is>
          <t>Avocado</t>
        </is>
      </c>
      <c r="D1295" s="25" t="inlineStr">
        <is>
          <t>Produce</t>
        </is>
      </c>
      <c r="E1295" s="26" t="n">
        <v>155.31</v>
      </c>
      <c r="F1295" s="27" t="n">
        <v>69</v>
      </c>
      <c r="G1295" s="26" t="n">
        <v>58.71</v>
      </c>
    </row>
    <row r="1296">
      <c r="A1296" s="24" t="n">
        <v>46306</v>
      </c>
      <c r="B1296" s="25" t="inlineStr">
        <is>
          <t>PRD003</t>
        </is>
      </c>
      <c r="C1296" s="25" t="inlineStr">
        <is>
          <t>Tomatoes 500g</t>
        </is>
      </c>
      <c r="D1296" s="25" t="inlineStr">
        <is>
          <t>Produce</t>
        </is>
      </c>
      <c r="E1296" s="26" t="n">
        <v>193.07</v>
      </c>
      <c r="F1296" s="27" t="n">
        <v>43</v>
      </c>
      <c r="G1296" s="26" t="n">
        <v>81.27</v>
      </c>
    </row>
    <row r="1297">
      <c r="A1297" s="24" t="n">
        <v>46306</v>
      </c>
      <c r="B1297" s="25" t="inlineStr">
        <is>
          <t>SNK001</t>
        </is>
      </c>
      <c r="C1297" s="25" t="inlineStr">
        <is>
          <t>Potato Chips 150g</t>
        </is>
      </c>
      <c r="D1297" s="25" t="inlineStr">
        <is>
          <t>Snacks &amp; Confectionery</t>
        </is>
      </c>
      <c r="E1297" s="26" t="n">
        <v>586.34</v>
      </c>
      <c r="F1297" s="27" t="n">
        <v>166</v>
      </c>
      <c r="G1297" s="26" t="n">
        <v>237.74</v>
      </c>
    </row>
    <row r="1298">
      <c r="A1298" s="24" t="n">
        <v>46306</v>
      </c>
      <c r="B1298" s="25" t="inlineStr">
        <is>
          <t>SNK002</t>
        </is>
      </c>
      <c r="C1298" s="25" t="inlineStr">
        <is>
          <t>Chocolate Block 200g</t>
        </is>
      </c>
      <c r="D1298" s="25" t="inlineStr">
        <is>
          <t>Snacks &amp; Confectionery</t>
        </is>
      </c>
      <c r="E1298" s="26" t="n">
        <v>559.98</v>
      </c>
      <c r="F1298" s="27" t="n">
        <v>102</v>
      </c>
      <c r="G1298" s="26" t="n">
        <v>233.58</v>
      </c>
    </row>
    <row r="1299">
      <c r="A1299" s="24" t="n">
        <v>46306</v>
      </c>
      <c r="B1299" s="25" t="inlineStr">
        <is>
          <t>SNK003</t>
        </is>
      </c>
      <c r="C1299" s="25" t="inlineStr">
        <is>
          <t>Muesli Bar 6pk</t>
        </is>
      </c>
      <c r="D1299" s="25" t="inlineStr">
        <is>
          <t>Snacks &amp; Confectionery</t>
        </is>
      </c>
      <c r="E1299" s="26" t="n">
        <v>253.11</v>
      </c>
      <c r="F1299" s="27" t="n">
        <v>59</v>
      </c>
      <c r="G1299" s="26" t="n">
        <v>99.70999999999999</v>
      </c>
    </row>
    <row r="1300">
      <c r="A1300" s="24" t="n">
        <v>46306</v>
      </c>
      <c r="B1300" s="25" t="inlineStr">
        <is>
          <t>SNK004</t>
        </is>
      </c>
      <c r="C1300" s="25" t="inlineStr">
        <is>
          <t>Corn Chips 230g</t>
        </is>
      </c>
      <c r="D1300" s="25" t="inlineStr">
        <is>
          <t>Snacks &amp; Confectionery</t>
        </is>
      </c>
      <c r="E1300" s="26" t="n">
        <v>273.89</v>
      </c>
      <c r="F1300" s="27" t="n">
        <v>61</v>
      </c>
      <c r="G1300" s="26" t="n">
        <v>127.49</v>
      </c>
    </row>
    <row r="1301">
      <c r="A1301" s="24" t="n">
        <v>46306</v>
      </c>
      <c r="B1301" s="25" t="inlineStr">
        <is>
          <t>SNK005</t>
        </is>
      </c>
      <c r="C1301" s="25" t="inlineStr">
        <is>
          <t>Lollies Bag 200g</t>
        </is>
      </c>
      <c r="D1301" s="25" t="inlineStr">
        <is>
          <t>Snacks &amp; Confectionery</t>
        </is>
      </c>
      <c r="E1301" s="26" t="n">
        <v>191.95</v>
      </c>
      <c r="F1301" s="27" t="n">
        <v>55</v>
      </c>
      <c r="G1301" s="26" t="n">
        <v>98.45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AA5B1"/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7" customWidth="1" min="3" max="3"/>
    <col width="13" customWidth="1" min="4" max="4"/>
    <col width="14" customWidth="1" min="5" max="5"/>
    <col width="13" customWidth="1" min="6" max="6"/>
    <col width="14" customWidth="1" min="7" max="7"/>
    <col width="13" customWidth="1" min="8" max="8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3" t="inlineStr">
        <is>
          <t>Lookup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Reference data used by INDEX-MATCH formulas in the Model sheet.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B5" s="13" t="inlineStr">
        <is>
          <t>products</t>
        </is>
      </c>
      <c r="M5" s="13" t="inlineStr">
        <is>
          <t>Category list</t>
        </is>
      </c>
    </row>
    <row r="6" ht="28" customHeight="1">
      <c r="B6" s="14" t="inlineStr">
        <is>
          <t>SKU</t>
        </is>
      </c>
      <c r="C6" s="14" t="inlineStr">
        <is>
          <t>product</t>
        </is>
      </c>
      <c r="D6" s="14" t="inlineStr">
        <is>
          <t>category</t>
        </is>
      </c>
      <c r="E6" s="14" t="inlineStr">
        <is>
          <t>abc</t>
        </is>
      </c>
      <c r="F6" s="14" t="inlineStr">
        <is>
          <t>segment</t>
        </is>
      </c>
      <c r="G6" s="14" t="inlineStr">
        <is>
          <t>range_call</t>
        </is>
      </c>
      <c r="H6" s="14" t="inlineStr">
        <is>
          <t>reorder</t>
        </is>
      </c>
      <c r="M6" s="25" t="inlineStr">
        <is>
          <t>All</t>
        </is>
      </c>
    </row>
    <row r="7">
      <c r="B7" s="28" t="inlineStr">
        <is>
          <t>BAK001</t>
        </is>
      </c>
      <c r="C7" s="28" t="inlineStr">
        <is>
          <t>Toast Bread White</t>
        </is>
      </c>
      <c r="D7" s="28" t="inlineStr">
        <is>
          <t>Bakery</t>
        </is>
      </c>
      <c r="E7" s="28" t="inlineStr">
        <is>
          <t>A</t>
        </is>
      </c>
      <c r="F7" s="28" t="inlineStr">
        <is>
          <t>Traffic drivers (high velocity)</t>
        </is>
      </c>
      <c r="G7" s="28" t="inlineStr">
        <is>
          <t>Protect availability</t>
        </is>
      </c>
      <c r="H7" s="28" t="inlineStr">
        <is>
          <t>OK</t>
        </is>
      </c>
      <c r="M7" s="25" t="inlineStr">
        <is>
          <t>Bakery</t>
        </is>
      </c>
    </row>
    <row r="8">
      <c r="B8" s="28" t="inlineStr">
        <is>
          <t>BAK002</t>
        </is>
      </c>
      <c r="C8" s="28" t="inlineStr">
        <is>
          <t>Wholemeal Loaf</t>
        </is>
      </c>
      <c r="D8" s="28" t="inlineStr">
        <is>
          <t>Bakery</t>
        </is>
      </c>
      <c r="E8" s="28" t="inlineStr">
        <is>
          <t>A</t>
        </is>
      </c>
      <c r="F8" s="28" t="inlineStr">
        <is>
          <t>Traffic drivers (high velocity)</t>
        </is>
      </c>
      <c r="G8" s="28" t="inlineStr">
        <is>
          <t>Protect availability</t>
        </is>
      </c>
      <c r="H8" s="28" t="inlineStr">
        <is>
          <t>OK</t>
        </is>
      </c>
      <c r="M8" s="25" t="inlineStr">
        <is>
          <t>Beer &amp; Wine</t>
        </is>
      </c>
    </row>
    <row r="9">
      <c r="B9" s="28" t="inlineStr">
        <is>
          <t>BAK003</t>
        </is>
      </c>
      <c r="C9" s="28" t="inlineStr">
        <is>
          <t>Croissant 4pk</t>
        </is>
      </c>
      <c r="D9" s="28" t="inlineStr">
        <is>
          <t>Bakery</t>
        </is>
      </c>
      <c r="E9" s="28" t="inlineStr">
        <is>
          <t>B</t>
        </is>
      </c>
      <c r="F9" s="28" t="inlineStr">
        <is>
          <t>Waste-exposed perishables</t>
        </is>
      </c>
      <c r="G9" s="28" t="inlineStr">
        <is>
          <t>Maintain</t>
        </is>
      </c>
      <c r="H9" s="28" t="inlineStr">
        <is>
          <t>OK</t>
        </is>
      </c>
      <c r="M9" s="25" t="inlineStr">
        <is>
          <t>Beverages</t>
        </is>
      </c>
    </row>
    <row r="10">
      <c r="B10" s="28" t="inlineStr">
        <is>
          <t>BBT001</t>
        </is>
      </c>
      <c r="C10" s="28" t="inlineStr">
        <is>
          <t>Bubble Tea Kit</t>
        </is>
      </c>
      <c r="D10" s="28" t="inlineStr">
        <is>
          <t>Beverages</t>
        </is>
      </c>
      <c r="E10" s="28" t="inlineStr">
        <is>
          <t>B</t>
        </is>
      </c>
      <c r="F10" s="28" t="inlineStr">
        <is>
          <t>Volatile / irregular demand</t>
        </is>
      </c>
      <c r="G10" s="28" t="inlineStr">
        <is>
          <t>Maintain</t>
        </is>
      </c>
      <c r="H10" s="28" t="inlineStr">
        <is>
          <t>OK</t>
        </is>
      </c>
      <c r="M10" s="25" t="inlineStr">
        <is>
          <t>Dairy</t>
        </is>
      </c>
    </row>
    <row r="11">
      <c r="B11" s="28" t="inlineStr">
        <is>
          <t>BEV001</t>
        </is>
      </c>
      <c r="C11" s="28" t="inlineStr">
        <is>
          <t>Energy Drink 500ml</t>
        </is>
      </c>
      <c r="D11" s="28" t="inlineStr">
        <is>
          <t>Beverages</t>
        </is>
      </c>
      <c r="E11" s="28" t="inlineStr">
        <is>
          <t>A</t>
        </is>
      </c>
      <c r="F11" s="28" t="inlineStr">
        <is>
          <t>Delivery favourites</t>
        </is>
      </c>
      <c r="G11" s="28" t="inlineStr">
        <is>
          <t>Protect availability</t>
        </is>
      </c>
      <c r="H11" s="28" t="inlineStr">
        <is>
          <t>OK</t>
        </is>
      </c>
      <c r="M11" s="25" t="inlineStr">
        <is>
          <t>Food To Go</t>
        </is>
      </c>
    </row>
    <row r="12">
      <c r="B12" s="28" t="inlineStr">
        <is>
          <t>BEV002</t>
        </is>
      </c>
      <c r="C12" s="28" t="inlineStr">
        <is>
          <t>Cola 1.5L</t>
        </is>
      </c>
      <c r="D12" s="28" t="inlineStr">
        <is>
          <t>Beverages</t>
        </is>
      </c>
      <c r="E12" s="28" t="inlineStr">
        <is>
          <t>A</t>
        </is>
      </c>
      <c r="F12" s="28" t="inlineStr">
        <is>
          <t>Delivery favourites</t>
        </is>
      </c>
      <c r="G12" s="28" t="inlineStr">
        <is>
          <t>Protect availability</t>
        </is>
      </c>
      <c r="H12" s="28" t="inlineStr">
        <is>
          <t>OK</t>
        </is>
      </c>
      <c r="M12" s="25" t="inlineStr">
        <is>
          <t>Frozen</t>
        </is>
      </c>
    </row>
    <row r="13">
      <c r="B13" s="28" t="inlineStr">
        <is>
          <t>BEV003</t>
        </is>
      </c>
      <c r="C13" s="28" t="inlineStr">
        <is>
          <t>Sparkling Water 1L</t>
        </is>
      </c>
      <c r="D13" s="28" t="inlineStr">
        <is>
          <t>Beverages</t>
        </is>
      </c>
      <c r="E13" s="28" t="inlineStr">
        <is>
          <t>B</t>
        </is>
      </c>
      <c r="F13" s="28" t="inlineStr">
        <is>
          <t>Promo-responsive</t>
        </is>
      </c>
      <c r="G13" s="28" t="inlineStr">
        <is>
          <t>Maintain</t>
        </is>
      </c>
      <c r="H13" s="28" t="inlineStr">
        <is>
          <t>OK</t>
        </is>
      </c>
      <c r="M13" s="25" t="inlineStr">
        <is>
          <t>Grocery</t>
        </is>
      </c>
    </row>
    <row r="14">
      <c r="B14" s="28" t="inlineStr">
        <is>
          <t>BEV004</t>
        </is>
      </c>
      <c r="C14" s="28" t="inlineStr">
        <is>
          <t>Iced Coffee 500ml</t>
        </is>
      </c>
      <c r="D14" s="28" t="inlineStr">
        <is>
          <t>Beverages</t>
        </is>
      </c>
      <c r="E14" s="28" t="inlineStr">
        <is>
          <t>A</t>
        </is>
      </c>
      <c r="F14" s="28" t="inlineStr">
        <is>
          <t>Delivery favourites</t>
        </is>
      </c>
      <c r="G14" s="28" t="inlineStr">
        <is>
          <t>Protect availability</t>
        </is>
      </c>
      <c r="H14" s="28" t="inlineStr">
        <is>
          <t>OK</t>
        </is>
      </c>
      <c r="M14" s="25" t="inlineStr">
        <is>
          <t>Health &amp; Beauty</t>
        </is>
      </c>
    </row>
    <row r="15">
      <c r="B15" s="28" t="inlineStr">
        <is>
          <t>BEV005</t>
        </is>
      </c>
      <c r="C15" s="28" t="inlineStr">
        <is>
          <t>Kombucha 330ml</t>
        </is>
      </c>
      <c r="D15" s="28" t="inlineStr">
        <is>
          <t>Beverages</t>
        </is>
      </c>
      <c r="E15" s="28" t="inlineStr">
        <is>
          <t>B</t>
        </is>
      </c>
      <c r="F15" s="28" t="inlineStr">
        <is>
          <t>Promo-responsive</t>
        </is>
      </c>
      <c r="G15" s="28" t="inlineStr">
        <is>
          <t>Maintain</t>
        </is>
      </c>
      <c r="H15" s="28" t="inlineStr">
        <is>
          <t>OK</t>
        </is>
      </c>
      <c r="M15" s="25" t="inlineStr">
        <is>
          <t>Household</t>
        </is>
      </c>
    </row>
    <row r="16">
      <c r="B16" s="28" t="inlineStr">
        <is>
          <t>BEV006</t>
        </is>
      </c>
      <c r="C16" s="28" t="inlineStr">
        <is>
          <t>Bottled Water 750ml</t>
        </is>
      </c>
      <c r="D16" s="28" t="inlineStr">
        <is>
          <t>Beverages</t>
        </is>
      </c>
      <c r="E16" s="28" t="inlineStr">
        <is>
          <t>A</t>
        </is>
      </c>
      <c r="F16" s="28" t="inlineStr">
        <is>
          <t>Delivery favourites</t>
        </is>
      </c>
      <c r="G16" s="28" t="inlineStr">
        <is>
          <t>Protect availability</t>
        </is>
      </c>
      <c r="H16" s="28" t="inlineStr">
        <is>
          <t>OK</t>
        </is>
      </c>
      <c r="M16" s="25" t="inlineStr">
        <is>
          <t>Produce</t>
        </is>
      </c>
    </row>
    <row r="17">
      <c r="B17" s="28" t="inlineStr">
        <is>
          <t>DRY010</t>
        </is>
      </c>
      <c r="C17" s="28" t="inlineStr">
        <is>
          <t>Butter 500g</t>
        </is>
      </c>
      <c r="D17" s="28" t="inlineStr">
        <is>
          <t>Dairy</t>
        </is>
      </c>
      <c r="E17" s="28" t="inlineStr">
        <is>
          <t>A</t>
        </is>
      </c>
      <c r="F17" s="28" t="inlineStr">
        <is>
          <t>Promo-responsive</t>
        </is>
      </c>
      <c r="G17" s="28" t="inlineStr">
        <is>
          <t>Protect availability</t>
        </is>
      </c>
      <c r="H17" s="28" t="inlineStr">
        <is>
          <t>OK</t>
        </is>
      </c>
      <c r="M17" s="25" t="inlineStr">
        <is>
          <t>Snacks &amp; Confectionery</t>
        </is>
      </c>
    </row>
    <row r="18">
      <c r="B18" s="28" t="inlineStr">
        <is>
          <t>DRY011</t>
        </is>
      </c>
      <c r="C18" s="28" t="inlineStr">
        <is>
          <t>Greek Yoghurt 1kg</t>
        </is>
      </c>
      <c r="D18" s="28" t="inlineStr">
        <is>
          <t>Dairy</t>
        </is>
      </c>
      <c r="E18" s="28" t="inlineStr">
        <is>
          <t>B</t>
        </is>
      </c>
      <c r="F18" s="28" t="inlineStr">
        <is>
          <t>Volatile / irregular demand</t>
        </is>
      </c>
      <c r="G18" s="28" t="inlineStr">
        <is>
          <t>Maintain</t>
        </is>
      </c>
      <c r="H18" s="28" t="inlineStr">
        <is>
          <t>OK</t>
        </is>
      </c>
    </row>
    <row r="19">
      <c r="B19" s="28" t="inlineStr">
        <is>
          <t>DRY012</t>
        </is>
      </c>
      <c r="C19" s="28" t="inlineStr">
        <is>
          <t>Cheese Block 1kg</t>
        </is>
      </c>
      <c r="D19" s="28" t="inlineStr">
        <is>
          <t>Dairy</t>
        </is>
      </c>
      <c r="E19" s="28" t="inlineStr">
        <is>
          <t>A</t>
        </is>
      </c>
      <c r="F19" s="28" t="inlineStr">
        <is>
          <t>Volatile / irregular demand</t>
        </is>
      </c>
      <c r="G19" s="28" t="inlineStr">
        <is>
          <t>Protect availability</t>
        </is>
      </c>
      <c r="H19" s="28" t="inlineStr">
        <is>
          <t>OK</t>
        </is>
      </c>
    </row>
    <row r="20">
      <c r="B20" s="28" t="inlineStr">
        <is>
          <t>FRZ001</t>
        </is>
      </c>
      <c r="C20" s="28" t="inlineStr">
        <is>
          <t>Ice Cream Tub 2L</t>
        </is>
      </c>
      <c r="D20" s="28" t="inlineStr">
        <is>
          <t>Frozen</t>
        </is>
      </c>
      <c r="E20" s="28" t="inlineStr">
        <is>
          <t>A</t>
        </is>
      </c>
      <c r="F20" s="28" t="inlineStr">
        <is>
          <t>Volatile / irregular demand</t>
        </is>
      </c>
      <c r="G20" s="28" t="inlineStr">
        <is>
          <t>Protect availability</t>
        </is>
      </c>
      <c r="H20" s="28" t="inlineStr">
        <is>
          <t>OK</t>
        </is>
      </c>
    </row>
    <row r="21">
      <c r="B21" s="28" t="inlineStr">
        <is>
          <t>FRZ002</t>
        </is>
      </c>
      <c r="C21" s="28" t="inlineStr">
        <is>
          <t>Ice Block Single</t>
        </is>
      </c>
      <c r="D21" s="28" t="inlineStr">
        <is>
          <t>Frozen</t>
        </is>
      </c>
      <c r="E21" s="28" t="inlineStr">
        <is>
          <t>B</t>
        </is>
      </c>
      <c r="F21" s="28" t="inlineStr">
        <is>
          <t>Delivery favourites</t>
        </is>
      </c>
      <c r="G21" s="28" t="inlineStr">
        <is>
          <t>Maintain</t>
        </is>
      </c>
      <c r="H21" s="28" t="inlineStr">
        <is>
          <t>OK</t>
        </is>
      </c>
    </row>
    <row r="22">
      <c r="B22" s="28" t="inlineStr">
        <is>
          <t>FRZ003</t>
        </is>
      </c>
      <c r="C22" s="28" t="inlineStr">
        <is>
          <t>Frozen Pizza</t>
        </is>
      </c>
      <c r="D22" s="28" t="inlineStr">
        <is>
          <t>Frozen</t>
        </is>
      </c>
      <c r="E22" s="28" t="inlineStr">
        <is>
          <t>A</t>
        </is>
      </c>
      <c r="F22" s="28" t="inlineStr">
        <is>
          <t>Promo-responsive</t>
        </is>
      </c>
      <c r="G22" s="28" t="inlineStr">
        <is>
          <t>Protect availability</t>
        </is>
      </c>
      <c r="H22" s="28" t="inlineStr">
        <is>
          <t>OK</t>
        </is>
      </c>
    </row>
    <row r="23">
      <c r="B23" s="28" t="inlineStr">
        <is>
          <t>FRZ004</t>
        </is>
      </c>
      <c r="C23" s="28" t="inlineStr">
        <is>
          <t>Frozen Dumplings 1kg</t>
        </is>
      </c>
      <c r="D23" s="28" t="inlineStr">
        <is>
          <t>Frozen</t>
        </is>
      </c>
      <c r="E23" s="28" t="inlineStr">
        <is>
          <t>A</t>
        </is>
      </c>
      <c r="F23" s="28" t="inlineStr">
        <is>
          <t>Promo-responsive</t>
        </is>
      </c>
      <c r="G23" s="28" t="inlineStr">
        <is>
          <t>Protect availability</t>
        </is>
      </c>
      <c r="H23" s="28" t="inlineStr">
        <is>
          <t>OK</t>
        </is>
      </c>
    </row>
    <row r="24">
      <c r="B24" s="28" t="inlineStr">
        <is>
          <t>FTG001</t>
        </is>
      </c>
      <c r="C24" s="28" t="inlineStr">
        <is>
          <t>Chicken Sandwich</t>
        </is>
      </c>
      <c r="D24" s="28" t="inlineStr">
        <is>
          <t>Food To Go</t>
        </is>
      </c>
      <c r="E24" s="28" t="inlineStr">
        <is>
          <t>A</t>
        </is>
      </c>
      <c r="F24" s="28" t="inlineStr">
        <is>
          <t>Waste-exposed perishables</t>
        </is>
      </c>
      <c r="G24" s="28" t="inlineStr">
        <is>
          <t>Protect availability</t>
        </is>
      </c>
      <c r="H24" s="28" t="inlineStr">
        <is>
          <t>OK</t>
        </is>
      </c>
    </row>
    <row r="25">
      <c r="B25" s="28" t="inlineStr">
        <is>
          <t>FTG002</t>
        </is>
      </c>
      <c r="C25" s="28" t="inlineStr">
        <is>
          <t>Sushi Pack 8pc</t>
        </is>
      </c>
      <c r="D25" s="28" t="inlineStr">
        <is>
          <t>Food To Go</t>
        </is>
      </c>
      <c r="E25" s="28" t="inlineStr">
        <is>
          <t>A</t>
        </is>
      </c>
      <c r="F25" s="28" t="inlineStr">
        <is>
          <t>Waste-exposed perishables</t>
        </is>
      </c>
      <c r="G25" s="28" t="inlineStr">
        <is>
          <t>Protect availability</t>
        </is>
      </c>
      <c r="H25" s="28" t="inlineStr">
        <is>
          <t>OK</t>
        </is>
      </c>
    </row>
    <row r="26">
      <c r="B26" s="28" t="inlineStr">
        <is>
          <t>FTG003</t>
        </is>
      </c>
      <c r="C26" s="28" t="inlineStr">
        <is>
          <t>Hot Pie Mince &amp; Cheese</t>
        </is>
      </c>
      <c r="D26" s="28" t="inlineStr">
        <is>
          <t>Food To Go</t>
        </is>
      </c>
      <c r="E26" s="28" t="inlineStr">
        <is>
          <t>A</t>
        </is>
      </c>
      <c r="F26" s="28" t="inlineStr">
        <is>
          <t>Waste-exposed perishables</t>
        </is>
      </c>
      <c r="G26" s="28" t="inlineStr">
        <is>
          <t>Protect availability</t>
        </is>
      </c>
      <c r="H26" s="28" t="inlineStr">
        <is>
          <t>OK</t>
        </is>
      </c>
    </row>
    <row r="27">
      <c r="B27" s="28" t="inlineStr">
        <is>
          <t>FTG004</t>
        </is>
      </c>
      <c r="C27" s="28" t="inlineStr">
        <is>
          <t>Salad Bowl</t>
        </is>
      </c>
      <c r="D27" s="28" t="inlineStr">
        <is>
          <t>Food To Go</t>
        </is>
      </c>
      <c r="E27" s="28" t="inlineStr">
        <is>
          <t>A</t>
        </is>
      </c>
      <c r="F27" s="28" t="inlineStr">
        <is>
          <t>Waste-exposed perishables</t>
        </is>
      </c>
      <c r="G27" s="28" t="inlineStr">
        <is>
          <t>Protect availability</t>
        </is>
      </c>
      <c r="H27" s="28" t="inlineStr">
        <is>
          <t>OK</t>
        </is>
      </c>
    </row>
    <row r="28">
      <c r="B28" s="28" t="inlineStr">
        <is>
          <t>FTG005</t>
        </is>
      </c>
      <c r="C28" s="28" t="inlineStr">
        <is>
          <t>Filled Roll</t>
        </is>
      </c>
      <c r="D28" s="28" t="inlineStr">
        <is>
          <t>Food To Go</t>
        </is>
      </c>
      <c r="E28" s="28" t="inlineStr">
        <is>
          <t>A</t>
        </is>
      </c>
      <c r="F28" s="28" t="inlineStr">
        <is>
          <t>Waste-exposed perishables</t>
        </is>
      </c>
      <c r="G28" s="28" t="inlineStr">
        <is>
          <t>Protect availability</t>
        </is>
      </c>
      <c r="H28" s="28" t="inlineStr">
        <is>
          <t>OK</t>
        </is>
      </c>
    </row>
    <row r="29">
      <c r="B29" s="28" t="inlineStr">
        <is>
          <t>GRO001</t>
        </is>
      </c>
      <c r="C29" s="28" t="inlineStr">
        <is>
          <t>Instant Noodles 5pk</t>
        </is>
      </c>
      <c r="D29" s="28" t="inlineStr">
        <is>
          <t>Grocery</t>
        </is>
      </c>
      <c r="E29" s="28" t="inlineStr">
        <is>
          <t>A</t>
        </is>
      </c>
      <c r="F29" s="28" t="inlineStr">
        <is>
          <t>Delivery favourites</t>
        </is>
      </c>
      <c r="G29" s="28" t="inlineStr">
        <is>
          <t>Protect availability</t>
        </is>
      </c>
      <c r="H29" s="28" t="inlineStr">
        <is>
          <t>OK</t>
        </is>
      </c>
    </row>
    <row r="30">
      <c r="B30" s="28" t="inlineStr">
        <is>
          <t>GRO002</t>
        </is>
      </c>
      <c r="C30" s="28" t="inlineStr">
        <is>
          <t>Canned Soup 500g</t>
        </is>
      </c>
      <c r="D30" s="28" t="inlineStr">
        <is>
          <t>Grocery</t>
        </is>
      </c>
      <c r="E30" s="28" t="inlineStr">
        <is>
          <t>B</t>
        </is>
      </c>
      <c r="F30" s="28" t="inlineStr">
        <is>
          <t>Delivery favourites</t>
        </is>
      </c>
      <c r="G30" s="28" t="inlineStr">
        <is>
          <t>Maintain</t>
        </is>
      </c>
      <c r="H30" s="28" t="inlineStr">
        <is>
          <t>OK</t>
        </is>
      </c>
    </row>
    <row r="31">
      <c r="B31" s="28" t="inlineStr">
        <is>
          <t>GRO003</t>
        </is>
      </c>
      <c r="C31" s="28" t="inlineStr">
        <is>
          <t>Pasta 500g</t>
        </is>
      </c>
      <c r="D31" s="28" t="inlineStr">
        <is>
          <t>Grocery</t>
        </is>
      </c>
      <c r="E31" s="28" t="inlineStr">
        <is>
          <t>C</t>
        </is>
      </c>
      <c r="F31" s="28" t="inlineStr">
        <is>
          <t>Volatile / irregular demand</t>
        </is>
      </c>
      <c r="G31" s="28" t="inlineStr">
        <is>
          <t>Review facings</t>
        </is>
      </c>
      <c r="H31" s="28" t="inlineStr">
        <is>
          <t>OK</t>
        </is>
      </c>
    </row>
    <row r="32">
      <c r="B32" s="28" t="inlineStr">
        <is>
          <t>GRO004</t>
        </is>
      </c>
      <c r="C32" s="28" t="inlineStr">
        <is>
          <t>Simmer Sauce 485g</t>
        </is>
      </c>
      <c r="D32" s="28" t="inlineStr">
        <is>
          <t>Grocery</t>
        </is>
      </c>
      <c r="E32" s="28" t="inlineStr">
        <is>
          <t>C</t>
        </is>
      </c>
      <c r="F32" s="28" t="inlineStr">
        <is>
          <t>Volatile / irregular demand</t>
        </is>
      </c>
      <c r="G32" s="28" t="inlineStr">
        <is>
          <t>Review facings</t>
        </is>
      </c>
      <c r="H32" s="28" t="inlineStr">
        <is>
          <t>Blocked - product recall</t>
        </is>
      </c>
    </row>
    <row r="33">
      <c r="B33" s="28" t="inlineStr">
        <is>
          <t>GRO005</t>
        </is>
      </c>
      <c r="C33" s="28" t="inlineStr">
        <is>
          <t>Salsa 300g</t>
        </is>
      </c>
      <c r="D33" s="28" t="inlineStr">
        <is>
          <t>Grocery</t>
        </is>
      </c>
      <c r="E33" s="28" t="inlineStr">
        <is>
          <t>C</t>
        </is>
      </c>
      <c r="F33" s="28" t="inlineStr">
        <is>
          <t>Promo-responsive</t>
        </is>
      </c>
      <c r="G33" s="28" t="inlineStr">
        <is>
          <t>Review facings</t>
        </is>
      </c>
      <c r="H33" s="28" t="inlineStr">
        <is>
          <t>OK</t>
        </is>
      </c>
    </row>
    <row r="34">
      <c r="B34" s="28" t="inlineStr">
        <is>
          <t>GRO006</t>
        </is>
      </c>
      <c r="C34" s="28" t="inlineStr">
        <is>
          <t>Taco Kit</t>
        </is>
      </c>
      <c r="D34" s="28" t="inlineStr">
        <is>
          <t>Grocery</t>
        </is>
      </c>
      <c r="E34" s="28" t="inlineStr">
        <is>
          <t>C</t>
        </is>
      </c>
      <c r="F34" s="28" t="inlineStr">
        <is>
          <t>Promo-responsive</t>
        </is>
      </c>
      <c r="G34" s="28" t="inlineStr">
        <is>
          <t>Review facings</t>
        </is>
      </c>
      <c r="H34" s="28" t="inlineStr">
        <is>
          <t>OK</t>
        </is>
      </c>
    </row>
    <row r="35">
      <c r="B35" s="28" t="inlineStr">
        <is>
          <t>GRO007</t>
        </is>
      </c>
      <c r="C35" s="28" t="inlineStr">
        <is>
          <t>Eggs Free Range 12pk</t>
        </is>
      </c>
      <c r="D35" s="28" t="inlineStr">
        <is>
          <t>Grocery</t>
        </is>
      </c>
      <c r="E35" s="28" t="inlineStr">
        <is>
          <t>A</t>
        </is>
      </c>
      <c r="F35" s="28" t="inlineStr">
        <is>
          <t>Volatile / irregular demand</t>
        </is>
      </c>
      <c r="G35" s="28" t="inlineStr">
        <is>
          <t>Protect availability</t>
        </is>
      </c>
      <c r="H35" s="28" t="inlineStr">
        <is>
          <t>OK</t>
        </is>
      </c>
    </row>
    <row r="36">
      <c r="B36" s="28" t="inlineStr">
        <is>
          <t>GRO008</t>
        </is>
      </c>
      <c r="C36" s="28" t="inlineStr">
        <is>
          <t>Coffee Beans 200g</t>
        </is>
      </c>
      <c r="D36" s="28" t="inlineStr">
        <is>
          <t>Grocery</t>
        </is>
      </c>
      <c r="E36" s="28" t="inlineStr">
        <is>
          <t>B</t>
        </is>
      </c>
      <c r="F36" s="28" t="inlineStr">
        <is>
          <t>Volatile / irregular demand</t>
        </is>
      </c>
      <c r="G36" s="28" t="inlineStr">
        <is>
          <t>Maintain</t>
        </is>
      </c>
      <c r="H36" s="28" t="inlineStr">
        <is>
          <t>OK</t>
        </is>
      </c>
    </row>
    <row r="37">
      <c r="B37" s="28" t="inlineStr">
        <is>
          <t>HHD001</t>
        </is>
      </c>
      <c r="C37" s="28" t="inlineStr">
        <is>
          <t>Toilet Paper 6pk</t>
        </is>
      </c>
      <c r="D37" s="28" t="inlineStr">
        <is>
          <t>Household</t>
        </is>
      </c>
      <c r="E37" s="28" t="inlineStr">
        <is>
          <t>A</t>
        </is>
      </c>
      <c r="F37" s="28" t="inlineStr">
        <is>
          <t>Volatile / irregular demand</t>
        </is>
      </c>
      <c r="G37" s="28" t="inlineStr">
        <is>
          <t>Protect availability</t>
        </is>
      </c>
      <c r="H37" s="28" t="inlineStr">
        <is>
          <t>OK</t>
        </is>
      </c>
    </row>
    <row r="38">
      <c r="B38" s="28" t="inlineStr">
        <is>
          <t>HHD002</t>
        </is>
      </c>
      <c r="C38" s="28" t="inlineStr">
        <is>
          <t>Dishwash Liquid</t>
        </is>
      </c>
      <c r="D38" s="28" t="inlineStr">
        <is>
          <t>Household</t>
        </is>
      </c>
      <c r="E38" s="28" t="inlineStr">
        <is>
          <t>C</t>
        </is>
      </c>
      <c r="F38" s="28" t="inlineStr">
        <is>
          <t>Volatile / irregular demand</t>
        </is>
      </c>
      <c r="G38" s="28" t="inlineStr">
        <is>
          <t>Review facings</t>
        </is>
      </c>
      <c r="H38" s="28" t="inlineStr">
        <is>
          <t>OK</t>
        </is>
      </c>
    </row>
    <row r="39">
      <c r="B39" s="28" t="inlineStr">
        <is>
          <t>HHD003</t>
        </is>
      </c>
      <c r="C39" s="28" t="inlineStr">
        <is>
          <t>Phone Charger Cable</t>
        </is>
      </c>
      <c r="D39" s="28" t="inlineStr">
        <is>
          <t>Household</t>
        </is>
      </c>
      <c r="E39" s="28" t="inlineStr">
        <is>
          <t>C</t>
        </is>
      </c>
      <c r="F39" s="28" t="inlineStr">
        <is>
          <t>Volatile / irregular demand</t>
        </is>
      </c>
      <c r="G39" s="28" t="inlineStr">
        <is>
          <t>Review facings</t>
        </is>
      </c>
      <c r="H39" s="28" t="inlineStr">
        <is>
          <t>Order</t>
        </is>
      </c>
    </row>
    <row r="40">
      <c r="B40" s="28" t="inlineStr">
        <is>
          <t>LIQ001</t>
        </is>
      </c>
      <c r="C40" s="28" t="inlineStr">
        <is>
          <t>Craft Beer 6pk</t>
        </is>
      </c>
      <c r="D40" s="28" t="inlineStr">
        <is>
          <t>Beer &amp; Wine</t>
        </is>
      </c>
      <c r="E40" s="28" t="inlineStr">
        <is>
          <t>A</t>
        </is>
      </c>
      <c r="F40" s="28" t="inlineStr">
        <is>
          <t>Promo-responsive</t>
        </is>
      </c>
      <c r="G40" s="28" t="inlineStr">
        <is>
          <t>Protect availability</t>
        </is>
      </c>
      <c r="H40" s="28" t="inlineStr">
        <is>
          <t>OK</t>
        </is>
      </c>
    </row>
    <row r="41">
      <c r="B41" s="28" t="inlineStr">
        <is>
          <t>LIQ002</t>
        </is>
      </c>
      <c r="C41" s="28" t="inlineStr">
        <is>
          <t>Sauvignon Blanc 750ml</t>
        </is>
      </c>
      <c r="D41" s="28" t="inlineStr">
        <is>
          <t>Beer &amp; Wine</t>
        </is>
      </c>
      <c r="E41" s="28" t="inlineStr">
        <is>
          <t>A</t>
        </is>
      </c>
      <c r="F41" s="28" t="inlineStr">
        <is>
          <t>Volatile / irregular demand</t>
        </is>
      </c>
      <c r="G41" s="28" t="inlineStr">
        <is>
          <t>Protect availability</t>
        </is>
      </c>
      <c r="H41" s="28" t="inlineStr">
        <is>
          <t>OK</t>
        </is>
      </c>
    </row>
    <row r="42">
      <c r="B42" s="28" t="inlineStr">
        <is>
          <t>LIQ003</t>
        </is>
      </c>
      <c r="C42" s="28" t="inlineStr">
        <is>
          <t>RTD 4pk</t>
        </is>
      </c>
      <c r="D42" s="28" t="inlineStr">
        <is>
          <t>Beer &amp; Wine</t>
        </is>
      </c>
      <c r="E42" s="28" t="inlineStr">
        <is>
          <t>A</t>
        </is>
      </c>
      <c r="F42" s="28" t="inlineStr">
        <is>
          <t>Volatile / irregular demand</t>
        </is>
      </c>
      <c r="G42" s="28" t="inlineStr">
        <is>
          <t>Protect availability</t>
        </is>
      </c>
      <c r="H42" s="28" t="inlineStr">
        <is>
          <t>OK</t>
        </is>
      </c>
    </row>
    <row r="43">
      <c r="B43" s="28" t="inlineStr">
        <is>
          <t>LIQ004</t>
        </is>
      </c>
      <c r="C43" s="28" t="inlineStr">
        <is>
          <t>Pinot Noir 750ml</t>
        </is>
      </c>
      <c r="D43" s="28" t="inlineStr">
        <is>
          <t>Beer &amp; Wine</t>
        </is>
      </c>
      <c r="E43" s="28" t="inlineStr">
        <is>
          <t>A</t>
        </is>
      </c>
      <c r="F43" s="28" t="inlineStr">
        <is>
          <t>Volatile / irregular demand</t>
        </is>
      </c>
      <c r="G43" s="28" t="inlineStr">
        <is>
          <t>Protect availability</t>
        </is>
      </c>
      <c r="H43" s="28" t="inlineStr">
        <is>
          <t>OK</t>
        </is>
      </c>
    </row>
    <row r="44">
      <c r="B44" s="28" t="inlineStr">
        <is>
          <t>MLK001</t>
        </is>
      </c>
      <c r="C44" s="28" t="inlineStr">
        <is>
          <t>Milk Standard 2L</t>
        </is>
      </c>
      <c r="D44" s="28" t="inlineStr">
        <is>
          <t>Dairy</t>
        </is>
      </c>
      <c r="E44" s="28" t="inlineStr">
        <is>
          <t>A</t>
        </is>
      </c>
      <c r="F44" s="28" t="inlineStr">
        <is>
          <t>Traffic drivers (high velocity)</t>
        </is>
      </c>
      <c r="G44" s="28" t="inlineStr">
        <is>
          <t>Protect availability</t>
        </is>
      </c>
      <c r="H44" s="28" t="inlineStr">
        <is>
          <t>OK</t>
        </is>
      </c>
    </row>
    <row r="45">
      <c r="B45" s="28" t="inlineStr">
        <is>
          <t>MLK002</t>
        </is>
      </c>
      <c r="C45" s="28" t="inlineStr">
        <is>
          <t>Milk Lite 2L</t>
        </is>
      </c>
      <c r="D45" s="28" t="inlineStr">
        <is>
          <t>Dairy</t>
        </is>
      </c>
      <c r="E45" s="28" t="inlineStr">
        <is>
          <t>A</t>
        </is>
      </c>
      <c r="F45" s="28" t="inlineStr">
        <is>
          <t>Traffic drivers (high velocity)</t>
        </is>
      </c>
      <c r="G45" s="28" t="inlineStr">
        <is>
          <t>Protect availability</t>
        </is>
      </c>
      <c r="H45" s="28" t="inlineStr">
        <is>
          <t>OK</t>
        </is>
      </c>
    </row>
    <row r="46">
      <c r="B46" s="28" t="inlineStr">
        <is>
          <t>MLK003</t>
        </is>
      </c>
      <c r="C46" s="28" t="inlineStr">
        <is>
          <t>Oat Milk 1L</t>
        </is>
      </c>
      <c r="D46" s="28" t="inlineStr">
        <is>
          <t>Dairy</t>
        </is>
      </c>
      <c r="E46" s="28" t="inlineStr">
        <is>
          <t>B</t>
        </is>
      </c>
      <c r="F46" s="28" t="inlineStr">
        <is>
          <t>Promo-responsive</t>
        </is>
      </c>
      <c r="G46" s="28" t="inlineStr">
        <is>
          <t>Maintain</t>
        </is>
      </c>
      <c r="H46" s="28" t="inlineStr">
        <is>
          <t>OK</t>
        </is>
      </c>
    </row>
    <row r="47">
      <c r="B47" s="28" t="inlineStr">
        <is>
          <t>PHM001</t>
        </is>
      </c>
      <c r="C47" s="28" t="inlineStr">
        <is>
          <t>Paracetamol 20pk</t>
        </is>
      </c>
      <c r="D47" s="28" t="inlineStr">
        <is>
          <t>Health &amp; Beauty</t>
        </is>
      </c>
      <c r="E47" s="28" t="inlineStr">
        <is>
          <t>C</t>
        </is>
      </c>
      <c r="F47" s="28" t="inlineStr">
        <is>
          <t>Volatile / irregular demand</t>
        </is>
      </c>
      <c r="G47" s="28" t="inlineStr">
        <is>
          <t>Review facings</t>
        </is>
      </c>
      <c r="H47" s="28" t="inlineStr">
        <is>
          <t>OK</t>
        </is>
      </c>
    </row>
    <row r="48">
      <c r="B48" s="28" t="inlineStr">
        <is>
          <t>PHM002</t>
        </is>
      </c>
      <c r="C48" s="28" t="inlineStr">
        <is>
          <t>Sunscreen SPF50</t>
        </is>
      </c>
      <c r="D48" s="28" t="inlineStr">
        <is>
          <t>Health &amp; Beauty</t>
        </is>
      </c>
      <c r="E48" s="28" t="inlineStr">
        <is>
          <t>B</t>
        </is>
      </c>
      <c r="F48" s="28" t="inlineStr">
        <is>
          <t>Promo-responsive</t>
        </is>
      </c>
      <c r="G48" s="28" t="inlineStr">
        <is>
          <t>Maintain</t>
        </is>
      </c>
      <c r="H48" s="28" t="inlineStr">
        <is>
          <t>OK</t>
        </is>
      </c>
    </row>
    <row r="49">
      <c r="B49" s="28" t="inlineStr">
        <is>
          <t>PRD001</t>
        </is>
      </c>
      <c r="C49" s="28" t="inlineStr">
        <is>
          <t>Bananas (each)</t>
        </is>
      </c>
      <c r="D49" s="28" t="inlineStr">
        <is>
          <t>Produce</t>
        </is>
      </c>
      <c r="E49" s="28" t="inlineStr">
        <is>
          <t>B</t>
        </is>
      </c>
      <c r="F49" s="28" t="inlineStr">
        <is>
          <t>Traffic drivers (high velocity)</t>
        </is>
      </c>
      <c r="G49" s="28" t="inlineStr">
        <is>
          <t>Maintain</t>
        </is>
      </c>
      <c r="H49" s="28" t="inlineStr">
        <is>
          <t>OK</t>
        </is>
      </c>
    </row>
    <row r="50">
      <c r="B50" s="28" t="inlineStr">
        <is>
          <t>PRD002</t>
        </is>
      </c>
      <c r="C50" s="28" t="inlineStr">
        <is>
          <t>Avocado</t>
        </is>
      </c>
      <c r="D50" s="28" t="inlineStr">
        <is>
          <t>Produce</t>
        </is>
      </c>
      <c r="E50" s="28" t="inlineStr">
        <is>
          <t>C</t>
        </is>
      </c>
      <c r="F50" s="28" t="inlineStr">
        <is>
          <t>Waste-exposed perishables</t>
        </is>
      </c>
      <c r="G50" s="28" t="inlineStr">
        <is>
          <t>Review / delist - low sales, high waste</t>
        </is>
      </c>
      <c r="H50" s="28" t="inlineStr">
        <is>
          <t>OK</t>
        </is>
      </c>
    </row>
    <row r="51">
      <c r="B51" s="28" t="inlineStr">
        <is>
          <t>PRD003</t>
        </is>
      </c>
      <c r="C51" s="28" t="inlineStr">
        <is>
          <t>Tomatoes 500g</t>
        </is>
      </c>
      <c r="D51" s="28" t="inlineStr">
        <is>
          <t>Produce</t>
        </is>
      </c>
      <c r="E51" s="28" t="inlineStr">
        <is>
          <t>C</t>
        </is>
      </c>
      <c r="F51" s="28" t="inlineStr">
        <is>
          <t>Volatile / irregular demand</t>
        </is>
      </c>
      <c r="G51" s="28" t="inlineStr">
        <is>
          <t>Review facings</t>
        </is>
      </c>
      <c r="H51" s="28" t="inlineStr">
        <is>
          <t>OK</t>
        </is>
      </c>
    </row>
    <row r="52">
      <c r="B52" s="28" t="inlineStr">
        <is>
          <t>SNK001</t>
        </is>
      </c>
      <c r="C52" s="28" t="inlineStr">
        <is>
          <t>Potato Chips 150g</t>
        </is>
      </c>
      <c r="D52" s="28" t="inlineStr">
        <is>
          <t>Snacks &amp; Confectionery</t>
        </is>
      </c>
      <c r="E52" s="28" t="inlineStr">
        <is>
          <t>A</t>
        </is>
      </c>
      <c r="F52" s="28" t="inlineStr">
        <is>
          <t>Delivery favourites</t>
        </is>
      </c>
      <c r="G52" s="28" t="inlineStr">
        <is>
          <t>Protect availability</t>
        </is>
      </c>
      <c r="H52" s="28" t="inlineStr">
        <is>
          <t>OK</t>
        </is>
      </c>
    </row>
    <row r="53">
      <c r="B53" s="28" t="inlineStr">
        <is>
          <t>SNK002</t>
        </is>
      </c>
      <c r="C53" s="28" t="inlineStr">
        <is>
          <t>Chocolate Block 200g</t>
        </is>
      </c>
      <c r="D53" s="28" t="inlineStr">
        <is>
          <t>Snacks &amp; Confectionery</t>
        </is>
      </c>
      <c r="E53" s="28" t="inlineStr">
        <is>
          <t>A</t>
        </is>
      </c>
      <c r="F53" s="28" t="inlineStr">
        <is>
          <t>Delivery favourites</t>
        </is>
      </c>
      <c r="G53" s="28" t="inlineStr">
        <is>
          <t>Protect availability</t>
        </is>
      </c>
      <c r="H53" s="28" t="inlineStr">
        <is>
          <t>OK</t>
        </is>
      </c>
    </row>
    <row r="54">
      <c r="B54" s="28" t="inlineStr">
        <is>
          <t>SNK003</t>
        </is>
      </c>
      <c r="C54" s="28" t="inlineStr">
        <is>
          <t>Muesli Bar 6pk</t>
        </is>
      </c>
      <c r="D54" s="28" t="inlineStr">
        <is>
          <t>Snacks &amp; Confectionery</t>
        </is>
      </c>
      <c r="E54" s="28" t="inlineStr">
        <is>
          <t>B</t>
        </is>
      </c>
      <c r="F54" s="28" t="inlineStr">
        <is>
          <t>Delivery favourites</t>
        </is>
      </c>
      <c r="G54" s="28" t="inlineStr">
        <is>
          <t>Maintain</t>
        </is>
      </c>
      <c r="H54" s="28" t="inlineStr">
        <is>
          <t>OK</t>
        </is>
      </c>
    </row>
    <row r="55">
      <c r="B55" s="28" t="inlineStr">
        <is>
          <t>SNK004</t>
        </is>
      </c>
      <c r="C55" s="28" t="inlineStr">
        <is>
          <t>Corn Chips 230g</t>
        </is>
      </c>
      <c r="D55" s="28" t="inlineStr">
        <is>
          <t>Snacks &amp; Confectionery</t>
        </is>
      </c>
      <c r="E55" s="28" t="inlineStr">
        <is>
          <t>A</t>
        </is>
      </c>
      <c r="F55" s="28" t="inlineStr">
        <is>
          <t>Delivery favourites</t>
        </is>
      </c>
      <c r="G55" s="28" t="inlineStr">
        <is>
          <t>Protect availability</t>
        </is>
      </c>
      <c r="H55" s="28" t="inlineStr">
        <is>
          <t>OK</t>
        </is>
      </c>
    </row>
    <row r="56">
      <c r="B56" s="28" t="inlineStr">
        <is>
          <t>SNK005</t>
        </is>
      </c>
      <c r="C56" s="28" t="inlineStr">
        <is>
          <t>Lollies Bag 200g</t>
        </is>
      </c>
      <c r="D56" s="28" t="inlineStr">
        <is>
          <t>Snacks &amp; Confectionery</t>
        </is>
      </c>
      <c r="E56" s="28" t="inlineStr">
        <is>
          <t>B</t>
        </is>
      </c>
      <c r="F56" s="28" t="inlineStr">
        <is>
          <t>Delivery favourites</t>
        </is>
      </c>
      <c r="G56" s="28" t="inlineStr">
        <is>
          <t>Maintain</t>
        </is>
      </c>
      <c r="H56" s="28" t="inlineStr">
        <is>
          <t>OK</t>
        </is>
      </c>
    </row>
    <row r="59">
      <c r="B59" s="13" t="inlineStr">
        <is>
          <t>targets</t>
        </is>
      </c>
    </row>
    <row r="60" ht="28" customHeight="1">
      <c r="B60" s="14" t="inlineStr">
        <is>
          <t>category</t>
        </is>
      </c>
      <c r="C60" s="14" t="inlineStr">
        <is>
          <t>gm_target_pct</t>
        </is>
      </c>
      <c r="D60" s="14" t="inlineStr">
        <is>
          <t>owner</t>
        </is>
      </c>
      <c r="E60" s="14" t="inlineStr">
        <is>
          <t>short_life</t>
        </is>
      </c>
    </row>
    <row r="61">
      <c r="B61" s="28" t="inlineStr">
        <is>
          <t>Bakery</t>
        </is>
      </c>
      <c r="C61" s="17" t="n">
        <v>0.382</v>
      </c>
      <c r="D61" s="28" t="inlineStr">
        <is>
          <t>Store Manager</t>
        </is>
      </c>
      <c r="E61" s="28" t="inlineStr">
        <is>
          <t>Yes</t>
        </is>
      </c>
    </row>
    <row r="62">
      <c r="B62" s="28" t="inlineStr">
        <is>
          <t>Beer &amp; Wine</t>
        </is>
      </c>
      <c r="C62" s="17" t="n">
        <v>0.338</v>
      </c>
      <c r="D62" s="28" t="inlineStr">
        <is>
          <t>Licence Manager</t>
        </is>
      </c>
      <c r="E62" s="28" t="inlineStr">
        <is>
          <t>No</t>
        </is>
      </c>
    </row>
    <row r="63">
      <c r="B63" s="28" t="inlineStr">
        <is>
          <t>Beverages</t>
        </is>
      </c>
      <c r="C63" s="17" t="n">
        <v>0.51</v>
      </c>
      <c r="D63" s="28" t="inlineStr">
        <is>
          <t>Duty Manager</t>
        </is>
      </c>
      <c r="E63" s="28" t="inlineStr">
        <is>
          <t>No</t>
        </is>
      </c>
    </row>
    <row r="64">
      <c r="B64" s="28" t="inlineStr">
        <is>
          <t>Dairy</t>
        </is>
      </c>
      <c r="C64" s="17" t="n">
        <v>0.278</v>
      </c>
      <c r="D64" s="28" t="inlineStr">
        <is>
          <t>Duty Manager</t>
        </is>
      </c>
      <c r="E64" s="28" t="inlineStr">
        <is>
          <t>Yes</t>
        </is>
      </c>
    </row>
    <row r="65">
      <c r="B65" s="28" t="inlineStr">
        <is>
          <t>Food To Go</t>
        </is>
      </c>
      <c r="C65" s="17" t="n">
        <v>0.478</v>
      </c>
      <c r="D65" s="28" t="inlineStr">
        <is>
          <t>Store Manager</t>
        </is>
      </c>
      <c r="E65" s="28" t="inlineStr">
        <is>
          <t>Yes</t>
        </is>
      </c>
    </row>
    <row r="66">
      <c r="B66" s="28" t="inlineStr">
        <is>
          <t>Frozen</t>
        </is>
      </c>
      <c r="C66" s="17" t="n">
        <v>0.436</v>
      </c>
      <c r="D66" s="28" t="inlineStr">
        <is>
          <t>Duty Manager</t>
        </is>
      </c>
      <c r="E66" s="28" t="inlineStr">
        <is>
          <t>No</t>
        </is>
      </c>
    </row>
    <row r="67">
      <c r="B67" s="28" t="inlineStr">
        <is>
          <t>Grocery</t>
        </is>
      </c>
      <c r="C67" s="17" t="n">
        <v>0.348</v>
      </c>
      <c r="D67" s="28" t="inlineStr">
        <is>
          <t>Duty Manager</t>
        </is>
      </c>
      <c r="E67" s="28" t="inlineStr">
        <is>
          <t>No</t>
        </is>
      </c>
    </row>
    <row r="68">
      <c r="B68" s="28" t="inlineStr">
        <is>
          <t>Health &amp; Beauty</t>
        </is>
      </c>
      <c r="C68" s="17" t="n">
        <v>0.501</v>
      </c>
      <c r="D68" s="28" t="inlineStr">
        <is>
          <t>Store Manager</t>
        </is>
      </c>
      <c r="E68" s="28" t="inlineStr">
        <is>
          <t>No</t>
        </is>
      </c>
    </row>
    <row r="69">
      <c r="B69" s="28" t="inlineStr">
        <is>
          <t>Household</t>
        </is>
      </c>
      <c r="C69" s="17" t="n">
        <v>0.412</v>
      </c>
      <c r="D69" s="28" t="inlineStr">
        <is>
          <t>Duty Manager</t>
        </is>
      </c>
      <c r="E69" s="28" t="inlineStr">
        <is>
          <t>No</t>
        </is>
      </c>
    </row>
    <row r="70">
      <c r="B70" s="28" t="inlineStr">
        <is>
          <t>Produce</t>
        </is>
      </c>
      <c r="C70" s="17" t="n">
        <v>0.431</v>
      </c>
      <c r="D70" s="28" t="inlineStr">
        <is>
          <t>Duty Manager</t>
        </is>
      </c>
      <c r="E70" s="28" t="inlineStr">
        <is>
          <t>Yes</t>
        </is>
      </c>
    </row>
    <row r="71">
      <c r="B71" s="28" t="inlineStr">
        <is>
          <t>Snacks &amp; Confectionery</t>
        </is>
      </c>
      <c r="C71" s="17" t="n">
        <v>0.443</v>
      </c>
      <c r="D71" s="28" t="inlineStr">
        <is>
          <t>Duty Manager</t>
        </is>
      </c>
      <c r="E71" s="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5B1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70" customWidth="1" min="4" max="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Assumptions</t>
        </is>
      </c>
      <c r="C2" s="1" t="n"/>
      <c r="D2" s="1" t="n"/>
      <c r="E2" s="1" t="n"/>
      <c r="F2" s="1" t="n"/>
    </row>
    <row r="3">
      <c r="A3" s="1" t="n"/>
      <c r="B3" s="4" t="inlineStr">
        <is>
          <t>Blue cells are inputs: change them and every sheet recalculates.</t>
        </is>
      </c>
      <c r="C3" s="1" t="n"/>
      <c r="D3" s="1" t="n"/>
      <c r="E3" s="1" t="n"/>
      <c r="F3" s="1" t="n"/>
    </row>
    <row r="5" ht="28" customHeight="1">
      <c r="B5" s="14" t="inlineStr">
        <is>
          <t>Input</t>
        </is>
      </c>
      <c r="C5" s="14" t="inlineStr">
        <is>
          <t>Value</t>
        </is>
      </c>
      <c r="D5" s="14" t="inlineStr">
        <is>
          <t>Why / source</t>
        </is>
      </c>
    </row>
    <row r="6">
      <c r="B6" s="28" t="inlineStr">
        <is>
          <t>Period ends (week ending)</t>
        </is>
      </c>
      <c r="C6" s="29" t="n">
        <v>46306</v>
      </c>
      <c r="D6" s="30" t="inlineStr">
        <is>
          <t>13-week window ends here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0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Notes, method and sign-off</t>
        </is>
      </c>
      <c r="C2" s="1" t="n"/>
      <c r="D2" s="1" t="n"/>
      <c r="E2" s="1" t="n"/>
      <c r="F2" s="1" t="n"/>
    </row>
    <row r="3">
      <c r="A3" s="1" t="n"/>
      <c r="B3" s="4" t="inlineStr">
        <is>
          <t>How the numbers were made, what each column means, and who approved it.</t>
        </is>
      </c>
      <c r="C3" s="1" t="n"/>
      <c r="D3" s="1" t="n"/>
      <c r="E3" s="1" t="n"/>
      <c r="F3" s="1" t="n"/>
    </row>
    <row r="5">
      <c r="B5" s="13" t="inlineStr">
        <is>
          <t>About this workbook</t>
        </is>
      </c>
    </row>
    <row r="6">
      <c r="C6" s="31" t="inlineStr">
        <is>
          <t>Store: Demo Neighbourhood Store (Eden Terrace format).  Data to 11 Oct 2026.  Shelly v1.19.0.</t>
        </is>
      </c>
    </row>
    <row r="7">
      <c r="C7" s="31" t="inlineStr">
        <is>
          <t>Synthetic demo data.</t>
        </is>
      </c>
    </row>
    <row r="8">
      <c r="C8" s="31" t="inlineStr">
        <is>
          <t>Change the blue Category cell on the Dashboard, or any blue input on Assumptions: every formula follows.</t>
        </is>
      </c>
    </row>
    <row r="10">
      <c r="B10" s="13" t="inlineStr">
        <is>
          <t>Method</t>
        </is>
      </c>
    </row>
    <row r="11">
      <c r="C11" s="31" t="inlineStr">
        <is>
          <t>13 weeks = the 91 days ending on the Period ends input; prior = the 91 days before that.</t>
        </is>
      </c>
    </row>
    <row r="12">
      <c r="C12" s="31" t="inlineStr">
        <is>
          <t>ABC: products ranked by sales; A = top 80% of category sales, B = next 15%, C = last 5%.</t>
        </is>
      </c>
    </row>
    <row r="13">
      <c r="C13" s="31" t="inlineStr">
        <is>
          <t>Segment and range call come from the K-means segmentation and assortment rules.</t>
        </is>
      </c>
    </row>
    <row r="15">
      <c r="B15" s="13" t="inlineStr">
        <is>
          <t>Data dictionary (Raw sheet)</t>
        </is>
      </c>
    </row>
    <row r="16">
      <c r="B16" s="28" t="inlineStr">
        <is>
          <t>Week ending</t>
        </is>
      </c>
      <c r="C16" s="28" t="inlineStr">
        <is>
          <t>Last day of the week</t>
        </is>
      </c>
    </row>
    <row r="17">
      <c r="B17" s="28" t="inlineStr">
        <is>
          <t>SKU</t>
        </is>
      </c>
      <c r="C17" s="28" t="inlineStr">
        <is>
          <t>Product code</t>
        </is>
      </c>
    </row>
    <row r="18">
      <c r="B18" s="28" t="inlineStr">
        <is>
          <t>Sales</t>
        </is>
      </c>
      <c r="C18" s="28" t="inlineStr">
        <is>
          <t>Net sales ($)</t>
        </is>
      </c>
    </row>
    <row r="19">
      <c r="B19" s="28" t="inlineStr">
        <is>
          <t>Units</t>
        </is>
      </c>
      <c r="C19" s="28" t="inlineStr">
        <is>
          <t>Units sold</t>
        </is>
      </c>
    </row>
    <row r="20">
      <c r="B20" s="28" t="inlineStr">
        <is>
          <t>Gross margin</t>
        </is>
      </c>
      <c r="C20" s="28" t="inlineStr">
        <is>
          <t>Sales − cost ($)</t>
        </is>
      </c>
    </row>
    <row r="22">
      <c r="B22" s="13" t="inlineStr">
        <is>
          <t>Sign-off</t>
        </is>
      </c>
    </row>
    <row r="23">
      <c r="B23" s="25" t="inlineStr">
        <is>
          <t>Range calls agreed</t>
        </is>
      </c>
      <c r="C23" s="7" t="inlineStr">
        <is>
          <t>Name: ____________   Date: ________   ☐ Approved  ☐ Changes needed</t>
        </is>
      </c>
    </row>
    <row r="24">
      <c r="B24" s="25" t="inlineStr">
        <is>
          <t>Category owner briefed</t>
        </is>
      </c>
      <c r="C24" s="7" t="inlineStr">
        <is>
          <t>Name: ____________   Date: ________   ☐ Approved  ☐ Changes needed</t>
        </is>
      </c>
    </row>
    <row r="26">
      <c r="B26" s="7" t="inlineStr">
        <is>
          <t>Generated by Shelly on 11 Oct 2026 21:21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2026-10-11T21:21:01Z</dcterms:created>
  <dcterms:modified xsi:type="dcterms:W3CDTF">2026-10-11T21:21:01Z</dcterms:modified>
</cp:coreProperties>
</file>