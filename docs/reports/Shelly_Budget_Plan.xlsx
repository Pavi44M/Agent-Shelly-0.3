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Pivot" sheetId="3" state="visible" r:id="rId3"/>
    <sheet xmlns:r="http://schemas.openxmlformats.org/officeDocument/2006/relationships" name="Raw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Notes" sheetId="7" state="visible" r:id="rId7"/>
  </sheets>
  <definedNames>
    <definedName name="in_growth">Assumptions!$C$6</definedName>
    <definedName name="in_start">Assumptions!$C$7</definedName>
    <definedName name="in_months">Assumptions!$C$8</definedName>
    <definedName name="SelCat">Dashboard!$B$6</definedName>
    <definedName name="CatCrit">IF(Dashboard!$B$6="All","*",Dashboard!$B$6)</definedName>
  </definedNames>
  <calcPr calcId="124519" fullCalcOnLoad="1"/>
  <pivotCaches>
    <pivotCache xmlns:r="http://schemas.openxmlformats.org/officeDocument/2006/relationships" cacheId="1" r:id="rId8"/>
  </pivotCaches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mmm yyyy"/>
    <numFmt numFmtId="166" formatCode="$#,##0.00;($#,##0.00);&quot;-&quot;"/>
    <numFmt numFmtId="167" formatCode="#,##0;(#,##0);&quot;-&quot;"/>
    <numFmt numFmtId="168" formatCode="0.0%;(0.0%);&quot;-&quot;"/>
    <numFmt numFmtId="169" formatCode="$#,##0;($#,##0);&quot;-&quot;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0000FF"/>
      <sz val="10"/>
    </font>
    <font>
      <name val="Arial"/>
      <i val="1"/>
      <color rgb="006B7686"/>
      <sz val="9"/>
    </font>
    <font>
      <name val="Arial"/>
      <b val="1"/>
      <color rgb="001B2433"/>
      <sz val="11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bottom style="thin">
        <color rgb="00D9DEE5"/>
      </bottom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0" fillId="0" borderId="0" pivotButton="0" quotePrefix="0" xfId="0"/>
    <xf numFmtId="0" fontId="11" fillId="4" borderId="2" pivotButton="0" quotePrefix="0" xfId="0"/>
    <xf numFmtId="0" fontId="8" fillId="0" borderId="0" pivotButton="0" quotePrefix="0" xfId="0"/>
    <xf numFmtId="0" fontId="10" fillId="6" borderId="0" pivotButton="0" quotePrefix="0" xfId="0"/>
    <xf numFmtId="0" fontId="0" fillId="6" borderId="0" pivotButton="0" quotePrefix="0" xfId="0"/>
    <xf numFmtId="169" fontId="13" fillId="6" borderId="0" applyAlignment="1" pivotButton="0" quotePrefix="0" xfId="0">
      <alignment horizontal="left"/>
    </xf>
    <xf numFmtId="168" fontId="13" fillId="6" borderId="0" applyAlignment="1" pivotButton="0" quotePrefix="0" xfId="0">
      <alignment horizontal="left"/>
    </xf>
    <xf numFmtId="0" fontId="8" fillId="6" borderId="0" pivotButton="0" quotePrefix="0" xfId="0"/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165" fontId="2" fillId="0" borderId="1" pivotButton="0" quotePrefix="0" xfId="0"/>
    <xf numFmtId="169" fontId="2" fillId="0" borderId="1" pivotButton="0" quotePrefix="0" xfId="0"/>
    <xf numFmtId="168" fontId="2" fillId="0" borderId="1" pivotButton="0" quotePrefix="0" xfId="0"/>
    <xf numFmtId="167" fontId="2" fillId="0" borderId="1" pivotButton="0" quotePrefix="0" xfId="0"/>
    <xf numFmtId="0" fontId="12" fillId="5" borderId="0" pivotButton="0" quotePrefix="0" xfId="0"/>
    <xf numFmtId="169" fontId="12" fillId="5" borderId="0" pivotButton="0" quotePrefix="0" xfId="0"/>
    <xf numFmtId="168" fontId="12" fillId="5" borderId="0" pivotButton="0" quotePrefix="0" xfId="0"/>
    <xf numFmtId="167" fontId="12" fillId="5" borderId="0" pivotButton="0" quotePrefix="0" xfId="0"/>
    <xf numFmtId="49" fontId="2" fillId="0" borderId="1" pivotButton="0" quotePrefix="0" xfId="0"/>
    <xf numFmtId="49" fontId="12" fillId="5" borderId="0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2" fillId="0" borderId="1" pivotButton="0" quotePrefix="0" xfId="0"/>
    <xf numFmtId="168" fontId="7" fillId="4" borderId="2" pivotButton="0" quotePrefix="0" xfId="0"/>
    <xf numFmtId="0" fontId="8" fillId="0" borderId="1" pivotButton="0" quotePrefix="0" xfId="0"/>
    <xf numFmtId="165" fontId="7" fillId="4" borderId="2" pivotButton="0" quotePrefix="0" xfId="0"/>
    <xf numFmtId="167" fontId="7" fillId="4" borderId="2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pivotCacheDefinition" Target="/xl/pivotCache/pivotCacheDefinition2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forecast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v>Budget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'Model'!$B$8:$B$19</f>
            </numRef>
          </cat>
          <val>
            <numRef>
              <f>'Model'!$D$8:$D$19</f>
            </numRef>
          </val>
        </ser>
        <ser>
          <idx val="1"/>
          <order val="1"/>
          <tx>
            <v>Forecast</v>
          </tx>
          <spPr>
            <a:solidFill xmlns:a="http://schemas.openxmlformats.org/drawingml/2006/main">
              <a:srgbClr val="0B1220"/>
            </a:solidFill>
            <a:ln xmlns:a="http://schemas.openxmlformats.org/drawingml/2006/main">
              <a:solidFill>
                <a:srgbClr val="0B1220"/>
              </a:solidFill>
              <a:prstDash val="solid"/>
            </a:ln>
          </spPr>
          <cat>
            <numRef>
              <f>'Model'!$B$8:$B$19</f>
            </numRef>
          </cat>
          <val>
            <numRef>
              <f>'Model'!$E$8:$E$19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Gap to budget by category (plan window)</a:t>
            </a:r>
          </a:p>
        </rich>
      </tx>
    </title>
    <plotArea>
      <barChart>
        <barDir val="col"/>
        <grouping val="clustered"/>
        <ser>
          <idx val="0"/>
          <order val="0"/>
          <tx>
            <v>Gap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'Model'!$B$26:$B$36</f>
            </numRef>
          </cat>
          <val>
            <numRef>
              <f>'Model'!$F$26:$F$36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comments/comment2.xml><?xml version="1.0" encoding="utf-8"?>
<comments xmlns="http://schemas.openxmlformats.org/spreadsheetml/2006/main">
  <authors>
    <author>Shelly</author>
  </authors>
  <commentList>
    <comment ref="C7" authorId="0" shapeId="0">
      <text>
        <t>Actual sales, same month last year</t>
      </text>
    </comment>
    <comment ref="D7" authorId="0" shapeId="0">
      <text>
        <t>Last year × (1 + growth target)</t>
      </text>
    </comment>
    <comment ref="L7" authorId="0" shapeId="0">
      <text>
        <t>1 = inside the plan window</t>
      </text>
    </comment>
    <comment ref="I25" authorId="0" shapeId="0">
      <text>
        <t>Lookup: last 12 months' GM % for the category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396" r:id="rId1">
  <cacheSource type="worksheet">
    <worksheetSource ref="A1:H397" sheet="Raw"/>
  </cacheSource>
  <cacheFields count="8">
    <cacheField name="Month" uniqueList="1" numFmtId="0" sqlType="0" hierarchy="0" level="0" databaseField="1">
      <sharedItems count="36">
        <s v="2024-10-01"/>
        <s v="2024-11-01"/>
        <s v="2024-12-01"/>
        <s v="2025-01-01"/>
        <s v="2025-02-01"/>
        <s v="2025-03-01"/>
        <s v="2025-04-01"/>
        <s v="2025-05-01"/>
        <s v="2025-06-01"/>
        <s v="2025-07-01"/>
        <s v="2025-08-01"/>
        <s v="2025-09-01"/>
        <s v="2025-10-01"/>
        <s v="2025-11-01"/>
        <s v="2025-12-01"/>
        <s v="2026-01-01"/>
        <s v="2026-02-01"/>
        <s v="2026-03-01"/>
        <s v="2026-04-01"/>
        <s v="2026-05-01"/>
        <s v="2026-06-01"/>
        <s v="2026-07-01"/>
        <s v="2026-08-01"/>
        <s v="2026-09-01"/>
        <s v="2026-10-01"/>
        <s v="2026-11-01"/>
        <s v="2026-12-01"/>
        <s v="2027-01-01"/>
        <s v="2027-02-01"/>
        <s v="2027-03-01"/>
        <s v="2027-04-01"/>
        <s v="2027-05-01"/>
        <s v="2027-06-01"/>
        <s v="2027-07-01"/>
        <s v="2027-08-01"/>
        <s v="2027-09-01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Type" uniqueList="1" numFmtId="0" sqlType="0" hierarchy="0" level="0" databaseField="1">
      <sharedItems count="3">
        <s v="Actual"/>
        <s v="Forecast"/>
        <s v="Outlook"/>
      </sharedItems>
    </cacheField>
    <cacheField name="Sales" uniqueList="1" numFmtId="0" sqlType="0" hierarchy="0" level="0" databaseField="1">
      <sharedItems count="0" containsNumber="1" containsSemiMixedTypes="0" containsString="0" minValue="1058.34" maxValue="17759.05"/>
    </cacheField>
    <cacheField name="Gross margin" uniqueList="1" numFmtId="0" sqlType="0" hierarchy="0" level="0" databaseField="1">
      <sharedItems count="0" containsNumber="1" containsSemiMixedTypes="0" containsString="0" minValue="0" maxValue="8679.209999999999"/>
    </cacheField>
    <cacheField name="Units" uniqueList="1" numFmtId="0" sqlType="0" hierarchy="0" level="0" databaseField="1">
      <sharedItems count="0" containsInteger="1" containsNumber="1" containsSemiMixedTypes="0" containsString="0" minValue="0" maxValue="4134"/>
    </cacheField>
    <cacheField name="Low" uniqueList="1" numFmtId="0" sqlType="0" hierarchy="0" level="0" databaseField="1">
      <sharedItems count="0" containsNumber="1" containsSemiMixedTypes="0" containsString="0" minValue="0" maxValue="17069.04"/>
    </cacheField>
    <cacheField name="High" uniqueList="1" numFmtId="0" sqlType="0" hierarchy="0" level="0" databaseField="1">
      <sharedItems count="0" containsNumber="1" containsSemiMixedTypes="0" containsString="0" minValue="0" maxValue="18449.07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396" r:id="rId1">
  <cacheSource type="worksheet">
    <worksheetSource ref="A1:H397" sheet="Raw"/>
  </cacheSource>
  <cacheFields count="8">
    <cacheField name="Month" uniqueList="1" numFmtId="0" sqlType="0" hierarchy="0" level="0" databaseField="1">
      <sharedItems count="36">
        <s v="2024-10-01"/>
        <s v="2024-11-01"/>
        <s v="2024-12-01"/>
        <s v="2025-01-01"/>
        <s v="2025-02-01"/>
        <s v="2025-03-01"/>
        <s v="2025-04-01"/>
        <s v="2025-05-01"/>
        <s v="2025-06-01"/>
        <s v="2025-07-01"/>
        <s v="2025-08-01"/>
        <s v="2025-09-01"/>
        <s v="2025-10-01"/>
        <s v="2025-11-01"/>
        <s v="2025-12-01"/>
        <s v="2026-01-01"/>
        <s v="2026-02-01"/>
        <s v="2026-03-01"/>
        <s v="2026-04-01"/>
        <s v="2026-05-01"/>
        <s v="2026-06-01"/>
        <s v="2026-07-01"/>
        <s v="2026-08-01"/>
        <s v="2026-09-01"/>
        <s v="2026-10-01"/>
        <s v="2026-11-01"/>
        <s v="2026-12-01"/>
        <s v="2027-01-01"/>
        <s v="2027-02-01"/>
        <s v="2027-03-01"/>
        <s v="2027-04-01"/>
        <s v="2027-05-01"/>
        <s v="2027-06-01"/>
        <s v="2027-07-01"/>
        <s v="2027-08-01"/>
        <s v="2027-09-01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Type" uniqueList="1" numFmtId="0" sqlType="0" hierarchy="0" level="0" databaseField="1">
      <sharedItems count="3">
        <s v="Actual"/>
        <s v="Forecast"/>
        <s v="Outlook"/>
      </sharedItems>
    </cacheField>
    <cacheField name="Sales" uniqueList="1" numFmtId="0" sqlType="0" hierarchy="0" level="0" databaseField="1">
      <sharedItems count="0" containsNumber="1" containsSemiMixedTypes="0" containsString="0" minValue="1058.34" maxValue="17759.05"/>
    </cacheField>
    <cacheField name="Gross margin" uniqueList="1" numFmtId="0" sqlType="0" hierarchy="0" level="0" databaseField="1">
      <sharedItems count="0" containsNumber="1" containsSemiMixedTypes="0" containsString="0" minValue="0" maxValue="8679.209999999999"/>
    </cacheField>
    <cacheField name="Units" uniqueList="1" numFmtId="0" sqlType="0" hierarchy="0" level="0" databaseField="1">
      <sharedItems count="0" containsInteger="1" containsNumber="1" containsSemiMixedTypes="0" containsString="0" minValue="0" maxValue="4134"/>
    </cacheField>
    <cacheField name="Low" uniqueList="1" numFmtId="0" sqlType="0" hierarchy="0" level="0" databaseField="1">
      <sharedItems count="0" containsNumber="1" containsSemiMixedTypes="0" containsString="0" minValue="0" maxValue="17069.04"/>
    </cacheField>
    <cacheField name="High" uniqueList="1" numFmtId="0" sqlType="0" hierarchy="0" level="0" databaseField="1">
      <sharedItems count="0" containsNumber="1" containsSemiMixedTypes="0" containsString="0" minValue="0" maxValue="18449.07"/>
    </cacheField>
  </cacheFields>
</pivotCacheDefinition>
</file>

<file path=xl/pivotCache/pivotCacheRecords1.xml><?xml version="1.0" encoding="utf-8"?>
<pivotCacheRecords xmlns="http://schemas.openxmlformats.org/spreadsheetml/2006/main" count="396">
  <r>
    <x v="0"/>
    <x v="0"/>
    <x v="0"/>
    <n v="4481.93"/>
    <n v="1677.73"/>
    <n v="1105"/>
    <n v="0"/>
    <n v="0"/>
  </r>
  <r>
    <x v="0"/>
    <x v="1"/>
    <x v="0"/>
    <n v="10235.73"/>
    <n v="3514.13"/>
    <n v="527"/>
    <n v="0"/>
    <n v="0"/>
  </r>
  <r>
    <x v="0"/>
    <x v="2"/>
    <x v="0"/>
    <n v="12094.31"/>
    <n v="6055.71"/>
    <n v="3003"/>
    <n v="0"/>
    <n v="0"/>
  </r>
  <r>
    <x v="0"/>
    <x v="3"/>
    <x v="0"/>
    <n v="13185.24"/>
    <n v="3669.29"/>
    <n v="2292"/>
    <n v="0"/>
    <n v="0"/>
  </r>
  <r>
    <x v="0"/>
    <x v="4"/>
    <x v="0"/>
    <n v="14367.98"/>
    <n v="6807.88"/>
    <n v="1892"/>
    <n v="0"/>
    <n v="0"/>
  </r>
  <r>
    <x v="0"/>
    <x v="5"/>
    <x v="0"/>
    <n v="5666.6"/>
    <n v="2453.3"/>
    <n v="840"/>
    <n v="0"/>
    <n v="0"/>
  </r>
  <r>
    <x v="0"/>
    <x v="6"/>
    <x v="0"/>
    <n v="7676.64"/>
    <n v="2694.04"/>
    <n v="1326"/>
    <n v="0"/>
    <n v="0"/>
  </r>
  <r>
    <x v="0"/>
    <x v="7"/>
    <x v="0"/>
    <n v="1110.54"/>
    <n v="560.14"/>
    <n v="146"/>
    <n v="0"/>
    <n v="0"/>
  </r>
  <r>
    <x v="0"/>
    <x v="8"/>
    <x v="0"/>
    <n v="2383.06"/>
    <n v="980.66"/>
    <n v="294"/>
    <n v="0"/>
    <n v="0"/>
  </r>
  <r>
    <x v="0"/>
    <x v="9"/>
    <x v="0"/>
    <n v="1960.28"/>
    <n v="841.36"/>
    <n v="1352"/>
    <n v="0"/>
    <n v="0"/>
  </r>
  <r>
    <x v="0"/>
    <x v="10"/>
    <x v="0"/>
    <n v="8347.49"/>
    <n v="3676.59"/>
    <n v="1931"/>
    <n v="0"/>
    <n v="0"/>
  </r>
  <r>
    <x v="1"/>
    <x v="0"/>
    <x v="0"/>
    <n v="4751.08"/>
    <n v="1852.28"/>
    <n v="1142"/>
    <n v="0"/>
    <n v="0"/>
  </r>
  <r>
    <x v="1"/>
    <x v="1"/>
    <x v="0"/>
    <n v="10463.63"/>
    <n v="3589.93"/>
    <n v="537"/>
    <n v="0"/>
    <n v="0"/>
  </r>
  <r>
    <x v="1"/>
    <x v="2"/>
    <x v="0"/>
    <n v="13850.92"/>
    <n v="7047.07"/>
    <n v="3400"/>
    <n v="0"/>
    <n v="0"/>
  </r>
  <r>
    <x v="1"/>
    <x v="3"/>
    <x v="0"/>
    <n v="13636.2"/>
    <n v="3808.35"/>
    <n v="2290"/>
    <n v="0"/>
    <n v="0"/>
  </r>
  <r>
    <x v="1"/>
    <x v="4"/>
    <x v="0"/>
    <n v="15179.64"/>
    <n v="7131.84"/>
    <n v="1936"/>
    <n v="0"/>
    <n v="0"/>
  </r>
  <r>
    <x v="1"/>
    <x v="5"/>
    <x v="0"/>
    <n v="5316.74"/>
    <n v="2326.94"/>
    <n v="806"/>
    <n v="0"/>
    <n v="0"/>
  </r>
  <r>
    <x v="1"/>
    <x v="6"/>
    <x v="0"/>
    <n v="7966.69"/>
    <n v="2576.49"/>
    <n v="1295"/>
    <n v="0"/>
    <n v="0"/>
  </r>
  <r>
    <x v="1"/>
    <x v="7"/>
    <x v="0"/>
    <n v="1443.34"/>
    <n v="709.14"/>
    <n v="166"/>
    <n v="0"/>
    <n v="0"/>
  </r>
  <r>
    <x v="1"/>
    <x v="8"/>
    <x v="0"/>
    <n v="2115.44"/>
    <n v="857.24"/>
    <n v="256"/>
    <n v="0"/>
    <n v="0"/>
  </r>
  <r>
    <x v="1"/>
    <x v="9"/>
    <x v="0"/>
    <n v="1972.65"/>
    <n v="858.55"/>
    <n v="1285"/>
    <n v="0"/>
    <n v="0"/>
  </r>
  <r>
    <x v="1"/>
    <x v="10"/>
    <x v="0"/>
    <n v="7871"/>
    <n v="3445.3"/>
    <n v="1820"/>
    <n v="0"/>
    <n v="0"/>
  </r>
  <r>
    <x v="2"/>
    <x v="0"/>
    <x v="0"/>
    <n v="4842.77"/>
    <n v="1844.97"/>
    <n v="1185"/>
    <n v="0"/>
    <n v="0"/>
  </r>
  <r>
    <x v="2"/>
    <x v="1"/>
    <x v="0"/>
    <n v="12970.77"/>
    <n v="4291.97"/>
    <n v="683"/>
    <n v="0"/>
    <n v="0"/>
  </r>
  <r>
    <x v="2"/>
    <x v="2"/>
    <x v="0"/>
    <n v="16026.29"/>
    <n v="8068.84"/>
    <n v="3943"/>
    <n v="0"/>
    <n v="0"/>
  </r>
  <r>
    <x v="2"/>
    <x v="3"/>
    <x v="0"/>
    <n v="15110.98"/>
    <n v="4244.23"/>
    <n v="2572"/>
    <n v="0"/>
    <n v="0"/>
  </r>
  <r>
    <x v="2"/>
    <x v="4"/>
    <x v="0"/>
    <n v="16534.26"/>
    <n v="7807.66"/>
    <n v="2074"/>
    <n v="0"/>
    <n v="0"/>
  </r>
  <r>
    <x v="2"/>
    <x v="5"/>
    <x v="0"/>
    <n v="5830.14"/>
    <n v="2579.14"/>
    <n v="906"/>
    <n v="0"/>
    <n v="0"/>
  </r>
  <r>
    <x v="2"/>
    <x v="6"/>
    <x v="0"/>
    <n v="8327.25"/>
    <n v="2713.25"/>
    <n v="1337"/>
    <n v="0"/>
    <n v="0"/>
  </r>
  <r>
    <x v="2"/>
    <x v="7"/>
    <x v="0"/>
    <n v="1659.13"/>
    <n v="812.13"/>
    <n v="187"/>
    <n v="0"/>
    <n v="0"/>
  </r>
  <r>
    <x v="2"/>
    <x v="8"/>
    <x v="0"/>
    <n v="2435"/>
    <n v="984.8"/>
    <n v="300"/>
    <n v="0"/>
    <n v="0"/>
  </r>
  <r>
    <x v="2"/>
    <x v="9"/>
    <x v="0"/>
    <n v="2428.12"/>
    <n v="1042.48"/>
    <n v="1548"/>
    <n v="0"/>
    <n v="0"/>
  </r>
  <r>
    <x v="2"/>
    <x v="10"/>
    <x v="0"/>
    <n v="8838.4"/>
    <n v="3961.9"/>
    <n v="2010"/>
    <n v="0"/>
    <n v="0"/>
  </r>
  <r>
    <x v="3"/>
    <x v="0"/>
    <x v="0"/>
    <n v="4173.27"/>
    <n v="1627.57"/>
    <n v="1003"/>
    <n v="0"/>
    <n v="0"/>
  </r>
  <r>
    <x v="3"/>
    <x v="1"/>
    <x v="0"/>
    <n v="10241.03"/>
    <n v="3464.83"/>
    <n v="537"/>
    <n v="0"/>
    <n v="0"/>
  </r>
  <r>
    <x v="3"/>
    <x v="2"/>
    <x v="0"/>
    <n v="14053.91"/>
    <n v="7098.56"/>
    <n v="3481"/>
    <n v="0"/>
    <n v="0"/>
  </r>
  <r>
    <x v="3"/>
    <x v="3"/>
    <x v="0"/>
    <n v="12577.26"/>
    <n v="3583.16"/>
    <n v="2174"/>
    <n v="0"/>
    <n v="0"/>
  </r>
  <r>
    <x v="3"/>
    <x v="4"/>
    <x v="0"/>
    <n v="14503.63"/>
    <n v="6838.83"/>
    <n v="1787"/>
    <n v="0"/>
    <n v="0"/>
  </r>
  <r>
    <x v="3"/>
    <x v="5"/>
    <x v="0"/>
    <n v="5193.61"/>
    <n v="2287.11"/>
    <n v="799"/>
    <n v="0"/>
    <n v="0"/>
  </r>
  <r>
    <x v="3"/>
    <x v="6"/>
    <x v="0"/>
    <n v="7159.06"/>
    <n v="2438.26"/>
    <n v="1134"/>
    <n v="0"/>
    <n v="0"/>
  </r>
  <r>
    <x v="3"/>
    <x v="7"/>
    <x v="0"/>
    <n v="1440.87"/>
    <n v="694.47"/>
    <n v="153"/>
    <n v="0"/>
    <n v="0"/>
  </r>
  <r>
    <x v="3"/>
    <x v="8"/>
    <x v="0"/>
    <n v="1971.17"/>
    <n v="764.47"/>
    <n v="243"/>
    <n v="0"/>
    <n v="0"/>
  </r>
  <r>
    <x v="3"/>
    <x v="9"/>
    <x v="0"/>
    <n v="1959.34"/>
    <n v="849.58"/>
    <n v="1266"/>
    <n v="0"/>
    <n v="0"/>
  </r>
  <r>
    <x v="3"/>
    <x v="10"/>
    <x v="0"/>
    <n v="7378.69"/>
    <n v="3249.09"/>
    <n v="1691"/>
    <n v="0"/>
    <n v="0"/>
  </r>
  <r>
    <x v="4"/>
    <x v="0"/>
    <x v="0"/>
    <n v="4108.81"/>
    <n v="1554.81"/>
    <n v="1019"/>
    <n v="0"/>
    <n v="0"/>
  </r>
  <r>
    <x v="4"/>
    <x v="1"/>
    <x v="0"/>
    <n v="10389.59"/>
    <n v="3554.99"/>
    <n v="541"/>
    <n v="0"/>
    <n v="0"/>
  </r>
  <r>
    <x v="4"/>
    <x v="2"/>
    <x v="0"/>
    <n v="13796.63"/>
    <n v="6984.98"/>
    <n v="3387"/>
    <n v="0"/>
    <n v="0"/>
  </r>
  <r>
    <x v="4"/>
    <x v="3"/>
    <x v="0"/>
    <n v="12519.59"/>
    <n v="3554.54"/>
    <n v="2161"/>
    <n v="0"/>
    <n v="0"/>
  </r>
  <r>
    <x v="4"/>
    <x v="4"/>
    <x v="0"/>
    <n v="14436.92"/>
    <n v="6846.82"/>
    <n v="1808"/>
    <n v="0"/>
    <n v="0"/>
  </r>
  <r>
    <x v="4"/>
    <x v="5"/>
    <x v="0"/>
    <n v="5260"/>
    <n v="2337.7"/>
    <n v="840"/>
    <n v="0"/>
    <n v="0"/>
  </r>
  <r>
    <x v="4"/>
    <x v="6"/>
    <x v="0"/>
    <n v="6692.11"/>
    <n v="2309.61"/>
    <n v="1089"/>
    <n v="0"/>
    <n v="0"/>
  </r>
  <r>
    <x v="4"/>
    <x v="7"/>
    <x v="0"/>
    <n v="1253.43"/>
    <n v="626.03"/>
    <n v="157"/>
    <n v="0"/>
    <n v="0"/>
  </r>
  <r>
    <x v="4"/>
    <x v="8"/>
    <x v="0"/>
    <n v="1867.69"/>
    <n v="756.1900000000001"/>
    <n v="231"/>
    <n v="0"/>
    <n v="0"/>
  </r>
  <r>
    <x v="4"/>
    <x v="9"/>
    <x v="0"/>
    <n v="2109.33"/>
    <n v="901.6900000000001"/>
    <n v="1327"/>
    <n v="0"/>
    <n v="0"/>
  </r>
  <r>
    <x v="4"/>
    <x v="10"/>
    <x v="0"/>
    <n v="7474.83"/>
    <n v="3285.93"/>
    <n v="1719"/>
    <n v="0"/>
    <n v="0"/>
  </r>
  <r>
    <x v="5"/>
    <x v="0"/>
    <x v="0"/>
    <n v="4685.64"/>
    <n v="1834.24"/>
    <n v="1116"/>
    <n v="0"/>
    <n v="0"/>
  </r>
  <r>
    <x v="5"/>
    <x v="1"/>
    <x v="0"/>
    <n v="11025.5"/>
    <n v="3539.2"/>
    <n v="590"/>
    <n v="0"/>
    <n v="0"/>
  </r>
  <r>
    <x v="5"/>
    <x v="2"/>
    <x v="0"/>
    <n v="14281.38"/>
    <n v="7246.88"/>
    <n v="3512"/>
    <n v="0"/>
    <n v="0"/>
  </r>
  <r>
    <x v="5"/>
    <x v="3"/>
    <x v="0"/>
    <n v="14033.27"/>
    <n v="3798.32"/>
    <n v="2431"/>
    <n v="0"/>
    <n v="0"/>
  </r>
  <r>
    <x v="5"/>
    <x v="4"/>
    <x v="0"/>
    <n v="16215.27"/>
    <n v="7646.77"/>
    <n v="2093"/>
    <n v="0"/>
    <n v="0"/>
  </r>
  <r>
    <x v="5"/>
    <x v="5"/>
    <x v="0"/>
    <n v="6250.81"/>
    <n v="2717.91"/>
    <n v="919"/>
    <n v="0"/>
    <n v="0"/>
  </r>
  <r>
    <x v="5"/>
    <x v="6"/>
    <x v="0"/>
    <n v="7809.36"/>
    <n v="2701.56"/>
    <n v="1274"/>
    <n v="0"/>
    <n v="0"/>
  </r>
  <r>
    <x v="5"/>
    <x v="7"/>
    <x v="0"/>
    <n v="1483.35"/>
    <n v="724.35"/>
    <n v="165"/>
    <n v="0"/>
    <n v="0"/>
  </r>
  <r>
    <x v="5"/>
    <x v="8"/>
    <x v="0"/>
    <n v="2246.34"/>
    <n v="929.34"/>
    <n v="266"/>
    <n v="0"/>
    <n v="0"/>
  </r>
  <r>
    <x v="5"/>
    <x v="9"/>
    <x v="0"/>
    <n v="2066.38"/>
    <n v="899.08"/>
    <n v="1362"/>
    <n v="0"/>
    <n v="0"/>
  </r>
  <r>
    <x v="5"/>
    <x v="10"/>
    <x v="0"/>
    <n v="7849.36"/>
    <n v="3486.16"/>
    <n v="1794"/>
    <n v="0"/>
    <n v="0"/>
  </r>
  <r>
    <x v="6"/>
    <x v="0"/>
    <x v="0"/>
    <n v="4466.73"/>
    <n v="1688.53"/>
    <n v="1097"/>
    <n v="0"/>
    <n v="0"/>
  </r>
  <r>
    <x v="6"/>
    <x v="1"/>
    <x v="0"/>
    <n v="10752.59"/>
    <n v="3613.89"/>
    <n v="561"/>
    <n v="0"/>
    <n v="0"/>
  </r>
  <r>
    <x v="6"/>
    <x v="2"/>
    <x v="0"/>
    <n v="12207.55"/>
    <n v="6238.55"/>
    <n v="2977"/>
    <n v="0"/>
    <n v="0"/>
  </r>
  <r>
    <x v="6"/>
    <x v="3"/>
    <x v="0"/>
    <n v="13074.99"/>
    <n v="3664.04"/>
    <n v="2261"/>
    <n v="0"/>
    <n v="0"/>
  </r>
  <r>
    <x v="6"/>
    <x v="4"/>
    <x v="0"/>
    <n v="14680.64"/>
    <n v="7020.14"/>
    <n v="1916"/>
    <n v="0"/>
    <n v="0"/>
  </r>
  <r>
    <x v="6"/>
    <x v="5"/>
    <x v="0"/>
    <n v="5457.93"/>
    <n v="2403.63"/>
    <n v="807"/>
    <n v="0"/>
    <n v="0"/>
  </r>
  <r>
    <x v="6"/>
    <x v="6"/>
    <x v="0"/>
    <n v="7815.7"/>
    <n v="2723.8"/>
    <n v="1348"/>
    <n v="0"/>
    <n v="0"/>
  </r>
  <r>
    <x v="6"/>
    <x v="7"/>
    <x v="0"/>
    <n v="1279.42"/>
    <n v="637.22"/>
    <n v="158"/>
    <n v="0"/>
    <n v="0"/>
  </r>
  <r>
    <x v="6"/>
    <x v="8"/>
    <x v="0"/>
    <n v="2140.49"/>
    <n v="907.59"/>
    <n v="251"/>
    <n v="0"/>
    <n v="0"/>
  </r>
  <r>
    <x v="6"/>
    <x v="9"/>
    <x v="0"/>
    <n v="1787.13"/>
    <n v="778.01"/>
    <n v="1217"/>
    <n v="0"/>
    <n v="0"/>
  </r>
  <r>
    <x v="6"/>
    <x v="10"/>
    <x v="0"/>
    <n v="7713.33"/>
    <n v="3407.33"/>
    <n v="1767"/>
    <n v="0"/>
    <n v="0"/>
  </r>
  <r>
    <x v="7"/>
    <x v="0"/>
    <x v="0"/>
    <n v="4980.16"/>
    <n v="1909.56"/>
    <n v="1224"/>
    <n v="0"/>
    <n v="0"/>
  </r>
  <r>
    <x v="7"/>
    <x v="1"/>
    <x v="0"/>
    <n v="9995.200000000001"/>
    <n v="3411.2"/>
    <n v="520"/>
    <n v="0"/>
    <n v="0"/>
  </r>
  <r>
    <x v="7"/>
    <x v="2"/>
    <x v="0"/>
    <n v="11226.43"/>
    <n v="5687.43"/>
    <n v="2747"/>
    <n v="0"/>
    <n v="0"/>
  </r>
  <r>
    <x v="7"/>
    <x v="3"/>
    <x v="0"/>
    <n v="13578.47"/>
    <n v="3832.47"/>
    <n v="2341"/>
    <n v="0"/>
    <n v="0"/>
  </r>
  <r>
    <x v="7"/>
    <x v="4"/>
    <x v="0"/>
    <n v="14481.83"/>
    <n v="6951.43"/>
    <n v="1957"/>
    <n v="0"/>
    <n v="0"/>
  </r>
  <r>
    <x v="7"/>
    <x v="5"/>
    <x v="0"/>
    <n v="5638.11"/>
    <n v="2447.21"/>
    <n v="789"/>
    <n v="0"/>
    <n v="0"/>
  </r>
  <r>
    <x v="7"/>
    <x v="6"/>
    <x v="0"/>
    <n v="8273.030000000001"/>
    <n v="2913.33"/>
    <n v="1417"/>
    <n v="0"/>
    <n v="0"/>
  </r>
  <r>
    <x v="7"/>
    <x v="7"/>
    <x v="0"/>
    <n v="1250.08"/>
    <n v="652.48"/>
    <n v="192"/>
    <n v="0"/>
    <n v="0"/>
  </r>
  <r>
    <x v="7"/>
    <x v="8"/>
    <x v="0"/>
    <n v="2536.75"/>
    <n v="1002.05"/>
    <n v="305"/>
    <n v="0"/>
    <n v="0"/>
  </r>
  <r>
    <x v="7"/>
    <x v="9"/>
    <x v="0"/>
    <n v="1717.27"/>
    <n v="749.09"/>
    <n v="1243"/>
    <n v="0"/>
    <n v="0"/>
  </r>
  <r>
    <x v="7"/>
    <x v="10"/>
    <x v="0"/>
    <n v="8338.49"/>
    <n v="3728.19"/>
    <n v="1901"/>
    <n v="0"/>
    <n v="0"/>
  </r>
  <r>
    <x v="8"/>
    <x v="0"/>
    <x v="0"/>
    <n v="4298.82"/>
    <n v="1671.22"/>
    <n v="1038"/>
    <n v="0"/>
    <n v="0"/>
  </r>
  <r>
    <x v="8"/>
    <x v="1"/>
    <x v="0"/>
    <n v="7296.38"/>
    <n v="2496.68"/>
    <n v="382"/>
    <n v="0"/>
    <n v="0"/>
  </r>
  <r>
    <x v="8"/>
    <x v="2"/>
    <x v="0"/>
    <n v="9139.98"/>
    <n v="4682.28"/>
    <n v="2252"/>
    <n v="0"/>
    <n v="0"/>
  </r>
  <r>
    <x v="8"/>
    <x v="3"/>
    <x v="0"/>
    <n v="12208.96"/>
    <n v="3413.61"/>
    <n v="2116"/>
    <n v="0"/>
    <n v="0"/>
  </r>
  <r>
    <x v="8"/>
    <x v="4"/>
    <x v="0"/>
    <n v="13460.24"/>
    <n v="6577.94"/>
    <n v="1826"/>
    <n v="0"/>
    <n v="0"/>
  </r>
  <r>
    <x v="8"/>
    <x v="5"/>
    <x v="0"/>
    <n v="5366.8"/>
    <n v="2293.1"/>
    <n v="740"/>
    <n v="0"/>
    <n v="0"/>
  </r>
  <r>
    <x v="8"/>
    <x v="6"/>
    <x v="0"/>
    <n v="8704.92"/>
    <n v="3068.82"/>
    <n v="1518"/>
    <n v="0"/>
    <n v="0"/>
  </r>
  <r>
    <x v="8"/>
    <x v="7"/>
    <x v="0"/>
    <n v="1444.84"/>
    <n v="749.4400000000001"/>
    <n v="216"/>
    <n v="0"/>
    <n v="0"/>
  </r>
  <r>
    <x v="8"/>
    <x v="8"/>
    <x v="0"/>
    <n v="2002.51"/>
    <n v="808.41"/>
    <n v="249"/>
    <n v="0"/>
    <n v="0"/>
  </r>
  <r>
    <x v="8"/>
    <x v="9"/>
    <x v="0"/>
    <n v="1563.55"/>
    <n v="682.53"/>
    <n v="1175"/>
    <n v="0"/>
    <n v="0"/>
  </r>
  <r>
    <x v="8"/>
    <x v="10"/>
    <x v="0"/>
    <n v="7993.27"/>
    <n v="3578.47"/>
    <n v="1803"/>
    <n v="0"/>
    <n v="0"/>
  </r>
  <r>
    <x v="9"/>
    <x v="0"/>
    <x v="0"/>
    <n v="4743.7"/>
    <n v="1828.8"/>
    <n v="1142"/>
    <n v="0"/>
    <n v="0"/>
  </r>
  <r>
    <x v="9"/>
    <x v="1"/>
    <x v="0"/>
    <n v="8891.309999999999"/>
    <n v="2992.01"/>
    <n v="469"/>
    <n v="0"/>
    <n v="0"/>
  </r>
  <r>
    <x v="9"/>
    <x v="2"/>
    <x v="0"/>
    <n v="9221.440000000001"/>
    <n v="4718.34"/>
    <n v="2276"/>
    <n v="0"/>
    <n v="0"/>
  </r>
  <r>
    <x v="9"/>
    <x v="3"/>
    <x v="0"/>
    <n v="13825.63"/>
    <n v="3815.48"/>
    <n v="2357"/>
    <n v="0"/>
    <n v="0"/>
  </r>
  <r>
    <x v="9"/>
    <x v="4"/>
    <x v="0"/>
    <n v="14760.91"/>
    <n v="7181.11"/>
    <n v="1999"/>
    <n v="0"/>
    <n v="0"/>
  </r>
  <r>
    <x v="9"/>
    <x v="5"/>
    <x v="0"/>
    <n v="5339.97"/>
    <n v="2296.97"/>
    <n v="703"/>
    <n v="0"/>
    <n v="0"/>
  </r>
  <r>
    <x v="9"/>
    <x v="6"/>
    <x v="0"/>
    <n v="9035.98"/>
    <n v="3166.68"/>
    <n v="1562"/>
    <n v="0"/>
    <n v="0"/>
  </r>
  <r>
    <x v="9"/>
    <x v="7"/>
    <x v="0"/>
    <n v="1331.89"/>
    <n v="684.09"/>
    <n v="211"/>
    <n v="0"/>
    <n v="0"/>
  </r>
  <r>
    <x v="9"/>
    <x v="8"/>
    <x v="0"/>
    <n v="2523.15"/>
    <n v="1038.85"/>
    <n v="305"/>
    <n v="0"/>
    <n v="0"/>
  </r>
  <r>
    <x v="9"/>
    <x v="9"/>
    <x v="0"/>
    <n v="1521.21"/>
    <n v="665.49"/>
    <n v="1209"/>
    <n v="0"/>
    <n v="0"/>
  </r>
  <r>
    <x v="9"/>
    <x v="10"/>
    <x v="0"/>
    <n v="8493.9"/>
    <n v="3753.1"/>
    <n v="1966"/>
    <n v="0"/>
    <n v="0"/>
  </r>
  <r>
    <x v="10"/>
    <x v="0"/>
    <x v="0"/>
    <n v="4369.09"/>
    <n v="1691.59"/>
    <n v="1061"/>
    <n v="0"/>
    <n v="0"/>
  </r>
  <r>
    <x v="10"/>
    <x v="1"/>
    <x v="0"/>
    <n v="8273.08"/>
    <n v="2837.78"/>
    <n v="432"/>
    <n v="0"/>
    <n v="0"/>
  </r>
  <r>
    <x v="10"/>
    <x v="2"/>
    <x v="0"/>
    <n v="9778.09"/>
    <n v="4939.74"/>
    <n v="2439"/>
    <n v="0"/>
    <n v="0"/>
  </r>
  <r>
    <x v="10"/>
    <x v="3"/>
    <x v="0"/>
    <n v="13305.41"/>
    <n v="3748.71"/>
    <n v="2299"/>
    <n v="0"/>
    <n v="0"/>
  </r>
  <r>
    <x v="10"/>
    <x v="4"/>
    <x v="0"/>
    <n v="14795.13"/>
    <n v="7204.03"/>
    <n v="2017"/>
    <n v="0"/>
    <n v="0"/>
  </r>
  <r>
    <x v="10"/>
    <x v="5"/>
    <x v="0"/>
    <n v="5555.5"/>
    <n v="2377.2"/>
    <n v="750"/>
    <n v="0"/>
    <n v="0"/>
  </r>
  <r>
    <x v="10"/>
    <x v="6"/>
    <x v="0"/>
    <n v="8319.09"/>
    <n v="2946.79"/>
    <n v="1441"/>
    <n v="0"/>
    <n v="0"/>
  </r>
  <r>
    <x v="10"/>
    <x v="7"/>
    <x v="0"/>
    <n v="1342.54"/>
    <n v="682.9400000000001"/>
    <n v="206"/>
    <n v="0"/>
    <n v="0"/>
  </r>
  <r>
    <x v="10"/>
    <x v="8"/>
    <x v="0"/>
    <n v="2140.25"/>
    <n v="800.95"/>
    <n v="275"/>
    <n v="0"/>
    <n v="0"/>
  </r>
  <r>
    <x v="10"/>
    <x v="9"/>
    <x v="0"/>
    <n v="1535.79"/>
    <n v="671.61"/>
    <n v="1191"/>
    <n v="0"/>
    <n v="0"/>
  </r>
  <r>
    <x v="10"/>
    <x v="10"/>
    <x v="0"/>
    <n v="8403.01"/>
    <n v="3715.81"/>
    <n v="1919"/>
    <n v="0"/>
    <n v="0"/>
  </r>
  <r>
    <x v="11"/>
    <x v="0"/>
    <x v="0"/>
    <n v="4642.06"/>
    <n v="1780.36"/>
    <n v="1134"/>
    <n v="0"/>
    <n v="0"/>
  </r>
  <r>
    <x v="11"/>
    <x v="1"/>
    <x v="0"/>
    <n v="9297.190000000001"/>
    <n v="3203.29"/>
    <n v="481"/>
    <n v="0"/>
    <n v="0"/>
  </r>
  <r>
    <x v="11"/>
    <x v="2"/>
    <x v="0"/>
    <n v="10792.53"/>
    <n v="5504.13"/>
    <n v="2657"/>
    <n v="0"/>
    <n v="0"/>
  </r>
  <r>
    <x v="11"/>
    <x v="3"/>
    <x v="0"/>
    <n v="13673.91"/>
    <n v="3732.31"/>
    <n v="2373"/>
    <n v="0"/>
    <n v="0"/>
  </r>
  <r>
    <x v="11"/>
    <x v="4"/>
    <x v="0"/>
    <n v="14028.75"/>
    <n v="6822.15"/>
    <n v="1875"/>
    <n v="0"/>
    <n v="0"/>
  </r>
  <r>
    <x v="11"/>
    <x v="5"/>
    <x v="0"/>
    <n v="5793.89"/>
    <n v="2467.59"/>
    <n v="831"/>
    <n v="0"/>
    <n v="0"/>
  </r>
  <r>
    <x v="11"/>
    <x v="6"/>
    <x v="0"/>
    <n v="8025.44"/>
    <n v="2854.34"/>
    <n v="1376"/>
    <n v="0"/>
    <n v="0"/>
  </r>
  <r>
    <x v="11"/>
    <x v="7"/>
    <x v="0"/>
    <n v="1058.34"/>
    <n v="555.14"/>
    <n v="166"/>
    <n v="0"/>
    <n v="0"/>
  </r>
  <r>
    <x v="11"/>
    <x v="8"/>
    <x v="0"/>
    <n v="2516.01"/>
    <n v="1010.71"/>
    <n v="299"/>
    <n v="0"/>
    <n v="0"/>
  </r>
  <r>
    <x v="11"/>
    <x v="9"/>
    <x v="0"/>
    <n v="1686.31"/>
    <n v="716.03"/>
    <n v="1219"/>
    <n v="0"/>
    <n v="0"/>
  </r>
  <r>
    <x v="11"/>
    <x v="10"/>
    <x v="0"/>
    <n v="8383.32"/>
    <n v="3722.52"/>
    <n v="1918"/>
    <n v="0"/>
    <n v="0"/>
  </r>
  <r>
    <x v="12"/>
    <x v="0"/>
    <x v="0"/>
    <n v="4610.34"/>
    <n v="1784.54"/>
    <n v="1126"/>
    <n v="0"/>
    <n v="0"/>
  </r>
  <r>
    <x v="12"/>
    <x v="1"/>
    <x v="0"/>
    <n v="10732.84"/>
    <n v="3386.24"/>
    <n v="576"/>
    <n v="0"/>
    <n v="0"/>
  </r>
  <r>
    <x v="12"/>
    <x v="2"/>
    <x v="0"/>
    <n v="12425.41"/>
    <n v="6385.06"/>
    <n v="3059"/>
    <n v="0"/>
    <n v="0"/>
  </r>
  <r>
    <x v="12"/>
    <x v="3"/>
    <x v="0"/>
    <n v="14347.2"/>
    <n v="4082.25"/>
    <n v="2430"/>
    <n v="0"/>
    <n v="0"/>
  </r>
  <r>
    <x v="12"/>
    <x v="4"/>
    <x v="0"/>
    <n v="15227.21"/>
    <n v="7262.71"/>
    <n v="2019"/>
    <n v="0"/>
    <n v="0"/>
  </r>
  <r>
    <x v="12"/>
    <x v="5"/>
    <x v="0"/>
    <n v="5773.36"/>
    <n v="2448.86"/>
    <n v="844"/>
    <n v="0"/>
    <n v="0"/>
  </r>
  <r>
    <x v="12"/>
    <x v="6"/>
    <x v="0"/>
    <n v="8426.559999999999"/>
    <n v="2940.66"/>
    <n v="1414"/>
    <n v="0"/>
    <n v="0"/>
  </r>
  <r>
    <x v="12"/>
    <x v="7"/>
    <x v="0"/>
    <n v="1593.95"/>
    <n v="784.15"/>
    <n v="205"/>
    <n v="0"/>
    <n v="0"/>
  </r>
  <r>
    <x v="12"/>
    <x v="8"/>
    <x v="0"/>
    <n v="2499.08"/>
    <n v="1043.48"/>
    <n v="292"/>
    <n v="0"/>
    <n v="0"/>
  </r>
  <r>
    <x v="12"/>
    <x v="9"/>
    <x v="0"/>
    <n v="2076.36"/>
    <n v="904.22"/>
    <n v="1424"/>
    <n v="0"/>
    <n v="0"/>
  </r>
  <r>
    <x v="12"/>
    <x v="10"/>
    <x v="0"/>
    <n v="8609.889999999999"/>
    <n v="3837.89"/>
    <n v="1951"/>
    <n v="0"/>
    <n v="0"/>
  </r>
  <r>
    <x v="13"/>
    <x v="0"/>
    <x v="0"/>
    <n v="4566.07"/>
    <n v="1718.17"/>
    <n v="1123"/>
    <n v="0"/>
    <n v="0"/>
  </r>
  <r>
    <x v="13"/>
    <x v="1"/>
    <x v="0"/>
    <n v="10908.65"/>
    <n v="3615.15"/>
    <n v="575"/>
    <n v="0"/>
    <n v="0"/>
  </r>
  <r>
    <x v="13"/>
    <x v="2"/>
    <x v="0"/>
    <n v="14150.1"/>
    <n v="7159.65"/>
    <n v="3560"/>
    <n v="0"/>
    <n v="0"/>
  </r>
  <r>
    <x v="13"/>
    <x v="3"/>
    <x v="0"/>
    <n v="13597.37"/>
    <n v="3857.22"/>
    <n v="2361"/>
    <n v="0"/>
    <n v="0"/>
  </r>
  <r>
    <x v="13"/>
    <x v="4"/>
    <x v="0"/>
    <n v="15303.57"/>
    <n v="7141.67"/>
    <n v="1983"/>
    <n v="0"/>
    <n v="0"/>
  </r>
  <r>
    <x v="13"/>
    <x v="5"/>
    <x v="0"/>
    <n v="5648"/>
    <n v="2434.3"/>
    <n v="880"/>
    <n v="0"/>
    <n v="0"/>
  </r>
  <r>
    <x v="13"/>
    <x v="6"/>
    <x v="0"/>
    <n v="7671.56"/>
    <n v="2644.46"/>
    <n v="1238"/>
    <n v="0"/>
    <n v="0"/>
  </r>
  <r>
    <x v="13"/>
    <x v="7"/>
    <x v="0"/>
    <n v="1535.11"/>
    <n v="764.11"/>
    <n v="189"/>
    <n v="0"/>
    <n v="0"/>
  </r>
  <r>
    <x v="13"/>
    <x v="8"/>
    <x v="0"/>
    <n v="2188.31"/>
    <n v="896.61"/>
    <n v="269"/>
    <n v="0"/>
    <n v="0"/>
  </r>
  <r>
    <x v="13"/>
    <x v="9"/>
    <x v="0"/>
    <n v="2107.81"/>
    <n v="915.6900000000001"/>
    <n v="1349"/>
    <n v="0"/>
    <n v="0"/>
  </r>
  <r>
    <x v="13"/>
    <x v="10"/>
    <x v="0"/>
    <n v="8220.559999999999"/>
    <n v="3670.86"/>
    <n v="1874"/>
    <n v="0"/>
    <n v="0"/>
  </r>
  <r>
    <x v="14"/>
    <x v="0"/>
    <x v="0"/>
    <n v="5391.33"/>
    <n v="2030.53"/>
    <n v="1329"/>
    <n v="0"/>
    <n v="0"/>
  </r>
  <r>
    <x v="14"/>
    <x v="1"/>
    <x v="0"/>
    <n v="13539.05"/>
    <n v="4479.85"/>
    <n v="715"/>
    <n v="0"/>
    <n v="0"/>
  </r>
  <r>
    <x v="14"/>
    <x v="2"/>
    <x v="0"/>
    <n v="16885.76"/>
    <n v="8679.209999999999"/>
    <n v="4134"/>
    <n v="0"/>
    <n v="0"/>
  </r>
  <r>
    <x v="14"/>
    <x v="3"/>
    <x v="0"/>
    <n v="15266.52"/>
    <n v="4249.37"/>
    <n v="2598"/>
    <n v="0"/>
    <n v="0"/>
  </r>
  <r>
    <x v="14"/>
    <x v="4"/>
    <x v="0"/>
    <n v="17049.87"/>
    <n v="8053.57"/>
    <n v="2113"/>
    <n v="0"/>
    <n v="0"/>
  </r>
  <r>
    <x v="14"/>
    <x v="5"/>
    <x v="0"/>
    <n v="6367.83"/>
    <n v="2773.93"/>
    <n v="1017"/>
    <n v="0"/>
    <n v="0"/>
  </r>
  <r>
    <x v="14"/>
    <x v="6"/>
    <x v="0"/>
    <n v="8438.33"/>
    <n v="2849.53"/>
    <n v="1387"/>
    <n v="0"/>
    <n v="0"/>
  </r>
  <r>
    <x v="14"/>
    <x v="7"/>
    <x v="0"/>
    <n v="1540.44"/>
    <n v="750.64"/>
    <n v="176"/>
    <n v="0"/>
    <n v="0"/>
  </r>
  <r>
    <x v="14"/>
    <x v="8"/>
    <x v="0"/>
    <n v="2655.87"/>
    <n v="1099.17"/>
    <n v="313"/>
    <n v="0"/>
    <n v="0"/>
  </r>
  <r>
    <x v="14"/>
    <x v="9"/>
    <x v="0"/>
    <n v="2569.23"/>
    <n v="1099.49"/>
    <n v="1577"/>
    <n v="0"/>
    <n v="0"/>
  </r>
  <r>
    <x v="14"/>
    <x v="10"/>
    <x v="0"/>
    <n v="9408.639999999999"/>
    <n v="4220.74"/>
    <n v="2150"/>
    <n v="0"/>
    <n v="0"/>
  </r>
  <r>
    <x v="15"/>
    <x v="0"/>
    <x v="0"/>
    <n v="4087.54"/>
    <n v="1582.14"/>
    <n v="996"/>
    <n v="0"/>
    <n v="0"/>
  </r>
  <r>
    <x v="15"/>
    <x v="1"/>
    <x v="0"/>
    <n v="10936.37"/>
    <n v="3747.17"/>
    <n v="563"/>
    <n v="0"/>
    <n v="0"/>
  </r>
  <r>
    <x v="15"/>
    <x v="2"/>
    <x v="0"/>
    <n v="14573.28"/>
    <n v="7442.58"/>
    <n v="3592"/>
    <n v="0"/>
    <n v="0"/>
  </r>
  <r>
    <x v="15"/>
    <x v="3"/>
    <x v="0"/>
    <n v="12899.93"/>
    <n v="3467.53"/>
    <n v="2275"/>
    <n v="0"/>
    <n v="0"/>
  </r>
  <r>
    <x v="15"/>
    <x v="4"/>
    <x v="0"/>
    <n v="14949.45"/>
    <n v="7069.35"/>
    <n v="1855"/>
    <n v="0"/>
    <n v="0"/>
  </r>
  <r>
    <x v="15"/>
    <x v="5"/>
    <x v="0"/>
    <n v="5312.11"/>
    <n v="2321.91"/>
    <n v="849"/>
    <n v="0"/>
    <n v="0"/>
  </r>
  <r>
    <x v="15"/>
    <x v="6"/>
    <x v="0"/>
    <n v="6692.02"/>
    <n v="2231.12"/>
    <n v="1088"/>
    <n v="0"/>
    <n v="0"/>
  </r>
  <r>
    <x v="15"/>
    <x v="7"/>
    <x v="0"/>
    <n v="1344.56"/>
    <n v="652.16"/>
    <n v="144"/>
    <n v="0"/>
    <n v="0"/>
  </r>
  <r>
    <x v="15"/>
    <x v="8"/>
    <x v="0"/>
    <n v="2094.55"/>
    <n v="883.85"/>
    <n v="245"/>
    <n v="0"/>
    <n v="0"/>
  </r>
  <r>
    <x v="15"/>
    <x v="9"/>
    <x v="0"/>
    <n v="2105.94"/>
    <n v="914.72"/>
    <n v="1286"/>
    <n v="0"/>
    <n v="0"/>
  </r>
  <r>
    <x v="15"/>
    <x v="10"/>
    <x v="0"/>
    <n v="8111.65"/>
    <n v="3573.25"/>
    <n v="1855"/>
    <n v="0"/>
    <n v="0"/>
  </r>
  <r>
    <x v="16"/>
    <x v="0"/>
    <x v="0"/>
    <n v="4141.87"/>
    <n v="1617.37"/>
    <n v="993"/>
    <n v="0"/>
    <n v="0"/>
  </r>
  <r>
    <x v="16"/>
    <x v="1"/>
    <x v="0"/>
    <n v="10387.8"/>
    <n v="3459.9"/>
    <n v="540"/>
    <n v="0"/>
    <n v="0"/>
  </r>
  <r>
    <x v="16"/>
    <x v="2"/>
    <x v="0"/>
    <n v="14566.32"/>
    <n v="7401.12"/>
    <n v="3612"/>
    <n v="0"/>
    <n v="0"/>
  </r>
  <r>
    <x v="16"/>
    <x v="3"/>
    <x v="0"/>
    <n v="13712.83"/>
    <n v="3641.63"/>
    <n v="2389"/>
    <n v="0"/>
    <n v="0"/>
  </r>
  <r>
    <x v="16"/>
    <x v="4"/>
    <x v="0"/>
    <n v="14966.73"/>
    <n v="6962.43"/>
    <n v="1867"/>
    <n v="0"/>
    <n v="0"/>
  </r>
  <r>
    <x v="16"/>
    <x v="5"/>
    <x v="0"/>
    <n v="5145.8"/>
    <n v="2312"/>
    <n v="820"/>
    <n v="0"/>
    <n v="0"/>
  </r>
  <r>
    <x v="16"/>
    <x v="6"/>
    <x v="0"/>
    <n v="6874.31"/>
    <n v="2397.11"/>
    <n v="1119"/>
    <n v="0"/>
    <n v="0"/>
  </r>
  <r>
    <x v="16"/>
    <x v="7"/>
    <x v="0"/>
    <n v="1234.56"/>
    <n v="608.16"/>
    <n v="144"/>
    <n v="0"/>
    <n v="0"/>
  </r>
  <r>
    <x v="16"/>
    <x v="8"/>
    <x v="0"/>
    <n v="2141.35"/>
    <n v="879.25"/>
    <n v="265"/>
    <n v="0"/>
    <n v="0"/>
  </r>
  <r>
    <x v="16"/>
    <x v="9"/>
    <x v="0"/>
    <n v="1907.46"/>
    <n v="817.7"/>
    <n v="1244"/>
    <n v="0"/>
    <n v="0"/>
  </r>
  <r>
    <x v="16"/>
    <x v="10"/>
    <x v="0"/>
    <n v="7843.4"/>
    <n v="3453.5"/>
    <n v="1808"/>
    <n v="0"/>
    <n v="0"/>
  </r>
  <r>
    <x v="17"/>
    <x v="0"/>
    <x v="0"/>
    <n v="4842.84"/>
    <n v="1856.64"/>
    <n v="1196"/>
    <n v="0"/>
    <n v="0"/>
  </r>
  <r>
    <x v="17"/>
    <x v="1"/>
    <x v="0"/>
    <n v="12366.89"/>
    <n v="4212.29"/>
    <n v="651"/>
    <n v="0"/>
    <n v="0"/>
  </r>
  <r>
    <x v="17"/>
    <x v="2"/>
    <x v="0"/>
    <n v="15097.25"/>
    <n v="7763.55"/>
    <n v="3725"/>
    <n v="0"/>
    <n v="0"/>
  </r>
  <r>
    <x v="17"/>
    <x v="3"/>
    <x v="0"/>
    <n v="14294.73"/>
    <n v="3967.23"/>
    <n v="2465"/>
    <n v="0"/>
    <n v="0"/>
  </r>
  <r>
    <x v="17"/>
    <x v="4"/>
    <x v="0"/>
    <n v="16996.64"/>
    <n v="8046.14"/>
    <n v="2166"/>
    <n v="0"/>
    <n v="0"/>
  </r>
  <r>
    <x v="17"/>
    <x v="5"/>
    <x v="0"/>
    <n v="6026.88"/>
    <n v="2608.58"/>
    <n v="892"/>
    <n v="0"/>
    <n v="0"/>
  </r>
  <r>
    <x v="17"/>
    <x v="6"/>
    <x v="0"/>
    <n v="8644.700000000001"/>
    <n v="2953.6"/>
    <n v="1408"/>
    <n v="0"/>
    <n v="0"/>
  </r>
  <r>
    <x v="17"/>
    <x v="7"/>
    <x v="0"/>
    <n v="1574.08"/>
    <n v="758.6799999999999"/>
    <n v="192"/>
    <n v="0"/>
    <n v="0"/>
  </r>
  <r>
    <x v="17"/>
    <x v="8"/>
    <x v="0"/>
    <n v="2551.93"/>
    <n v="1083.63"/>
    <n v="307"/>
    <n v="0"/>
    <n v="0"/>
  </r>
  <r>
    <x v="17"/>
    <x v="9"/>
    <x v="0"/>
    <n v="2222.71"/>
    <n v="968.09"/>
    <n v="1459"/>
    <n v="0"/>
    <n v="0"/>
  </r>
  <r>
    <x v="17"/>
    <x v="10"/>
    <x v="0"/>
    <n v="8735.690000000001"/>
    <n v="3876.19"/>
    <n v="2001"/>
    <n v="0"/>
    <n v="0"/>
  </r>
  <r>
    <x v="18"/>
    <x v="0"/>
    <x v="0"/>
    <n v="4545.58"/>
    <n v="1731.58"/>
    <n v="1122"/>
    <n v="0"/>
    <n v="0"/>
  </r>
  <r>
    <x v="18"/>
    <x v="1"/>
    <x v="0"/>
    <n v="9539.6"/>
    <n v="3270.5"/>
    <n v="500"/>
    <n v="0"/>
    <n v="0"/>
  </r>
  <r>
    <x v="18"/>
    <x v="2"/>
    <x v="0"/>
    <n v="13019.21"/>
    <n v="6642.71"/>
    <n v="3169"/>
    <n v="0"/>
    <n v="0"/>
  </r>
  <r>
    <x v="18"/>
    <x v="3"/>
    <x v="0"/>
    <n v="13840.21"/>
    <n v="3791.41"/>
    <n v="2407"/>
    <n v="0"/>
    <n v="0"/>
  </r>
  <r>
    <x v="18"/>
    <x v="4"/>
    <x v="0"/>
    <n v="15770.28"/>
    <n v="7510.28"/>
    <n v="2052"/>
    <n v="0"/>
    <n v="0"/>
  </r>
  <r>
    <x v="18"/>
    <x v="5"/>
    <x v="0"/>
    <n v="5361.97"/>
    <n v="2367.67"/>
    <n v="803"/>
    <n v="0"/>
    <n v="0"/>
  </r>
  <r>
    <x v="18"/>
    <x v="6"/>
    <x v="0"/>
    <n v="8268.030000000001"/>
    <n v="2856.23"/>
    <n v="1367"/>
    <n v="0"/>
    <n v="0"/>
  </r>
  <r>
    <x v="18"/>
    <x v="7"/>
    <x v="0"/>
    <n v="1374.32"/>
    <n v="683.12"/>
    <n v="168"/>
    <n v="0"/>
    <n v="0"/>
  </r>
  <r>
    <x v="18"/>
    <x v="8"/>
    <x v="0"/>
    <n v="1877.74"/>
    <n v="772.54"/>
    <n v="226"/>
    <n v="0"/>
    <n v="0"/>
  </r>
  <r>
    <x v="18"/>
    <x v="9"/>
    <x v="0"/>
    <n v="2098.7"/>
    <n v="911.42"/>
    <n v="1350"/>
    <n v="0"/>
    <n v="0"/>
  </r>
  <r>
    <x v="18"/>
    <x v="10"/>
    <x v="0"/>
    <n v="8185.98"/>
    <n v="3624.08"/>
    <n v="1902"/>
    <n v="0"/>
    <n v="0"/>
  </r>
  <r>
    <x v="19"/>
    <x v="0"/>
    <x v="0"/>
    <n v="5165.52"/>
    <n v="1983.72"/>
    <n v="1258"/>
    <n v="0"/>
    <n v="0"/>
  </r>
  <r>
    <x v="19"/>
    <x v="1"/>
    <x v="0"/>
    <n v="9796.27"/>
    <n v="3314.17"/>
    <n v="513"/>
    <n v="0"/>
    <n v="0"/>
  </r>
  <r>
    <x v="19"/>
    <x v="2"/>
    <x v="0"/>
    <n v="11765.75"/>
    <n v="5910.6"/>
    <n v="2889"/>
    <n v="0"/>
    <n v="0"/>
  </r>
  <r>
    <x v="19"/>
    <x v="3"/>
    <x v="0"/>
    <n v="13862.62"/>
    <n v="3880.17"/>
    <n v="2466"/>
    <n v="0"/>
    <n v="0"/>
  </r>
  <r>
    <x v="19"/>
    <x v="4"/>
    <x v="0"/>
    <n v="15499.36"/>
    <n v="7522.56"/>
    <n v="2064"/>
    <n v="0"/>
    <n v="0"/>
  </r>
  <r>
    <x v="19"/>
    <x v="5"/>
    <x v="0"/>
    <n v="5928.46"/>
    <n v="2597.16"/>
    <n v="854"/>
    <n v="0"/>
    <n v="0"/>
  </r>
  <r>
    <x v="19"/>
    <x v="6"/>
    <x v="0"/>
    <n v="8997.27"/>
    <n v="3184.37"/>
    <n v="1543"/>
    <n v="0"/>
    <n v="0"/>
  </r>
  <r>
    <x v="19"/>
    <x v="7"/>
    <x v="0"/>
    <n v="1522.92"/>
    <n v="774.3200000000001"/>
    <n v="208"/>
    <n v="0"/>
    <n v="0"/>
  </r>
  <r>
    <x v="19"/>
    <x v="8"/>
    <x v="0"/>
    <n v="2240.22"/>
    <n v="912.42"/>
    <n v="278"/>
    <n v="0"/>
    <n v="0"/>
  </r>
  <r>
    <x v="19"/>
    <x v="9"/>
    <x v="0"/>
    <n v="1792.2"/>
    <n v="783.54"/>
    <n v="1320"/>
    <n v="0"/>
    <n v="0"/>
  </r>
  <r>
    <x v="19"/>
    <x v="10"/>
    <x v="0"/>
    <n v="8809.950000000001"/>
    <n v="3929.75"/>
    <n v="2003"/>
    <n v="0"/>
    <n v="0"/>
  </r>
  <r>
    <x v="20"/>
    <x v="0"/>
    <x v="0"/>
    <n v="4917.51"/>
    <n v="1877.51"/>
    <n v="1205"/>
    <n v="0"/>
    <n v="0"/>
  </r>
  <r>
    <x v="20"/>
    <x v="1"/>
    <x v="0"/>
    <n v="8079.88"/>
    <n v="2788.18"/>
    <n v="412"/>
    <n v="0"/>
    <n v="0"/>
  </r>
  <r>
    <x v="20"/>
    <x v="2"/>
    <x v="0"/>
    <n v="9996.52"/>
    <n v="5052.32"/>
    <n v="2418"/>
    <n v="0"/>
    <n v="0"/>
  </r>
  <r>
    <x v="20"/>
    <x v="3"/>
    <x v="0"/>
    <n v="14048.97"/>
    <n v="3972.67"/>
    <n v="2423"/>
    <n v="0"/>
    <n v="0"/>
  </r>
  <r>
    <x v="20"/>
    <x v="4"/>
    <x v="0"/>
    <n v="14215.33"/>
    <n v="6894.43"/>
    <n v="1917"/>
    <n v="0"/>
    <n v="0"/>
  </r>
  <r>
    <x v="20"/>
    <x v="5"/>
    <x v="0"/>
    <n v="5972.94"/>
    <n v="2570.44"/>
    <n v="806"/>
    <n v="0"/>
    <n v="0"/>
  </r>
  <r>
    <x v="20"/>
    <x v="6"/>
    <x v="0"/>
    <n v="8883.559999999999"/>
    <n v="3145.36"/>
    <n v="1544"/>
    <n v="0"/>
    <n v="0"/>
  </r>
  <r>
    <x v="20"/>
    <x v="7"/>
    <x v="0"/>
    <n v="1470.72"/>
    <n v="769.3200000000001"/>
    <n v="228"/>
    <n v="0"/>
    <n v="0"/>
  </r>
  <r>
    <x v="20"/>
    <x v="8"/>
    <x v="0"/>
    <n v="2368.07"/>
    <n v="958.97"/>
    <n v="293"/>
    <n v="0"/>
    <n v="0"/>
  </r>
  <r>
    <x v="20"/>
    <x v="9"/>
    <x v="0"/>
    <n v="1631.17"/>
    <n v="713.51"/>
    <n v="1273"/>
    <n v="0"/>
    <n v="0"/>
  </r>
  <r>
    <x v="20"/>
    <x v="10"/>
    <x v="0"/>
    <n v="8699.959999999999"/>
    <n v="3884.66"/>
    <n v="1986"/>
    <n v="0"/>
    <n v="0"/>
  </r>
  <r>
    <x v="21"/>
    <x v="0"/>
    <x v="0"/>
    <n v="5189.17"/>
    <n v="1983.07"/>
    <n v="1265"/>
    <n v="0"/>
    <n v="0"/>
  </r>
  <r>
    <x v="21"/>
    <x v="1"/>
    <x v="0"/>
    <n v="8830.42"/>
    <n v="2985.12"/>
    <n v="458"/>
    <n v="0"/>
    <n v="0"/>
  </r>
  <r>
    <x v="21"/>
    <x v="2"/>
    <x v="0"/>
    <n v="9738.25"/>
    <n v="4977.75"/>
    <n v="2405"/>
    <n v="0"/>
    <n v="0"/>
  </r>
  <r>
    <x v="21"/>
    <x v="3"/>
    <x v="0"/>
    <n v="14461.37"/>
    <n v="4059.07"/>
    <n v="2483"/>
    <n v="0"/>
    <n v="0"/>
  </r>
  <r>
    <x v="21"/>
    <x v="4"/>
    <x v="0"/>
    <n v="14945.34"/>
    <n v="7273.74"/>
    <n v="2026"/>
    <n v="0"/>
    <n v="0"/>
  </r>
  <r>
    <x v="21"/>
    <x v="5"/>
    <x v="0"/>
    <n v="6203.5"/>
    <n v="2688.1"/>
    <n v="850"/>
    <n v="0"/>
    <n v="0"/>
  </r>
  <r>
    <x v="21"/>
    <x v="6"/>
    <x v="0"/>
    <n v="9181.52"/>
    <n v="3225.32"/>
    <n v="1558"/>
    <n v="0"/>
    <n v="0"/>
  </r>
  <r>
    <x v="21"/>
    <x v="7"/>
    <x v="0"/>
    <n v="1231.9"/>
    <n v="645.1"/>
    <n v="210"/>
    <n v="0"/>
    <n v="0"/>
  </r>
  <r>
    <x v="21"/>
    <x v="8"/>
    <x v="0"/>
    <n v="2332.2"/>
    <n v="959.6"/>
    <n v="280"/>
    <n v="0"/>
    <n v="0"/>
  </r>
  <r>
    <x v="21"/>
    <x v="9"/>
    <x v="0"/>
    <n v="1569.85"/>
    <n v="686.8099999999999"/>
    <n v="1225"/>
    <n v="0"/>
    <n v="0"/>
  </r>
  <r>
    <x v="21"/>
    <x v="10"/>
    <x v="0"/>
    <n v="9249.77"/>
    <n v="4042.77"/>
    <n v="2143"/>
    <n v="0"/>
    <n v="0"/>
  </r>
  <r>
    <x v="22"/>
    <x v="0"/>
    <x v="0"/>
    <n v="5111.89"/>
    <n v="1994.89"/>
    <n v="1221"/>
    <n v="0"/>
    <n v="0"/>
  </r>
  <r>
    <x v="22"/>
    <x v="1"/>
    <x v="0"/>
    <n v="8312.459999999999"/>
    <n v="2860.26"/>
    <n v="434"/>
    <n v="0"/>
    <n v="0"/>
  </r>
  <r>
    <x v="22"/>
    <x v="2"/>
    <x v="0"/>
    <n v="9908.870000000001"/>
    <n v="5074.87"/>
    <n v="2423"/>
    <n v="0"/>
    <n v="0"/>
  </r>
  <r>
    <x v="22"/>
    <x v="3"/>
    <x v="0"/>
    <n v="13735.33"/>
    <n v="3857.03"/>
    <n v="2373"/>
    <n v="0"/>
    <n v="0"/>
  </r>
  <r>
    <x v="22"/>
    <x v="4"/>
    <x v="0"/>
    <n v="15421.66"/>
    <n v="7453.86"/>
    <n v="2084"/>
    <n v="0"/>
    <n v="0"/>
  </r>
  <r>
    <x v="22"/>
    <x v="5"/>
    <x v="0"/>
    <n v="6010.43"/>
    <n v="2587.93"/>
    <n v="817"/>
    <n v="0"/>
    <n v="0"/>
  </r>
  <r>
    <x v="22"/>
    <x v="6"/>
    <x v="0"/>
    <n v="9283.700000000001"/>
    <n v="3281.4"/>
    <n v="1618"/>
    <n v="0"/>
    <n v="0"/>
  </r>
  <r>
    <x v="22"/>
    <x v="7"/>
    <x v="0"/>
    <n v="1453.79"/>
    <n v="756.99"/>
    <n v="221"/>
    <n v="0"/>
    <n v="0"/>
  </r>
  <r>
    <x v="22"/>
    <x v="8"/>
    <x v="0"/>
    <n v="2412.04"/>
    <n v="986.64"/>
    <n v="296"/>
    <n v="0"/>
    <n v="0"/>
  </r>
  <r>
    <x v="22"/>
    <x v="9"/>
    <x v="0"/>
    <n v="1710.61"/>
    <n v="733.23"/>
    <n v="1289"/>
    <n v="0"/>
    <n v="0"/>
  </r>
  <r>
    <x v="22"/>
    <x v="10"/>
    <x v="0"/>
    <n v="9127.610000000001"/>
    <n v="4081.51"/>
    <n v="2059"/>
    <n v="0"/>
    <n v="0"/>
  </r>
  <r>
    <x v="23"/>
    <x v="0"/>
    <x v="2"/>
    <n v="4807.08"/>
    <n v="1841.11"/>
    <n v="0"/>
    <n v="4620.3"/>
    <n v="4993.86"/>
  </r>
  <r>
    <x v="23"/>
    <x v="1"/>
    <x v="2"/>
    <n v="9185.48"/>
    <n v="3095.51"/>
    <n v="0"/>
    <n v="8828.58"/>
    <n v="9542.370000000001"/>
  </r>
  <r>
    <x v="23"/>
    <x v="2"/>
    <x v="2"/>
    <n v="11786.76"/>
    <n v="6011.25"/>
    <n v="0"/>
    <n v="11328.79"/>
    <n v="12244.73"/>
  </r>
  <r>
    <x v="23"/>
    <x v="3"/>
    <x v="2"/>
    <n v="13488.67"/>
    <n v="3749.85"/>
    <n v="0"/>
    <n v="12964.57"/>
    <n v="14012.76"/>
  </r>
  <r>
    <x v="23"/>
    <x v="4"/>
    <x v="2"/>
    <n v="14382.46"/>
    <n v="6860.43"/>
    <n v="0"/>
    <n v="13823.64"/>
    <n v="14941.29"/>
  </r>
  <r>
    <x v="23"/>
    <x v="5"/>
    <x v="2"/>
    <n v="5558.56"/>
    <n v="2412.42"/>
    <n v="0"/>
    <n v="5342.59"/>
    <n v="5774.54"/>
  </r>
  <r>
    <x v="23"/>
    <x v="6"/>
    <x v="2"/>
    <n v="9055.35"/>
    <n v="3151.26"/>
    <n v="0"/>
    <n v="8703.51"/>
    <n v="9407.190000000001"/>
  </r>
  <r>
    <x v="23"/>
    <x v="7"/>
    <x v="2"/>
    <n v="1469.79"/>
    <n v="737.84"/>
    <n v="0"/>
    <n v="1412.68"/>
    <n v="1526.9"/>
  </r>
  <r>
    <x v="23"/>
    <x v="8"/>
    <x v="2"/>
    <n v="2581.49"/>
    <n v="1063.57"/>
    <n v="0"/>
    <n v="2481.19"/>
    <n v="2681.79"/>
  </r>
  <r>
    <x v="23"/>
    <x v="9"/>
    <x v="2"/>
    <n v="1731.94"/>
    <n v="749.9299999999999"/>
    <n v="0"/>
    <n v="1664.65"/>
    <n v="1799.24"/>
  </r>
  <r>
    <x v="23"/>
    <x v="10"/>
    <x v="2"/>
    <n v="9199.48"/>
    <n v="4084.57"/>
    <n v="0"/>
    <n v="8842.040000000001"/>
    <n v="9556.92"/>
  </r>
  <r>
    <x v="24"/>
    <x v="0"/>
    <x v="1"/>
    <n v="5065.99"/>
    <n v="0"/>
    <n v="0"/>
    <n v="4869.16"/>
    <n v="5262.83"/>
  </r>
  <r>
    <x v="24"/>
    <x v="1"/>
    <x v="1"/>
    <n v="10669.84"/>
    <n v="0"/>
    <n v="0"/>
    <n v="10255.27"/>
    <n v="11084.41"/>
  </r>
  <r>
    <x v="24"/>
    <x v="2"/>
    <x v="1"/>
    <n v="13068.02"/>
    <n v="0"/>
    <n v="0"/>
    <n v="12560.27"/>
    <n v="13575.78"/>
  </r>
  <r>
    <x v="24"/>
    <x v="3"/>
    <x v="1"/>
    <n v="14695.11"/>
    <n v="0"/>
    <n v="0"/>
    <n v="14124.14"/>
    <n v="15266.08"/>
  </r>
  <r>
    <x v="24"/>
    <x v="4"/>
    <x v="1"/>
    <n v="15607.92"/>
    <n v="0"/>
    <n v="0"/>
    <n v="15001.49"/>
    <n v="16214.36"/>
  </r>
  <r>
    <x v="24"/>
    <x v="5"/>
    <x v="1"/>
    <n v="6094.86"/>
    <n v="0"/>
    <n v="0"/>
    <n v="5858.05"/>
    <n v="6331.68"/>
  </r>
  <r>
    <x v="24"/>
    <x v="6"/>
    <x v="1"/>
    <n v="9058.049999999999"/>
    <n v="0"/>
    <n v="0"/>
    <n v="8706.110000000001"/>
    <n v="9410"/>
  </r>
  <r>
    <x v="24"/>
    <x v="7"/>
    <x v="1"/>
    <n v="1730.96"/>
    <n v="0"/>
    <n v="0"/>
    <n v="1663.7"/>
    <n v="1798.21"/>
  </r>
  <r>
    <x v="24"/>
    <x v="8"/>
    <x v="1"/>
    <n v="2556.74"/>
    <n v="0"/>
    <n v="0"/>
    <n v="2457.4"/>
    <n v="2656.08"/>
  </r>
  <r>
    <x v="24"/>
    <x v="9"/>
    <x v="1"/>
    <n v="2220.22"/>
    <n v="0"/>
    <n v="0"/>
    <n v="2133.96"/>
    <n v="2306.49"/>
  </r>
  <r>
    <x v="24"/>
    <x v="10"/>
    <x v="1"/>
    <n v="9260.799999999999"/>
    <n v="0"/>
    <n v="0"/>
    <n v="8900.98"/>
    <n v="9620.620000000001"/>
  </r>
  <r>
    <x v="25"/>
    <x v="0"/>
    <x v="1"/>
    <n v="5017.35"/>
    <n v="0"/>
    <n v="0"/>
    <n v="4822.4"/>
    <n v="5212.29"/>
  </r>
  <r>
    <x v="25"/>
    <x v="1"/>
    <x v="1"/>
    <n v="10844.62"/>
    <n v="0"/>
    <n v="0"/>
    <n v="10423.26"/>
    <n v="11265.98"/>
  </r>
  <r>
    <x v="25"/>
    <x v="2"/>
    <x v="1"/>
    <n v="14881.91"/>
    <n v="0"/>
    <n v="0"/>
    <n v="14303.68"/>
    <n v="15460.14"/>
  </r>
  <r>
    <x v="25"/>
    <x v="3"/>
    <x v="1"/>
    <n v="13927.09"/>
    <n v="0"/>
    <n v="0"/>
    <n v="13385.96"/>
    <n v="14468.22"/>
  </r>
  <r>
    <x v="25"/>
    <x v="4"/>
    <x v="1"/>
    <n v="15686.19"/>
    <n v="0"/>
    <n v="0"/>
    <n v="15076.71"/>
    <n v="16295.67"/>
  </r>
  <r>
    <x v="25"/>
    <x v="5"/>
    <x v="1"/>
    <n v="5962.52"/>
    <n v="0"/>
    <n v="0"/>
    <n v="5730.85"/>
    <n v="6194.19"/>
  </r>
  <r>
    <x v="25"/>
    <x v="6"/>
    <x v="1"/>
    <n v="8246.469999999999"/>
    <n v="0"/>
    <n v="0"/>
    <n v="7926.06"/>
    <n v="8566.889999999999"/>
  </r>
  <r>
    <x v="25"/>
    <x v="7"/>
    <x v="1"/>
    <n v="1667.06"/>
    <n v="0"/>
    <n v="0"/>
    <n v="1602.29"/>
    <n v="1731.83"/>
  </r>
  <r>
    <x v="25"/>
    <x v="8"/>
    <x v="1"/>
    <n v="2238.8"/>
    <n v="0"/>
    <n v="0"/>
    <n v="2151.81"/>
    <n v="2325.79"/>
  </r>
  <r>
    <x v="25"/>
    <x v="9"/>
    <x v="1"/>
    <n v="2253.85"/>
    <n v="0"/>
    <n v="0"/>
    <n v="2166.28"/>
    <n v="2341.42"/>
  </r>
  <r>
    <x v="25"/>
    <x v="10"/>
    <x v="1"/>
    <n v="8842.040000000001"/>
    <n v="0"/>
    <n v="0"/>
    <n v="8498.48"/>
    <n v="9185.59"/>
  </r>
  <r>
    <x v="26"/>
    <x v="0"/>
    <x v="1"/>
    <n v="5924.17"/>
    <n v="0"/>
    <n v="0"/>
    <n v="5693.99"/>
    <n v="6154.35"/>
  </r>
  <r>
    <x v="26"/>
    <x v="1"/>
    <x v="1"/>
    <n v="13459.58"/>
    <n v="0"/>
    <n v="0"/>
    <n v="12936.61"/>
    <n v="13982.54"/>
  </r>
  <r>
    <x v="26"/>
    <x v="2"/>
    <x v="1"/>
    <n v="17759.05"/>
    <n v="0"/>
    <n v="0"/>
    <n v="17069.04"/>
    <n v="18449.07"/>
  </r>
  <r>
    <x v="26"/>
    <x v="3"/>
    <x v="1"/>
    <n v="15636.72"/>
    <n v="0"/>
    <n v="0"/>
    <n v="15029.16"/>
    <n v="16244.27"/>
  </r>
  <r>
    <x v="26"/>
    <x v="4"/>
    <x v="1"/>
    <n v="17476.15"/>
    <n v="0"/>
    <n v="0"/>
    <n v="16797.13"/>
    <n v="18155.18"/>
  </r>
  <r>
    <x v="26"/>
    <x v="5"/>
    <x v="1"/>
    <n v="6722.44"/>
    <n v="0"/>
    <n v="0"/>
    <n v="6461.24"/>
    <n v="6983.63"/>
  </r>
  <r>
    <x v="26"/>
    <x v="6"/>
    <x v="1"/>
    <n v="9070.709999999999"/>
    <n v="0"/>
    <n v="0"/>
    <n v="8718.27"/>
    <n v="9423.139999999999"/>
  </r>
  <r>
    <x v="26"/>
    <x v="7"/>
    <x v="1"/>
    <n v="1672.85"/>
    <n v="0"/>
    <n v="0"/>
    <n v="1607.85"/>
    <n v="1737.85"/>
  </r>
  <r>
    <x v="26"/>
    <x v="8"/>
    <x v="1"/>
    <n v="2717.15"/>
    <n v="0"/>
    <n v="0"/>
    <n v="2611.57"/>
    <n v="2822.72"/>
  </r>
  <r>
    <x v="26"/>
    <x v="9"/>
    <x v="1"/>
    <n v="2747.24"/>
    <n v="0"/>
    <n v="0"/>
    <n v="2640.5"/>
    <n v="2853.99"/>
  </r>
  <r>
    <x v="26"/>
    <x v="10"/>
    <x v="1"/>
    <n v="10119.94"/>
    <n v="0"/>
    <n v="0"/>
    <n v="9726.73"/>
    <n v="10513.14"/>
  </r>
  <r>
    <x v="27"/>
    <x v="0"/>
    <x v="1"/>
    <n v="4491.52"/>
    <n v="0"/>
    <n v="0"/>
    <n v="4317.01"/>
    <n v="4666.04"/>
  </r>
  <r>
    <x v="27"/>
    <x v="1"/>
    <x v="1"/>
    <n v="10872.17"/>
    <n v="0"/>
    <n v="0"/>
    <n v="10449.74"/>
    <n v="11294.61"/>
  </r>
  <r>
    <x v="27"/>
    <x v="2"/>
    <x v="1"/>
    <n v="15326.98"/>
    <n v="0"/>
    <n v="0"/>
    <n v="14731.46"/>
    <n v="15922.5"/>
  </r>
  <r>
    <x v="27"/>
    <x v="3"/>
    <x v="1"/>
    <n v="13212.74"/>
    <n v="0"/>
    <n v="0"/>
    <n v="12699.37"/>
    <n v="13726.11"/>
  </r>
  <r>
    <x v="27"/>
    <x v="4"/>
    <x v="1"/>
    <n v="15323.22"/>
    <n v="0"/>
    <n v="0"/>
    <n v="14727.84"/>
    <n v="15918.59"/>
  </r>
  <r>
    <x v="27"/>
    <x v="5"/>
    <x v="1"/>
    <n v="5607.93"/>
    <n v="0"/>
    <n v="0"/>
    <n v="5390.03"/>
    <n v="5825.82"/>
  </r>
  <r>
    <x v="27"/>
    <x v="6"/>
    <x v="1"/>
    <n v="7193.53"/>
    <n v="0"/>
    <n v="0"/>
    <n v="6914.03"/>
    <n v="7473.03"/>
  </r>
  <r>
    <x v="27"/>
    <x v="7"/>
    <x v="1"/>
    <n v="1460.13"/>
    <n v="0"/>
    <n v="0"/>
    <n v="1403.4"/>
    <n v="1516.86"/>
  </r>
  <r>
    <x v="27"/>
    <x v="8"/>
    <x v="1"/>
    <n v="2142.88"/>
    <n v="0"/>
    <n v="0"/>
    <n v="2059.62"/>
    <n v="2226.14"/>
  </r>
  <r>
    <x v="27"/>
    <x v="9"/>
    <x v="1"/>
    <n v="2251.85"/>
    <n v="0"/>
    <n v="0"/>
    <n v="2164.36"/>
    <n v="2339.35"/>
  </r>
  <r>
    <x v="27"/>
    <x v="10"/>
    <x v="1"/>
    <n v="8724.889999999999"/>
    <n v="0"/>
    <n v="0"/>
    <n v="8385.889999999999"/>
    <n v="9063.889999999999"/>
  </r>
  <r>
    <x v="28"/>
    <x v="0"/>
    <x v="1"/>
    <n v="4551.22"/>
    <n v="0"/>
    <n v="0"/>
    <n v="4374.39"/>
    <n v="4728.06"/>
  </r>
  <r>
    <x v="28"/>
    <x v="1"/>
    <x v="1"/>
    <n v="10326.82"/>
    <n v="0"/>
    <n v="0"/>
    <n v="9925.58"/>
    <n v="10728.07"/>
  </r>
  <r>
    <x v="28"/>
    <x v="2"/>
    <x v="1"/>
    <n v="15319.66"/>
    <n v="0"/>
    <n v="0"/>
    <n v="14724.42"/>
    <n v="15914.89"/>
  </r>
  <r>
    <x v="28"/>
    <x v="3"/>
    <x v="1"/>
    <n v="14045.35"/>
    <n v="0"/>
    <n v="0"/>
    <n v="13499.63"/>
    <n v="14591.08"/>
  </r>
  <r>
    <x v="28"/>
    <x v="4"/>
    <x v="1"/>
    <n v="15340.93"/>
    <n v="0"/>
    <n v="0"/>
    <n v="14744.87"/>
    <n v="15936.99"/>
  </r>
  <r>
    <x v="28"/>
    <x v="5"/>
    <x v="1"/>
    <n v="5432.36"/>
    <n v="0"/>
    <n v="0"/>
    <n v="5221.29"/>
    <n v="5643.43"/>
  </r>
  <r>
    <x v="28"/>
    <x v="6"/>
    <x v="1"/>
    <n v="7389.48"/>
    <n v="0"/>
    <n v="0"/>
    <n v="7102.36"/>
    <n v="7676.59"/>
  </r>
  <r>
    <x v="28"/>
    <x v="7"/>
    <x v="1"/>
    <n v="1340.68"/>
    <n v="0"/>
    <n v="0"/>
    <n v="1288.59"/>
    <n v="1392.77"/>
  </r>
  <r>
    <x v="28"/>
    <x v="8"/>
    <x v="1"/>
    <n v="2190.76"/>
    <n v="0"/>
    <n v="0"/>
    <n v="2105.64"/>
    <n v="2275.88"/>
  </r>
  <r>
    <x v="28"/>
    <x v="9"/>
    <x v="1"/>
    <n v="2039.62"/>
    <n v="0"/>
    <n v="0"/>
    <n v="1960.37"/>
    <n v="2118.87"/>
  </r>
  <r>
    <x v="28"/>
    <x v="10"/>
    <x v="1"/>
    <n v="8436.360000000001"/>
    <n v="0"/>
    <n v="0"/>
    <n v="8108.57"/>
    <n v="8764.15"/>
  </r>
  <r>
    <x v="29"/>
    <x v="0"/>
    <x v="1"/>
    <n v="5321.47"/>
    <n v="0"/>
    <n v="0"/>
    <n v="5114.71"/>
    <n v="5528.23"/>
  </r>
  <r>
    <x v="29"/>
    <x v="1"/>
    <x v="1"/>
    <n v="12294.3"/>
    <n v="0"/>
    <n v="0"/>
    <n v="11816.61"/>
    <n v="12771.99"/>
  </r>
  <r>
    <x v="29"/>
    <x v="2"/>
    <x v="1"/>
    <n v="15878.05"/>
    <n v="0"/>
    <n v="0"/>
    <n v="15261.11"/>
    <n v="16494.98"/>
  </r>
  <r>
    <x v="29"/>
    <x v="3"/>
    <x v="1"/>
    <n v="14641.36"/>
    <n v="0"/>
    <n v="0"/>
    <n v="14072.48"/>
    <n v="15210.25"/>
  </r>
  <r>
    <x v="29"/>
    <x v="4"/>
    <x v="1"/>
    <n v="17421.59"/>
    <n v="0"/>
    <n v="0"/>
    <n v="16744.69"/>
    <n v="18098.5"/>
  </r>
  <r>
    <x v="29"/>
    <x v="5"/>
    <x v="1"/>
    <n v="6362.5"/>
    <n v="0"/>
    <n v="0"/>
    <n v="6115.29"/>
    <n v="6609.71"/>
  </r>
  <r>
    <x v="29"/>
    <x v="6"/>
    <x v="1"/>
    <n v="9292.540000000001"/>
    <n v="0"/>
    <n v="0"/>
    <n v="8931.49"/>
    <n v="9653.6"/>
  </r>
  <r>
    <x v="29"/>
    <x v="7"/>
    <x v="1"/>
    <n v="1709.38"/>
    <n v="0"/>
    <n v="0"/>
    <n v="1642.96"/>
    <n v="1775.8"/>
  </r>
  <r>
    <x v="29"/>
    <x v="8"/>
    <x v="1"/>
    <n v="2610.81"/>
    <n v="0"/>
    <n v="0"/>
    <n v="2509.37"/>
    <n v="2712.25"/>
  </r>
  <r>
    <x v="29"/>
    <x v="9"/>
    <x v="1"/>
    <n v="2376.71"/>
    <n v="0"/>
    <n v="0"/>
    <n v="2284.37"/>
    <n v="2469.06"/>
  </r>
  <r>
    <x v="29"/>
    <x v="10"/>
    <x v="1"/>
    <n v="9396.110000000001"/>
    <n v="0"/>
    <n v="0"/>
    <n v="9031.030000000001"/>
    <n v="9761.190000000001"/>
  </r>
  <r>
    <x v="30"/>
    <x v="0"/>
    <x v="1"/>
    <n v="4994.83"/>
    <n v="0"/>
    <n v="0"/>
    <n v="4800.76"/>
    <n v="5188.9"/>
  </r>
  <r>
    <x v="30"/>
    <x v="1"/>
    <x v="1"/>
    <n v="9483.6"/>
    <n v="0"/>
    <n v="0"/>
    <n v="9115.120000000001"/>
    <n v="9852.08"/>
  </r>
  <r>
    <x v="30"/>
    <x v="2"/>
    <x v="1"/>
    <n v="13692.53"/>
    <n v="0"/>
    <n v="0"/>
    <n v="13160.52"/>
    <n v="14224.55"/>
  </r>
  <r>
    <x v="30"/>
    <x v="3"/>
    <x v="1"/>
    <n v="14175.82"/>
    <n v="0"/>
    <n v="0"/>
    <n v="13625.03"/>
    <n v="14726.62"/>
  </r>
  <r>
    <x v="30"/>
    <x v="4"/>
    <x v="1"/>
    <n v="16164.57"/>
    <n v="0"/>
    <n v="0"/>
    <n v="15536.51"/>
    <n v="16792.64"/>
  </r>
  <r>
    <x v="30"/>
    <x v="5"/>
    <x v="1"/>
    <n v="5660.56"/>
    <n v="0"/>
    <n v="0"/>
    <n v="5440.63"/>
    <n v="5880.5"/>
  </r>
  <r>
    <x v="30"/>
    <x v="6"/>
    <x v="1"/>
    <n v="8887.639999999999"/>
    <n v="0"/>
    <n v="0"/>
    <n v="8542.32"/>
    <n v="9232.969999999999"/>
  </r>
  <r>
    <x v="30"/>
    <x v="7"/>
    <x v="1"/>
    <n v="1492.45"/>
    <n v="0"/>
    <n v="0"/>
    <n v="1434.46"/>
    <n v="1550.44"/>
  </r>
  <r>
    <x v="30"/>
    <x v="8"/>
    <x v="1"/>
    <n v="1921.06"/>
    <n v="0"/>
    <n v="0"/>
    <n v="1846.42"/>
    <n v="1995.71"/>
  </r>
  <r>
    <x v="30"/>
    <x v="9"/>
    <x v="1"/>
    <n v="2244.11"/>
    <n v="0"/>
    <n v="0"/>
    <n v="2156.92"/>
    <n v="2331.31"/>
  </r>
  <r>
    <x v="30"/>
    <x v="10"/>
    <x v="1"/>
    <n v="8804.84"/>
    <n v="0"/>
    <n v="0"/>
    <n v="8462.74"/>
    <n v="9146.950000000001"/>
  </r>
  <r>
    <x v="31"/>
    <x v="0"/>
    <x v="1"/>
    <n v="5676.04"/>
    <n v="0"/>
    <n v="0"/>
    <n v="5455.5"/>
    <n v="5896.58"/>
  </r>
  <r>
    <x v="31"/>
    <x v="1"/>
    <x v="1"/>
    <n v="9738.77"/>
    <n v="0"/>
    <n v="0"/>
    <n v="9360.370000000001"/>
    <n v="10117.16"/>
  </r>
  <r>
    <x v="31"/>
    <x v="2"/>
    <x v="1"/>
    <n v="12374.25"/>
    <n v="0"/>
    <n v="0"/>
    <n v="11893.45"/>
    <n v="12855.04"/>
  </r>
  <r>
    <x v="31"/>
    <x v="3"/>
    <x v="1"/>
    <n v="14198.77"/>
    <n v="0"/>
    <n v="0"/>
    <n v="13647.09"/>
    <n v="14750.46"/>
  </r>
  <r>
    <x v="31"/>
    <x v="4"/>
    <x v="1"/>
    <n v="15886.88"/>
    <n v="0"/>
    <n v="0"/>
    <n v="15269.6"/>
    <n v="16504.15"/>
  </r>
  <r>
    <x v="31"/>
    <x v="5"/>
    <x v="1"/>
    <n v="6258.6"/>
    <n v="0"/>
    <n v="0"/>
    <n v="6015.43"/>
    <n v="6501.77"/>
  </r>
  <r>
    <x v="31"/>
    <x v="6"/>
    <x v="1"/>
    <n v="9671.530000000001"/>
    <n v="0"/>
    <n v="0"/>
    <n v="9295.75"/>
    <n v="10047.32"/>
  </r>
  <r>
    <x v="31"/>
    <x v="7"/>
    <x v="1"/>
    <n v="1653.82"/>
    <n v="0"/>
    <n v="0"/>
    <n v="1589.56"/>
    <n v="1718.08"/>
  </r>
  <r>
    <x v="31"/>
    <x v="8"/>
    <x v="1"/>
    <n v="2291.91"/>
    <n v="0"/>
    <n v="0"/>
    <n v="2202.86"/>
    <n v="2380.96"/>
  </r>
  <r>
    <x v="31"/>
    <x v="9"/>
    <x v="1"/>
    <n v="1916.38"/>
    <n v="0"/>
    <n v="0"/>
    <n v="1841.92"/>
    <n v="1990.83"/>
  </r>
  <r>
    <x v="31"/>
    <x v="10"/>
    <x v="1"/>
    <n v="9475.98"/>
    <n v="0"/>
    <n v="0"/>
    <n v="9107.799999999999"/>
    <n v="9844.17"/>
  </r>
  <r>
    <x v="32"/>
    <x v="0"/>
    <x v="1"/>
    <n v="5403.52"/>
    <n v="0"/>
    <n v="0"/>
    <n v="5193.57"/>
    <n v="5613.47"/>
  </r>
  <r>
    <x v="32"/>
    <x v="1"/>
    <x v="1"/>
    <n v="8032.45"/>
    <n v="0"/>
    <n v="0"/>
    <n v="7720.36"/>
    <n v="8344.549999999999"/>
  </r>
  <r>
    <x v="32"/>
    <x v="2"/>
    <x v="1"/>
    <n v="10513.52"/>
    <n v="0"/>
    <n v="0"/>
    <n v="10105.02"/>
    <n v="10922.01"/>
  </r>
  <r>
    <x v="32"/>
    <x v="3"/>
    <x v="1"/>
    <n v="14389.64"/>
    <n v="0"/>
    <n v="0"/>
    <n v="13830.54"/>
    <n v="14948.75"/>
  </r>
  <r>
    <x v="32"/>
    <x v="4"/>
    <x v="1"/>
    <n v="14570.74"/>
    <n v="0"/>
    <n v="0"/>
    <n v="14004.61"/>
    <n v="15136.88"/>
  </r>
  <r>
    <x v="32"/>
    <x v="5"/>
    <x v="1"/>
    <n v="6305.56"/>
    <n v="0"/>
    <n v="0"/>
    <n v="6060.56"/>
    <n v="6550.56"/>
  </r>
  <r>
    <x v="32"/>
    <x v="6"/>
    <x v="1"/>
    <n v="9549.299999999999"/>
    <n v="0"/>
    <n v="0"/>
    <n v="9178.27"/>
    <n v="9920.33"/>
  </r>
  <r>
    <x v="32"/>
    <x v="7"/>
    <x v="1"/>
    <n v="1597.14"/>
    <n v="0"/>
    <n v="0"/>
    <n v="1535.08"/>
    <n v="1659.19"/>
  </r>
  <r>
    <x v="32"/>
    <x v="8"/>
    <x v="1"/>
    <n v="2422.71"/>
    <n v="0"/>
    <n v="0"/>
    <n v="2328.57"/>
    <n v="2516.84"/>
  </r>
  <r>
    <x v="32"/>
    <x v="9"/>
    <x v="1"/>
    <n v="1744.19"/>
    <n v="0"/>
    <n v="0"/>
    <n v="1676.42"/>
    <n v="1811.96"/>
  </r>
  <r>
    <x v="32"/>
    <x v="10"/>
    <x v="1"/>
    <n v="9357.68"/>
    <n v="0"/>
    <n v="0"/>
    <n v="8994.09"/>
    <n v="9721.27"/>
  </r>
  <r>
    <x v="33"/>
    <x v="0"/>
    <x v="1"/>
    <n v="5702.03"/>
    <n v="0"/>
    <n v="0"/>
    <n v="5480.48"/>
    <n v="5923.58"/>
  </r>
  <r>
    <x v="33"/>
    <x v="1"/>
    <x v="1"/>
    <n v="8778.59"/>
    <n v="0"/>
    <n v="0"/>
    <n v="8437.5"/>
    <n v="9119.67"/>
  </r>
  <r>
    <x v="33"/>
    <x v="2"/>
    <x v="1"/>
    <n v="10241.89"/>
    <n v="0"/>
    <n v="0"/>
    <n v="9843.950000000001"/>
    <n v="10639.83"/>
  </r>
  <r>
    <x v="33"/>
    <x v="3"/>
    <x v="1"/>
    <n v="14812.04"/>
    <n v="0"/>
    <n v="0"/>
    <n v="14236.53"/>
    <n v="15387.56"/>
  </r>
  <r>
    <x v="33"/>
    <x v="4"/>
    <x v="1"/>
    <n v="15319.01"/>
    <n v="0"/>
    <n v="0"/>
    <n v="14723.79"/>
    <n v="15914.22"/>
  </r>
  <r>
    <x v="33"/>
    <x v="5"/>
    <x v="1"/>
    <n v="6548.96"/>
    <n v="0"/>
    <n v="0"/>
    <n v="6294.5"/>
    <n v="6803.41"/>
  </r>
  <r>
    <x v="33"/>
    <x v="6"/>
    <x v="1"/>
    <n v="9869.59"/>
    <n v="0"/>
    <n v="0"/>
    <n v="9486.110000000001"/>
    <n v="10253.07"/>
  </r>
  <r>
    <x v="33"/>
    <x v="7"/>
    <x v="1"/>
    <n v="1337.79"/>
    <n v="0"/>
    <n v="0"/>
    <n v="1285.81"/>
    <n v="1389.77"/>
  </r>
  <r>
    <x v="33"/>
    <x v="8"/>
    <x v="1"/>
    <n v="2386.01"/>
    <n v="0"/>
    <n v="0"/>
    <n v="2293.3"/>
    <n v="2478.72"/>
  </r>
  <r>
    <x v="33"/>
    <x v="9"/>
    <x v="1"/>
    <n v="1678.62"/>
    <n v="0"/>
    <n v="0"/>
    <n v="1613.4"/>
    <n v="1743.84"/>
  </r>
  <r>
    <x v="33"/>
    <x v="10"/>
    <x v="1"/>
    <n v="9949.059999999999"/>
    <n v="0"/>
    <n v="0"/>
    <n v="9562.49"/>
    <n v="10335.62"/>
  </r>
  <r>
    <x v="34"/>
    <x v="0"/>
    <x v="1"/>
    <n v="5617.11"/>
    <n v="0"/>
    <n v="0"/>
    <n v="5398.86"/>
    <n v="5835.36"/>
  </r>
  <r>
    <x v="34"/>
    <x v="1"/>
    <x v="1"/>
    <n v="8263.67"/>
    <n v="0"/>
    <n v="0"/>
    <n v="7942.59"/>
    <n v="8584.75"/>
  </r>
  <r>
    <x v="34"/>
    <x v="2"/>
    <x v="1"/>
    <n v="10421.33"/>
    <n v="0"/>
    <n v="0"/>
    <n v="10016.42"/>
    <n v="10826.25"/>
  </r>
  <r>
    <x v="34"/>
    <x v="3"/>
    <x v="1"/>
    <n v="14068.4"/>
    <n v="0"/>
    <n v="0"/>
    <n v="13521.78"/>
    <n v="14615.02"/>
  </r>
  <r>
    <x v="34"/>
    <x v="4"/>
    <x v="1"/>
    <n v="15807.23"/>
    <n v="0"/>
    <n v="0"/>
    <n v="15193.05"/>
    <n v="16421.42"/>
  </r>
  <r>
    <x v="34"/>
    <x v="5"/>
    <x v="1"/>
    <n v="6345.14"/>
    <n v="0"/>
    <n v="0"/>
    <n v="6098.6"/>
    <n v="6591.67"/>
  </r>
  <r>
    <x v="34"/>
    <x v="6"/>
    <x v="1"/>
    <n v="9979.43"/>
    <n v="0"/>
    <n v="0"/>
    <n v="9591.68"/>
    <n v="10367.17"/>
  </r>
  <r>
    <x v="34"/>
    <x v="7"/>
    <x v="1"/>
    <n v="1578.75"/>
    <n v="0"/>
    <n v="0"/>
    <n v="1517.41"/>
    <n v="1640.09"/>
  </r>
  <r>
    <x v="34"/>
    <x v="8"/>
    <x v="1"/>
    <n v="2467.69"/>
    <n v="0"/>
    <n v="0"/>
    <n v="2371.81"/>
    <n v="2563.57"/>
  </r>
  <r>
    <x v="34"/>
    <x v="9"/>
    <x v="1"/>
    <n v="1829.13"/>
    <n v="0"/>
    <n v="0"/>
    <n v="1758.06"/>
    <n v="1900.2"/>
  </r>
  <r>
    <x v="34"/>
    <x v="10"/>
    <x v="1"/>
    <n v="9817.66"/>
    <n v="0"/>
    <n v="0"/>
    <n v="9436.200000000001"/>
    <n v="10199.12"/>
  </r>
  <r>
    <x v="35"/>
    <x v="0"/>
    <x v="1"/>
    <n v="5282.18"/>
    <n v="0"/>
    <n v="0"/>
    <n v="5076.94"/>
    <n v="5487.42"/>
  </r>
  <r>
    <x v="35"/>
    <x v="1"/>
    <x v="1"/>
    <n v="9131.559999999999"/>
    <n v="0"/>
    <n v="0"/>
    <n v="8776.76"/>
    <n v="9486.360000000001"/>
  </r>
  <r>
    <x v="35"/>
    <x v="2"/>
    <x v="1"/>
    <n v="12396.35"/>
    <n v="0"/>
    <n v="0"/>
    <n v="11914.69"/>
    <n v="12878"/>
  </r>
  <r>
    <x v="35"/>
    <x v="3"/>
    <x v="1"/>
    <n v="13815.75"/>
    <n v="0"/>
    <n v="0"/>
    <n v="13278.95"/>
    <n v="14352.56"/>
  </r>
  <r>
    <x v="35"/>
    <x v="4"/>
    <x v="1"/>
    <n v="14742.06"/>
    <n v="0"/>
    <n v="0"/>
    <n v="14169.26"/>
    <n v="15314.85"/>
  </r>
  <r>
    <x v="35"/>
    <x v="5"/>
    <x v="1"/>
    <n v="5868.1"/>
    <n v="0"/>
    <n v="0"/>
    <n v="5640.1"/>
    <n v="6096.11"/>
  </r>
  <r>
    <x v="35"/>
    <x v="6"/>
    <x v="1"/>
    <n v="9733.969999999999"/>
    <n v="0"/>
    <n v="0"/>
    <n v="9355.76"/>
    <n v="10112.18"/>
  </r>
  <r>
    <x v="35"/>
    <x v="7"/>
    <x v="1"/>
    <n v="1596.13"/>
    <n v="0"/>
    <n v="0"/>
    <n v="1534.11"/>
    <n v="1658.14"/>
  </r>
  <r>
    <x v="35"/>
    <x v="8"/>
    <x v="1"/>
    <n v="2641.05"/>
    <n v="0"/>
    <n v="0"/>
    <n v="2538.44"/>
    <n v="2743.67"/>
  </r>
  <r>
    <x v="35"/>
    <x v="9"/>
    <x v="1"/>
    <n v="1851.95"/>
    <n v="0"/>
    <n v="0"/>
    <n v="1779.99"/>
    <n v="1923.9"/>
  </r>
  <r>
    <x v="35"/>
    <x v="10"/>
    <x v="1"/>
    <n v="9894.959999999999"/>
    <n v="0"/>
    <n v="0"/>
    <n v="9510.5"/>
    <n v="10279.43"/>
  </r>
</pivotCacheRecords>
</file>

<file path=xl/pivotCache/pivotCacheRecords2.xml><?xml version="1.0" encoding="utf-8"?>
<pivotCacheRecords xmlns="http://schemas.openxmlformats.org/spreadsheetml/2006/main" count="396">
  <r>
    <x v="0"/>
    <x v="0"/>
    <x v="0"/>
    <n v="4481.93"/>
    <n v="1677.73"/>
    <n v="1105"/>
    <n v="0"/>
    <n v="0"/>
  </r>
  <r>
    <x v="0"/>
    <x v="1"/>
    <x v="0"/>
    <n v="10235.73"/>
    <n v="3514.13"/>
    <n v="527"/>
    <n v="0"/>
    <n v="0"/>
  </r>
  <r>
    <x v="0"/>
    <x v="2"/>
    <x v="0"/>
    <n v="12094.31"/>
    <n v="6055.71"/>
    <n v="3003"/>
    <n v="0"/>
    <n v="0"/>
  </r>
  <r>
    <x v="0"/>
    <x v="3"/>
    <x v="0"/>
    <n v="13185.24"/>
    <n v="3669.29"/>
    <n v="2292"/>
    <n v="0"/>
    <n v="0"/>
  </r>
  <r>
    <x v="0"/>
    <x v="4"/>
    <x v="0"/>
    <n v="14367.98"/>
    <n v="6807.88"/>
    <n v="1892"/>
    <n v="0"/>
    <n v="0"/>
  </r>
  <r>
    <x v="0"/>
    <x v="5"/>
    <x v="0"/>
    <n v="5666.6"/>
    <n v="2453.3"/>
    <n v="840"/>
    <n v="0"/>
    <n v="0"/>
  </r>
  <r>
    <x v="0"/>
    <x v="6"/>
    <x v="0"/>
    <n v="7676.64"/>
    <n v="2694.04"/>
    <n v="1326"/>
    <n v="0"/>
    <n v="0"/>
  </r>
  <r>
    <x v="0"/>
    <x v="7"/>
    <x v="0"/>
    <n v="1110.54"/>
    <n v="560.14"/>
    <n v="146"/>
    <n v="0"/>
    <n v="0"/>
  </r>
  <r>
    <x v="0"/>
    <x v="8"/>
    <x v="0"/>
    <n v="2383.06"/>
    <n v="980.66"/>
    <n v="294"/>
    <n v="0"/>
    <n v="0"/>
  </r>
  <r>
    <x v="0"/>
    <x v="9"/>
    <x v="0"/>
    <n v="1960.28"/>
    <n v="841.36"/>
    <n v="1352"/>
    <n v="0"/>
    <n v="0"/>
  </r>
  <r>
    <x v="0"/>
    <x v="10"/>
    <x v="0"/>
    <n v="8347.49"/>
    <n v="3676.59"/>
    <n v="1931"/>
    <n v="0"/>
    <n v="0"/>
  </r>
  <r>
    <x v="1"/>
    <x v="0"/>
    <x v="0"/>
    <n v="4751.08"/>
    <n v="1852.28"/>
    <n v="1142"/>
    <n v="0"/>
    <n v="0"/>
  </r>
  <r>
    <x v="1"/>
    <x v="1"/>
    <x v="0"/>
    <n v="10463.63"/>
    <n v="3589.93"/>
    <n v="537"/>
    <n v="0"/>
    <n v="0"/>
  </r>
  <r>
    <x v="1"/>
    <x v="2"/>
    <x v="0"/>
    <n v="13850.92"/>
    <n v="7047.07"/>
    <n v="3400"/>
    <n v="0"/>
    <n v="0"/>
  </r>
  <r>
    <x v="1"/>
    <x v="3"/>
    <x v="0"/>
    <n v="13636.2"/>
    <n v="3808.35"/>
    <n v="2290"/>
    <n v="0"/>
    <n v="0"/>
  </r>
  <r>
    <x v="1"/>
    <x v="4"/>
    <x v="0"/>
    <n v="15179.64"/>
    <n v="7131.84"/>
    <n v="1936"/>
    <n v="0"/>
    <n v="0"/>
  </r>
  <r>
    <x v="1"/>
    <x v="5"/>
    <x v="0"/>
    <n v="5316.74"/>
    <n v="2326.94"/>
    <n v="806"/>
    <n v="0"/>
    <n v="0"/>
  </r>
  <r>
    <x v="1"/>
    <x v="6"/>
    <x v="0"/>
    <n v="7966.69"/>
    <n v="2576.49"/>
    <n v="1295"/>
    <n v="0"/>
    <n v="0"/>
  </r>
  <r>
    <x v="1"/>
    <x v="7"/>
    <x v="0"/>
    <n v="1443.34"/>
    <n v="709.14"/>
    <n v="166"/>
    <n v="0"/>
    <n v="0"/>
  </r>
  <r>
    <x v="1"/>
    <x v="8"/>
    <x v="0"/>
    <n v="2115.44"/>
    <n v="857.24"/>
    <n v="256"/>
    <n v="0"/>
    <n v="0"/>
  </r>
  <r>
    <x v="1"/>
    <x v="9"/>
    <x v="0"/>
    <n v="1972.65"/>
    <n v="858.55"/>
    <n v="1285"/>
    <n v="0"/>
    <n v="0"/>
  </r>
  <r>
    <x v="1"/>
    <x v="10"/>
    <x v="0"/>
    <n v="7871"/>
    <n v="3445.3"/>
    <n v="1820"/>
    <n v="0"/>
    <n v="0"/>
  </r>
  <r>
    <x v="2"/>
    <x v="0"/>
    <x v="0"/>
    <n v="4842.77"/>
    <n v="1844.97"/>
    <n v="1185"/>
    <n v="0"/>
    <n v="0"/>
  </r>
  <r>
    <x v="2"/>
    <x v="1"/>
    <x v="0"/>
    <n v="12970.77"/>
    <n v="4291.97"/>
    <n v="683"/>
    <n v="0"/>
    <n v="0"/>
  </r>
  <r>
    <x v="2"/>
    <x v="2"/>
    <x v="0"/>
    <n v="16026.29"/>
    <n v="8068.84"/>
    <n v="3943"/>
    <n v="0"/>
    <n v="0"/>
  </r>
  <r>
    <x v="2"/>
    <x v="3"/>
    <x v="0"/>
    <n v="15110.98"/>
    <n v="4244.23"/>
    <n v="2572"/>
    <n v="0"/>
    <n v="0"/>
  </r>
  <r>
    <x v="2"/>
    <x v="4"/>
    <x v="0"/>
    <n v="16534.26"/>
    <n v="7807.66"/>
    <n v="2074"/>
    <n v="0"/>
    <n v="0"/>
  </r>
  <r>
    <x v="2"/>
    <x v="5"/>
    <x v="0"/>
    <n v="5830.14"/>
    <n v="2579.14"/>
    <n v="906"/>
    <n v="0"/>
    <n v="0"/>
  </r>
  <r>
    <x v="2"/>
    <x v="6"/>
    <x v="0"/>
    <n v="8327.25"/>
    <n v="2713.25"/>
    <n v="1337"/>
    <n v="0"/>
    <n v="0"/>
  </r>
  <r>
    <x v="2"/>
    <x v="7"/>
    <x v="0"/>
    <n v="1659.13"/>
    <n v="812.13"/>
    <n v="187"/>
    <n v="0"/>
    <n v="0"/>
  </r>
  <r>
    <x v="2"/>
    <x v="8"/>
    <x v="0"/>
    <n v="2435"/>
    <n v="984.8"/>
    <n v="300"/>
    <n v="0"/>
    <n v="0"/>
  </r>
  <r>
    <x v="2"/>
    <x v="9"/>
    <x v="0"/>
    <n v="2428.12"/>
    <n v="1042.48"/>
    <n v="1548"/>
    <n v="0"/>
    <n v="0"/>
  </r>
  <r>
    <x v="2"/>
    <x v="10"/>
    <x v="0"/>
    <n v="8838.4"/>
    <n v="3961.9"/>
    <n v="2010"/>
    <n v="0"/>
    <n v="0"/>
  </r>
  <r>
    <x v="3"/>
    <x v="0"/>
    <x v="0"/>
    <n v="4173.27"/>
    <n v="1627.57"/>
    <n v="1003"/>
    <n v="0"/>
    <n v="0"/>
  </r>
  <r>
    <x v="3"/>
    <x v="1"/>
    <x v="0"/>
    <n v="10241.03"/>
    <n v="3464.83"/>
    <n v="537"/>
    <n v="0"/>
    <n v="0"/>
  </r>
  <r>
    <x v="3"/>
    <x v="2"/>
    <x v="0"/>
    <n v="14053.91"/>
    <n v="7098.56"/>
    <n v="3481"/>
    <n v="0"/>
    <n v="0"/>
  </r>
  <r>
    <x v="3"/>
    <x v="3"/>
    <x v="0"/>
    <n v="12577.26"/>
    <n v="3583.16"/>
    <n v="2174"/>
    <n v="0"/>
    <n v="0"/>
  </r>
  <r>
    <x v="3"/>
    <x v="4"/>
    <x v="0"/>
    <n v="14503.63"/>
    <n v="6838.83"/>
    <n v="1787"/>
    <n v="0"/>
    <n v="0"/>
  </r>
  <r>
    <x v="3"/>
    <x v="5"/>
    <x v="0"/>
    <n v="5193.61"/>
    <n v="2287.11"/>
    <n v="799"/>
    <n v="0"/>
    <n v="0"/>
  </r>
  <r>
    <x v="3"/>
    <x v="6"/>
    <x v="0"/>
    <n v="7159.06"/>
    <n v="2438.26"/>
    <n v="1134"/>
    <n v="0"/>
    <n v="0"/>
  </r>
  <r>
    <x v="3"/>
    <x v="7"/>
    <x v="0"/>
    <n v="1440.87"/>
    <n v="694.47"/>
    <n v="153"/>
    <n v="0"/>
    <n v="0"/>
  </r>
  <r>
    <x v="3"/>
    <x v="8"/>
    <x v="0"/>
    <n v="1971.17"/>
    <n v="764.47"/>
    <n v="243"/>
    <n v="0"/>
    <n v="0"/>
  </r>
  <r>
    <x v="3"/>
    <x v="9"/>
    <x v="0"/>
    <n v="1959.34"/>
    <n v="849.58"/>
    <n v="1266"/>
    <n v="0"/>
    <n v="0"/>
  </r>
  <r>
    <x v="3"/>
    <x v="10"/>
    <x v="0"/>
    <n v="7378.69"/>
    <n v="3249.09"/>
    <n v="1691"/>
    <n v="0"/>
    <n v="0"/>
  </r>
  <r>
    <x v="4"/>
    <x v="0"/>
    <x v="0"/>
    <n v="4108.81"/>
    <n v="1554.81"/>
    <n v="1019"/>
    <n v="0"/>
    <n v="0"/>
  </r>
  <r>
    <x v="4"/>
    <x v="1"/>
    <x v="0"/>
    <n v="10389.59"/>
    <n v="3554.99"/>
    <n v="541"/>
    <n v="0"/>
    <n v="0"/>
  </r>
  <r>
    <x v="4"/>
    <x v="2"/>
    <x v="0"/>
    <n v="13796.63"/>
    <n v="6984.98"/>
    <n v="3387"/>
    <n v="0"/>
    <n v="0"/>
  </r>
  <r>
    <x v="4"/>
    <x v="3"/>
    <x v="0"/>
    <n v="12519.59"/>
    <n v="3554.54"/>
    <n v="2161"/>
    <n v="0"/>
    <n v="0"/>
  </r>
  <r>
    <x v="4"/>
    <x v="4"/>
    <x v="0"/>
    <n v="14436.92"/>
    <n v="6846.82"/>
    <n v="1808"/>
    <n v="0"/>
    <n v="0"/>
  </r>
  <r>
    <x v="4"/>
    <x v="5"/>
    <x v="0"/>
    <n v="5260"/>
    <n v="2337.7"/>
    <n v="840"/>
    <n v="0"/>
    <n v="0"/>
  </r>
  <r>
    <x v="4"/>
    <x v="6"/>
    <x v="0"/>
    <n v="6692.11"/>
    <n v="2309.61"/>
    <n v="1089"/>
    <n v="0"/>
    <n v="0"/>
  </r>
  <r>
    <x v="4"/>
    <x v="7"/>
    <x v="0"/>
    <n v="1253.43"/>
    <n v="626.03"/>
    <n v="157"/>
    <n v="0"/>
    <n v="0"/>
  </r>
  <r>
    <x v="4"/>
    <x v="8"/>
    <x v="0"/>
    <n v="1867.69"/>
    <n v="756.1900000000001"/>
    <n v="231"/>
    <n v="0"/>
    <n v="0"/>
  </r>
  <r>
    <x v="4"/>
    <x v="9"/>
    <x v="0"/>
    <n v="2109.33"/>
    <n v="901.6900000000001"/>
    <n v="1327"/>
    <n v="0"/>
    <n v="0"/>
  </r>
  <r>
    <x v="4"/>
    <x v="10"/>
    <x v="0"/>
    <n v="7474.83"/>
    <n v="3285.93"/>
    <n v="1719"/>
    <n v="0"/>
    <n v="0"/>
  </r>
  <r>
    <x v="5"/>
    <x v="0"/>
    <x v="0"/>
    <n v="4685.64"/>
    <n v="1834.24"/>
    <n v="1116"/>
    <n v="0"/>
    <n v="0"/>
  </r>
  <r>
    <x v="5"/>
    <x v="1"/>
    <x v="0"/>
    <n v="11025.5"/>
    <n v="3539.2"/>
    <n v="590"/>
    <n v="0"/>
    <n v="0"/>
  </r>
  <r>
    <x v="5"/>
    <x v="2"/>
    <x v="0"/>
    <n v="14281.38"/>
    <n v="7246.88"/>
    <n v="3512"/>
    <n v="0"/>
    <n v="0"/>
  </r>
  <r>
    <x v="5"/>
    <x v="3"/>
    <x v="0"/>
    <n v="14033.27"/>
    <n v="3798.32"/>
    <n v="2431"/>
    <n v="0"/>
    <n v="0"/>
  </r>
  <r>
    <x v="5"/>
    <x v="4"/>
    <x v="0"/>
    <n v="16215.27"/>
    <n v="7646.77"/>
    <n v="2093"/>
    <n v="0"/>
    <n v="0"/>
  </r>
  <r>
    <x v="5"/>
    <x v="5"/>
    <x v="0"/>
    <n v="6250.81"/>
    <n v="2717.91"/>
    <n v="919"/>
    <n v="0"/>
    <n v="0"/>
  </r>
  <r>
    <x v="5"/>
    <x v="6"/>
    <x v="0"/>
    <n v="7809.36"/>
    <n v="2701.56"/>
    <n v="1274"/>
    <n v="0"/>
    <n v="0"/>
  </r>
  <r>
    <x v="5"/>
    <x v="7"/>
    <x v="0"/>
    <n v="1483.35"/>
    <n v="724.35"/>
    <n v="165"/>
    <n v="0"/>
    <n v="0"/>
  </r>
  <r>
    <x v="5"/>
    <x v="8"/>
    <x v="0"/>
    <n v="2246.34"/>
    <n v="929.34"/>
    <n v="266"/>
    <n v="0"/>
    <n v="0"/>
  </r>
  <r>
    <x v="5"/>
    <x v="9"/>
    <x v="0"/>
    <n v="2066.38"/>
    <n v="899.08"/>
    <n v="1362"/>
    <n v="0"/>
    <n v="0"/>
  </r>
  <r>
    <x v="5"/>
    <x v="10"/>
    <x v="0"/>
    <n v="7849.36"/>
    <n v="3486.16"/>
    <n v="1794"/>
    <n v="0"/>
    <n v="0"/>
  </r>
  <r>
    <x v="6"/>
    <x v="0"/>
    <x v="0"/>
    <n v="4466.73"/>
    <n v="1688.53"/>
    <n v="1097"/>
    <n v="0"/>
    <n v="0"/>
  </r>
  <r>
    <x v="6"/>
    <x v="1"/>
    <x v="0"/>
    <n v="10752.59"/>
    <n v="3613.89"/>
    <n v="561"/>
    <n v="0"/>
    <n v="0"/>
  </r>
  <r>
    <x v="6"/>
    <x v="2"/>
    <x v="0"/>
    <n v="12207.55"/>
    <n v="6238.55"/>
    <n v="2977"/>
    <n v="0"/>
    <n v="0"/>
  </r>
  <r>
    <x v="6"/>
    <x v="3"/>
    <x v="0"/>
    <n v="13074.99"/>
    <n v="3664.04"/>
    <n v="2261"/>
    <n v="0"/>
    <n v="0"/>
  </r>
  <r>
    <x v="6"/>
    <x v="4"/>
    <x v="0"/>
    <n v="14680.64"/>
    <n v="7020.14"/>
    <n v="1916"/>
    <n v="0"/>
    <n v="0"/>
  </r>
  <r>
    <x v="6"/>
    <x v="5"/>
    <x v="0"/>
    <n v="5457.93"/>
    <n v="2403.63"/>
    <n v="807"/>
    <n v="0"/>
    <n v="0"/>
  </r>
  <r>
    <x v="6"/>
    <x v="6"/>
    <x v="0"/>
    <n v="7815.7"/>
    <n v="2723.8"/>
    <n v="1348"/>
    <n v="0"/>
    <n v="0"/>
  </r>
  <r>
    <x v="6"/>
    <x v="7"/>
    <x v="0"/>
    <n v="1279.42"/>
    <n v="637.22"/>
    <n v="158"/>
    <n v="0"/>
    <n v="0"/>
  </r>
  <r>
    <x v="6"/>
    <x v="8"/>
    <x v="0"/>
    <n v="2140.49"/>
    <n v="907.59"/>
    <n v="251"/>
    <n v="0"/>
    <n v="0"/>
  </r>
  <r>
    <x v="6"/>
    <x v="9"/>
    <x v="0"/>
    <n v="1787.13"/>
    <n v="778.01"/>
    <n v="1217"/>
    <n v="0"/>
    <n v="0"/>
  </r>
  <r>
    <x v="6"/>
    <x v="10"/>
    <x v="0"/>
    <n v="7713.33"/>
    <n v="3407.33"/>
    <n v="1767"/>
    <n v="0"/>
    <n v="0"/>
  </r>
  <r>
    <x v="7"/>
    <x v="0"/>
    <x v="0"/>
    <n v="4980.16"/>
    <n v="1909.56"/>
    <n v="1224"/>
    <n v="0"/>
    <n v="0"/>
  </r>
  <r>
    <x v="7"/>
    <x v="1"/>
    <x v="0"/>
    <n v="9995.200000000001"/>
    <n v="3411.2"/>
    <n v="520"/>
    <n v="0"/>
    <n v="0"/>
  </r>
  <r>
    <x v="7"/>
    <x v="2"/>
    <x v="0"/>
    <n v="11226.43"/>
    <n v="5687.43"/>
    <n v="2747"/>
    <n v="0"/>
    <n v="0"/>
  </r>
  <r>
    <x v="7"/>
    <x v="3"/>
    <x v="0"/>
    <n v="13578.47"/>
    <n v="3832.47"/>
    <n v="2341"/>
    <n v="0"/>
    <n v="0"/>
  </r>
  <r>
    <x v="7"/>
    <x v="4"/>
    <x v="0"/>
    <n v="14481.83"/>
    <n v="6951.43"/>
    <n v="1957"/>
    <n v="0"/>
    <n v="0"/>
  </r>
  <r>
    <x v="7"/>
    <x v="5"/>
    <x v="0"/>
    <n v="5638.11"/>
    <n v="2447.21"/>
    <n v="789"/>
    <n v="0"/>
    <n v="0"/>
  </r>
  <r>
    <x v="7"/>
    <x v="6"/>
    <x v="0"/>
    <n v="8273.030000000001"/>
    <n v="2913.33"/>
    <n v="1417"/>
    <n v="0"/>
    <n v="0"/>
  </r>
  <r>
    <x v="7"/>
    <x v="7"/>
    <x v="0"/>
    <n v="1250.08"/>
    <n v="652.48"/>
    <n v="192"/>
    <n v="0"/>
    <n v="0"/>
  </r>
  <r>
    <x v="7"/>
    <x v="8"/>
    <x v="0"/>
    <n v="2536.75"/>
    <n v="1002.05"/>
    <n v="305"/>
    <n v="0"/>
    <n v="0"/>
  </r>
  <r>
    <x v="7"/>
    <x v="9"/>
    <x v="0"/>
    <n v="1717.27"/>
    <n v="749.09"/>
    <n v="1243"/>
    <n v="0"/>
    <n v="0"/>
  </r>
  <r>
    <x v="7"/>
    <x v="10"/>
    <x v="0"/>
    <n v="8338.49"/>
    <n v="3728.19"/>
    <n v="1901"/>
    <n v="0"/>
    <n v="0"/>
  </r>
  <r>
    <x v="8"/>
    <x v="0"/>
    <x v="0"/>
    <n v="4298.82"/>
    <n v="1671.22"/>
    <n v="1038"/>
    <n v="0"/>
    <n v="0"/>
  </r>
  <r>
    <x v="8"/>
    <x v="1"/>
    <x v="0"/>
    <n v="7296.38"/>
    <n v="2496.68"/>
    <n v="382"/>
    <n v="0"/>
    <n v="0"/>
  </r>
  <r>
    <x v="8"/>
    <x v="2"/>
    <x v="0"/>
    <n v="9139.98"/>
    <n v="4682.28"/>
    <n v="2252"/>
    <n v="0"/>
    <n v="0"/>
  </r>
  <r>
    <x v="8"/>
    <x v="3"/>
    <x v="0"/>
    <n v="12208.96"/>
    <n v="3413.61"/>
    <n v="2116"/>
    <n v="0"/>
    <n v="0"/>
  </r>
  <r>
    <x v="8"/>
    <x v="4"/>
    <x v="0"/>
    <n v="13460.24"/>
    <n v="6577.94"/>
    <n v="1826"/>
    <n v="0"/>
    <n v="0"/>
  </r>
  <r>
    <x v="8"/>
    <x v="5"/>
    <x v="0"/>
    <n v="5366.8"/>
    <n v="2293.1"/>
    <n v="740"/>
    <n v="0"/>
    <n v="0"/>
  </r>
  <r>
    <x v="8"/>
    <x v="6"/>
    <x v="0"/>
    <n v="8704.92"/>
    <n v="3068.82"/>
    <n v="1518"/>
    <n v="0"/>
    <n v="0"/>
  </r>
  <r>
    <x v="8"/>
    <x v="7"/>
    <x v="0"/>
    <n v="1444.84"/>
    <n v="749.4400000000001"/>
    <n v="216"/>
    <n v="0"/>
    <n v="0"/>
  </r>
  <r>
    <x v="8"/>
    <x v="8"/>
    <x v="0"/>
    <n v="2002.51"/>
    <n v="808.41"/>
    <n v="249"/>
    <n v="0"/>
    <n v="0"/>
  </r>
  <r>
    <x v="8"/>
    <x v="9"/>
    <x v="0"/>
    <n v="1563.55"/>
    <n v="682.53"/>
    <n v="1175"/>
    <n v="0"/>
    <n v="0"/>
  </r>
  <r>
    <x v="8"/>
    <x v="10"/>
    <x v="0"/>
    <n v="7993.27"/>
    <n v="3578.47"/>
    <n v="1803"/>
    <n v="0"/>
    <n v="0"/>
  </r>
  <r>
    <x v="9"/>
    <x v="0"/>
    <x v="0"/>
    <n v="4743.7"/>
    <n v="1828.8"/>
    <n v="1142"/>
    <n v="0"/>
    <n v="0"/>
  </r>
  <r>
    <x v="9"/>
    <x v="1"/>
    <x v="0"/>
    <n v="8891.309999999999"/>
    <n v="2992.01"/>
    <n v="469"/>
    <n v="0"/>
    <n v="0"/>
  </r>
  <r>
    <x v="9"/>
    <x v="2"/>
    <x v="0"/>
    <n v="9221.440000000001"/>
    <n v="4718.34"/>
    <n v="2276"/>
    <n v="0"/>
    <n v="0"/>
  </r>
  <r>
    <x v="9"/>
    <x v="3"/>
    <x v="0"/>
    <n v="13825.63"/>
    <n v="3815.48"/>
    <n v="2357"/>
    <n v="0"/>
    <n v="0"/>
  </r>
  <r>
    <x v="9"/>
    <x v="4"/>
    <x v="0"/>
    <n v="14760.91"/>
    <n v="7181.11"/>
    <n v="1999"/>
    <n v="0"/>
    <n v="0"/>
  </r>
  <r>
    <x v="9"/>
    <x v="5"/>
    <x v="0"/>
    <n v="5339.97"/>
    <n v="2296.97"/>
    <n v="703"/>
    <n v="0"/>
    <n v="0"/>
  </r>
  <r>
    <x v="9"/>
    <x v="6"/>
    <x v="0"/>
    <n v="9035.98"/>
    <n v="3166.68"/>
    <n v="1562"/>
    <n v="0"/>
    <n v="0"/>
  </r>
  <r>
    <x v="9"/>
    <x v="7"/>
    <x v="0"/>
    <n v="1331.89"/>
    <n v="684.09"/>
    <n v="211"/>
    <n v="0"/>
    <n v="0"/>
  </r>
  <r>
    <x v="9"/>
    <x v="8"/>
    <x v="0"/>
    <n v="2523.15"/>
    <n v="1038.85"/>
    <n v="305"/>
    <n v="0"/>
    <n v="0"/>
  </r>
  <r>
    <x v="9"/>
    <x v="9"/>
    <x v="0"/>
    <n v="1521.21"/>
    <n v="665.49"/>
    <n v="1209"/>
    <n v="0"/>
    <n v="0"/>
  </r>
  <r>
    <x v="9"/>
    <x v="10"/>
    <x v="0"/>
    <n v="8493.9"/>
    <n v="3753.1"/>
    <n v="1966"/>
    <n v="0"/>
    <n v="0"/>
  </r>
  <r>
    <x v="10"/>
    <x v="0"/>
    <x v="0"/>
    <n v="4369.09"/>
    <n v="1691.59"/>
    <n v="1061"/>
    <n v="0"/>
    <n v="0"/>
  </r>
  <r>
    <x v="10"/>
    <x v="1"/>
    <x v="0"/>
    <n v="8273.08"/>
    <n v="2837.78"/>
    <n v="432"/>
    <n v="0"/>
    <n v="0"/>
  </r>
  <r>
    <x v="10"/>
    <x v="2"/>
    <x v="0"/>
    <n v="9778.09"/>
    <n v="4939.74"/>
    <n v="2439"/>
    <n v="0"/>
    <n v="0"/>
  </r>
  <r>
    <x v="10"/>
    <x v="3"/>
    <x v="0"/>
    <n v="13305.41"/>
    <n v="3748.71"/>
    <n v="2299"/>
    <n v="0"/>
    <n v="0"/>
  </r>
  <r>
    <x v="10"/>
    <x v="4"/>
    <x v="0"/>
    <n v="14795.13"/>
    <n v="7204.03"/>
    <n v="2017"/>
    <n v="0"/>
    <n v="0"/>
  </r>
  <r>
    <x v="10"/>
    <x v="5"/>
    <x v="0"/>
    <n v="5555.5"/>
    <n v="2377.2"/>
    <n v="750"/>
    <n v="0"/>
    <n v="0"/>
  </r>
  <r>
    <x v="10"/>
    <x v="6"/>
    <x v="0"/>
    <n v="8319.09"/>
    <n v="2946.79"/>
    <n v="1441"/>
    <n v="0"/>
    <n v="0"/>
  </r>
  <r>
    <x v="10"/>
    <x v="7"/>
    <x v="0"/>
    <n v="1342.54"/>
    <n v="682.9400000000001"/>
    <n v="206"/>
    <n v="0"/>
    <n v="0"/>
  </r>
  <r>
    <x v="10"/>
    <x v="8"/>
    <x v="0"/>
    <n v="2140.25"/>
    <n v="800.95"/>
    <n v="275"/>
    <n v="0"/>
    <n v="0"/>
  </r>
  <r>
    <x v="10"/>
    <x v="9"/>
    <x v="0"/>
    <n v="1535.79"/>
    <n v="671.61"/>
    <n v="1191"/>
    <n v="0"/>
    <n v="0"/>
  </r>
  <r>
    <x v="10"/>
    <x v="10"/>
    <x v="0"/>
    <n v="8403.01"/>
    <n v="3715.81"/>
    <n v="1919"/>
    <n v="0"/>
    <n v="0"/>
  </r>
  <r>
    <x v="11"/>
    <x v="0"/>
    <x v="0"/>
    <n v="4642.06"/>
    <n v="1780.36"/>
    <n v="1134"/>
    <n v="0"/>
    <n v="0"/>
  </r>
  <r>
    <x v="11"/>
    <x v="1"/>
    <x v="0"/>
    <n v="9297.190000000001"/>
    <n v="3203.29"/>
    <n v="481"/>
    <n v="0"/>
    <n v="0"/>
  </r>
  <r>
    <x v="11"/>
    <x v="2"/>
    <x v="0"/>
    <n v="10792.53"/>
    <n v="5504.13"/>
    <n v="2657"/>
    <n v="0"/>
    <n v="0"/>
  </r>
  <r>
    <x v="11"/>
    <x v="3"/>
    <x v="0"/>
    <n v="13673.91"/>
    <n v="3732.31"/>
    <n v="2373"/>
    <n v="0"/>
    <n v="0"/>
  </r>
  <r>
    <x v="11"/>
    <x v="4"/>
    <x v="0"/>
    <n v="14028.75"/>
    <n v="6822.15"/>
    <n v="1875"/>
    <n v="0"/>
    <n v="0"/>
  </r>
  <r>
    <x v="11"/>
    <x v="5"/>
    <x v="0"/>
    <n v="5793.89"/>
    <n v="2467.59"/>
    <n v="831"/>
    <n v="0"/>
    <n v="0"/>
  </r>
  <r>
    <x v="11"/>
    <x v="6"/>
    <x v="0"/>
    <n v="8025.44"/>
    <n v="2854.34"/>
    <n v="1376"/>
    <n v="0"/>
    <n v="0"/>
  </r>
  <r>
    <x v="11"/>
    <x v="7"/>
    <x v="0"/>
    <n v="1058.34"/>
    <n v="555.14"/>
    <n v="166"/>
    <n v="0"/>
    <n v="0"/>
  </r>
  <r>
    <x v="11"/>
    <x v="8"/>
    <x v="0"/>
    <n v="2516.01"/>
    <n v="1010.71"/>
    <n v="299"/>
    <n v="0"/>
    <n v="0"/>
  </r>
  <r>
    <x v="11"/>
    <x v="9"/>
    <x v="0"/>
    <n v="1686.31"/>
    <n v="716.03"/>
    <n v="1219"/>
    <n v="0"/>
    <n v="0"/>
  </r>
  <r>
    <x v="11"/>
    <x v="10"/>
    <x v="0"/>
    <n v="8383.32"/>
    <n v="3722.52"/>
    <n v="1918"/>
    <n v="0"/>
    <n v="0"/>
  </r>
  <r>
    <x v="12"/>
    <x v="0"/>
    <x v="0"/>
    <n v="4610.34"/>
    <n v="1784.54"/>
    <n v="1126"/>
    <n v="0"/>
    <n v="0"/>
  </r>
  <r>
    <x v="12"/>
    <x v="1"/>
    <x v="0"/>
    <n v="10732.84"/>
    <n v="3386.24"/>
    <n v="576"/>
    <n v="0"/>
    <n v="0"/>
  </r>
  <r>
    <x v="12"/>
    <x v="2"/>
    <x v="0"/>
    <n v="12425.41"/>
    <n v="6385.06"/>
    <n v="3059"/>
    <n v="0"/>
    <n v="0"/>
  </r>
  <r>
    <x v="12"/>
    <x v="3"/>
    <x v="0"/>
    <n v="14347.2"/>
    <n v="4082.25"/>
    <n v="2430"/>
    <n v="0"/>
    <n v="0"/>
  </r>
  <r>
    <x v="12"/>
    <x v="4"/>
    <x v="0"/>
    <n v="15227.21"/>
    <n v="7262.71"/>
    <n v="2019"/>
    <n v="0"/>
    <n v="0"/>
  </r>
  <r>
    <x v="12"/>
    <x v="5"/>
    <x v="0"/>
    <n v="5773.36"/>
    <n v="2448.86"/>
    <n v="844"/>
    <n v="0"/>
    <n v="0"/>
  </r>
  <r>
    <x v="12"/>
    <x v="6"/>
    <x v="0"/>
    <n v="8426.559999999999"/>
    <n v="2940.66"/>
    <n v="1414"/>
    <n v="0"/>
    <n v="0"/>
  </r>
  <r>
    <x v="12"/>
    <x v="7"/>
    <x v="0"/>
    <n v="1593.95"/>
    <n v="784.15"/>
    <n v="205"/>
    <n v="0"/>
    <n v="0"/>
  </r>
  <r>
    <x v="12"/>
    <x v="8"/>
    <x v="0"/>
    <n v="2499.08"/>
    <n v="1043.48"/>
    <n v="292"/>
    <n v="0"/>
    <n v="0"/>
  </r>
  <r>
    <x v="12"/>
    <x v="9"/>
    <x v="0"/>
    <n v="2076.36"/>
    <n v="904.22"/>
    <n v="1424"/>
    <n v="0"/>
    <n v="0"/>
  </r>
  <r>
    <x v="12"/>
    <x v="10"/>
    <x v="0"/>
    <n v="8609.889999999999"/>
    <n v="3837.89"/>
    <n v="1951"/>
    <n v="0"/>
    <n v="0"/>
  </r>
  <r>
    <x v="13"/>
    <x v="0"/>
    <x v="0"/>
    <n v="4566.07"/>
    <n v="1718.17"/>
    <n v="1123"/>
    <n v="0"/>
    <n v="0"/>
  </r>
  <r>
    <x v="13"/>
    <x v="1"/>
    <x v="0"/>
    <n v="10908.65"/>
    <n v="3615.15"/>
    <n v="575"/>
    <n v="0"/>
    <n v="0"/>
  </r>
  <r>
    <x v="13"/>
    <x v="2"/>
    <x v="0"/>
    <n v="14150.1"/>
    <n v="7159.65"/>
    <n v="3560"/>
    <n v="0"/>
    <n v="0"/>
  </r>
  <r>
    <x v="13"/>
    <x v="3"/>
    <x v="0"/>
    <n v="13597.37"/>
    <n v="3857.22"/>
    <n v="2361"/>
    <n v="0"/>
    <n v="0"/>
  </r>
  <r>
    <x v="13"/>
    <x v="4"/>
    <x v="0"/>
    <n v="15303.57"/>
    <n v="7141.67"/>
    <n v="1983"/>
    <n v="0"/>
    <n v="0"/>
  </r>
  <r>
    <x v="13"/>
    <x v="5"/>
    <x v="0"/>
    <n v="5648"/>
    <n v="2434.3"/>
    <n v="880"/>
    <n v="0"/>
    <n v="0"/>
  </r>
  <r>
    <x v="13"/>
    <x v="6"/>
    <x v="0"/>
    <n v="7671.56"/>
    <n v="2644.46"/>
    <n v="1238"/>
    <n v="0"/>
    <n v="0"/>
  </r>
  <r>
    <x v="13"/>
    <x v="7"/>
    <x v="0"/>
    <n v="1535.11"/>
    <n v="764.11"/>
    <n v="189"/>
    <n v="0"/>
    <n v="0"/>
  </r>
  <r>
    <x v="13"/>
    <x v="8"/>
    <x v="0"/>
    <n v="2188.31"/>
    <n v="896.61"/>
    <n v="269"/>
    <n v="0"/>
    <n v="0"/>
  </r>
  <r>
    <x v="13"/>
    <x v="9"/>
    <x v="0"/>
    <n v="2107.81"/>
    <n v="915.6900000000001"/>
    <n v="1349"/>
    <n v="0"/>
    <n v="0"/>
  </r>
  <r>
    <x v="13"/>
    <x v="10"/>
    <x v="0"/>
    <n v="8220.559999999999"/>
    <n v="3670.86"/>
    <n v="1874"/>
    <n v="0"/>
    <n v="0"/>
  </r>
  <r>
    <x v="14"/>
    <x v="0"/>
    <x v="0"/>
    <n v="5391.33"/>
    <n v="2030.53"/>
    <n v="1329"/>
    <n v="0"/>
    <n v="0"/>
  </r>
  <r>
    <x v="14"/>
    <x v="1"/>
    <x v="0"/>
    <n v="13539.05"/>
    <n v="4479.85"/>
    <n v="715"/>
    <n v="0"/>
    <n v="0"/>
  </r>
  <r>
    <x v="14"/>
    <x v="2"/>
    <x v="0"/>
    <n v="16885.76"/>
    <n v="8679.209999999999"/>
    <n v="4134"/>
    <n v="0"/>
    <n v="0"/>
  </r>
  <r>
    <x v="14"/>
    <x v="3"/>
    <x v="0"/>
    <n v="15266.52"/>
    <n v="4249.37"/>
    <n v="2598"/>
    <n v="0"/>
    <n v="0"/>
  </r>
  <r>
    <x v="14"/>
    <x v="4"/>
    <x v="0"/>
    <n v="17049.87"/>
    <n v="8053.57"/>
    <n v="2113"/>
    <n v="0"/>
    <n v="0"/>
  </r>
  <r>
    <x v="14"/>
    <x v="5"/>
    <x v="0"/>
    <n v="6367.83"/>
    <n v="2773.93"/>
    <n v="1017"/>
    <n v="0"/>
    <n v="0"/>
  </r>
  <r>
    <x v="14"/>
    <x v="6"/>
    <x v="0"/>
    <n v="8438.33"/>
    <n v="2849.53"/>
    <n v="1387"/>
    <n v="0"/>
    <n v="0"/>
  </r>
  <r>
    <x v="14"/>
    <x v="7"/>
    <x v="0"/>
    <n v="1540.44"/>
    <n v="750.64"/>
    <n v="176"/>
    <n v="0"/>
    <n v="0"/>
  </r>
  <r>
    <x v="14"/>
    <x v="8"/>
    <x v="0"/>
    <n v="2655.87"/>
    <n v="1099.17"/>
    <n v="313"/>
    <n v="0"/>
    <n v="0"/>
  </r>
  <r>
    <x v="14"/>
    <x v="9"/>
    <x v="0"/>
    <n v="2569.23"/>
    <n v="1099.49"/>
    <n v="1577"/>
    <n v="0"/>
    <n v="0"/>
  </r>
  <r>
    <x v="14"/>
    <x v="10"/>
    <x v="0"/>
    <n v="9408.639999999999"/>
    <n v="4220.74"/>
    <n v="2150"/>
    <n v="0"/>
    <n v="0"/>
  </r>
  <r>
    <x v="15"/>
    <x v="0"/>
    <x v="0"/>
    <n v="4087.54"/>
    <n v="1582.14"/>
    <n v="996"/>
    <n v="0"/>
    <n v="0"/>
  </r>
  <r>
    <x v="15"/>
    <x v="1"/>
    <x v="0"/>
    <n v="10936.37"/>
    <n v="3747.17"/>
    <n v="563"/>
    <n v="0"/>
    <n v="0"/>
  </r>
  <r>
    <x v="15"/>
    <x v="2"/>
    <x v="0"/>
    <n v="14573.28"/>
    <n v="7442.58"/>
    <n v="3592"/>
    <n v="0"/>
    <n v="0"/>
  </r>
  <r>
    <x v="15"/>
    <x v="3"/>
    <x v="0"/>
    <n v="12899.93"/>
    <n v="3467.53"/>
    <n v="2275"/>
    <n v="0"/>
    <n v="0"/>
  </r>
  <r>
    <x v="15"/>
    <x v="4"/>
    <x v="0"/>
    <n v="14949.45"/>
    <n v="7069.35"/>
    <n v="1855"/>
    <n v="0"/>
    <n v="0"/>
  </r>
  <r>
    <x v="15"/>
    <x v="5"/>
    <x v="0"/>
    <n v="5312.11"/>
    <n v="2321.91"/>
    <n v="849"/>
    <n v="0"/>
    <n v="0"/>
  </r>
  <r>
    <x v="15"/>
    <x v="6"/>
    <x v="0"/>
    <n v="6692.02"/>
    <n v="2231.12"/>
    <n v="1088"/>
    <n v="0"/>
    <n v="0"/>
  </r>
  <r>
    <x v="15"/>
    <x v="7"/>
    <x v="0"/>
    <n v="1344.56"/>
    <n v="652.16"/>
    <n v="144"/>
    <n v="0"/>
    <n v="0"/>
  </r>
  <r>
    <x v="15"/>
    <x v="8"/>
    <x v="0"/>
    <n v="2094.55"/>
    <n v="883.85"/>
    <n v="245"/>
    <n v="0"/>
    <n v="0"/>
  </r>
  <r>
    <x v="15"/>
    <x v="9"/>
    <x v="0"/>
    <n v="2105.94"/>
    <n v="914.72"/>
    <n v="1286"/>
    <n v="0"/>
    <n v="0"/>
  </r>
  <r>
    <x v="15"/>
    <x v="10"/>
    <x v="0"/>
    <n v="8111.65"/>
    <n v="3573.25"/>
    <n v="1855"/>
    <n v="0"/>
    <n v="0"/>
  </r>
  <r>
    <x v="16"/>
    <x v="0"/>
    <x v="0"/>
    <n v="4141.87"/>
    <n v="1617.37"/>
    <n v="993"/>
    <n v="0"/>
    <n v="0"/>
  </r>
  <r>
    <x v="16"/>
    <x v="1"/>
    <x v="0"/>
    <n v="10387.8"/>
    <n v="3459.9"/>
    <n v="540"/>
    <n v="0"/>
    <n v="0"/>
  </r>
  <r>
    <x v="16"/>
    <x v="2"/>
    <x v="0"/>
    <n v="14566.32"/>
    <n v="7401.12"/>
    <n v="3612"/>
    <n v="0"/>
    <n v="0"/>
  </r>
  <r>
    <x v="16"/>
    <x v="3"/>
    <x v="0"/>
    <n v="13712.83"/>
    <n v="3641.63"/>
    <n v="2389"/>
    <n v="0"/>
    <n v="0"/>
  </r>
  <r>
    <x v="16"/>
    <x v="4"/>
    <x v="0"/>
    <n v="14966.73"/>
    <n v="6962.43"/>
    <n v="1867"/>
    <n v="0"/>
    <n v="0"/>
  </r>
  <r>
    <x v="16"/>
    <x v="5"/>
    <x v="0"/>
    <n v="5145.8"/>
    <n v="2312"/>
    <n v="820"/>
    <n v="0"/>
    <n v="0"/>
  </r>
  <r>
    <x v="16"/>
    <x v="6"/>
    <x v="0"/>
    <n v="6874.31"/>
    <n v="2397.11"/>
    <n v="1119"/>
    <n v="0"/>
    <n v="0"/>
  </r>
  <r>
    <x v="16"/>
    <x v="7"/>
    <x v="0"/>
    <n v="1234.56"/>
    <n v="608.16"/>
    <n v="144"/>
    <n v="0"/>
    <n v="0"/>
  </r>
  <r>
    <x v="16"/>
    <x v="8"/>
    <x v="0"/>
    <n v="2141.35"/>
    <n v="879.25"/>
    <n v="265"/>
    <n v="0"/>
    <n v="0"/>
  </r>
  <r>
    <x v="16"/>
    <x v="9"/>
    <x v="0"/>
    <n v="1907.46"/>
    <n v="817.7"/>
    <n v="1244"/>
    <n v="0"/>
    <n v="0"/>
  </r>
  <r>
    <x v="16"/>
    <x v="10"/>
    <x v="0"/>
    <n v="7843.4"/>
    <n v="3453.5"/>
    <n v="1808"/>
    <n v="0"/>
    <n v="0"/>
  </r>
  <r>
    <x v="17"/>
    <x v="0"/>
    <x v="0"/>
    <n v="4842.84"/>
    <n v="1856.64"/>
    <n v="1196"/>
    <n v="0"/>
    <n v="0"/>
  </r>
  <r>
    <x v="17"/>
    <x v="1"/>
    <x v="0"/>
    <n v="12366.89"/>
    <n v="4212.29"/>
    <n v="651"/>
    <n v="0"/>
    <n v="0"/>
  </r>
  <r>
    <x v="17"/>
    <x v="2"/>
    <x v="0"/>
    <n v="15097.25"/>
    <n v="7763.55"/>
    <n v="3725"/>
    <n v="0"/>
    <n v="0"/>
  </r>
  <r>
    <x v="17"/>
    <x v="3"/>
    <x v="0"/>
    <n v="14294.73"/>
    <n v="3967.23"/>
    <n v="2465"/>
    <n v="0"/>
    <n v="0"/>
  </r>
  <r>
    <x v="17"/>
    <x v="4"/>
    <x v="0"/>
    <n v="16996.64"/>
    <n v="8046.14"/>
    <n v="2166"/>
    <n v="0"/>
    <n v="0"/>
  </r>
  <r>
    <x v="17"/>
    <x v="5"/>
    <x v="0"/>
    <n v="6026.88"/>
    <n v="2608.58"/>
    <n v="892"/>
    <n v="0"/>
    <n v="0"/>
  </r>
  <r>
    <x v="17"/>
    <x v="6"/>
    <x v="0"/>
    <n v="8644.700000000001"/>
    <n v="2953.6"/>
    <n v="1408"/>
    <n v="0"/>
    <n v="0"/>
  </r>
  <r>
    <x v="17"/>
    <x v="7"/>
    <x v="0"/>
    <n v="1574.08"/>
    <n v="758.6799999999999"/>
    <n v="192"/>
    <n v="0"/>
    <n v="0"/>
  </r>
  <r>
    <x v="17"/>
    <x v="8"/>
    <x v="0"/>
    <n v="2551.93"/>
    <n v="1083.63"/>
    <n v="307"/>
    <n v="0"/>
    <n v="0"/>
  </r>
  <r>
    <x v="17"/>
    <x v="9"/>
    <x v="0"/>
    <n v="2222.71"/>
    <n v="968.09"/>
    <n v="1459"/>
    <n v="0"/>
    <n v="0"/>
  </r>
  <r>
    <x v="17"/>
    <x v="10"/>
    <x v="0"/>
    <n v="8735.690000000001"/>
    <n v="3876.19"/>
    <n v="2001"/>
    <n v="0"/>
    <n v="0"/>
  </r>
  <r>
    <x v="18"/>
    <x v="0"/>
    <x v="0"/>
    <n v="4545.58"/>
    <n v="1731.58"/>
    <n v="1122"/>
    <n v="0"/>
    <n v="0"/>
  </r>
  <r>
    <x v="18"/>
    <x v="1"/>
    <x v="0"/>
    <n v="9539.6"/>
    <n v="3270.5"/>
    <n v="500"/>
    <n v="0"/>
    <n v="0"/>
  </r>
  <r>
    <x v="18"/>
    <x v="2"/>
    <x v="0"/>
    <n v="13019.21"/>
    <n v="6642.71"/>
    <n v="3169"/>
    <n v="0"/>
    <n v="0"/>
  </r>
  <r>
    <x v="18"/>
    <x v="3"/>
    <x v="0"/>
    <n v="13840.21"/>
    <n v="3791.41"/>
    <n v="2407"/>
    <n v="0"/>
    <n v="0"/>
  </r>
  <r>
    <x v="18"/>
    <x v="4"/>
    <x v="0"/>
    <n v="15770.28"/>
    <n v="7510.28"/>
    <n v="2052"/>
    <n v="0"/>
    <n v="0"/>
  </r>
  <r>
    <x v="18"/>
    <x v="5"/>
    <x v="0"/>
    <n v="5361.97"/>
    <n v="2367.67"/>
    <n v="803"/>
    <n v="0"/>
    <n v="0"/>
  </r>
  <r>
    <x v="18"/>
    <x v="6"/>
    <x v="0"/>
    <n v="8268.030000000001"/>
    <n v="2856.23"/>
    <n v="1367"/>
    <n v="0"/>
    <n v="0"/>
  </r>
  <r>
    <x v="18"/>
    <x v="7"/>
    <x v="0"/>
    <n v="1374.32"/>
    <n v="683.12"/>
    <n v="168"/>
    <n v="0"/>
    <n v="0"/>
  </r>
  <r>
    <x v="18"/>
    <x v="8"/>
    <x v="0"/>
    <n v="1877.74"/>
    <n v="772.54"/>
    <n v="226"/>
    <n v="0"/>
    <n v="0"/>
  </r>
  <r>
    <x v="18"/>
    <x v="9"/>
    <x v="0"/>
    <n v="2098.7"/>
    <n v="911.42"/>
    <n v="1350"/>
    <n v="0"/>
    <n v="0"/>
  </r>
  <r>
    <x v="18"/>
    <x v="10"/>
    <x v="0"/>
    <n v="8185.98"/>
    <n v="3624.08"/>
    <n v="1902"/>
    <n v="0"/>
    <n v="0"/>
  </r>
  <r>
    <x v="19"/>
    <x v="0"/>
    <x v="0"/>
    <n v="5165.52"/>
    <n v="1983.72"/>
    <n v="1258"/>
    <n v="0"/>
    <n v="0"/>
  </r>
  <r>
    <x v="19"/>
    <x v="1"/>
    <x v="0"/>
    <n v="9796.27"/>
    <n v="3314.17"/>
    <n v="513"/>
    <n v="0"/>
    <n v="0"/>
  </r>
  <r>
    <x v="19"/>
    <x v="2"/>
    <x v="0"/>
    <n v="11765.75"/>
    <n v="5910.6"/>
    <n v="2889"/>
    <n v="0"/>
    <n v="0"/>
  </r>
  <r>
    <x v="19"/>
    <x v="3"/>
    <x v="0"/>
    <n v="13862.62"/>
    <n v="3880.17"/>
    <n v="2466"/>
    <n v="0"/>
    <n v="0"/>
  </r>
  <r>
    <x v="19"/>
    <x v="4"/>
    <x v="0"/>
    <n v="15499.36"/>
    <n v="7522.56"/>
    <n v="2064"/>
    <n v="0"/>
    <n v="0"/>
  </r>
  <r>
    <x v="19"/>
    <x v="5"/>
    <x v="0"/>
    <n v="5928.46"/>
    <n v="2597.16"/>
    <n v="854"/>
    <n v="0"/>
    <n v="0"/>
  </r>
  <r>
    <x v="19"/>
    <x v="6"/>
    <x v="0"/>
    <n v="8997.27"/>
    <n v="3184.37"/>
    <n v="1543"/>
    <n v="0"/>
    <n v="0"/>
  </r>
  <r>
    <x v="19"/>
    <x v="7"/>
    <x v="0"/>
    <n v="1522.92"/>
    <n v="774.3200000000001"/>
    <n v="208"/>
    <n v="0"/>
    <n v="0"/>
  </r>
  <r>
    <x v="19"/>
    <x v="8"/>
    <x v="0"/>
    <n v="2240.22"/>
    <n v="912.42"/>
    <n v="278"/>
    <n v="0"/>
    <n v="0"/>
  </r>
  <r>
    <x v="19"/>
    <x v="9"/>
    <x v="0"/>
    <n v="1792.2"/>
    <n v="783.54"/>
    <n v="1320"/>
    <n v="0"/>
    <n v="0"/>
  </r>
  <r>
    <x v="19"/>
    <x v="10"/>
    <x v="0"/>
    <n v="8809.950000000001"/>
    <n v="3929.75"/>
    <n v="2003"/>
    <n v="0"/>
    <n v="0"/>
  </r>
  <r>
    <x v="20"/>
    <x v="0"/>
    <x v="0"/>
    <n v="4917.51"/>
    <n v="1877.51"/>
    <n v="1205"/>
    <n v="0"/>
    <n v="0"/>
  </r>
  <r>
    <x v="20"/>
    <x v="1"/>
    <x v="0"/>
    <n v="8079.88"/>
    <n v="2788.18"/>
    <n v="412"/>
    <n v="0"/>
    <n v="0"/>
  </r>
  <r>
    <x v="20"/>
    <x v="2"/>
    <x v="0"/>
    <n v="9996.52"/>
    <n v="5052.32"/>
    <n v="2418"/>
    <n v="0"/>
    <n v="0"/>
  </r>
  <r>
    <x v="20"/>
    <x v="3"/>
    <x v="0"/>
    <n v="14048.97"/>
    <n v="3972.67"/>
    <n v="2423"/>
    <n v="0"/>
    <n v="0"/>
  </r>
  <r>
    <x v="20"/>
    <x v="4"/>
    <x v="0"/>
    <n v="14215.33"/>
    <n v="6894.43"/>
    <n v="1917"/>
    <n v="0"/>
    <n v="0"/>
  </r>
  <r>
    <x v="20"/>
    <x v="5"/>
    <x v="0"/>
    <n v="5972.94"/>
    <n v="2570.44"/>
    <n v="806"/>
    <n v="0"/>
    <n v="0"/>
  </r>
  <r>
    <x v="20"/>
    <x v="6"/>
    <x v="0"/>
    <n v="8883.559999999999"/>
    <n v="3145.36"/>
    <n v="1544"/>
    <n v="0"/>
    <n v="0"/>
  </r>
  <r>
    <x v="20"/>
    <x v="7"/>
    <x v="0"/>
    <n v="1470.72"/>
    <n v="769.3200000000001"/>
    <n v="228"/>
    <n v="0"/>
    <n v="0"/>
  </r>
  <r>
    <x v="20"/>
    <x v="8"/>
    <x v="0"/>
    <n v="2368.07"/>
    <n v="958.97"/>
    <n v="293"/>
    <n v="0"/>
    <n v="0"/>
  </r>
  <r>
    <x v="20"/>
    <x v="9"/>
    <x v="0"/>
    <n v="1631.17"/>
    <n v="713.51"/>
    <n v="1273"/>
    <n v="0"/>
    <n v="0"/>
  </r>
  <r>
    <x v="20"/>
    <x v="10"/>
    <x v="0"/>
    <n v="8699.959999999999"/>
    <n v="3884.66"/>
    <n v="1986"/>
    <n v="0"/>
    <n v="0"/>
  </r>
  <r>
    <x v="21"/>
    <x v="0"/>
    <x v="0"/>
    <n v="5189.17"/>
    <n v="1983.07"/>
    <n v="1265"/>
    <n v="0"/>
    <n v="0"/>
  </r>
  <r>
    <x v="21"/>
    <x v="1"/>
    <x v="0"/>
    <n v="8830.42"/>
    <n v="2985.12"/>
    <n v="458"/>
    <n v="0"/>
    <n v="0"/>
  </r>
  <r>
    <x v="21"/>
    <x v="2"/>
    <x v="0"/>
    <n v="9738.25"/>
    <n v="4977.75"/>
    <n v="2405"/>
    <n v="0"/>
    <n v="0"/>
  </r>
  <r>
    <x v="21"/>
    <x v="3"/>
    <x v="0"/>
    <n v="14461.37"/>
    <n v="4059.07"/>
    <n v="2483"/>
    <n v="0"/>
    <n v="0"/>
  </r>
  <r>
    <x v="21"/>
    <x v="4"/>
    <x v="0"/>
    <n v="14945.34"/>
    <n v="7273.74"/>
    <n v="2026"/>
    <n v="0"/>
    <n v="0"/>
  </r>
  <r>
    <x v="21"/>
    <x v="5"/>
    <x v="0"/>
    <n v="6203.5"/>
    <n v="2688.1"/>
    <n v="850"/>
    <n v="0"/>
    <n v="0"/>
  </r>
  <r>
    <x v="21"/>
    <x v="6"/>
    <x v="0"/>
    <n v="9181.52"/>
    <n v="3225.32"/>
    <n v="1558"/>
    <n v="0"/>
    <n v="0"/>
  </r>
  <r>
    <x v="21"/>
    <x v="7"/>
    <x v="0"/>
    <n v="1231.9"/>
    <n v="645.1"/>
    <n v="210"/>
    <n v="0"/>
    <n v="0"/>
  </r>
  <r>
    <x v="21"/>
    <x v="8"/>
    <x v="0"/>
    <n v="2332.2"/>
    <n v="959.6"/>
    <n v="280"/>
    <n v="0"/>
    <n v="0"/>
  </r>
  <r>
    <x v="21"/>
    <x v="9"/>
    <x v="0"/>
    <n v="1569.85"/>
    <n v="686.8099999999999"/>
    <n v="1225"/>
    <n v="0"/>
    <n v="0"/>
  </r>
  <r>
    <x v="21"/>
    <x v="10"/>
    <x v="0"/>
    <n v="9249.77"/>
    <n v="4042.77"/>
    <n v="2143"/>
    <n v="0"/>
    <n v="0"/>
  </r>
  <r>
    <x v="22"/>
    <x v="0"/>
    <x v="0"/>
    <n v="5111.89"/>
    <n v="1994.89"/>
    <n v="1221"/>
    <n v="0"/>
    <n v="0"/>
  </r>
  <r>
    <x v="22"/>
    <x v="1"/>
    <x v="0"/>
    <n v="8312.459999999999"/>
    <n v="2860.26"/>
    <n v="434"/>
    <n v="0"/>
    <n v="0"/>
  </r>
  <r>
    <x v="22"/>
    <x v="2"/>
    <x v="0"/>
    <n v="9908.870000000001"/>
    <n v="5074.87"/>
    <n v="2423"/>
    <n v="0"/>
    <n v="0"/>
  </r>
  <r>
    <x v="22"/>
    <x v="3"/>
    <x v="0"/>
    <n v="13735.33"/>
    <n v="3857.03"/>
    <n v="2373"/>
    <n v="0"/>
    <n v="0"/>
  </r>
  <r>
    <x v="22"/>
    <x v="4"/>
    <x v="0"/>
    <n v="15421.66"/>
    <n v="7453.86"/>
    <n v="2084"/>
    <n v="0"/>
    <n v="0"/>
  </r>
  <r>
    <x v="22"/>
    <x v="5"/>
    <x v="0"/>
    <n v="6010.43"/>
    <n v="2587.93"/>
    <n v="817"/>
    <n v="0"/>
    <n v="0"/>
  </r>
  <r>
    <x v="22"/>
    <x v="6"/>
    <x v="0"/>
    <n v="9283.700000000001"/>
    <n v="3281.4"/>
    <n v="1618"/>
    <n v="0"/>
    <n v="0"/>
  </r>
  <r>
    <x v="22"/>
    <x v="7"/>
    <x v="0"/>
    <n v="1453.79"/>
    <n v="756.99"/>
    <n v="221"/>
    <n v="0"/>
    <n v="0"/>
  </r>
  <r>
    <x v="22"/>
    <x v="8"/>
    <x v="0"/>
    <n v="2412.04"/>
    <n v="986.64"/>
    <n v="296"/>
    <n v="0"/>
    <n v="0"/>
  </r>
  <r>
    <x v="22"/>
    <x v="9"/>
    <x v="0"/>
    <n v="1710.61"/>
    <n v="733.23"/>
    <n v="1289"/>
    <n v="0"/>
    <n v="0"/>
  </r>
  <r>
    <x v="22"/>
    <x v="10"/>
    <x v="0"/>
    <n v="9127.610000000001"/>
    <n v="4081.51"/>
    <n v="2059"/>
    <n v="0"/>
    <n v="0"/>
  </r>
  <r>
    <x v="23"/>
    <x v="0"/>
    <x v="2"/>
    <n v="4807.08"/>
    <n v="1841.11"/>
    <n v="0"/>
    <n v="4620.3"/>
    <n v="4993.86"/>
  </r>
  <r>
    <x v="23"/>
    <x v="1"/>
    <x v="2"/>
    <n v="9185.48"/>
    <n v="3095.51"/>
    <n v="0"/>
    <n v="8828.58"/>
    <n v="9542.370000000001"/>
  </r>
  <r>
    <x v="23"/>
    <x v="2"/>
    <x v="2"/>
    <n v="11786.76"/>
    <n v="6011.25"/>
    <n v="0"/>
    <n v="11328.79"/>
    <n v="12244.73"/>
  </r>
  <r>
    <x v="23"/>
    <x v="3"/>
    <x v="2"/>
    <n v="13488.67"/>
    <n v="3749.85"/>
    <n v="0"/>
    <n v="12964.57"/>
    <n v="14012.76"/>
  </r>
  <r>
    <x v="23"/>
    <x v="4"/>
    <x v="2"/>
    <n v="14382.46"/>
    <n v="6860.43"/>
    <n v="0"/>
    <n v="13823.64"/>
    <n v="14941.29"/>
  </r>
  <r>
    <x v="23"/>
    <x v="5"/>
    <x v="2"/>
    <n v="5558.56"/>
    <n v="2412.42"/>
    <n v="0"/>
    <n v="5342.59"/>
    <n v="5774.54"/>
  </r>
  <r>
    <x v="23"/>
    <x v="6"/>
    <x v="2"/>
    <n v="9055.35"/>
    <n v="3151.26"/>
    <n v="0"/>
    <n v="8703.51"/>
    <n v="9407.190000000001"/>
  </r>
  <r>
    <x v="23"/>
    <x v="7"/>
    <x v="2"/>
    <n v="1469.79"/>
    <n v="737.84"/>
    <n v="0"/>
    <n v="1412.68"/>
    <n v="1526.9"/>
  </r>
  <r>
    <x v="23"/>
    <x v="8"/>
    <x v="2"/>
    <n v="2581.49"/>
    <n v="1063.57"/>
    <n v="0"/>
    <n v="2481.19"/>
    <n v="2681.79"/>
  </r>
  <r>
    <x v="23"/>
    <x v="9"/>
    <x v="2"/>
    <n v="1731.94"/>
    <n v="749.9299999999999"/>
    <n v="0"/>
    <n v="1664.65"/>
    <n v="1799.24"/>
  </r>
  <r>
    <x v="23"/>
    <x v="10"/>
    <x v="2"/>
    <n v="9199.48"/>
    <n v="4084.57"/>
    <n v="0"/>
    <n v="8842.040000000001"/>
    <n v="9556.92"/>
  </r>
  <r>
    <x v="24"/>
    <x v="0"/>
    <x v="1"/>
    <n v="5065.99"/>
    <n v="0"/>
    <n v="0"/>
    <n v="4869.16"/>
    <n v="5262.83"/>
  </r>
  <r>
    <x v="24"/>
    <x v="1"/>
    <x v="1"/>
    <n v="10669.84"/>
    <n v="0"/>
    <n v="0"/>
    <n v="10255.27"/>
    <n v="11084.41"/>
  </r>
  <r>
    <x v="24"/>
    <x v="2"/>
    <x v="1"/>
    <n v="13068.02"/>
    <n v="0"/>
    <n v="0"/>
    <n v="12560.27"/>
    <n v="13575.78"/>
  </r>
  <r>
    <x v="24"/>
    <x v="3"/>
    <x v="1"/>
    <n v="14695.11"/>
    <n v="0"/>
    <n v="0"/>
    <n v="14124.14"/>
    <n v="15266.08"/>
  </r>
  <r>
    <x v="24"/>
    <x v="4"/>
    <x v="1"/>
    <n v="15607.92"/>
    <n v="0"/>
    <n v="0"/>
    <n v="15001.49"/>
    <n v="16214.36"/>
  </r>
  <r>
    <x v="24"/>
    <x v="5"/>
    <x v="1"/>
    <n v="6094.86"/>
    <n v="0"/>
    <n v="0"/>
    <n v="5858.05"/>
    <n v="6331.68"/>
  </r>
  <r>
    <x v="24"/>
    <x v="6"/>
    <x v="1"/>
    <n v="9058.049999999999"/>
    <n v="0"/>
    <n v="0"/>
    <n v="8706.110000000001"/>
    <n v="9410"/>
  </r>
  <r>
    <x v="24"/>
    <x v="7"/>
    <x v="1"/>
    <n v="1730.96"/>
    <n v="0"/>
    <n v="0"/>
    <n v="1663.7"/>
    <n v="1798.21"/>
  </r>
  <r>
    <x v="24"/>
    <x v="8"/>
    <x v="1"/>
    <n v="2556.74"/>
    <n v="0"/>
    <n v="0"/>
    <n v="2457.4"/>
    <n v="2656.08"/>
  </r>
  <r>
    <x v="24"/>
    <x v="9"/>
    <x v="1"/>
    <n v="2220.22"/>
    <n v="0"/>
    <n v="0"/>
    <n v="2133.96"/>
    <n v="2306.49"/>
  </r>
  <r>
    <x v="24"/>
    <x v="10"/>
    <x v="1"/>
    <n v="9260.799999999999"/>
    <n v="0"/>
    <n v="0"/>
    <n v="8900.98"/>
    <n v="9620.620000000001"/>
  </r>
  <r>
    <x v="25"/>
    <x v="0"/>
    <x v="1"/>
    <n v="5017.35"/>
    <n v="0"/>
    <n v="0"/>
    <n v="4822.4"/>
    <n v="5212.29"/>
  </r>
  <r>
    <x v="25"/>
    <x v="1"/>
    <x v="1"/>
    <n v="10844.62"/>
    <n v="0"/>
    <n v="0"/>
    <n v="10423.26"/>
    <n v="11265.98"/>
  </r>
  <r>
    <x v="25"/>
    <x v="2"/>
    <x v="1"/>
    <n v="14881.91"/>
    <n v="0"/>
    <n v="0"/>
    <n v="14303.68"/>
    <n v="15460.14"/>
  </r>
  <r>
    <x v="25"/>
    <x v="3"/>
    <x v="1"/>
    <n v="13927.09"/>
    <n v="0"/>
    <n v="0"/>
    <n v="13385.96"/>
    <n v="14468.22"/>
  </r>
  <r>
    <x v="25"/>
    <x v="4"/>
    <x v="1"/>
    <n v="15686.19"/>
    <n v="0"/>
    <n v="0"/>
    <n v="15076.71"/>
    <n v="16295.67"/>
  </r>
  <r>
    <x v="25"/>
    <x v="5"/>
    <x v="1"/>
    <n v="5962.52"/>
    <n v="0"/>
    <n v="0"/>
    <n v="5730.85"/>
    <n v="6194.19"/>
  </r>
  <r>
    <x v="25"/>
    <x v="6"/>
    <x v="1"/>
    <n v="8246.469999999999"/>
    <n v="0"/>
    <n v="0"/>
    <n v="7926.06"/>
    <n v="8566.889999999999"/>
  </r>
  <r>
    <x v="25"/>
    <x v="7"/>
    <x v="1"/>
    <n v="1667.06"/>
    <n v="0"/>
    <n v="0"/>
    <n v="1602.29"/>
    <n v="1731.83"/>
  </r>
  <r>
    <x v="25"/>
    <x v="8"/>
    <x v="1"/>
    <n v="2238.8"/>
    <n v="0"/>
    <n v="0"/>
    <n v="2151.81"/>
    <n v="2325.79"/>
  </r>
  <r>
    <x v="25"/>
    <x v="9"/>
    <x v="1"/>
    <n v="2253.85"/>
    <n v="0"/>
    <n v="0"/>
    <n v="2166.28"/>
    <n v="2341.42"/>
  </r>
  <r>
    <x v="25"/>
    <x v="10"/>
    <x v="1"/>
    <n v="8842.040000000001"/>
    <n v="0"/>
    <n v="0"/>
    <n v="8498.48"/>
    <n v="9185.59"/>
  </r>
  <r>
    <x v="26"/>
    <x v="0"/>
    <x v="1"/>
    <n v="5924.17"/>
    <n v="0"/>
    <n v="0"/>
    <n v="5693.99"/>
    <n v="6154.35"/>
  </r>
  <r>
    <x v="26"/>
    <x v="1"/>
    <x v="1"/>
    <n v="13459.58"/>
    <n v="0"/>
    <n v="0"/>
    <n v="12936.61"/>
    <n v="13982.54"/>
  </r>
  <r>
    <x v="26"/>
    <x v="2"/>
    <x v="1"/>
    <n v="17759.05"/>
    <n v="0"/>
    <n v="0"/>
    <n v="17069.04"/>
    <n v="18449.07"/>
  </r>
  <r>
    <x v="26"/>
    <x v="3"/>
    <x v="1"/>
    <n v="15636.72"/>
    <n v="0"/>
    <n v="0"/>
    <n v="15029.16"/>
    <n v="16244.27"/>
  </r>
  <r>
    <x v="26"/>
    <x v="4"/>
    <x v="1"/>
    <n v="17476.15"/>
    <n v="0"/>
    <n v="0"/>
    <n v="16797.13"/>
    <n v="18155.18"/>
  </r>
  <r>
    <x v="26"/>
    <x v="5"/>
    <x v="1"/>
    <n v="6722.44"/>
    <n v="0"/>
    <n v="0"/>
    <n v="6461.24"/>
    <n v="6983.63"/>
  </r>
  <r>
    <x v="26"/>
    <x v="6"/>
    <x v="1"/>
    <n v="9070.709999999999"/>
    <n v="0"/>
    <n v="0"/>
    <n v="8718.27"/>
    <n v="9423.139999999999"/>
  </r>
  <r>
    <x v="26"/>
    <x v="7"/>
    <x v="1"/>
    <n v="1672.85"/>
    <n v="0"/>
    <n v="0"/>
    <n v="1607.85"/>
    <n v="1737.85"/>
  </r>
  <r>
    <x v="26"/>
    <x v="8"/>
    <x v="1"/>
    <n v="2717.15"/>
    <n v="0"/>
    <n v="0"/>
    <n v="2611.57"/>
    <n v="2822.72"/>
  </r>
  <r>
    <x v="26"/>
    <x v="9"/>
    <x v="1"/>
    <n v="2747.24"/>
    <n v="0"/>
    <n v="0"/>
    <n v="2640.5"/>
    <n v="2853.99"/>
  </r>
  <r>
    <x v="26"/>
    <x v="10"/>
    <x v="1"/>
    <n v="10119.94"/>
    <n v="0"/>
    <n v="0"/>
    <n v="9726.73"/>
    <n v="10513.14"/>
  </r>
  <r>
    <x v="27"/>
    <x v="0"/>
    <x v="1"/>
    <n v="4491.52"/>
    <n v="0"/>
    <n v="0"/>
    <n v="4317.01"/>
    <n v="4666.04"/>
  </r>
  <r>
    <x v="27"/>
    <x v="1"/>
    <x v="1"/>
    <n v="10872.17"/>
    <n v="0"/>
    <n v="0"/>
    <n v="10449.74"/>
    <n v="11294.61"/>
  </r>
  <r>
    <x v="27"/>
    <x v="2"/>
    <x v="1"/>
    <n v="15326.98"/>
    <n v="0"/>
    <n v="0"/>
    <n v="14731.46"/>
    <n v="15922.5"/>
  </r>
  <r>
    <x v="27"/>
    <x v="3"/>
    <x v="1"/>
    <n v="13212.74"/>
    <n v="0"/>
    <n v="0"/>
    <n v="12699.37"/>
    <n v="13726.11"/>
  </r>
  <r>
    <x v="27"/>
    <x v="4"/>
    <x v="1"/>
    <n v="15323.22"/>
    <n v="0"/>
    <n v="0"/>
    <n v="14727.84"/>
    <n v="15918.59"/>
  </r>
  <r>
    <x v="27"/>
    <x v="5"/>
    <x v="1"/>
    <n v="5607.93"/>
    <n v="0"/>
    <n v="0"/>
    <n v="5390.03"/>
    <n v="5825.82"/>
  </r>
  <r>
    <x v="27"/>
    <x v="6"/>
    <x v="1"/>
    <n v="7193.53"/>
    <n v="0"/>
    <n v="0"/>
    <n v="6914.03"/>
    <n v="7473.03"/>
  </r>
  <r>
    <x v="27"/>
    <x v="7"/>
    <x v="1"/>
    <n v="1460.13"/>
    <n v="0"/>
    <n v="0"/>
    <n v="1403.4"/>
    <n v="1516.86"/>
  </r>
  <r>
    <x v="27"/>
    <x v="8"/>
    <x v="1"/>
    <n v="2142.88"/>
    <n v="0"/>
    <n v="0"/>
    <n v="2059.62"/>
    <n v="2226.14"/>
  </r>
  <r>
    <x v="27"/>
    <x v="9"/>
    <x v="1"/>
    <n v="2251.85"/>
    <n v="0"/>
    <n v="0"/>
    <n v="2164.36"/>
    <n v="2339.35"/>
  </r>
  <r>
    <x v="27"/>
    <x v="10"/>
    <x v="1"/>
    <n v="8724.889999999999"/>
    <n v="0"/>
    <n v="0"/>
    <n v="8385.889999999999"/>
    <n v="9063.889999999999"/>
  </r>
  <r>
    <x v="28"/>
    <x v="0"/>
    <x v="1"/>
    <n v="4551.22"/>
    <n v="0"/>
    <n v="0"/>
    <n v="4374.39"/>
    <n v="4728.06"/>
  </r>
  <r>
    <x v="28"/>
    <x v="1"/>
    <x v="1"/>
    <n v="10326.82"/>
    <n v="0"/>
    <n v="0"/>
    <n v="9925.58"/>
    <n v="10728.07"/>
  </r>
  <r>
    <x v="28"/>
    <x v="2"/>
    <x v="1"/>
    <n v="15319.66"/>
    <n v="0"/>
    <n v="0"/>
    <n v="14724.42"/>
    <n v="15914.89"/>
  </r>
  <r>
    <x v="28"/>
    <x v="3"/>
    <x v="1"/>
    <n v="14045.35"/>
    <n v="0"/>
    <n v="0"/>
    <n v="13499.63"/>
    <n v="14591.08"/>
  </r>
  <r>
    <x v="28"/>
    <x v="4"/>
    <x v="1"/>
    <n v="15340.93"/>
    <n v="0"/>
    <n v="0"/>
    <n v="14744.87"/>
    <n v="15936.99"/>
  </r>
  <r>
    <x v="28"/>
    <x v="5"/>
    <x v="1"/>
    <n v="5432.36"/>
    <n v="0"/>
    <n v="0"/>
    <n v="5221.29"/>
    <n v="5643.43"/>
  </r>
  <r>
    <x v="28"/>
    <x v="6"/>
    <x v="1"/>
    <n v="7389.48"/>
    <n v="0"/>
    <n v="0"/>
    <n v="7102.36"/>
    <n v="7676.59"/>
  </r>
  <r>
    <x v="28"/>
    <x v="7"/>
    <x v="1"/>
    <n v="1340.68"/>
    <n v="0"/>
    <n v="0"/>
    <n v="1288.59"/>
    <n v="1392.77"/>
  </r>
  <r>
    <x v="28"/>
    <x v="8"/>
    <x v="1"/>
    <n v="2190.76"/>
    <n v="0"/>
    <n v="0"/>
    <n v="2105.64"/>
    <n v="2275.88"/>
  </r>
  <r>
    <x v="28"/>
    <x v="9"/>
    <x v="1"/>
    <n v="2039.62"/>
    <n v="0"/>
    <n v="0"/>
    <n v="1960.37"/>
    <n v="2118.87"/>
  </r>
  <r>
    <x v="28"/>
    <x v="10"/>
    <x v="1"/>
    <n v="8436.360000000001"/>
    <n v="0"/>
    <n v="0"/>
    <n v="8108.57"/>
    <n v="8764.15"/>
  </r>
  <r>
    <x v="29"/>
    <x v="0"/>
    <x v="1"/>
    <n v="5321.47"/>
    <n v="0"/>
    <n v="0"/>
    <n v="5114.71"/>
    <n v="5528.23"/>
  </r>
  <r>
    <x v="29"/>
    <x v="1"/>
    <x v="1"/>
    <n v="12294.3"/>
    <n v="0"/>
    <n v="0"/>
    <n v="11816.61"/>
    <n v="12771.99"/>
  </r>
  <r>
    <x v="29"/>
    <x v="2"/>
    <x v="1"/>
    <n v="15878.05"/>
    <n v="0"/>
    <n v="0"/>
    <n v="15261.11"/>
    <n v="16494.98"/>
  </r>
  <r>
    <x v="29"/>
    <x v="3"/>
    <x v="1"/>
    <n v="14641.36"/>
    <n v="0"/>
    <n v="0"/>
    <n v="14072.48"/>
    <n v="15210.25"/>
  </r>
  <r>
    <x v="29"/>
    <x v="4"/>
    <x v="1"/>
    <n v="17421.59"/>
    <n v="0"/>
    <n v="0"/>
    <n v="16744.69"/>
    <n v="18098.5"/>
  </r>
  <r>
    <x v="29"/>
    <x v="5"/>
    <x v="1"/>
    <n v="6362.5"/>
    <n v="0"/>
    <n v="0"/>
    <n v="6115.29"/>
    <n v="6609.71"/>
  </r>
  <r>
    <x v="29"/>
    <x v="6"/>
    <x v="1"/>
    <n v="9292.540000000001"/>
    <n v="0"/>
    <n v="0"/>
    <n v="8931.49"/>
    <n v="9653.6"/>
  </r>
  <r>
    <x v="29"/>
    <x v="7"/>
    <x v="1"/>
    <n v="1709.38"/>
    <n v="0"/>
    <n v="0"/>
    <n v="1642.96"/>
    <n v="1775.8"/>
  </r>
  <r>
    <x v="29"/>
    <x v="8"/>
    <x v="1"/>
    <n v="2610.81"/>
    <n v="0"/>
    <n v="0"/>
    <n v="2509.37"/>
    <n v="2712.25"/>
  </r>
  <r>
    <x v="29"/>
    <x v="9"/>
    <x v="1"/>
    <n v="2376.71"/>
    <n v="0"/>
    <n v="0"/>
    <n v="2284.37"/>
    <n v="2469.06"/>
  </r>
  <r>
    <x v="29"/>
    <x v="10"/>
    <x v="1"/>
    <n v="9396.110000000001"/>
    <n v="0"/>
    <n v="0"/>
    <n v="9031.030000000001"/>
    <n v="9761.190000000001"/>
  </r>
  <r>
    <x v="30"/>
    <x v="0"/>
    <x v="1"/>
    <n v="4994.83"/>
    <n v="0"/>
    <n v="0"/>
    <n v="4800.76"/>
    <n v="5188.9"/>
  </r>
  <r>
    <x v="30"/>
    <x v="1"/>
    <x v="1"/>
    <n v="9483.6"/>
    <n v="0"/>
    <n v="0"/>
    <n v="9115.120000000001"/>
    <n v="9852.08"/>
  </r>
  <r>
    <x v="30"/>
    <x v="2"/>
    <x v="1"/>
    <n v="13692.53"/>
    <n v="0"/>
    <n v="0"/>
    <n v="13160.52"/>
    <n v="14224.55"/>
  </r>
  <r>
    <x v="30"/>
    <x v="3"/>
    <x v="1"/>
    <n v="14175.82"/>
    <n v="0"/>
    <n v="0"/>
    <n v="13625.03"/>
    <n v="14726.62"/>
  </r>
  <r>
    <x v="30"/>
    <x v="4"/>
    <x v="1"/>
    <n v="16164.57"/>
    <n v="0"/>
    <n v="0"/>
    <n v="15536.51"/>
    <n v="16792.64"/>
  </r>
  <r>
    <x v="30"/>
    <x v="5"/>
    <x v="1"/>
    <n v="5660.56"/>
    <n v="0"/>
    <n v="0"/>
    <n v="5440.63"/>
    <n v="5880.5"/>
  </r>
  <r>
    <x v="30"/>
    <x v="6"/>
    <x v="1"/>
    <n v="8887.639999999999"/>
    <n v="0"/>
    <n v="0"/>
    <n v="8542.32"/>
    <n v="9232.969999999999"/>
  </r>
  <r>
    <x v="30"/>
    <x v="7"/>
    <x v="1"/>
    <n v="1492.45"/>
    <n v="0"/>
    <n v="0"/>
    <n v="1434.46"/>
    <n v="1550.44"/>
  </r>
  <r>
    <x v="30"/>
    <x v="8"/>
    <x v="1"/>
    <n v="1921.06"/>
    <n v="0"/>
    <n v="0"/>
    <n v="1846.42"/>
    <n v="1995.71"/>
  </r>
  <r>
    <x v="30"/>
    <x v="9"/>
    <x v="1"/>
    <n v="2244.11"/>
    <n v="0"/>
    <n v="0"/>
    <n v="2156.92"/>
    <n v="2331.31"/>
  </r>
  <r>
    <x v="30"/>
    <x v="10"/>
    <x v="1"/>
    <n v="8804.84"/>
    <n v="0"/>
    <n v="0"/>
    <n v="8462.74"/>
    <n v="9146.950000000001"/>
  </r>
  <r>
    <x v="31"/>
    <x v="0"/>
    <x v="1"/>
    <n v="5676.04"/>
    <n v="0"/>
    <n v="0"/>
    <n v="5455.5"/>
    <n v="5896.58"/>
  </r>
  <r>
    <x v="31"/>
    <x v="1"/>
    <x v="1"/>
    <n v="9738.77"/>
    <n v="0"/>
    <n v="0"/>
    <n v="9360.370000000001"/>
    <n v="10117.16"/>
  </r>
  <r>
    <x v="31"/>
    <x v="2"/>
    <x v="1"/>
    <n v="12374.25"/>
    <n v="0"/>
    <n v="0"/>
    <n v="11893.45"/>
    <n v="12855.04"/>
  </r>
  <r>
    <x v="31"/>
    <x v="3"/>
    <x v="1"/>
    <n v="14198.77"/>
    <n v="0"/>
    <n v="0"/>
    <n v="13647.09"/>
    <n v="14750.46"/>
  </r>
  <r>
    <x v="31"/>
    <x v="4"/>
    <x v="1"/>
    <n v="15886.88"/>
    <n v="0"/>
    <n v="0"/>
    <n v="15269.6"/>
    <n v="16504.15"/>
  </r>
  <r>
    <x v="31"/>
    <x v="5"/>
    <x v="1"/>
    <n v="6258.6"/>
    <n v="0"/>
    <n v="0"/>
    <n v="6015.43"/>
    <n v="6501.77"/>
  </r>
  <r>
    <x v="31"/>
    <x v="6"/>
    <x v="1"/>
    <n v="9671.530000000001"/>
    <n v="0"/>
    <n v="0"/>
    <n v="9295.75"/>
    <n v="10047.32"/>
  </r>
  <r>
    <x v="31"/>
    <x v="7"/>
    <x v="1"/>
    <n v="1653.82"/>
    <n v="0"/>
    <n v="0"/>
    <n v="1589.56"/>
    <n v="1718.08"/>
  </r>
  <r>
    <x v="31"/>
    <x v="8"/>
    <x v="1"/>
    <n v="2291.91"/>
    <n v="0"/>
    <n v="0"/>
    <n v="2202.86"/>
    <n v="2380.96"/>
  </r>
  <r>
    <x v="31"/>
    <x v="9"/>
    <x v="1"/>
    <n v="1916.38"/>
    <n v="0"/>
    <n v="0"/>
    <n v="1841.92"/>
    <n v="1990.83"/>
  </r>
  <r>
    <x v="31"/>
    <x v="10"/>
    <x v="1"/>
    <n v="9475.98"/>
    <n v="0"/>
    <n v="0"/>
    <n v="9107.799999999999"/>
    <n v="9844.17"/>
  </r>
  <r>
    <x v="32"/>
    <x v="0"/>
    <x v="1"/>
    <n v="5403.52"/>
    <n v="0"/>
    <n v="0"/>
    <n v="5193.57"/>
    <n v="5613.47"/>
  </r>
  <r>
    <x v="32"/>
    <x v="1"/>
    <x v="1"/>
    <n v="8032.45"/>
    <n v="0"/>
    <n v="0"/>
    <n v="7720.36"/>
    <n v="8344.549999999999"/>
  </r>
  <r>
    <x v="32"/>
    <x v="2"/>
    <x v="1"/>
    <n v="10513.52"/>
    <n v="0"/>
    <n v="0"/>
    <n v="10105.02"/>
    <n v="10922.01"/>
  </r>
  <r>
    <x v="32"/>
    <x v="3"/>
    <x v="1"/>
    <n v="14389.64"/>
    <n v="0"/>
    <n v="0"/>
    <n v="13830.54"/>
    <n v="14948.75"/>
  </r>
  <r>
    <x v="32"/>
    <x v="4"/>
    <x v="1"/>
    <n v="14570.74"/>
    <n v="0"/>
    <n v="0"/>
    <n v="14004.61"/>
    <n v="15136.88"/>
  </r>
  <r>
    <x v="32"/>
    <x v="5"/>
    <x v="1"/>
    <n v="6305.56"/>
    <n v="0"/>
    <n v="0"/>
    <n v="6060.56"/>
    <n v="6550.56"/>
  </r>
  <r>
    <x v="32"/>
    <x v="6"/>
    <x v="1"/>
    <n v="9549.299999999999"/>
    <n v="0"/>
    <n v="0"/>
    <n v="9178.27"/>
    <n v="9920.33"/>
  </r>
  <r>
    <x v="32"/>
    <x v="7"/>
    <x v="1"/>
    <n v="1597.14"/>
    <n v="0"/>
    <n v="0"/>
    <n v="1535.08"/>
    <n v="1659.19"/>
  </r>
  <r>
    <x v="32"/>
    <x v="8"/>
    <x v="1"/>
    <n v="2422.71"/>
    <n v="0"/>
    <n v="0"/>
    <n v="2328.57"/>
    <n v="2516.84"/>
  </r>
  <r>
    <x v="32"/>
    <x v="9"/>
    <x v="1"/>
    <n v="1744.19"/>
    <n v="0"/>
    <n v="0"/>
    <n v="1676.42"/>
    <n v="1811.96"/>
  </r>
  <r>
    <x v="32"/>
    <x v="10"/>
    <x v="1"/>
    <n v="9357.68"/>
    <n v="0"/>
    <n v="0"/>
    <n v="8994.09"/>
    <n v="9721.27"/>
  </r>
  <r>
    <x v="33"/>
    <x v="0"/>
    <x v="1"/>
    <n v="5702.03"/>
    <n v="0"/>
    <n v="0"/>
    <n v="5480.48"/>
    <n v="5923.58"/>
  </r>
  <r>
    <x v="33"/>
    <x v="1"/>
    <x v="1"/>
    <n v="8778.59"/>
    <n v="0"/>
    <n v="0"/>
    <n v="8437.5"/>
    <n v="9119.67"/>
  </r>
  <r>
    <x v="33"/>
    <x v="2"/>
    <x v="1"/>
    <n v="10241.89"/>
    <n v="0"/>
    <n v="0"/>
    <n v="9843.950000000001"/>
    <n v="10639.83"/>
  </r>
  <r>
    <x v="33"/>
    <x v="3"/>
    <x v="1"/>
    <n v="14812.04"/>
    <n v="0"/>
    <n v="0"/>
    <n v="14236.53"/>
    <n v="15387.56"/>
  </r>
  <r>
    <x v="33"/>
    <x v="4"/>
    <x v="1"/>
    <n v="15319.01"/>
    <n v="0"/>
    <n v="0"/>
    <n v="14723.79"/>
    <n v="15914.22"/>
  </r>
  <r>
    <x v="33"/>
    <x v="5"/>
    <x v="1"/>
    <n v="6548.96"/>
    <n v="0"/>
    <n v="0"/>
    <n v="6294.5"/>
    <n v="6803.41"/>
  </r>
  <r>
    <x v="33"/>
    <x v="6"/>
    <x v="1"/>
    <n v="9869.59"/>
    <n v="0"/>
    <n v="0"/>
    <n v="9486.110000000001"/>
    <n v="10253.07"/>
  </r>
  <r>
    <x v="33"/>
    <x v="7"/>
    <x v="1"/>
    <n v="1337.79"/>
    <n v="0"/>
    <n v="0"/>
    <n v="1285.81"/>
    <n v="1389.77"/>
  </r>
  <r>
    <x v="33"/>
    <x v="8"/>
    <x v="1"/>
    <n v="2386.01"/>
    <n v="0"/>
    <n v="0"/>
    <n v="2293.3"/>
    <n v="2478.72"/>
  </r>
  <r>
    <x v="33"/>
    <x v="9"/>
    <x v="1"/>
    <n v="1678.62"/>
    <n v="0"/>
    <n v="0"/>
    <n v="1613.4"/>
    <n v="1743.84"/>
  </r>
  <r>
    <x v="33"/>
    <x v="10"/>
    <x v="1"/>
    <n v="9949.059999999999"/>
    <n v="0"/>
    <n v="0"/>
    <n v="9562.49"/>
    <n v="10335.62"/>
  </r>
  <r>
    <x v="34"/>
    <x v="0"/>
    <x v="1"/>
    <n v="5617.11"/>
    <n v="0"/>
    <n v="0"/>
    <n v="5398.86"/>
    <n v="5835.36"/>
  </r>
  <r>
    <x v="34"/>
    <x v="1"/>
    <x v="1"/>
    <n v="8263.67"/>
    <n v="0"/>
    <n v="0"/>
    <n v="7942.59"/>
    <n v="8584.75"/>
  </r>
  <r>
    <x v="34"/>
    <x v="2"/>
    <x v="1"/>
    <n v="10421.33"/>
    <n v="0"/>
    <n v="0"/>
    <n v="10016.42"/>
    <n v="10826.25"/>
  </r>
  <r>
    <x v="34"/>
    <x v="3"/>
    <x v="1"/>
    <n v="14068.4"/>
    <n v="0"/>
    <n v="0"/>
    <n v="13521.78"/>
    <n v="14615.02"/>
  </r>
  <r>
    <x v="34"/>
    <x v="4"/>
    <x v="1"/>
    <n v="15807.23"/>
    <n v="0"/>
    <n v="0"/>
    <n v="15193.05"/>
    <n v="16421.42"/>
  </r>
  <r>
    <x v="34"/>
    <x v="5"/>
    <x v="1"/>
    <n v="6345.14"/>
    <n v="0"/>
    <n v="0"/>
    <n v="6098.6"/>
    <n v="6591.67"/>
  </r>
  <r>
    <x v="34"/>
    <x v="6"/>
    <x v="1"/>
    <n v="9979.43"/>
    <n v="0"/>
    <n v="0"/>
    <n v="9591.68"/>
    <n v="10367.17"/>
  </r>
  <r>
    <x v="34"/>
    <x v="7"/>
    <x v="1"/>
    <n v="1578.75"/>
    <n v="0"/>
    <n v="0"/>
    <n v="1517.41"/>
    <n v="1640.09"/>
  </r>
  <r>
    <x v="34"/>
    <x v="8"/>
    <x v="1"/>
    <n v="2467.69"/>
    <n v="0"/>
    <n v="0"/>
    <n v="2371.81"/>
    <n v="2563.57"/>
  </r>
  <r>
    <x v="34"/>
    <x v="9"/>
    <x v="1"/>
    <n v="1829.13"/>
    <n v="0"/>
    <n v="0"/>
    <n v="1758.06"/>
    <n v="1900.2"/>
  </r>
  <r>
    <x v="34"/>
    <x v="10"/>
    <x v="1"/>
    <n v="9817.66"/>
    <n v="0"/>
    <n v="0"/>
    <n v="9436.200000000001"/>
    <n v="10199.12"/>
  </r>
  <r>
    <x v="35"/>
    <x v="0"/>
    <x v="1"/>
    <n v="5282.18"/>
    <n v="0"/>
    <n v="0"/>
    <n v="5076.94"/>
    <n v="5487.42"/>
  </r>
  <r>
    <x v="35"/>
    <x v="1"/>
    <x v="1"/>
    <n v="9131.559999999999"/>
    <n v="0"/>
    <n v="0"/>
    <n v="8776.76"/>
    <n v="9486.360000000001"/>
  </r>
  <r>
    <x v="35"/>
    <x v="2"/>
    <x v="1"/>
    <n v="12396.35"/>
    <n v="0"/>
    <n v="0"/>
    <n v="11914.69"/>
    <n v="12878"/>
  </r>
  <r>
    <x v="35"/>
    <x v="3"/>
    <x v="1"/>
    <n v="13815.75"/>
    <n v="0"/>
    <n v="0"/>
    <n v="13278.95"/>
    <n v="14352.56"/>
  </r>
  <r>
    <x v="35"/>
    <x v="4"/>
    <x v="1"/>
    <n v="14742.06"/>
    <n v="0"/>
    <n v="0"/>
    <n v="14169.26"/>
    <n v="15314.85"/>
  </r>
  <r>
    <x v="35"/>
    <x v="5"/>
    <x v="1"/>
    <n v="5868.1"/>
    <n v="0"/>
    <n v="0"/>
    <n v="5640.1"/>
    <n v="6096.11"/>
  </r>
  <r>
    <x v="35"/>
    <x v="6"/>
    <x v="1"/>
    <n v="9733.969999999999"/>
    <n v="0"/>
    <n v="0"/>
    <n v="9355.76"/>
    <n v="10112.18"/>
  </r>
  <r>
    <x v="35"/>
    <x v="7"/>
    <x v="1"/>
    <n v="1596.13"/>
    <n v="0"/>
    <n v="0"/>
    <n v="1534.11"/>
    <n v="1658.14"/>
  </r>
  <r>
    <x v="35"/>
    <x v="8"/>
    <x v="1"/>
    <n v="2641.05"/>
    <n v="0"/>
    <n v="0"/>
    <n v="2538.44"/>
    <n v="2743.67"/>
  </r>
  <r>
    <x v="35"/>
    <x v="9"/>
    <x v="1"/>
    <n v="1851.95"/>
    <n v="0"/>
    <n v="0"/>
    <n v="1779.99"/>
    <n v="1923.9"/>
  </r>
  <r>
    <x v="35"/>
    <x v="10"/>
    <x v="1"/>
    <n v="9894.959999999999"/>
    <n v="0"/>
    <n v="0"/>
    <n v="9510.5"/>
    <n v="10279.43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8:B20" firstHeaderRow="1" firstDataRow="1" firstDataCol="1" rowPageCount="1" colPageCount="1"/>
  <pivotFields count="8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2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efault" sd="1"/>
      </items>
    </pivotField>
    <pivotField axis="axisPage" showDropDowns="1" compact="1" outline="1" subtotalTop="1" dragToRow="1" dragToCol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grand" r="0" i="0">
      <x v="0"/>
    </i>
  </rowItems>
  <colItems count="1">
    <i t="data" r="0" i="0"/>
  </colItems>
  <pageFields count="1">
    <pageField fld="2" hier="-1"/>
  </pageFields>
  <dataFields count="1">
    <dataField name="Sales" fld="3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5:E63" firstHeaderRow="1" firstDataRow="2" firstDataCol="1"/>
  <pivotFields count="8">
    <pivotField axis="axisRow" showDropDowns="1" compact="1" outline="1" subtotalTop="1" dragToRow="1" dragToCol="1" dragToPage="1" dragToData="1" dragOff="1" showAll="0" topAutoShow="1" itemPageCount="10" sortType="manual" defaultSubtotal="1">
      <items count="37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3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grand" r="0" i="0">
      <x v="0"/>
    </i>
  </rowItems>
  <colFields count="1">
    <field x="2"/>
  </colFields>
  <colItems count="4">
    <i t="data" r="0" i="0">
      <x v="0"/>
    </i>
    <i t="data" r="0" i="0">
      <x v="1"/>
    </i>
    <i t="data" r="0" i="0">
      <x v="2"/>
    </i>
    <i t="grand" r="0" i="0">
      <x v="0"/>
    </i>
  </colItems>
  <dataFields count="1">
    <dataField name="Sales" fld="3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H397" headerRowCount="1">
  <autoFilter ref="A1:H397"/>
  <tableColumns count="8">
    <tableColumn id="1" name="Month"/>
    <tableColumn id="2" name="Category"/>
    <tableColumn id="3" name="Type"/>
    <tableColumn id="4" name="Sales"/>
    <tableColumn id="5" name="Gross margin"/>
    <tableColumn id="6" name="Units"/>
    <tableColumn id="7" name="Low"/>
    <tableColumn id="8" name="High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Relationship Type="http://schemas.openxmlformats.org/officeDocument/2006/relationships/pivotTable" Target="/xl/pivotTables/pivot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Budget &amp; forecast plan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Neighbourhood Store (Eden Terrace format) · 12 months from Oct 2026 · data to 25 Sep 2026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Category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BUDGET (PLAN WINDOW)</t>
        </is>
      </c>
      <c r="D9" s="9" t="n"/>
      <c r="E9" s="8" t="inlineStr">
        <is>
          <t>FORECAST</t>
        </is>
      </c>
      <c r="G9" s="9" t="n"/>
      <c r="H9" s="8" t="inlineStr">
        <is>
          <t>GAP TO BUDGET</t>
        </is>
      </c>
      <c r="J9" s="9" t="n"/>
      <c r="K9" s="8" t="inlineStr">
        <is>
          <t>GAP %</t>
        </is>
      </c>
      <c r="M9" s="9" t="n"/>
    </row>
    <row r="10">
      <c r="B10" s="10">
        <f>SUMIFS(Model!$D$8:$D$19,Model!$L$8:$L$19,1)</f>
        <v>282185.4672</v>
      </c>
      <c r="D10" s="9" t="n"/>
      <c r="E10" s="10">
        <f>SUMIFS(Model!$E$8:$E$19,Model!$L$8:$L$19,1)</f>
        <v>282902.41</v>
      </c>
      <c r="G10" s="9" t="n"/>
      <c r="H10" s="10">
        <f>SUMIFS(Model!$H$8:$H$19,Model!$L$8:$L$19,1)</f>
        <v>716.94279999999</v>
      </c>
      <c r="J10" s="9" t="n"/>
      <c r="K10" s="11">
        <f>IFERROR(SUMIFS(Model!$H$8:$H$19,Model!$L$8:$L$19,1)/SUMIFS(Model!$D$8:$D$19,Model!$L$8:$L$19,1),0)</f>
        <v>0.00254067938761656</v>
      </c>
      <c r="M10" s="9" t="n"/>
    </row>
    <row r="11">
      <c r="B11" s="9" t="n"/>
      <c r="D11" s="9" t="n"/>
      <c r="E11" s="9" t="n"/>
      <c r="G11" s="9" t="n"/>
      <c r="H11" s="12" t="inlineStr">
        <is>
          <t>Forecast − budget</t>
        </is>
      </c>
      <c r="J11" s="9" t="n"/>
      <c r="K11" s="9" t="n"/>
      <c r="M11" s="9" t="n"/>
    </row>
    <row r="13">
      <c r="B13" s="8" t="inlineStr">
        <is>
          <t>LAST YEAR</t>
        </is>
      </c>
      <c r="D13" s="9" t="n"/>
      <c r="E13" s="8" t="inlineStr">
        <is>
          <t>BUDGET GM %</t>
        </is>
      </c>
      <c r="G13" s="9" t="n"/>
      <c r="H13" s="8" t="inlineStr">
        <is>
          <t>FORECAST LOW</t>
        </is>
      </c>
      <c r="J13" s="9" t="n"/>
      <c r="K13" s="8" t="inlineStr">
        <is>
          <t>FORECAST HIGH</t>
        </is>
      </c>
      <c r="M13" s="9" t="n"/>
    </row>
    <row r="14">
      <c r="B14" s="10">
        <f>SUMIFS(Model!$C$8:$C$19,Model!$L$8:$L$19,1)</f>
        <v>271332.18</v>
      </c>
      <c r="D14" s="9" t="n"/>
      <c r="E14" s="11">
        <f>IFERROR(SUMIFS(Model!$K$8:$K$19,Model!$L$8:$L$19,1)/SUMIFS(Model!$D$8:$D$19,Model!$L$8:$L$19,1),0)</f>
        <v>0.405274376227693</v>
      </c>
      <c r="G14" s="9" t="n"/>
      <c r="H14" s="10">
        <f>SUMIFS(Model!$F$8:$F$19,Model!$L$8:$L$19,1)</f>
        <v>271910.4</v>
      </c>
      <c r="J14" s="9" t="n"/>
      <c r="K14" s="10">
        <f>SUMIFS(Model!$G$8:$G$19,Model!$L$8:$L$19,1)</f>
        <v>293894.43</v>
      </c>
      <c r="M14" s="9" t="n"/>
    </row>
    <row r="15">
      <c r="B15" s="9" t="n"/>
      <c r="D15" s="9" t="n"/>
      <c r="E15" s="9" t="n"/>
      <c r="G15" s="9" t="n"/>
      <c r="H15" s="9" t="n"/>
      <c r="J15" s="9" t="n"/>
      <c r="K15" s="9" t="n"/>
      <c r="M15" s="9" t="n"/>
    </row>
  </sheetData>
  <mergeCells count="24">
    <mergeCell ref="H10:I10"/>
    <mergeCell ref="K15:L15"/>
    <mergeCell ref="K9:L9"/>
    <mergeCell ref="E14:F14"/>
    <mergeCell ref="H9:I9"/>
    <mergeCell ref="K11:L11"/>
    <mergeCell ref="B11:C11"/>
    <mergeCell ref="E10:F10"/>
    <mergeCell ref="B14:C14"/>
    <mergeCell ref="E13:F13"/>
    <mergeCell ref="E9:F9"/>
    <mergeCell ref="B13:C13"/>
    <mergeCell ref="H11:I11"/>
    <mergeCell ref="E15:F15"/>
    <mergeCell ref="B10:C10"/>
    <mergeCell ref="E11:F11"/>
    <mergeCell ref="B9:C9"/>
    <mergeCell ref="H13:I13"/>
    <mergeCell ref="K14:L14"/>
    <mergeCell ref="B15:C15"/>
    <mergeCell ref="K10:L10"/>
    <mergeCell ref="H15:I15"/>
    <mergeCell ref="H14:I14"/>
    <mergeCell ref="K13:L13"/>
  </mergeCells>
  <dataValidations count="1">
    <dataValidation sqref="B6" showDropDown="0" showInputMessage="0" showErrorMessage="0" allowBlank="0" promptTitle="Category" prompt="Pick a category or All" type="list">
      <formula1>=Lookup!$M$6:$M$17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3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8" customWidth="1" min="10" max="10"/>
    <col width="14" customWidth="1" min="11" max="11"/>
    <col width="14" customWidth="1" min="12" max="12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3" t="inlineStr">
        <is>
          <t>Monthly plan (next 12 months)</t>
        </is>
      </c>
    </row>
    <row r="6">
      <c r="B6" s="7" t="inlineStr">
        <is>
          <t>Rows inside the plan window (Assumptions: start month + months in plan) are counted in the KPIs.</t>
        </is>
      </c>
    </row>
    <row r="7" ht="28" customHeight="1">
      <c r="B7" s="14" t="inlineStr">
        <is>
          <t>Month</t>
        </is>
      </c>
      <c r="C7" s="14" t="inlineStr">
        <is>
          <t>Last year</t>
        </is>
      </c>
      <c r="D7" s="14" t="inlineStr">
        <is>
          <t>Budget</t>
        </is>
      </c>
      <c r="E7" s="14" t="inlineStr">
        <is>
          <t>Forecast</t>
        </is>
      </c>
      <c r="F7" s="14" t="inlineStr">
        <is>
          <t>Low</t>
        </is>
      </c>
      <c r="G7" s="14" t="inlineStr">
        <is>
          <t>High</t>
        </is>
      </c>
      <c r="H7" s="14" t="inlineStr">
        <is>
          <t>Gap</t>
        </is>
      </c>
      <c r="I7" s="14" t="inlineStr">
        <is>
          <t>Gap %</t>
        </is>
      </c>
      <c r="J7" s="14" t="inlineStr">
        <is>
          <t>LY GM</t>
        </is>
      </c>
      <c r="K7" s="14" t="inlineStr">
        <is>
          <t>Budget GM</t>
        </is>
      </c>
      <c r="L7" s="14" t="inlineStr">
        <is>
          <t>In plan</t>
        </is>
      </c>
    </row>
    <row r="8">
      <c r="B8" s="15" t="n">
        <v>46296</v>
      </c>
      <c r="C8" s="16">
        <f>SUMIFS(Raw!$D$2:$D$397,Raw!$C$2:$C$397,"Actual",Raw!$B$2:$B$397,CatCrit,Raw!$A$2:$A$397,EDATE($B8,-12))+SUMIFS(Raw!$D$2:$D$397,Raw!$C$2:$C$397,"Outlook",Raw!$B$2:$B$397,CatCrit,Raw!$A$2:$A$397,EDATE($B8,-12))</f>
        <v>86322.2</v>
      </c>
      <c r="D8" s="16">
        <f>C8*(1+Assumptions!$C$6)</f>
        <v>89775.088</v>
      </c>
      <c r="E8" s="16">
        <f>SUMIFS(Raw!$D$2:$D$397,Raw!$C$2:$C$397,"Forecast",Raw!$B$2:$B$397,CatCrit,Raw!$A$2:$A$397,$B8)</f>
        <v>90028.51</v>
      </c>
      <c r="F8" s="16">
        <f>SUMIFS(Raw!$G$2:$G$397,Raw!$C$2:$C$397,"Forecast",Raw!$B$2:$B$397,CatCrit,Raw!$A$2:$A$397,$B8)</f>
        <v>86530.53</v>
      </c>
      <c r="G8" s="16">
        <f>SUMIFS(Raw!$H$2:$H$397,Raw!$C$2:$C$397,"Forecast",Raw!$B$2:$B$397,CatCrit,Raw!$A$2:$A$397,$B8)</f>
        <v>93526.54</v>
      </c>
      <c r="H8" s="16">
        <f>E8-D8</f>
        <v>253.421999999991</v>
      </c>
      <c r="I8" s="17">
        <f>IFERROR(H8/D8,0)</f>
        <v>0.00282285437581516</v>
      </c>
      <c r="J8" s="16">
        <f>SUMIFS(Raw!$E$2:$E$397,Raw!$C$2:$C$397,"Actual",Raw!$B$2:$B$397,CatCrit,Raw!$A$2:$A$397,EDATE($B8,-12))+SUMIFS(Raw!$E$2:$E$397,Raw!$C$2:$C$397,"Outlook",Raw!$B$2:$B$397,CatCrit,Raw!$A$2:$A$397,EDATE($B8,-12))</f>
        <v>34860.06</v>
      </c>
      <c r="K8" s="16">
        <f>IFERROR(D8*J8/C8,0)</f>
        <v>36254.4624</v>
      </c>
      <c r="L8" s="18">
        <f>IF(AND($B8&gt;=Assumptions!$C$7,$B8&lt;=EDATE(Assumptions!$C$7,Assumptions!$C$8-1)),1,0)</f>
        <v>1</v>
      </c>
    </row>
    <row r="9">
      <c r="B9" s="15" t="n">
        <v>46327</v>
      </c>
      <c r="C9" s="16">
        <f>SUMIFS(Raw!$D$2:$D$397,Raw!$C$2:$C$397,"Actual",Raw!$B$2:$B$397,CatCrit,Raw!$A$2:$A$397,EDATE($B9,-12))+SUMIFS(Raw!$D$2:$D$397,Raw!$C$2:$C$397,"Outlook",Raw!$B$2:$B$397,CatCrit,Raw!$A$2:$A$397,EDATE($B9,-12))</f>
        <v>85897.11</v>
      </c>
      <c r="D9" s="16">
        <f>C9*(1+Assumptions!$C$6)</f>
        <v>89332.9944</v>
      </c>
      <c r="E9" s="16">
        <f>SUMIFS(Raw!$D$2:$D$397,Raw!$C$2:$C$397,"Forecast",Raw!$B$2:$B$397,CatCrit,Raw!$A$2:$A$397,$B9)</f>
        <v>89567.9</v>
      </c>
      <c r="F9" s="16">
        <f>SUMIFS(Raw!$G$2:$G$397,Raw!$C$2:$C$397,"Forecast",Raw!$B$2:$B$397,CatCrit,Raw!$A$2:$A$397,$B9)</f>
        <v>86087.78</v>
      </c>
      <c r="G9" s="16">
        <f>SUMIFS(Raw!$H$2:$H$397,Raw!$C$2:$C$397,"Forecast",Raw!$B$2:$B$397,CatCrit,Raw!$A$2:$A$397,$B9)</f>
        <v>93048.01</v>
      </c>
      <c r="H9" s="16">
        <f>E9-D9</f>
        <v>234.905599999998</v>
      </c>
      <c r="I9" s="17">
        <f>IFERROR(H9/D9,0)</f>
        <v>0.00262955027509968</v>
      </c>
      <c r="J9" s="16">
        <f>SUMIFS(Raw!$E$2:$E$397,Raw!$C$2:$C$397,"Actual",Raw!$B$2:$B$397,CatCrit,Raw!$A$2:$A$397,EDATE($B9,-12))+SUMIFS(Raw!$E$2:$E$397,Raw!$C$2:$C$397,"Outlook",Raw!$B$2:$B$397,CatCrit,Raw!$A$2:$A$397,EDATE($B9,-12))</f>
        <v>34817.89</v>
      </c>
      <c r="K9" s="16">
        <f>IFERROR(D9*J9/C9,0)</f>
        <v>36210.6056</v>
      </c>
      <c r="L9" s="18">
        <f>IF(AND($B9&gt;=Assumptions!$C$7,$B9&lt;=EDATE(Assumptions!$C$7,Assumptions!$C$8-1)),1,0)</f>
        <v>1</v>
      </c>
    </row>
    <row r="10">
      <c r="B10" s="15" t="n">
        <v>46357</v>
      </c>
      <c r="C10" s="16">
        <f>SUMIFS(Raw!$D$2:$D$397,Raw!$C$2:$C$397,"Actual",Raw!$B$2:$B$397,CatCrit,Raw!$A$2:$A$397,EDATE($B10,-12))+SUMIFS(Raw!$D$2:$D$397,Raw!$C$2:$C$397,"Outlook",Raw!$B$2:$B$397,CatCrit,Raw!$A$2:$A$397,EDATE($B10,-12))</f>
        <v>99112.87</v>
      </c>
      <c r="D10" s="16">
        <f>C10*(1+Assumptions!$C$6)</f>
        <v>103077.3848</v>
      </c>
      <c r="E10" s="16">
        <f>SUMIFS(Raw!$D$2:$D$397,Raw!$C$2:$C$397,"Forecast",Raw!$B$2:$B$397,CatCrit,Raw!$A$2:$A$397,$B10)</f>
        <v>103306</v>
      </c>
      <c r="F10" s="16">
        <f>SUMIFS(Raw!$G$2:$G$397,Raw!$C$2:$C$397,"Forecast",Raw!$B$2:$B$397,CatCrit,Raw!$A$2:$A$397,$B10)</f>
        <v>99292.09</v>
      </c>
      <c r="G10" s="16">
        <f>SUMIFS(Raw!$H$2:$H$397,Raw!$C$2:$C$397,"Forecast",Raw!$B$2:$B$397,CatCrit,Raw!$A$2:$A$397,$B10)</f>
        <v>107319.88</v>
      </c>
      <c r="H10" s="16">
        <f>E10-D10</f>
        <v>228.6152</v>
      </c>
      <c r="I10" s="17">
        <f>IFERROR(H10/D10,0)</f>
        <v>0.00221789872185426</v>
      </c>
      <c r="J10" s="16">
        <f>SUMIFS(Raw!$E$2:$E$397,Raw!$C$2:$C$397,"Actual",Raw!$B$2:$B$397,CatCrit,Raw!$A$2:$A$397,EDATE($B10,-12))+SUMIFS(Raw!$E$2:$E$397,Raw!$C$2:$C$397,"Outlook",Raw!$B$2:$B$397,CatCrit,Raw!$A$2:$A$397,EDATE($B10,-12))</f>
        <v>40286.03</v>
      </c>
      <c r="K10" s="16">
        <f>IFERROR(D10*J10/C10,0)</f>
        <v>41897.4712</v>
      </c>
      <c r="L10" s="18">
        <f>IF(AND($B10&gt;=Assumptions!$C$7,$B10&lt;=EDATE(Assumptions!$C$7,Assumptions!$C$8-1)),1,0)</f>
        <v>1</v>
      </c>
    </row>
    <row r="11">
      <c r="B11" s="15" t="n">
        <v>46388</v>
      </c>
      <c r="C11" s="16">
        <f>SUMIFS(Raw!$D$2:$D$397,Raw!$C$2:$C$397,"Actual",Raw!$B$2:$B$397,CatCrit,Raw!$A$2:$A$397,EDATE($B11,-12))+SUMIFS(Raw!$D$2:$D$397,Raw!$C$2:$C$397,"Outlook",Raw!$B$2:$B$397,CatCrit,Raw!$A$2:$A$397,EDATE($B11,-12))</f>
        <v>83107.4</v>
      </c>
      <c r="D11" s="16">
        <f>C11*(1+Assumptions!$C$6)</f>
        <v>86431.696</v>
      </c>
      <c r="E11" s="16">
        <f>SUMIFS(Raw!$D$2:$D$397,Raw!$C$2:$C$397,"Forecast",Raw!$B$2:$B$397,CatCrit,Raw!$A$2:$A$397,$B11)</f>
        <v>86607.84</v>
      </c>
      <c r="F11" s="16">
        <f>SUMIFS(Raw!$G$2:$G$397,Raw!$C$2:$C$397,"Forecast",Raw!$B$2:$B$397,CatCrit,Raw!$A$2:$A$397,$B11)</f>
        <v>83242.75</v>
      </c>
      <c r="G11" s="16">
        <f>SUMIFS(Raw!$H$2:$H$397,Raw!$C$2:$C$397,"Forecast",Raw!$B$2:$B$397,CatCrit,Raw!$A$2:$A$397,$B11)</f>
        <v>89972.94</v>
      </c>
      <c r="H11" s="16">
        <f>E11-D11</f>
        <v>176.143999999986</v>
      </c>
      <c r="I11" s="17">
        <f>IFERROR(H11/D11,0)</f>
        <v>0.00203795607574316</v>
      </c>
      <c r="J11" s="16">
        <f>SUMIFS(Raw!$E$2:$E$397,Raw!$C$2:$C$397,"Actual",Raw!$B$2:$B$397,CatCrit,Raw!$A$2:$A$397,EDATE($B11,-12))+SUMIFS(Raw!$E$2:$E$397,Raw!$C$2:$C$397,"Outlook",Raw!$B$2:$B$397,CatCrit,Raw!$A$2:$A$397,EDATE($B11,-12))</f>
        <v>33885.78</v>
      </c>
      <c r="K11" s="16">
        <f>IFERROR(D11*J11/C11,0)</f>
        <v>35241.2112</v>
      </c>
      <c r="L11" s="18">
        <f>IF(AND($B11&gt;=Assumptions!$C$7,$B11&lt;=EDATE(Assumptions!$C$7,Assumptions!$C$8-1)),1,0)</f>
        <v>0</v>
      </c>
    </row>
    <row r="12">
      <c r="B12" s="15" t="n">
        <v>46419</v>
      </c>
      <c r="C12" s="16">
        <f>SUMIFS(Raw!$D$2:$D$397,Raw!$C$2:$C$397,"Actual",Raw!$B$2:$B$397,CatCrit,Raw!$A$2:$A$397,EDATE($B12,-12))+SUMIFS(Raw!$D$2:$D$397,Raw!$C$2:$C$397,"Outlook",Raw!$B$2:$B$397,CatCrit,Raw!$A$2:$A$397,EDATE($B12,-12))</f>
        <v>82922.43</v>
      </c>
      <c r="D12" s="16">
        <f>C12*(1+Assumptions!$C$6)</f>
        <v>86239.3272</v>
      </c>
      <c r="E12" s="16">
        <f>SUMIFS(Raw!$D$2:$D$397,Raw!$C$2:$C$397,"Forecast",Raw!$B$2:$B$397,CatCrit,Raw!$A$2:$A$397,$B12)</f>
        <v>86413.24</v>
      </c>
      <c r="F12" s="16">
        <f>SUMIFS(Raw!$G$2:$G$397,Raw!$C$2:$C$397,"Forecast",Raw!$B$2:$B$397,CatCrit,Raw!$A$2:$A$397,$B12)</f>
        <v>83055.71</v>
      </c>
      <c r="G12" s="16">
        <f>SUMIFS(Raw!$H$2:$H$397,Raw!$C$2:$C$397,"Forecast",Raw!$B$2:$B$397,CatCrit,Raw!$A$2:$A$397,$B12)</f>
        <v>89770.78</v>
      </c>
      <c r="H12" s="16">
        <f>E12-D12</f>
        <v>173.912800000006</v>
      </c>
      <c r="I12" s="17">
        <f>IFERROR(H12/D12,0)</f>
        <v>0.00201662983289143</v>
      </c>
      <c r="J12" s="16">
        <f>SUMIFS(Raw!$E$2:$E$397,Raw!$C$2:$C$397,"Actual",Raw!$B$2:$B$397,CatCrit,Raw!$A$2:$A$397,EDATE($B12,-12))+SUMIFS(Raw!$E$2:$E$397,Raw!$C$2:$C$397,"Outlook",Raw!$B$2:$B$397,CatCrit,Raw!$A$2:$A$397,EDATE($B12,-12))</f>
        <v>33550.17</v>
      </c>
      <c r="K12" s="16">
        <f>IFERROR(D12*J12/C12,0)</f>
        <v>34892.1768</v>
      </c>
      <c r="L12" s="18">
        <f>IF(AND($B12&gt;=Assumptions!$C$7,$B12&lt;=EDATE(Assumptions!$C$7,Assumptions!$C$8-1)),1,0)</f>
        <v>0</v>
      </c>
    </row>
    <row r="13">
      <c r="B13" s="15" t="n">
        <v>46447</v>
      </c>
      <c r="C13" s="16">
        <f>SUMIFS(Raw!$D$2:$D$397,Raw!$C$2:$C$397,"Actual",Raw!$B$2:$B$397,CatCrit,Raw!$A$2:$A$397,EDATE($B13,-12))+SUMIFS(Raw!$D$2:$D$397,Raw!$C$2:$C$397,"Outlook",Raw!$B$2:$B$397,CatCrit,Raw!$A$2:$A$397,EDATE($B13,-12))</f>
        <v>93354.34</v>
      </c>
      <c r="D13" s="16">
        <f>C13*(1+Assumptions!$C$6)</f>
        <v>97088.5136</v>
      </c>
      <c r="E13" s="16">
        <f>SUMIFS(Raw!$D$2:$D$397,Raw!$C$2:$C$397,"Forecast",Raw!$B$2:$B$397,CatCrit,Raw!$A$2:$A$397,$B13)</f>
        <v>97304.82</v>
      </c>
      <c r="F13" s="16">
        <f>SUMIFS(Raw!$G$2:$G$397,Raw!$C$2:$C$397,"Forecast",Raw!$B$2:$B$397,CatCrit,Raw!$A$2:$A$397,$B13)</f>
        <v>93524.11</v>
      </c>
      <c r="G13" s="16">
        <f>SUMIFS(Raw!$H$2:$H$397,Raw!$C$2:$C$397,"Forecast",Raw!$B$2:$B$397,CatCrit,Raw!$A$2:$A$397,$B13)</f>
        <v>101085.56</v>
      </c>
      <c r="H13" s="16">
        <f>E13-D13</f>
        <v>216.306400000001</v>
      </c>
      <c r="I13" s="17">
        <f>IFERROR(H13/D13,0)</f>
        <v>0.00222792987532154</v>
      </c>
      <c r="J13" s="16">
        <f>SUMIFS(Raw!$E$2:$E$397,Raw!$C$2:$C$397,"Actual",Raw!$B$2:$B$397,CatCrit,Raw!$A$2:$A$397,EDATE($B13,-12))+SUMIFS(Raw!$E$2:$E$397,Raw!$C$2:$C$397,"Outlook",Raw!$B$2:$B$397,CatCrit,Raw!$A$2:$A$397,EDATE($B13,-12))</f>
        <v>38094.62</v>
      </c>
      <c r="K13" s="16">
        <f>IFERROR(D13*J13/C13,0)</f>
        <v>39618.4048</v>
      </c>
      <c r="L13" s="18">
        <f>IF(AND($B13&gt;=Assumptions!$C$7,$B13&lt;=EDATE(Assumptions!$C$7,Assumptions!$C$8-1)),1,0)</f>
        <v>0</v>
      </c>
    </row>
    <row r="14">
      <c r="B14" s="15" t="n">
        <v>46478</v>
      </c>
      <c r="C14" s="16">
        <f>SUMIFS(Raw!$D$2:$D$397,Raw!$C$2:$C$397,"Actual",Raw!$B$2:$B$397,CatCrit,Raw!$A$2:$A$397,EDATE($B14,-12))+SUMIFS(Raw!$D$2:$D$397,Raw!$C$2:$C$397,"Outlook",Raw!$B$2:$B$397,CatCrit,Raw!$A$2:$A$397,EDATE($B14,-12))</f>
        <v>83881.62</v>
      </c>
      <c r="D14" s="16">
        <f>C14*(1+Assumptions!$C$6)</f>
        <v>87236.8848</v>
      </c>
      <c r="E14" s="16">
        <f>SUMIFS(Raw!$D$2:$D$397,Raw!$C$2:$C$397,"Forecast",Raw!$B$2:$B$397,CatCrit,Raw!$A$2:$A$397,$B14)</f>
        <v>87522.01</v>
      </c>
      <c r="F14" s="16">
        <f>SUMIFS(Raw!$G$2:$G$397,Raw!$C$2:$C$397,"Forecast",Raw!$B$2:$B$397,CatCrit,Raw!$A$2:$A$397,$B14)</f>
        <v>84121.43</v>
      </c>
      <c r="G14" s="16">
        <f>SUMIFS(Raw!$H$2:$H$397,Raw!$C$2:$C$397,"Forecast",Raw!$B$2:$B$397,CatCrit,Raw!$A$2:$A$397,$B14)</f>
        <v>90922.67</v>
      </c>
      <c r="H14" s="16">
        <f>E14-D14</f>
        <v>285.125199999995</v>
      </c>
      <c r="I14" s="17">
        <f>IFERROR(H14/D14,0)</f>
        <v>0.00326840189965145</v>
      </c>
      <c r="J14" s="16">
        <f>SUMIFS(Raw!$E$2:$E$397,Raw!$C$2:$C$397,"Actual",Raw!$B$2:$B$397,CatCrit,Raw!$A$2:$A$397,EDATE($B14,-12))+SUMIFS(Raw!$E$2:$E$397,Raw!$C$2:$C$397,"Outlook",Raw!$B$2:$B$397,CatCrit,Raw!$A$2:$A$397,EDATE($B14,-12))</f>
        <v>34161.54</v>
      </c>
      <c r="K14" s="16">
        <f>IFERROR(D14*J14/C14,0)</f>
        <v>35528.0016</v>
      </c>
      <c r="L14" s="18">
        <f>IF(AND($B14&gt;=Assumptions!$C$7,$B14&lt;=EDATE(Assumptions!$C$7,Assumptions!$C$8-1)),1,0)</f>
        <v>0</v>
      </c>
    </row>
    <row r="15">
      <c r="B15" s="15" t="n">
        <v>46508</v>
      </c>
      <c r="C15" s="16">
        <f>SUMIFS(Raw!$D$2:$D$397,Raw!$C$2:$C$397,"Actual",Raw!$B$2:$B$397,CatCrit,Raw!$A$2:$A$397,EDATE($B15,-12))+SUMIFS(Raw!$D$2:$D$397,Raw!$C$2:$C$397,"Outlook",Raw!$B$2:$B$397,CatCrit,Raw!$A$2:$A$397,EDATE($B15,-12))</f>
        <v>85380.54</v>
      </c>
      <c r="D15" s="16">
        <f>C15*(1+Assumptions!$C$6)</f>
        <v>88795.7616</v>
      </c>
      <c r="E15" s="16">
        <f>SUMIFS(Raw!$D$2:$D$397,Raw!$C$2:$C$397,"Forecast",Raw!$B$2:$B$397,CatCrit,Raw!$A$2:$A$397,$B15)</f>
        <v>89142.93</v>
      </c>
      <c r="F15" s="16">
        <f>SUMIFS(Raw!$G$2:$G$397,Raw!$C$2:$C$397,"Forecast",Raw!$B$2:$B$397,CatCrit,Raw!$A$2:$A$397,$B15)</f>
        <v>85679.33</v>
      </c>
      <c r="G15" s="16">
        <f>SUMIFS(Raw!$H$2:$H$397,Raw!$C$2:$C$397,"Forecast",Raw!$B$2:$B$397,CatCrit,Raw!$A$2:$A$397,$B15)</f>
        <v>92606.52</v>
      </c>
      <c r="H15" s="16">
        <f>E15-D15</f>
        <v>347.168399999995</v>
      </c>
      <c r="I15" s="17">
        <f>IFERROR(H15/D15,0)</f>
        <v>0.00390974066491925</v>
      </c>
      <c r="J15" s="16">
        <f>SUMIFS(Raw!$E$2:$E$397,Raw!$C$2:$C$397,"Actual",Raw!$B$2:$B$397,CatCrit,Raw!$A$2:$A$397,EDATE($B15,-12))+SUMIFS(Raw!$E$2:$E$397,Raw!$C$2:$C$397,"Outlook",Raw!$B$2:$B$397,CatCrit,Raw!$A$2:$A$397,EDATE($B15,-12))</f>
        <v>34792.78</v>
      </c>
      <c r="K15" s="16">
        <f>IFERROR(D15*J15/C15,0)</f>
        <v>36184.4912</v>
      </c>
      <c r="L15" s="18">
        <f>IF(AND($B15&gt;=Assumptions!$C$7,$B15&lt;=EDATE(Assumptions!$C$7,Assumptions!$C$8-1)),1,0)</f>
        <v>0</v>
      </c>
    </row>
    <row r="16">
      <c r="B16" s="15" t="n">
        <v>46539</v>
      </c>
      <c r="C16" s="16">
        <f>SUMIFS(Raw!$D$2:$D$397,Raw!$C$2:$C$397,"Actual",Raw!$B$2:$B$397,CatCrit,Raw!$A$2:$A$397,EDATE($B16,-12))+SUMIFS(Raw!$D$2:$D$397,Raw!$C$2:$C$397,"Outlook",Raw!$B$2:$B$397,CatCrit,Raw!$A$2:$A$397,EDATE($B16,-12))</f>
        <v>80284.63</v>
      </c>
      <c r="D16" s="16">
        <f>C16*(1+Assumptions!$C$6)</f>
        <v>83496.0152</v>
      </c>
      <c r="E16" s="16">
        <f>SUMIFS(Raw!$D$2:$D$397,Raw!$C$2:$C$397,"Forecast",Raw!$B$2:$B$397,CatCrit,Raw!$A$2:$A$397,$B16)</f>
        <v>83886.45</v>
      </c>
      <c r="F16" s="16">
        <f>SUMIFS(Raw!$G$2:$G$397,Raw!$C$2:$C$397,"Forecast",Raw!$B$2:$B$397,CatCrit,Raw!$A$2:$A$397,$B16)</f>
        <v>80627.09</v>
      </c>
      <c r="G16" s="16">
        <f>SUMIFS(Raw!$H$2:$H$397,Raw!$C$2:$C$397,"Forecast",Raw!$B$2:$B$397,CatCrit,Raw!$A$2:$A$397,$B16)</f>
        <v>87145.81</v>
      </c>
      <c r="H16" s="16">
        <f>E16-D16</f>
        <v>390.434799999988</v>
      </c>
      <c r="I16" s="17">
        <f>IFERROR(H16/D16,0)</f>
        <v>0.00467608902131162</v>
      </c>
      <c r="J16" s="16">
        <f>SUMIFS(Raw!$E$2:$E$397,Raw!$C$2:$C$397,"Actual",Raw!$B$2:$B$397,CatCrit,Raw!$A$2:$A$397,EDATE($B16,-12))+SUMIFS(Raw!$E$2:$E$397,Raw!$C$2:$C$397,"Outlook",Raw!$B$2:$B$397,CatCrit,Raw!$A$2:$A$397,EDATE($B16,-12))</f>
        <v>32627.37</v>
      </c>
      <c r="K16" s="16">
        <f>IFERROR(D16*J16/C16,0)</f>
        <v>33932.4648</v>
      </c>
      <c r="L16" s="18">
        <f>IF(AND($B16&gt;=Assumptions!$C$7,$B16&lt;=EDATE(Assumptions!$C$7,Assumptions!$C$8-1)),1,0)</f>
        <v>0</v>
      </c>
    </row>
    <row r="17">
      <c r="B17" s="15" t="n">
        <v>46569</v>
      </c>
      <c r="C17" s="16">
        <f>SUMIFS(Raw!$D$2:$D$397,Raw!$C$2:$C$397,"Actual",Raw!$B$2:$B$397,CatCrit,Raw!$A$2:$A$397,EDATE($B17,-12))+SUMIFS(Raw!$D$2:$D$397,Raw!$C$2:$C$397,"Outlook",Raw!$B$2:$B$397,CatCrit,Raw!$A$2:$A$397,EDATE($B17,-12))</f>
        <v>82933.29</v>
      </c>
      <c r="D17" s="16">
        <f>C17*(1+Assumptions!$C$6)</f>
        <v>86250.6216</v>
      </c>
      <c r="E17" s="16">
        <f>SUMIFS(Raw!$D$2:$D$397,Raw!$C$2:$C$397,"Forecast",Raw!$B$2:$B$397,CatCrit,Raw!$A$2:$A$397,$B17)</f>
        <v>86623.59</v>
      </c>
      <c r="F17" s="16">
        <f>SUMIFS(Raw!$G$2:$G$397,Raw!$C$2:$C$397,"Forecast",Raw!$B$2:$B$397,CatCrit,Raw!$A$2:$A$397,$B17)</f>
        <v>83257.86</v>
      </c>
      <c r="G17" s="16">
        <f>SUMIFS(Raw!$H$2:$H$397,Raw!$C$2:$C$397,"Forecast",Raw!$B$2:$B$397,CatCrit,Raw!$A$2:$A$397,$B17)</f>
        <v>89989.29</v>
      </c>
      <c r="H17" s="16">
        <f>E17-D17</f>
        <v>372.968399999983</v>
      </c>
      <c r="I17" s="17">
        <f>IFERROR(H17/D17,0)</f>
        <v>0.00432424013973696</v>
      </c>
      <c r="J17" s="16">
        <f>SUMIFS(Raw!$E$2:$E$397,Raw!$C$2:$C$397,"Actual",Raw!$B$2:$B$397,CatCrit,Raw!$A$2:$A$397,EDATE($B17,-12))+SUMIFS(Raw!$E$2:$E$397,Raw!$C$2:$C$397,"Outlook",Raw!$B$2:$B$397,CatCrit,Raw!$A$2:$A$397,EDATE($B17,-12))</f>
        <v>33526.45</v>
      </c>
      <c r="K17" s="16">
        <f>IFERROR(D17*J17/C17,0)</f>
        <v>34867.508</v>
      </c>
      <c r="L17" s="18">
        <f>IF(AND($B17&gt;=Assumptions!$C$7,$B17&lt;=EDATE(Assumptions!$C$7,Assumptions!$C$8-1)),1,0)</f>
        <v>0</v>
      </c>
    </row>
    <row r="18">
      <c r="B18" s="15" t="n">
        <v>46600</v>
      </c>
      <c r="C18" s="16">
        <f>SUMIFS(Raw!$D$2:$D$397,Raw!$C$2:$C$397,"Actual",Raw!$B$2:$B$397,CatCrit,Raw!$A$2:$A$397,EDATE($B18,-12))+SUMIFS(Raw!$D$2:$D$397,Raw!$C$2:$C$397,"Outlook",Raw!$B$2:$B$397,CatCrit,Raw!$A$2:$A$397,EDATE($B18,-12))</f>
        <v>82488.39</v>
      </c>
      <c r="D18" s="16">
        <f>C18*(1+Assumptions!$C$6)</f>
        <v>85787.9256</v>
      </c>
      <c r="E18" s="16">
        <f>SUMIFS(Raw!$D$2:$D$397,Raw!$C$2:$C$397,"Forecast",Raw!$B$2:$B$397,CatCrit,Raw!$A$2:$A$397,$B18)</f>
        <v>86195.54</v>
      </c>
      <c r="F18" s="16">
        <f>SUMIFS(Raw!$G$2:$G$397,Raw!$C$2:$C$397,"Forecast",Raw!$B$2:$B$397,CatCrit,Raw!$A$2:$A$397,$B18)</f>
        <v>82846.46</v>
      </c>
      <c r="G18" s="16">
        <f>SUMIFS(Raw!$H$2:$H$397,Raw!$C$2:$C$397,"Forecast",Raw!$B$2:$B$397,CatCrit,Raw!$A$2:$A$397,$B18)</f>
        <v>89544.62</v>
      </c>
      <c r="H18" s="16">
        <f>E18-D18</f>
        <v>407.614399999991</v>
      </c>
      <c r="I18" s="17">
        <f>IFERROR(H18/D18,0)</f>
        <v>0.00475141923702129</v>
      </c>
      <c r="J18" s="16">
        <f>SUMIFS(Raw!$E$2:$E$397,Raw!$C$2:$C$397,"Actual",Raw!$B$2:$B$397,CatCrit,Raw!$A$2:$A$397,EDATE($B18,-12))+SUMIFS(Raw!$E$2:$E$397,Raw!$C$2:$C$397,"Outlook",Raw!$B$2:$B$397,CatCrit,Raw!$A$2:$A$397,EDATE($B18,-12))</f>
        <v>33668.61</v>
      </c>
      <c r="K18" s="16">
        <f>IFERROR(D18*J18/C18,0)</f>
        <v>35015.3544</v>
      </c>
      <c r="L18" s="18">
        <f>IF(AND($B18&gt;=Assumptions!$C$7,$B18&lt;=EDATE(Assumptions!$C$7,Assumptions!$C$8-1)),1,0)</f>
        <v>0</v>
      </c>
    </row>
    <row r="19">
      <c r="B19" s="15" t="n">
        <v>46631</v>
      </c>
      <c r="C19" s="16">
        <f>SUMIFS(Raw!$D$2:$D$397,Raw!$C$2:$C$397,"Actual",Raw!$B$2:$B$397,CatCrit,Raw!$A$2:$A$397,EDATE($B19,-12))+SUMIFS(Raw!$D$2:$D$397,Raw!$C$2:$C$397,"Outlook",Raw!$B$2:$B$397,CatCrit,Raw!$A$2:$A$397,EDATE($B19,-12))</f>
        <v>83247.06</v>
      </c>
      <c r="D19" s="16">
        <f>C19*(1+Assumptions!$C$6)</f>
        <v>86576.9424</v>
      </c>
      <c r="E19" s="16">
        <f>SUMIFS(Raw!$D$2:$D$397,Raw!$C$2:$C$397,"Forecast",Raw!$B$2:$B$397,CatCrit,Raw!$A$2:$A$397,$B19)</f>
        <v>86954.06</v>
      </c>
      <c r="F19" s="16">
        <f>SUMIFS(Raw!$G$2:$G$397,Raw!$C$2:$C$397,"Forecast",Raw!$B$2:$B$397,CatCrit,Raw!$A$2:$A$397,$B19)</f>
        <v>83575.5</v>
      </c>
      <c r="G19" s="16">
        <f>SUMIFS(Raw!$H$2:$H$397,Raw!$C$2:$C$397,"Forecast",Raw!$B$2:$B$397,CatCrit,Raw!$A$2:$A$397,$B19)</f>
        <v>90332.62</v>
      </c>
      <c r="H19" s="16">
        <f>E19-D19</f>
        <v>377.117599999998</v>
      </c>
      <c r="I19" s="17">
        <f>IFERROR(H19/D19,0)</f>
        <v>0.00435586646451028</v>
      </c>
      <c r="J19" s="16">
        <f>SUMIFS(Raw!$E$2:$E$397,Raw!$C$2:$C$397,"Actual",Raw!$B$2:$B$397,CatCrit,Raw!$A$2:$A$397,EDATE($B19,-12))+SUMIFS(Raw!$E$2:$E$397,Raw!$C$2:$C$397,"Outlook",Raw!$B$2:$B$397,CatCrit,Raw!$A$2:$A$397,EDATE($B19,-12))</f>
        <v>33757.74</v>
      </c>
      <c r="K19" s="16">
        <f>IFERROR(D19*J19/C19,0)</f>
        <v>35108.0496</v>
      </c>
      <c r="L19" s="18">
        <f>IF(AND($B19&gt;=Assumptions!$C$7,$B19&lt;=EDATE(Assumptions!$C$7,Assumptions!$C$8-1)),1,0)</f>
        <v>0</v>
      </c>
    </row>
    <row r="20">
      <c r="B20" s="19" t="inlineStr">
        <is>
          <t>Total</t>
        </is>
      </c>
      <c r="C20" s="20">
        <f>SUM(C8:C19)</f>
        <v>1028931.88</v>
      </c>
      <c r="D20" s="20">
        <f>SUM(D8:D19)</f>
        <v>1070089.1552</v>
      </c>
      <c r="E20" s="20">
        <f>SUM(E8:E19)</f>
        <v>1073552.89</v>
      </c>
      <c r="F20" s="20">
        <f>SUM(F8:F19)</f>
        <v>1031840.64</v>
      </c>
      <c r="G20" s="20">
        <f>SUM(G8:G19)</f>
        <v>1115265.24</v>
      </c>
      <c r="H20" s="20">
        <f>SUM(H8:H19)</f>
        <v>3463.73479999993</v>
      </c>
      <c r="I20" s="21">
        <f>IFERROR(H20/D20,0)</f>
        <v>0.00323686562298873</v>
      </c>
      <c r="J20" s="20">
        <f>SUM(J8:J19)</f>
        <v>418029.04</v>
      </c>
      <c r="K20" s="20">
        <f>SUM(K8:K19)</f>
        <v>434750.2016</v>
      </c>
      <c r="L20" s="22">
        <f>SUM(L8:L19)</f>
        <v>3</v>
      </c>
    </row>
    <row r="23">
      <c r="B23" s="13" t="inlineStr">
        <is>
          <t>Category plan (plan window)</t>
        </is>
      </c>
    </row>
    <row r="24">
      <c r="B24" s="7" t="inlineStr">
        <is>
          <t>Every category for the plan window, whatever the Category selector says. Targets and owners come from Lookup via INDEX-MATCH.</t>
        </is>
      </c>
    </row>
    <row r="25" ht="28" customHeight="1">
      <c r="B25" s="14" t="inlineStr">
        <is>
          <t>Category</t>
        </is>
      </c>
      <c r="C25" s="14" t="inlineStr">
        <is>
          <t>Last year</t>
        </is>
      </c>
      <c r="D25" s="14" t="inlineStr">
        <is>
          <t>Budget</t>
        </is>
      </c>
      <c r="E25" s="14" t="inlineStr">
        <is>
          <t>Forecast</t>
        </is>
      </c>
      <c r="F25" s="14" t="inlineStr">
        <is>
          <t>Gap</t>
        </is>
      </c>
      <c r="G25" s="14" t="inlineStr">
        <is>
          <t>Gap %</t>
        </is>
      </c>
      <c r="H25" s="14" t="inlineStr">
        <is>
          <t>LY GM %</t>
        </is>
      </c>
      <c r="I25" s="14" t="inlineStr">
        <is>
          <t>GM target</t>
        </is>
      </c>
      <c r="J25" s="14" t="inlineStr">
        <is>
          <t>Owner</t>
        </is>
      </c>
    </row>
    <row r="26">
      <c r="B26" s="23" t="inlineStr">
        <is>
          <t>Bakery</t>
        </is>
      </c>
      <c r="C26" s="16">
        <f>SUMIFS(Raw!$D$2:$D$397,Raw!$C$2:$C$397,"Actual",Raw!$B$2:$B$397,$B26,Raw!$A$2:$A$397,"&gt;="&amp;EDATE(Assumptions!$C$7,-12),Raw!$A$2:$A$397,"&lt;="&amp;EDATE(Assumptions!$C$7,Assumptions!$C$8-13))+SUMIFS(Raw!$D$2:$D$397,Raw!$C$2:$C$397,"Outlook",Raw!$B$2:$B$397,$B26,Raw!$A$2:$A$397,"&gt;="&amp;EDATE(Assumptions!$C$7,-12),Raw!$A$2:$A$397,"&lt;="&amp;EDATE(Assumptions!$C$7,Assumptions!$C$8-13))</f>
        <v>14567.74</v>
      </c>
      <c r="D26" s="16">
        <f>C26*(1+Assumptions!$C$6)</f>
        <v>15150.4496</v>
      </c>
      <c r="E26" s="16">
        <f>SUMIFS(Raw!$D$2:$D$397,Raw!$C$2:$C$397,"Forecast",Raw!$B$2:$B$397,$B26,Raw!$A$2:$A$397,"&gt;="&amp;Assumptions!$C$7,Raw!$A$2:$A$397,"&lt;="&amp;EDATE(Assumptions!$C$7,Assumptions!$C$8-1))</f>
        <v>16007.51</v>
      </c>
      <c r="F26" s="16">
        <f>E26-D26</f>
        <v>857.0604</v>
      </c>
      <c r="G26" s="17">
        <f>IFERROR(F26/D26,0)</f>
        <v>0.0565699647619699</v>
      </c>
      <c r="H26" s="17">
        <f>IFERROR((SUMIFS(Raw!$E$2:$E$397,Raw!$C$2:$C$397,"Actual",Raw!$B$2:$B$397,$B26,Raw!$A$2:$A$397,"&gt;="&amp;EDATE(Assumptions!$C$7,-12),Raw!$A$2:$A$397,"&lt;="&amp;EDATE(Assumptions!$C$7,Assumptions!$C$8-13))+SUMIFS(Raw!$E$2:$E$397,Raw!$C$2:$C$397,"Outlook",Raw!$B$2:$B$397,$B26,Raw!$A$2:$A$397,"&gt;="&amp;EDATE(Assumptions!$C$7,-12),Raw!$A$2:$A$397,"&lt;="&amp;EDATE(Assumptions!$C$7,Assumptions!$C$8-13)))/C26,0)</f>
        <v>0.379828305557348</v>
      </c>
      <c r="I26" s="17">
        <f>IFERROR(INDEX(Lookup!$C$7:$C$17,MATCH($B26,Lookup!$B$7:$B$17,0)),0)</f>
        <v>0.383</v>
      </c>
      <c r="J26" s="23" t="str">
        <f>IFERROR(INDEX(Lookup!$D$7:$D$17,MATCH($B26,Lookup!$B$7:$B$17,0)),"")</f>
        <v>Store Manager</v>
      </c>
    </row>
    <row r="27">
      <c r="B27" s="23" t="inlineStr">
        <is>
          <t>Beer &amp; Wine</t>
        </is>
      </c>
      <c r="C27" s="16">
        <f>SUMIFS(Raw!$D$2:$D$397,Raw!$C$2:$C$397,"Actual",Raw!$B$2:$B$397,$B27,Raw!$A$2:$A$397,"&gt;="&amp;EDATE(Assumptions!$C$7,-12),Raw!$A$2:$A$397,"&lt;="&amp;EDATE(Assumptions!$C$7,Assumptions!$C$8-13))+SUMIFS(Raw!$D$2:$D$397,Raw!$C$2:$C$397,"Outlook",Raw!$B$2:$B$397,$B27,Raw!$A$2:$A$397,"&gt;="&amp;EDATE(Assumptions!$C$7,-12),Raw!$A$2:$A$397,"&lt;="&amp;EDATE(Assumptions!$C$7,Assumptions!$C$8-13))</f>
        <v>35180.54</v>
      </c>
      <c r="D27" s="16">
        <f>C27*(1+Assumptions!$C$6)</f>
        <v>36587.7616</v>
      </c>
      <c r="E27" s="16">
        <f>SUMIFS(Raw!$D$2:$D$397,Raw!$C$2:$C$397,"Forecast",Raw!$B$2:$B$397,$B27,Raw!$A$2:$A$397,"&gt;="&amp;Assumptions!$C$7,Raw!$A$2:$A$397,"&lt;="&amp;EDATE(Assumptions!$C$7,Assumptions!$C$8-1))</f>
        <v>34974.04</v>
      </c>
      <c r="F27" s="16">
        <f>E27-D27</f>
        <v>-1613.7216</v>
      </c>
      <c r="G27" s="17">
        <f>IFERROR(F27/D27,0)</f>
        <v>-0.0441055022070551</v>
      </c>
      <c r="H27" s="17">
        <f>IFERROR((SUMIFS(Raw!$E$2:$E$397,Raw!$C$2:$C$397,"Actual",Raw!$B$2:$B$397,$B27,Raw!$A$2:$A$397,"&gt;="&amp;EDATE(Assumptions!$C$7,-12),Raw!$A$2:$A$397,"&lt;="&amp;EDATE(Assumptions!$C$7,Assumptions!$C$8-13))+SUMIFS(Raw!$E$2:$E$397,Raw!$C$2:$C$397,"Outlook",Raw!$B$2:$B$397,$B27,Raw!$A$2:$A$397,"&gt;="&amp;EDATE(Assumptions!$C$7,-12),Raw!$A$2:$A$397,"&lt;="&amp;EDATE(Assumptions!$C$7,Assumptions!$C$8-13)))/C27,0)</f>
        <v>0.326352011651896</v>
      </c>
      <c r="I27" s="17">
        <f>IFERROR(INDEX(Lookup!$C$7:$C$17,MATCH($B27,Lookup!$B$7:$B$17,0)),0)</f>
        <v>0.337</v>
      </c>
      <c r="J27" s="23" t="str">
        <f>IFERROR(INDEX(Lookup!$D$7:$D$17,MATCH($B27,Lookup!$B$7:$B$17,0)),"")</f>
        <v>Licence Manager</v>
      </c>
    </row>
    <row r="28">
      <c r="B28" s="23" t="inlineStr">
        <is>
          <t>Beverages</t>
        </is>
      </c>
      <c r="C28" s="16">
        <f>SUMIFS(Raw!$D$2:$D$397,Raw!$C$2:$C$397,"Actual",Raw!$B$2:$B$397,$B28,Raw!$A$2:$A$397,"&gt;="&amp;EDATE(Assumptions!$C$7,-12),Raw!$A$2:$A$397,"&lt;="&amp;EDATE(Assumptions!$C$7,Assumptions!$C$8-13))+SUMIFS(Raw!$D$2:$D$397,Raw!$C$2:$C$397,"Outlook",Raw!$B$2:$B$397,$B28,Raw!$A$2:$A$397,"&gt;="&amp;EDATE(Assumptions!$C$7,-12),Raw!$A$2:$A$397,"&lt;="&amp;EDATE(Assumptions!$C$7,Assumptions!$C$8-13))</f>
        <v>43461.27</v>
      </c>
      <c r="D28" s="16">
        <f>C28*(1+Assumptions!$C$6)</f>
        <v>45199.7208</v>
      </c>
      <c r="E28" s="16">
        <f>SUMIFS(Raw!$D$2:$D$397,Raw!$C$2:$C$397,"Forecast",Raw!$B$2:$B$397,$B28,Raw!$A$2:$A$397,"&gt;="&amp;Assumptions!$C$7,Raw!$A$2:$A$397,"&lt;="&amp;EDATE(Assumptions!$C$7,Assumptions!$C$8-1))</f>
        <v>45708.98</v>
      </c>
      <c r="F28" s="16">
        <f>E28-D28</f>
        <v>509.2592</v>
      </c>
      <c r="G28" s="17">
        <f>IFERROR(F28/D28,0)</f>
        <v>0.0112668660555089</v>
      </c>
      <c r="H28" s="17">
        <f>IFERROR((SUMIFS(Raw!$E$2:$E$397,Raw!$C$2:$C$397,"Actual",Raw!$B$2:$B$397,$B28,Raw!$A$2:$A$397,"&gt;="&amp;EDATE(Assumptions!$C$7,-12),Raw!$A$2:$A$397,"&lt;="&amp;EDATE(Assumptions!$C$7,Assumptions!$C$8-13))+SUMIFS(Raw!$E$2:$E$397,Raw!$C$2:$C$397,"Outlook",Raw!$B$2:$B$397,$B28,Raw!$A$2:$A$397,"&gt;="&amp;EDATE(Assumptions!$C$7,-12),Raw!$A$2:$A$397,"&lt;="&amp;EDATE(Assumptions!$C$7,Assumptions!$C$8-13)))/C28,0)</f>
        <v>0.511349990462773</v>
      </c>
      <c r="I28" s="17">
        <f>IFERROR(INDEX(Lookup!$C$7:$C$17,MATCH($B28,Lookup!$B$7:$B$17,0)),0)</f>
        <v>0.51</v>
      </c>
      <c r="J28" s="23" t="str">
        <f>IFERROR(INDEX(Lookup!$D$7:$D$17,MATCH($B28,Lookup!$B$7:$B$17,0)),"")</f>
        <v>Duty Manager</v>
      </c>
    </row>
    <row r="29">
      <c r="B29" s="23" t="inlineStr">
        <is>
          <t>Dairy</t>
        </is>
      </c>
      <c r="C29" s="16">
        <f>SUMIFS(Raw!$D$2:$D$397,Raw!$C$2:$C$397,"Actual",Raw!$B$2:$B$397,$B29,Raw!$A$2:$A$397,"&gt;="&amp;EDATE(Assumptions!$C$7,-12),Raw!$A$2:$A$397,"&lt;="&amp;EDATE(Assumptions!$C$7,Assumptions!$C$8-13))+SUMIFS(Raw!$D$2:$D$397,Raw!$C$2:$C$397,"Outlook",Raw!$B$2:$B$397,$B29,Raw!$A$2:$A$397,"&gt;="&amp;EDATE(Assumptions!$C$7,-12),Raw!$A$2:$A$397,"&lt;="&amp;EDATE(Assumptions!$C$7,Assumptions!$C$8-13))</f>
        <v>43211.09</v>
      </c>
      <c r="D29" s="16">
        <f>C29*(1+Assumptions!$C$6)</f>
        <v>44939.5336</v>
      </c>
      <c r="E29" s="16">
        <f>SUMIFS(Raw!$D$2:$D$397,Raw!$C$2:$C$397,"Forecast",Raw!$B$2:$B$397,$B29,Raw!$A$2:$A$397,"&gt;="&amp;Assumptions!$C$7,Raw!$A$2:$A$397,"&lt;="&amp;EDATE(Assumptions!$C$7,Assumptions!$C$8-1))</f>
        <v>44258.92</v>
      </c>
      <c r="F29" s="16">
        <f>E29-D29</f>
        <v>-680.613600000004</v>
      </c>
      <c r="G29" s="17">
        <f>IFERROR(F29/D29,0)</f>
        <v>-0.0151450970999842</v>
      </c>
      <c r="H29" s="17">
        <f>IFERROR((SUMIFS(Raw!$E$2:$E$397,Raw!$C$2:$C$397,"Actual",Raw!$B$2:$B$397,$B29,Raw!$A$2:$A$397,"&gt;="&amp;EDATE(Assumptions!$C$7,-12),Raw!$A$2:$A$397,"&lt;="&amp;EDATE(Assumptions!$C$7,Assumptions!$C$8-13))+SUMIFS(Raw!$E$2:$E$397,Raw!$C$2:$C$397,"Outlook",Raw!$B$2:$B$397,$B29,Raw!$A$2:$A$397,"&gt;="&amp;EDATE(Assumptions!$C$7,-12),Raw!$A$2:$A$397,"&lt;="&amp;EDATE(Assumptions!$C$7,Assumptions!$C$8-13)))/C29,0)</f>
        <v>0.282076661338559</v>
      </c>
      <c r="I29" s="17">
        <f>IFERROR(INDEX(Lookup!$C$7:$C$17,MATCH($B29,Lookup!$B$7:$B$17,0)),0)</f>
        <v>0.278</v>
      </c>
      <c r="J29" s="23" t="str">
        <f>IFERROR(INDEX(Lookup!$D$7:$D$17,MATCH($B29,Lookup!$B$7:$B$17,0)),"")</f>
        <v>Duty Manager</v>
      </c>
    </row>
    <row r="30">
      <c r="B30" s="23" t="inlineStr">
        <is>
          <t>Food To Go</t>
        </is>
      </c>
      <c r="C30" s="16">
        <f>SUMIFS(Raw!$D$2:$D$397,Raw!$C$2:$C$397,"Actual",Raw!$B$2:$B$397,$B30,Raw!$A$2:$A$397,"&gt;="&amp;EDATE(Assumptions!$C$7,-12),Raw!$A$2:$A$397,"&lt;="&amp;EDATE(Assumptions!$C$7,Assumptions!$C$8-13))+SUMIFS(Raw!$D$2:$D$397,Raw!$C$2:$C$397,"Outlook",Raw!$B$2:$B$397,$B30,Raw!$A$2:$A$397,"&gt;="&amp;EDATE(Assumptions!$C$7,-12),Raw!$A$2:$A$397,"&lt;="&amp;EDATE(Assumptions!$C$7,Assumptions!$C$8-13))</f>
        <v>47580.65</v>
      </c>
      <c r="D30" s="16">
        <f>C30*(1+Assumptions!$C$6)</f>
        <v>49483.876</v>
      </c>
      <c r="E30" s="16">
        <f>SUMIFS(Raw!$D$2:$D$397,Raw!$C$2:$C$397,"Forecast",Raw!$B$2:$B$397,$B30,Raw!$A$2:$A$397,"&gt;="&amp;Assumptions!$C$7,Raw!$A$2:$A$397,"&lt;="&amp;EDATE(Assumptions!$C$7,Assumptions!$C$8-1))</f>
        <v>48770.26</v>
      </c>
      <c r="F30" s="16">
        <f>E30-D30</f>
        <v>-713.615999999995</v>
      </c>
      <c r="G30" s="17">
        <f>IFERROR(F30/D30,0)</f>
        <v>-0.014421182366555</v>
      </c>
      <c r="H30" s="17">
        <f>IFERROR((SUMIFS(Raw!$E$2:$E$397,Raw!$C$2:$C$397,"Actual",Raw!$B$2:$B$397,$B30,Raw!$A$2:$A$397,"&gt;="&amp;EDATE(Assumptions!$C$7,-12),Raw!$A$2:$A$397,"&lt;="&amp;EDATE(Assumptions!$C$7,Assumptions!$C$8-13))+SUMIFS(Raw!$E$2:$E$397,Raw!$C$2:$C$397,"Outlook",Raw!$B$2:$B$397,$B30,Raw!$A$2:$A$397,"&gt;="&amp;EDATE(Assumptions!$C$7,-12),Raw!$A$2:$A$397,"&lt;="&amp;EDATE(Assumptions!$C$7,Assumptions!$C$8-13)))/C30,0)</f>
        <v>0.471997545220589</v>
      </c>
      <c r="I30" s="17">
        <f>IFERROR(INDEX(Lookup!$C$7:$C$17,MATCH($B30,Lookup!$B$7:$B$17,0)),0)</f>
        <v>0.477</v>
      </c>
      <c r="J30" s="23" t="str">
        <f>IFERROR(INDEX(Lookup!$D$7:$D$17,MATCH($B30,Lookup!$B$7:$B$17,0)),"")</f>
        <v>Store Manager</v>
      </c>
    </row>
    <row r="31">
      <c r="B31" s="23" t="inlineStr">
        <is>
          <t>Frozen</t>
        </is>
      </c>
      <c r="C31" s="16">
        <f>SUMIFS(Raw!$D$2:$D$397,Raw!$C$2:$C$397,"Actual",Raw!$B$2:$B$397,$B31,Raw!$A$2:$A$397,"&gt;="&amp;EDATE(Assumptions!$C$7,-12),Raw!$A$2:$A$397,"&lt;="&amp;EDATE(Assumptions!$C$7,Assumptions!$C$8-13))+SUMIFS(Raw!$D$2:$D$397,Raw!$C$2:$C$397,"Outlook",Raw!$B$2:$B$397,$B31,Raw!$A$2:$A$397,"&gt;="&amp;EDATE(Assumptions!$C$7,-12),Raw!$A$2:$A$397,"&lt;="&amp;EDATE(Assumptions!$C$7,Assumptions!$C$8-13))</f>
        <v>17789.19</v>
      </c>
      <c r="D31" s="16">
        <f>C31*(1+Assumptions!$C$6)</f>
        <v>18500.7576</v>
      </c>
      <c r="E31" s="16">
        <f>SUMIFS(Raw!$D$2:$D$397,Raw!$C$2:$C$397,"Forecast",Raw!$B$2:$B$397,$B31,Raw!$A$2:$A$397,"&gt;="&amp;Assumptions!$C$7,Raw!$A$2:$A$397,"&lt;="&amp;EDATE(Assumptions!$C$7,Assumptions!$C$8-1))</f>
        <v>18779.82</v>
      </c>
      <c r="F31" s="16">
        <f>E31-D31</f>
        <v>279.062399999999</v>
      </c>
      <c r="G31" s="17">
        <f>IFERROR(F31/D31,0)</f>
        <v>0.0150838363505719</v>
      </c>
      <c r="H31" s="17">
        <f>IFERROR((SUMIFS(Raw!$E$2:$E$397,Raw!$C$2:$C$397,"Actual",Raw!$B$2:$B$397,$B31,Raw!$A$2:$A$397,"&gt;="&amp;EDATE(Assumptions!$C$7,-12),Raw!$A$2:$A$397,"&lt;="&amp;EDATE(Assumptions!$C$7,Assumptions!$C$8-13))+SUMIFS(Raw!$E$2:$E$397,Raw!$C$2:$C$397,"Outlook",Raw!$B$2:$B$397,$B31,Raw!$A$2:$A$397,"&gt;="&amp;EDATE(Assumptions!$C$7,-12),Raw!$A$2:$A$397,"&lt;="&amp;EDATE(Assumptions!$C$7,Assumptions!$C$8-13)))/C31,0)</f>
        <v>0.430435000132103</v>
      </c>
      <c r="I31" s="17">
        <f>IFERROR(INDEX(Lookup!$C$7:$C$17,MATCH($B31,Lookup!$B$7:$B$17,0)),0)</f>
        <v>0.434</v>
      </c>
      <c r="J31" s="23" t="str">
        <f>IFERROR(INDEX(Lookup!$D$7:$D$17,MATCH($B31,Lookup!$B$7:$B$17,0)),"")</f>
        <v>Duty Manager</v>
      </c>
    </row>
    <row r="32">
      <c r="B32" s="23" t="inlineStr">
        <is>
          <t>Grocery</t>
        </is>
      </c>
      <c r="C32" s="16">
        <f>SUMIFS(Raw!$D$2:$D$397,Raw!$C$2:$C$397,"Actual",Raw!$B$2:$B$397,$B32,Raw!$A$2:$A$397,"&gt;="&amp;EDATE(Assumptions!$C$7,-12),Raw!$A$2:$A$397,"&lt;="&amp;EDATE(Assumptions!$C$7,Assumptions!$C$8-13))+SUMIFS(Raw!$D$2:$D$397,Raw!$C$2:$C$397,"Outlook",Raw!$B$2:$B$397,$B32,Raw!$A$2:$A$397,"&gt;="&amp;EDATE(Assumptions!$C$7,-12),Raw!$A$2:$A$397,"&lt;="&amp;EDATE(Assumptions!$C$7,Assumptions!$C$8-13))</f>
        <v>24536.45</v>
      </c>
      <c r="D32" s="16">
        <f>C32*(1+Assumptions!$C$6)</f>
        <v>25517.908</v>
      </c>
      <c r="E32" s="16">
        <f>SUMIFS(Raw!$D$2:$D$397,Raw!$C$2:$C$397,"Forecast",Raw!$B$2:$B$397,$B32,Raw!$A$2:$A$397,"&gt;="&amp;Assumptions!$C$7,Raw!$A$2:$A$397,"&lt;="&amp;EDATE(Assumptions!$C$7,Assumptions!$C$8-1))</f>
        <v>26375.23</v>
      </c>
      <c r="F32" s="16">
        <f>E32-D32</f>
        <v>857.321999999993</v>
      </c>
      <c r="G32" s="17">
        <f>IFERROR(F32/D32,0)</f>
        <v>0.0335968763583595</v>
      </c>
      <c r="H32" s="17">
        <f>IFERROR((SUMIFS(Raw!$E$2:$E$397,Raw!$C$2:$C$397,"Actual",Raw!$B$2:$B$397,$B32,Raw!$A$2:$A$397,"&gt;="&amp;EDATE(Assumptions!$C$7,-12),Raw!$A$2:$A$397,"&lt;="&amp;EDATE(Assumptions!$C$7,Assumptions!$C$8-13))+SUMIFS(Raw!$E$2:$E$397,Raw!$C$2:$C$397,"Outlook",Raw!$B$2:$B$397,$B32,Raw!$A$2:$A$397,"&gt;="&amp;EDATE(Assumptions!$C$7,-12),Raw!$A$2:$A$397,"&lt;="&amp;EDATE(Assumptions!$C$7,Assumptions!$C$8-13)))/C32,0)</f>
        <v>0.343759997880704</v>
      </c>
      <c r="I32" s="17">
        <f>IFERROR(INDEX(Lookup!$C$7:$C$17,MATCH($B32,Lookup!$B$7:$B$17,0)),0)</f>
        <v>0.348</v>
      </c>
      <c r="J32" s="23" t="str">
        <f>IFERROR(INDEX(Lookup!$D$7:$D$17,MATCH($B32,Lookup!$B$7:$B$17,0)),"")</f>
        <v>Duty Manager</v>
      </c>
    </row>
    <row r="33">
      <c r="B33" s="23" t="inlineStr">
        <is>
          <t>Health &amp; Beauty</t>
        </is>
      </c>
      <c r="C33" s="16">
        <f>SUMIFS(Raw!$D$2:$D$397,Raw!$C$2:$C$397,"Actual",Raw!$B$2:$B$397,$B33,Raw!$A$2:$A$397,"&gt;="&amp;EDATE(Assumptions!$C$7,-12),Raw!$A$2:$A$397,"&lt;="&amp;EDATE(Assumptions!$C$7,Assumptions!$C$8-13))+SUMIFS(Raw!$D$2:$D$397,Raw!$C$2:$C$397,"Outlook",Raw!$B$2:$B$397,$B33,Raw!$A$2:$A$397,"&gt;="&amp;EDATE(Assumptions!$C$7,-12),Raw!$A$2:$A$397,"&lt;="&amp;EDATE(Assumptions!$C$7,Assumptions!$C$8-13))</f>
        <v>4669.5</v>
      </c>
      <c r="D33" s="16">
        <f>C33*(1+Assumptions!$C$6)</f>
        <v>4856.28</v>
      </c>
      <c r="E33" s="16">
        <f>SUMIFS(Raw!$D$2:$D$397,Raw!$C$2:$C$397,"Forecast",Raw!$B$2:$B$397,$B33,Raw!$A$2:$A$397,"&gt;="&amp;Assumptions!$C$7,Raw!$A$2:$A$397,"&lt;="&amp;EDATE(Assumptions!$C$7,Assumptions!$C$8-1))</f>
        <v>5070.87</v>
      </c>
      <c r="F33" s="16">
        <f>E33-D33</f>
        <v>214.59</v>
      </c>
      <c r="G33" s="17">
        <f>IFERROR(F33/D33,0)</f>
        <v>0.0441881440114656</v>
      </c>
      <c r="H33" s="17">
        <f>IFERROR((SUMIFS(Raw!$E$2:$E$397,Raw!$C$2:$C$397,"Actual",Raw!$B$2:$B$397,$B33,Raw!$A$2:$A$397,"&gt;="&amp;EDATE(Assumptions!$C$7,-12),Raw!$A$2:$A$397,"&lt;="&amp;EDATE(Assumptions!$C$7,Assumptions!$C$8-13))+SUMIFS(Raw!$E$2:$E$397,Raw!$C$2:$C$397,"Outlook",Raw!$B$2:$B$397,$B33,Raw!$A$2:$A$397,"&gt;="&amp;EDATE(Assumptions!$C$7,-12),Raw!$A$2:$A$397,"&lt;="&amp;EDATE(Assumptions!$C$7,Assumptions!$C$8-13)))/C33,0)</f>
        <v>0.492322518470928</v>
      </c>
      <c r="I33" s="17">
        <f>IFERROR(INDEX(Lookup!$C$7:$C$17,MATCH($B33,Lookup!$B$7:$B$17,0)),0)</f>
        <v>0.502</v>
      </c>
      <c r="J33" s="23" t="str">
        <f>IFERROR(INDEX(Lookup!$D$7:$D$17,MATCH($B33,Lookup!$B$7:$B$17,0)),"")</f>
        <v>Store Manager</v>
      </c>
    </row>
    <row r="34">
      <c r="B34" s="23" t="inlineStr">
        <is>
          <t>Household</t>
        </is>
      </c>
      <c r="C34" s="16">
        <f>SUMIFS(Raw!$D$2:$D$397,Raw!$C$2:$C$397,"Actual",Raw!$B$2:$B$397,$B34,Raw!$A$2:$A$397,"&gt;="&amp;EDATE(Assumptions!$C$7,-12),Raw!$A$2:$A$397,"&lt;="&amp;EDATE(Assumptions!$C$7,Assumptions!$C$8-13))+SUMIFS(Raw!$D$2:$D$397,Raw!$C$2:$C$397,"Outlook",Raw!$B$2:$B$397,$B34,Raw!$A$2:$A$397,"&gt;="&amp;EDATE(Assumptions!$C$7,-12),Raw!$A$2:$A$397,"&lt;="&amp;EDATE(Assumptions!$C$7,Assumptions!$C$8-13))</f>
        <v>7343.26</v>
      </c>
      <c r="D34" s="16">
        <f>C34*(1+Assumptions!$C$6)</f>
        <v>7636.9904</v>
      </c>
      <c r="E34" s="16">
        <f>SUMIFS(Raw!$D$2:$D$397,Raw!$C$2:$C$397,"Forecast",Raw!$B$2:$B$397,$B34,Raw!$A$2:$A$397,"&gt;="&amp;Assumptions!$C$7,Raw!$A$2:$A$397,"&lt;="&amp;EDATE(Assumptions!$C$7,Assumptions!$C$8-1))</f>
        <v>7512.69</v>
      </c>
      <c r="F34" s="16">
        <f>E34-D34</f>
        <v>-124.3004</v>
      </c>
      <c r="G34" s="17">
        <f>IFERROR(F34/D34,0)</f>
        <v>-0.0162760974532586</v>
      </c>
      <c r="H34" s="17">
        <f>IFERROR((SUMIFS(Raw!$E$2:$E$397,Raw!$C$2:$C$397,"Actual",Raw!$B$2:$B$397,$B34,Raw!$A$2:$A$397,"&gt;="&amp;EDATE(Assumptions!$C$7,-12),Raw!$A$2:$A$397,"&lt;="&amp;EDATE(Assumptions!$C$7,Assumptions!$C$8-13))+SUMIFS(Raw!$E$2:$E$397,Raw!$C$2:$C$397,"Outlook",Raw!$B$2:$B$397,$B34,Raw!$A$2:$A$397,"&gt;="&amp;EDATE(Assumptions!$C$7,-12),Raw!$A$2:$A$397,"&lt;="&amp;EDATE(Assumptions!$C$7,Assumptions!$C$8-13)))/C34,0)</f>
        <v>0.413884296620302</v>
      </c>
      <c r="I34" s="17">
        <f>IFERROR(INDEX(Lookup!$C$7:$C$17,MATCH($B34,Lookup!$B$7:$B$17,0)),0)</f>
        <v>0.412</v>
      </c>
      <c r="J34" s="23" t="str">
        <f>IFERROR(INDEX(Lookup!$D$7:$D$17,MATCH($B34,Lookup!$B$7:$B$17,0)),"")</f>
        <v>Duty Manager</v>
      </c>
    </row>
    <row r="35">
      <c r="B35" s="23" t="inlineStr">
        <is>
          <t>Produce</t>
        </is>
      </c>
      <c r="C35" s="16">
        <f>SUMIFS(Raw!$D$2:$D$397,Raw!$C$2:$C$397,"Actual",Raw!$B$2:$B$397,$B35,Raw!$A$2:$A$397,"&gt;="&amp;EDATE(Assumptions!$C$7,-12),Raw!$A$2:$A$397,"&lt;="&amp;EDATE(Assumptions!$C$7,Assumptions!$C$8-13))+SUMIFS(Raw!$D$2:$D$397,Raw!$C$2:$C$397,"Outlook",Raw!$B$2:$B$397,$B35,Raw!$A$2:$A$397,"&gt;="&amp;EDATE(Assumptions!$C$7,-12),Raw!$A$2:$A$397,"&lt;="&amp;EDATE(Assumptions!$C$7,Assumptions!$C$8-13))</f>
        <v>6753.4</v>
      </c>
      <c r="D35" s="16">
        <f>C35*(1+Assumptions!$C$6)</f>
        <v>7023.536</v>
      </c>
      <c r="E35" s="16">
        <f>SUMIFS(Raw!$D$2:$D$397,Raw!$C$2:$C$397,"Forecast",Raw!$B$2:$B$397,$B35,Raw!$A$2:$A$397,"&gt;="&amp;Assumptions!$C$7,Raw!$A$2:$A$397,"&lt;="&amp;EDATE(Assumptions!$C$7,Assumptions!$C$8-1))</f>
        <v>7221.31</v>
      </c>
      <c r="F35" s="16">
        <f>E35-D35</f>
        <v>197.773999999999</v>
      </c>
      <c r="G35" s="17">
        <f>IFERROR(F35/D35,0)</f>
        <v>0.0281587508058618</v>
      </c>
      <c r="H35" s="17">
        <f>IFERROR((SUMIFS(Raw!$E$2:$E$397,Raw!$C$2:$C$397,"Actual",Raw!$B$2:$B$397,$B35,Raw!$A$2:$A$397,"&gt;="&amp;EDATE(Assumptions!$C$7,-12),Raw!$A$2:$A$397,"&lt;="&amp;EDATE(Assumptions!$C$7,Assumptions!$C$8-13))+SUMIFS(Raw!$E$2:$E$397,Raw!$C$2:$C$397,"Outlook",Raw!$B$2:$B$397,$B35,Raw!$A$2:$A$397,"&gt;="&amp;EDATE(Assumptions!$C$7,-12),Raw!$A$2:$A$397,"&lt;="&amp;EDATE(Assumptions!$C$7,Assumptions!$C$8-13)))/C35,0)</f>
        <v>0.432285959664761</v>
      </c>
      <c r="I35" s="17">
        <f>IFERROR(INDEX(Lookup!$C$7:$C$17,MATCH($B35,Lookup!$B$7:$B$17,0)),0)</f>
        <v>0.433</v>
      </c>
      <c r="J35" s="23" t="str">
        <f>IFERROR(INDEX(Lookup!$D$7:$D$17,MATCH($B35,Lookup!$B$7:$B$17,0)),"")</f>
        <v>Duty Manager</v>
      </c>
    </row>
    <row r="36">
      <c r="B36" s="23" t="inlineStr">
        <is>
          <t>Snacks &amp; Confectionery</t>
        </is>
      </c>
      <c r="C36" s="16">
        <f>SUMIFS(Raw!$D$2:$D$397,Raw!$C$2:$C$397,"Actual",Raw!$B$2:$B$397,$B36,Raw!$A$2:$A$397,"&gt;="&amp;EDATE(Assumptions!$C$7,-12),Raw!$A$2:$A$397,"&lt;="&amp;EDATE(Assumptions!$C$7,Assumptions!$C$8-13))+SUMIFS(Raw!$D$2:$D$397,Raw!$C$2:$C$397,"Outlook",Raw!$B$2:$B$397,$B36,Raw!$A$2:$A$397,"&gt;="&amp;EDATE(Assumptions!$C$7,-12),Raw!$A$2:$A$397,"&lt;="&amp;EDATE(Assumptions!$C$7,Assumptions!$C$8-13))</f>
        <v>26239.09</v>
      </c>
      <c r="D36" s="16">
        <f>C36*(1+Assumptions!$C$6)</f>
        <v>27288.6536</v>
      </c>
      <c r="E36" s="16">
        <f>SUMIFS(Raw!$D$2:$D$397,Raw!$C$2:$C$397,"Forecast",Raw!$B$2:$B$397,$B36,Raw!$A$2:$A$397,"&gt;="&amp;Assumptions!$C$7,Raw!$A$2:$A$397,"&lt;="&amp;EDATE(Assumptions!$C$7,Assumptions!$C$8-1))</f>
        <v>28222.78</v>
      </c>
      <c r="F36" s="16">
        <f>E36-D36</f>
        <v>934.126400000001</v>
      </c>
      <c r="G36" s="17">
        <f>IFERROR(F36/D36,0)</f>
        <v>0.0342313114341413</v>
      </c>
      <c r="H36" s="17">
        <f>IFERROR((SUMIFS(Raw!$E$2:$E$397,Raw!$C$2:$C$397,"Actual",Raw!$B$2:$B$397,$B36,Raw!$A$2:$A$397,"&gt;="&amp;EDATE(Assumptions!$C$7,-12),Raw!$A$2:$A$397,"&lt;="&amp;EDATE(Assumptions!$C$7,Assumptions!$C$8-13))+SUMIFS(Raw!$E$2:$E$397,Raw!$C$2:$C$397,"Outlook",Raw!$B$2:$B$397,$B36,Raw!$A$2:$A$397,"&gt;="&amp;EDATE(Assumptions!$C$7,-12),Raw!$A$2:$A$397,"&lt;="&amp;EDATE(Assumptions!$C$7,Assumptions!$C$8-13)))/C36,0)</f>
        <v>0.447023505769446</v>
      </c>
      <c r="I36" s="17">
        <f>IFERROR(INDEX(Lookup!$C$7:$C$17,MATCH($B36,Lookup!$B$7:$B$17,0)),0)</f>
        <v>0.444</v>
      </c>
      <c r="J36" s="23" t="str">
        <f>IFERROR(INDEX(Lookup!$D$7:$D$17,MATCH($B36,Lookup!$B$7:$B$17,0)),"")</f>
        <v>Duty Manager</v>
      </c>
    </row>
    <row r="37">
      <c r="B37" s="19" t="inlineStr">
        <is>
          <t>Total</t>
        </is>
      </c>
      <c r="C37" s="20">
        <f>SUM(C26:C36)</f>
        <v>271332.18</v>
      </c>
      <c r="D37" s="20">
        <f>SUM(D26:D36)</f>
        <v>282185.4672</v>
      </c>
      <c r="E37" s="20">
        <f>SUM(E26:E36)</f>
        <v>282902.41</v>
      </c>
      <c r="F37" s="20">
        <f>SUM(F26:F36)</f>
        <v>716.94279999999</v>
      </c>
      <c r="G37" s="21">
        <f>IFERROR(F37/D37,0)</f>
        <v>0.00254067938761656</v>
      </c>
      <c r="H37" s="21" t="n"/>
      <c r="I37" s="21" t="n"/>
      <c r="J37" s="24" t="n"/>
    </row>
  </sheetData>
  <conditionalFormatting sqref="H8:H19">
    <cfRule type="cellIs" priority="1" operator="lessThan" dxfId="0">
      <formula>0</formula>
    </cfRule>
  </conditionalFormatting>
  <conditionalFormatting sqref="F26:F36">
    <cfRule type="cellIs" priority="2" operator="lessThan" dxfId="0">
      <formula>0</formula>
    </cfRule>
  </conditionalFormatting>
  <conditionalFormatting sqref="E26:E36">
    <cfRule type="dataBar" priority="3">
      <dataBar>
        <cfvo type="min"/>
        <cfvo type="max"/>
        <color rgb="0063B6D8"/>
      </dataBar>
    </cfRule>
  </conditionalFormatting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" t="inlineStr">
        <is>
          <t>Sales by category and month (filter Type: Actual / Forecast)</t>
        </is>
      </c>
    </row>
    <row r="6">
      <c r="A6" t="inlineStr">
        <is>
          <t>Type</t>
        </is>
      </c>
      <c r="B6" t="inlineStr">
        <is>
          <t>(All)</t>
        </is>
      </c>
    </row>
    <row r="8">
      <c r="A8" t="inlineStr">
        <is>
          <t>Row Labels</t>
        </is>
      </c>
      <c r="B8" t="inlineStr">
        <is>
          <t>Sales</t>
        </is>
      </c>
    </row>
    <row r="9">
      <c r="A9" t="inlineStr">
        <is>
          <t>Bakery</t>
        </is>
      </c>
      <c r="B9" s="25" t="n">
        <v>174968.23</v>
      </c>
    </row>
    <row r="10">
      <c r="A10" t="inlineStr">
        <is>
          <t>Beer &amp; Wine</t>
        </is>
      </c>
      <c r="B10" s="25" t="n">
        <v>364343.68</v>
      </c>
    </row>
    <row r="11">
      <c r="A11" t="inlineStr">
        <is>
          <t>Beverages</t>
        </is>
      </c>
      <c r="B11" s="25" t="n">
        <v>462256.48</v>
      </c>
    </row>
    <row r="12">
      <c r="A12" t="inlineStr">
        <is>
          <t>Dairy</t>
        </is>
      </c>
      <c r="B12" s="25" t="n">
        <v>499904.45</v>
      </c>
    </row>
    <row r="13">
      <c r="A13" t="inlineStr">
        <is>
          <t>Food To Go</t>
        </is>
      </c>
      <c r="B13" s="25" t="n">
        <v>551519.59</v>
      </c>
    </row>
    <row r="14">
      <c r="A14" t="inlineStr">
        <is>
          <t>Frozen</t>
        </is>
      </c>
      <c r="B14" s="25" t="n">
        <v>209149.47</v>
      </c>
    </row>
    <row r="15">
      <c r="A15" t="inlineStr">
        <is>
          <t>Grocery</t>
        </is>
      </c>
      <c r="B15" s="25" t="n">
        <v>304164.42</v>
      </c>
    </row>
    <row r="16">
      <c r="A16" t="inlineStr">
        <is>
          <t>Health &amp; Beauty</t>
        </is>
      </c>
      <c r="B16" s="25" t="n">
        <v>52281.05</v>
      </c>
    </row>
    <row r="17">
      <c r="A17" t="inlineStr">
        <is>
          <t>Household</t>
        </is>
      </c>
      <c r="B17" s="25" t="n">
        <v>83408.28</v>
      </c>
    </row>
    <row r="18">
      <c r="A18" t="inlineStr">
        <is>
          <t>Produce</t>
        </is>
      </c>
      <c r="B18" s="25" t="n">
        <v>70985.21000000001</v>
      </c>
    </row>
    <row r="19">
      <c r="A19" t="inlineStr">
        <is>
          <t>Snacks &amp; Confectionery</t>
        </is>
      </c>
      <c r="B19" s="25" t="n">
        <v>313367.99</v>
      </c>
    </row>
    <row r="20">
      <c r="A20" t="inlineStr">
        <is>
          <t>Grand Total</t>
        </is>
      </c>
      <c r="B20" s="25" t="n">
        <v>3086348.85</v>
      </c>
    </row>
    <row r="24">
      <c r="A24" s="13" t="inlineStr">
        <is>
          <t>Sales by month and type</t>
        </is>
      </c>
    </row>
    <row r="25">
      <c r="A25" t="inlineStr">
        <is>
          <t>Sales</t>
        </is>
      </c>
      <c r="B25" t="inlineStr">
        <is>
          <t>Column Labels</t>
        </is>
      </c>
    </row>
    <row r="26">
      <c r="A26" t="inlineStr">
        <is>
          <t>Row Labels</t>
        </is>
      </c>
      <c r="B26" t="inlineStr">
        <is>
          <t>Actual</t>
        </is>
      </c>
      <c r="C26" t="inlineStr">
        <is>
          <t>Forecast</t>
        </is>
      </c>
      <c r="D26" t="inlineStr">
        <is>
          <t>Outlook</t>
        </is>
      </c>
      <c r="E26" t="inlineStr">
        <is>
          <t>Grand Total</t>
        </is>
      </c>
    </row>
    <row r="27">
      <c r="A27" t="inlineStr">
        <is>
          <t>2024-10-01</t>
        </is>
      </c>
      <c r="B27" s="25" t="n">
        <v>81509.8</v>
      </c>
      <c r="C27" s="25" t="n">
        <v>0</v>
      </c>
      <c r="D27" s="25" t="n">
        <v>0</v>
      </c>
      <c r="E27" s="25" t="n">
        <v>81509.8</v>
      </c>
    </row>
    <row r="28">
      <c r="A28" t="inlineStr">
        <is>
          <t>2024-11-01</t>
        </is>
      </c>
      <c r="B28" s="25" t="n">
        <v>84567.33</v>
      </c>
      <c r="C28" s="25" t="n">
        <v>0</v>
      </c>
      <c r="D28" s="25" t="n">
        <v>0</v>
      </c>
      <c r="E28" s="25" t="n">
        <v>84567.33</v>
      </c>
    </row>
    <row r="29">
      <c r="A29" t="inlineStr">
        <is>
          <t>2024-12-01</t>
        </is>
      </c>
      <c r="B29" s="25" t="n">
        <v>95003.11</v>
      </c>
      <c r="C29" s="25" t="n">
        <v>0</v>
      </c>
      <c r="D29" s="25" t="n">
        <v>0</v>
      </c>
      <c r="E29" s="25" t="n">
        <v>95003.11</v>
      </c>
    </row>
    <row r="30">
      <c r="A30" t="inlineStr">
        <is>
          <t>2025-01-01</t>
        </is>
      </c>
      <c r="B30" s="25" t="n">
        <v>80651.84</v>
      </c>
      <c r="C30" s="25" t="n">
        <v>0</v>
      </c>
      <c r="D30" s="25" t="n">
        <v>0</v>
      </c>
      <c r="E30" s="25" t="n">
        <v>80651.84</v>
      </c>
    </row>
    <row r="31">
      <c r="A31" t="inlineStr">
        <is>
          <t>2025-02-01</t>
        </is>
      </c>
      <c r="B31" s="25" t="n">
        <v>79908.92999999999</v>
      </c>
      <c r="C31" s="25" t="n">
        <v>0</v>
      </c>
      <c r="D31" s="25" t="n">
        <v>0</v>
      </c>
      <c r="E31" s="25" t="n">
        <v>79908.92999999999</v>
      </c>
    </row>
    <row r="32">
      <c r="A32" t="inlineStr">
        <is>
          <t>2025-03-01</t>
        </is>
      </c>
      <c r="B32" s="25" t="n">
        <v>87946.66</v>
      </c>
      <c r="C32" s="25" t="n">
        <v>0</v>
      </c>
      <c r="D32" s="25" t="n">
        <v>0</v>
      </c>
      <c r="E32" s="25" t="n">
        <v>87946.66</v>
      </c>
    </row>
    <row r="33">
      <c r="A33" t="inlineStr">
        <is>
          <t>2025-04-01</t>
        </is>
      </c>
      <c r="B33" s="25" t="n">
        <v>81376.5</v>
      </c>
      <c r="C33" s="25" t="n">
        <v>0</v>
      </c>
      <c r="D33" s="25" t="n">
        <v>0</v>
      </c>
      <c r="E33" s="25" t="n">
        <v>81376.5</v>
      </c>
    </row>
    <row r="34">
      <c r="A34" t="inlineStr">
        <is>
          <t>2025-05-01</t>
        </is>
      </c>
      <c r="B34" s="25" t="n">
        <v>82015.82000000001</v>
      </c>
      <c r="C34" s="25" t="n">
        <v>0</v>
      </c>
      <c r="D34" s="25" t="n">
        <v>0</v>
      </c>
      <c r="E34" s="25" t="n">
        <v>82015.82000000001</v>
      </c>
    </row>
    <row r="35">
      <c r="A35" t="inlineStr">
        <is>
          <t>2025-06-01</t>
        </is>
      </c>
      <c r="B35" s="25" t="n">
        <v>73480.27</v>
      </c>
      <c r="C35" s="25" t="n">
        <v>0</v>
      </c>
      <c r="D35" s="25" t="n">
        <v>0</v>
      </c>
      <c r="E35" s="25" t="n">
        <v>73480.27</v>
      </c>
    </row>
    <row r="36">
      <c r="A36" t="inlineStr">
        <is>
          <t>2025-07-01</t>
        </is>
      </c>
      <c r="B36" s="25" t="n">
        <v>79689.09</v>
      </c>
      <c r="C36" s="25" t="n">
        <v>0</v>
      </c>
      <c r="D36" s="25" t="n">
        <v>0</v>
      </c>
      <c r="E36" s="25" t="n">
        <v>79689.09</v>
      </c>
    </row>
    <row r="37">
      <c r="A37" t="inlineStr">
        <is>
          <t>2025-08-01</t>
        </is>
      </c>
      <c r="B37" s="25" t="n">
        <v>77816.98</v>
      </c>
      <c r="C37" s="25" t="n">
        <v>0</v>
      </c>
      <c r="D37" s="25" t="n">
        <v>0</v>
      </c>
      <c r="E37" s="25" t="n">
        <v>77816.98</v>
      </c>
    </row>
    <row r="38">
      <c r="A38" t="inlineStr">
        <is>
          <t>2025-09-01</t>
        </is>
      </c>
      <c r="B38" s="25" t="n">
        <v>79897.75</v>
      </c>
      <c r="C38" s="25" t="n">
        <v>0</v>
      </c>
      <c r="D38" s="25" t="n">
        <v>0</v>
      </c>
      <c r="E38" s="25" t="n">
        <v>79897.75</v>
      </c>
    </row>
    <row r="39">
      <c r="A39" t="inlineStr">
        <is>
          <t>2025-10-01</t>
        </is>
      </c>
      <c r="B39" s="25" t="n">
        <v>86322.2</v>
      </c>
      <c r="C39" s="25" t="n">
        <v>0</v>
      </c>
      <c r="D39" s="25" t="n">
        <v>0</v>
      </c>
      <c r="E39" s="25" t="n">
        <v>86322.2</v>
      </c>
    </row>
    <row r="40">
      <c r="A40" t="inlineStr">
        <is>
          <t>2025-11-01</t>
        </is>
      </c>
      <c r="B40" s="25" t="n">
        <v>85897.11</v>
      </c>
      <c r="C40" s="25" t="n">
        <v>0</v>
      </c>
      <c r="D40" s="25" t="n">
        <v>0</v>
      </c>
      <c r="E40" s="25" t="n">
        <v>85897.11</v>
      </c>
    </row>
    <row r="41">
      <c r="A41" t="inlineStr">
        <is>
          <t>2025-12-01</t>
        </is>
      </c>
      <c r="B41" s="25" t="n">
        <v>99112.87</v>
      </c>
      <c r="C41" s="25" t="n">
        <v>0</v>
      </c>
      <c r="D41" s="25" t="n">
        <v>0</v>
      </c>
      <c r="E41" s="25" t="n">
        <v>99112.87</v>
      </c>
    </row>
    <row r="42">
      <c r="A42" t="inlineStr">
        <is>
          <t>2026-01-01</t>
        </is>
      </c>
      <c r="B42" s="25" t="n">
        <v>83107.40000000001</v>
      </c>
      <c r="C42" s="25" t="n">
        <v>0</v>
      </c>
      <c r="D42" s="25" t="n">
        <v>0</v>
      </c>
      <c r="E42" s="25" t="n">
        <v>83107.40000000001</v>
      </c>
    </row>
    <row r="43">
      <c r="A43" t="inlineStr">
        <is>
          <t>2026-02-01</t>
        </is>
      </c>
      <c r="B43" s="25" t="n">
        <v>82922.42999999999</v>
      </c>
      <c r="C43" s="25" t="n">
        <v>0</v>
      </c>
      <c r="D43" s="25" t="n">
        <v>0</v>
      </c>
      <c r="E43" s="25" t="n">
        <v>82922.42999999999</v>
      </c>
    </row>
    <row r="44">
      <c r="A44" t="inlineStr">
        <is>
          <t>2026-03-01</t>
        </is>
      </c>
      <c r="B44" s="25" t="n">
        <v>93354.34</v>
      </c>
      <c r="C44" s="25" t="n">
        <v>0</v>
      </c>
      <c r="D44" s="25" t="n">
        <v>0</v>
      </c>
      <c r="E44" s="25" t="n">
        <v>93354.34</v>
      </c>
    </row>
    <row r="45">
      <c r="A45" t="inlineStr">
        <is>
          <t>2026-04-01</t>
        </is>
      </c>
      <c r="B45" s="25" t="n">
        <v>83881.62</v>
      </c>
      <c r="C45" s="25" t="n">
        <v>0</v>
      </c>
      <c r="D45" s="25" t="n">
        <v>0</v>
      </c>
      <c r="E45" s="25" t="n">
        <v>83881.62</v>
      </c>
    </row>
    <row r="46">
      <c r="A46" t="inlineStr">
        <is>
          <t>2026-05-01</t>
        </is>
      </c>
      <c r="B46" s="25" t="n">
        <v>85380.54000000001</v>
      </c>
      <c r="C46" s="25" t="n">
        <v>0</v>
      </c>
      <c r="D46" s="25" t="n">
        <v>0</v>
      </c>
      <c r="E46" s="25" t="n">
        <v>85380.54000000001</v>
      </c>
    </row>
    <row r="47">
      <c r="A47" t="inlineStr">
        <is>
          <t>2026-06-01</t>
        </is>
      </c>
      <c r="B47" s="25" t="n">
        <v>80284.63</v>
      </c>
      <c r="C47" s="25" t="n">
        <v>0</v>
      </c>
      <c r="D47" s="25" t="n">
        <v>0</v>
      </c>
      <c r="E47" s="25" t="n">
        <v>80284.63</v>
      </c>
    </row>
    <row r="48">
      <c r="A48" t="inlineStr">
        <is>
          <t>2026-07-01</t>
        </is>
      </c>
      <c r="B48" s="25" t="n">
        <v>82933.29000000001</v>
      </c>
      <c r="C48" s="25" t="n">
        <v>0</v>
      </c>
      <c r="D48" s="25" t="n">
        <v>0</v>
      </c>
      <c r="E48" s="25" t="n">
        <v>82933.29000000001</v>
      </c>
    </row>
    <row r="49">
      <c r="A49" t="inlineStr">
        <is>
          <t>2026-08-01</t>
        </is>
      </c>
      <c r="B49" s="25" t="n">
        <v>82488.39</v>
      </c>
      <c r="C49" s="25" t="n">
        <v>0</v>
      </c>
      <c r="D49" s="25" t="n">
        <v>0</v>
      </c>
      <c r="E49" s="25" t="n">
        <v>82488.39</v>
      </c>
    </row>
    <row r="50">
      <c r="A50" t="inlineStr">
        <is>
          <t>2026-09-01</t>
        </is>
      </c>
      <c r="B50" s="25" t="n">
        <v>0</v>
      </c>
      <c r="C50" s="25" t="n">
        <v>0</v>
      </c>
      <c r="D50" s="25" t="n">
        <v>83247.06</v>
      </c>
      <c r="E50" s="25" t="n">
        <v>83247.06</v>
      </c>
    </row>
    <row r="51">
      <c r="A51" t="inlineStr">
        <is>
          <t>2026-10-01</t>
        </is>
      </c>
      <c r="B51" s="25" t="n">
        <v>0</v>
      </c>
      <c r="C51" s="25" t="n">
        <v>90028.50999999999</v>
      </c>
      <c r="D51" s="25" t="n">
        <v>0</v>
      </c>
      <c r="E51" s="25" t="n">
        <v>90028.50999999999</v>
      </c>
    </row>
    <row r="52">
      <c r="A52" t="inlineStr">
        <is>
          <t>2026-11-01</t>
        </is>
      </c>
      <c r="B52" s="25" t="n">
        <v>0</v>
      </c>
      <c r="C52" s="25" t="n">
        <v>89567.89999999999</v>
      </c>
      <c r="D52" s="25" t="n">
        <v>0</v>
      </c>
      <c r="E52" s="25" t="n">
        <v>89567.89999999999</v>
      </c>
    </row>
    <row r="53">
      <c r="A53" t="inlineStr">
        <is>
          <t>2026-12-01</t>
        </is>
      </c>
      <c r="B53" s="25" t="n">
        <v>0</v>
      </c>
      <c r="C53" s="25" t="n">
        <v>103306</v>
      </c>
      <c r="D53" s="25" t="n">
        <v>0</v>
      </c>
      <c r="E53" s="25" t="n">
        <v>103306</v>
      </c>
    </row>
    <row r="54">
      <c r="A54" t="inlineStr">
        <is>
          <t>2027-01-01</t>
        </is>
      </c>
      <c r="B54" s="25" t="n">
        <v>0</v>
      </c>
      <c r="C54" s="25" t="n">
        <v>86607.84</v>
      </c>
      <c r="D54" s="25" t="n">
        <v>0</v>
      </c>
      <c r="E54" s="25" t="n">
        <v>86607.84</v>
      </c>
    </row>
    <row r="55">
      <c r="A55" t="inlineStr">
        <is>
          <t>2027-02-01</t>
        </is>
      </c>
      <c r="B55" s="25" t="n">
        <v>0</v>
      </c>
      <c r="C55" s="25" t="n">
        <v>86413.24000000001</v>
      </c>
      <c r="D55" s="25" t="n">
        <v>0</v>
      </c>
      <c r="E55" s="25" t="n">
        <v>86413.24000000001</v>
      </c>
    </row>
    <row r="56">
      <c r="A56" t="inlineStr">
        <is>
          <t>2027-03-01</t>
        </is>
      </c>
      <c r="B56" s="25" t="n">
        <v>0</v>
      </c>
      <c r="C56" s="25" t="n">
        <v>97304.82000000001</v>
      </c>
      <c r="D56" s="25" t="n">
        <v>0</v>
      </c>
      <c r="E56" s="25" t="n">
        <v>97304.82000000001</v>
      </c>
    </row>
    <row r="57">
      <c r="A57" t="inlineStr">
        <is>
          <t>2027-04-01</t>
        </is>
      </c>
      <c r="B57" s="25" t="n">
        <v>0</v>
      </c>
      <c r="C57" s="25" t="n">
        <v>87522.00999999999</v>
      </c>
      <c r="D57" s="25" t="n">
        <v>0</v>
      </c>
      <c r="E57" s="25" t="n">
        <v>87522.00999999999</v>
      </c>
    </row>
    <row r="58">
      <c r="A58" t="inlineStr">
        <is>
          <t>2027-05-01</t>
        </is>
      </c>
      <c r="B58" s="25" t="n">
        <v>0</v>
      </c>
      <c r="C58" s="25" t="n">
        <v>89142.92999999999</v>
      </c>
      <c r="D58" s="25" t="n">
        <v>0</v>
      </c>
      <c r="E58" s="25" t="n">
        <v>89142.92999999999</v>
      </c>
    </row>
    <row r="59">
      <c r="A59" t="inlineStr">
        <is>
          <t>2027-06-01</t>
        </is>
      </c>
      <c r="B59" s="25" t="n">
        <v>0</v>
      </c>
      <c r="C59" s="25" t="n">
        <v>83886.45</v>
      </c>
      <c r="D59" s="25" t="n">
        <v>0</v>
      </c>
      <c r="E59" s="25" t="n">
        <v>83886.45</v>
      </c>
    </row>
    <row r="60">
      <c r="A60" t="inlineStr">
        <is>
          <t>2027-07-01</t>
        </is>
      </c>
      <c r="B60" s="25" t="n">
        <v>0</v>
      </c>
      <c r="C60" s="25" t="n">
        <v>86623.59</v>
      </c>
      <c r="D60" s="25" t="n">
        <v>0</v>
      </c>
      <c r="E60" s="25" t="n">
        <v>86623.59</v>
      </c>
    </row>
    <row r="61">
      <c r="A61" t="inlineStr">
        <is>
          <t>2027-08-01</t>
        </is>
      </c>
      <c r="B61" s="25" t="n">
        <v>0</v>
      </c>
      <c r="C61" s="25" t="n">
        <v>86195.54000000001</v>
      </c>
      <c r="D61" s="25" t="n">
        <v>0</v>
      </c>
      <c r="E61" s="25" t="n">
        <v>86195.54000000001</v>
      </c>
    </row>
    <row r="62">
      <c r="A62" t="inlineStr">
        <is>
          <t>2027-09-01</t>
        </is>
      </c>
      <c r="B62" s="25" t="n">
        <v>0</v>
      </c>
      <c r="C62" s="25" t="n">
        <v>86954.06</v>
      </c>
      <c r="D62" s="25" t="n">
        <v>0</v>
      </c>
      <c r="E62" s="25" t="n">
        <v>86954.06</v>
      </c>
    </row>
    <row r="63">
      <c r="A63" t="inlineStr">
        <is>
          <t>Grand Total</t>
        </is>
      </c>
      <c r="B63" s="25" t="n">
        <v>1929548.9</v>
      </c>
      <c r="C63" s="25" t="n">
        <v>1073552.89</v>
      </c>
      <c r="D63" s="25" t="n">
        <v>83247.06</v>
      </c>
      <c r="E63" s="25" t="n">
        <v>3086348.85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H3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</cols>
  <sheetData>
    <row r="1">
      <c r="A1" s="26" t="inlineStr">
        <is>
          <t>Month</t>
        </is>
      </c>
      <c r="B1" s="26" t="inlineStr">
        <is>
          <t>Category</t>
        </is>
      </c>
      <c r="C1" s="26" t="inlineStr">
        <is>
          <t>Type</t>
        </is>
      </c>
      <c r="D1" s="26" t="inlineStr">
        <is>
          <t>Sales</t>
        </is>
      </c>
      <c r="E1" s="26" t="inlineStr">
        <is>
          <t>Gross margin</t>
        </is>
      </c>
      <c r="F1" s="26" t="inlineStr">
        <is>
          <t>Units</t>
        </is>
      </c>
      <c r="G1" s="26" t="inlineStr">
        <is>
          <t>Low</t>
        </is>
      </c>
      <c r="H1" s="26" t="inlineStr">
        <is>
          <t>High</t>
        </is>
      </c>
    </row>
    <row r="2">
      <c r="A2" s="27" t="n">
        <v>45566</v>
      </c>
      <c r="B2" s="28" t="inlineStr">
        <is>
          <t>Bakery</t>
        </is>
      </c>
      <c r="C2" s="28" t="inlineStr">
        <is>
          <t>Actual</t>
        </is>
      </c>
      <c r="D2" s="29" t="n">
        <v>4481.93</v>
      </c>
      <c r="E2" s="29" t="n">
        <v>1677.73</v>
      </c>
      <c r="F2" s="30" t="n">
        <v>1105</v>
      </c>
      <c r="G2" s="29" t="n"/>
      <c r="H2" s="29" t="n"/>
    </row>
    <row r="3">
      <c r="A3" s="27" t="n">
        <v>45566</v>
      </c>
      <c r="B3" s="28" t="inlineStr">
        <is>
          <t>Beer &amp; Wine</t>
        </is>
      </c>
      <c r="C3" s="28" t="inlineStr">
        <is>
          <t>Actual</t>
        </is>
      </c>
      <c r="D3" s="29" t="n">
        <v>10235.73</v>
      </c>
      <c r="E3" s="29" t="n">
        <v>3514.13</v>
      </c>
      <c r="F3" s="30" t="n">
        <v>527</v>
      </c>
      <c r="G3" s="29" t="n"/>
      <c r="H3" s="29" t="n"/>
    </row>
    <row r="4">
      <c r="A4" s="27" t="n">
        <v>45566</v>
      </c>
      <c r="B4" s="28" t="inlineStr">
        <is>
          <t>Beverages</t>
        </is>
      </c>
      <c r="C4" s="28" t="inlineStr">
        <is>
          <t>Actual</t>
        </is>
      </c>
      <c r="D4" s="29" t="n">
        <v>12094.31</v>
      </c>
      <c r="E4" s="29" t="n">
        <v>6055.71</v>
      </c>
      <c r="F4" s="30" t="n">
        <v>3003</v>
      </c>
      <c r="G4" s="29" t="n"/>
      <c r="H4" s="29" t="n"/>
    </row>
    <row r="5">
      <c r="A5" s="27" t="n">
        <v>45566</v>
      </c>
      <c r="B5" s="28" t="inlineStr">
        <is>
          <t>Dairy</t>
        </is>
      </c>
      <c r="C5" s="28" t="inlineStr">
        <is>
          <t>Actual</t>
        </is>
      </c>
      <c r="D5" s="29" t="n">
        <v>13185.24</v>
      </c>
      <c r="E5" s="29" t="n">
        <v>3669.29</v>
      </c>
      <c r="F5" s="30" t="n">
        <v>2292</v>
      </c>
      <c r="G5" s="29" t="n"/>
      <c r="H5" s="29" t="n"/>
    </row>
    <row r="6">
      <c r="A6" s="27" t="n">
        <v>45566</v>
      </c>
      <c r="B6" s="28" t="inlineStr">
        <is>
          <t>Food To Go</t>
        </is>
      </c>
      <c r="C6" s="28" t="inlineStr">
        <is>
          <t>Actual</t>
        </is>
      </c>
      <c r="D6" s="29" t="n">
        <v>14367.98</v>
      </c>
      <c r="E6" s="29" t="n">
        <v>6807.88</v>
      </c>
      <c r="F6" s="30" t="n">
        <v>1892</v>
      </c>
      <c r="G6" s="29" t="n"/>
      <c r="H6" s="29" t="n"/>
    </row>
    <row r="7">
      <c r="A7" s="27" t="n">
        <v>45566</v>
      </c>
      <c r="B7" s="28" t="inlineStr">
        <is>
          <t>Frozen</t>
        </is>
      </c>
      <c r="C7" s="28" t="inlineStr">
        <is>
          <t>Actual</t>
        </is>
      </c>
      <c r="D7" s="29" t="n">
        <v>5666.6</v>
      </c>
      <c r="E7" s="29" t="n">
        <v>2453.3</v>
      </c>
      <c r="F7" s="30" t="n">
        <v>840</v>
      </c>
      <c r="G7" s="29" t="n"/>
      <c r="H7" s="29" t="n"/>
    </row>
    <row r="8">
      <c r="A8" s="27" t="n">
        <v>45566</v>
      </c>
      <c r="B8" s="28" t="inlineStr">
        <is>
          <t>Grocery</t>
        </is>
      </c>
      <c r="C8" s="28" t="inlineStr">
        <is>
          <t>Actual</t>
        </is>
      </c>
      <c r="D8" s="29" t="n">
        <v>7676.64</v>
      </c>
      <c r="E8" s="29" t="n">
        <v>2694.04</v>
      </c>
      <c r="F8" s="30" t="n">
        <v>1326</v>
      </c>
      <c r="G8" s="29" t="n"/>
      <c r="H8" s="29" t="n"/>
    </row>
    <row r="9">
      <c r="A9" s="27" t="n">
        <v>45566</v>
      </c>
      <c r="B9" s="28" t="inlineStr">
        <is>
          <t>Health &amp; Beauty</t>
        </is>
      </c>
      <c r="C9" s="28" t="inlineStr">
        <is>
          <t>Actual</t>
        </is>
      </c>
      <c r="D9" s="29" t="n">
        <v>1110.54</v>
      </c>
      <c r="E9" s="29" t="n">
        <v>560.14</v>
      </c>
      <c r="F9" s="30" t="n">
        <v>146</v>
      </c>
      <c r="G9" s="29" t="n"/>
      <c r="H9" s="29" t="n"/>
    </row>
    <row r="10">
      <c r="A10" s="27" t="n">
        <v>45566</v>
      </c>
      <c r="B10" s="28" t="inlineStr">
        <is>
          <t>Household</t>
        </is>
      </c>
      <c r="C10" s="28" t="inlineStr">
        <is>
          <t>Actual</t>
        </is>
      </c>
      <c r="D10" s="29" t="n">
        <v>2383.06</v>
      </c>
      <c r="E10" s="29" t="n">
        <v>980.66</v>
      </c>
      <c r="F10" s="30" t="n">
        <v>294</v>
      </c>
      <c r="G10" s="29" t="n"/>
      <c r="H10" s="29" t="n"/>
    </row>
    <row r="11">
      <c r="A11" s="27" t="n">
        <v>45566</v>
      </c>
      <c r="B11" s="28" t="inlineStr">
        <is>
          <t>Produce</t>
        </is>
      </c>
      <c r="C11" s="28" t="inlineStr">
        <is>
          <t>Actual</t>
        </is>
      </c>
      <c r="D11" s="29" t="n">
        <v>1960.28</v>
      </c>
      <c r="E11" s="29" t="n">
        <v>841.36</v>
      </c>
      <c r="F11" s="30" t="n">
        <v>1352</v>
      </c>
      <c r="G11" s="29" t="n"/>
      <c r="H11" s="29" t="n"/>
    </row>
    <row r="12">
      <c r="A12" s="27" t="n">
        <v>45566</v>
      </c>
      <c r="B12" s="28" t="inlineStr">
        <is>
          <t>Snacks &amp; Confectionery</t>
        </is>
      </c>
      <c r="C12" s="28" t="inlineStr">
        <is>
          <t>Actual</t>
        </is>
      </c>
      <c r="D12" s="29" t="n">
        <v>8347.49</v>
      </c>
      <c r="E12" s="29" t="n">
        <v>3676.59</v>
      </c>
      <c r="F12" s="30" t="n">
        <v>1931</v>
      </c>
      <c r="G12" s="29" t="n"/>
      <c r="H12" s="29" t="n"/>
    </row>
    <row r="13">
      <c r="A13" s="27" t="n">
        <v>45597</v>
      </c>
      <c r="B13" s="28" t="inlineStr">
        <is>
          <t>Bakery</t>
        </is>
      </c>
      <c r="C13" s="28" t="inlineStr">
        <is>
          <t>Actual</t>
        </is>
      </c>
      <c r="D13" s="29" t="n">
        <v>4751.08</v>
      </c>
      <c r="E13" s="29" t="n">
        <v>1852.28</v>
      </c>
      <c r="F13" s="30" t="n">
        <v>1142</v>
      </c>
      <c r="G13" s="29" t="n"/>
      <c r="H13" s="29" t="n"/>
    </row>
    <row r="14">
      <c r="A14" s="27" t="n">
        <v>45597</v>
      </c>
      <c r="B14" s="28" t="inlineStr">
        <is>
          <t>Beer &amp; Wine</t>
        </is>
      </c>
      <c r="C14" s="28" t="inlineStr">
        <is>
          <t>Actual</t>
        </is>
      </c>
      <c r="D14" s="29" t="n">
        <v>10463.63</v>
      </c>
      <c r="E14" s="29" t="n">
        <v>3589.93</v>
      </c>
      <c r="F14" s="30" t="n">
        <v>537</v>
      </c>
      <c r="G14" s="29" t="n"/>
      <c r="H14" s="29" t="n"/>
    </row>
    <row r="15">
      <c r="A15" s="27" t="n">
        <v>45597</v>
      </c>
      <c r="B15" s="28" t="inlineStr">
        <is>
          <t>Beverages</t>
        </is>
      </c>
      <c r="C15" s="28" t="inlineStr">
        <is>
          <t>Actual</t>
        </is>
      </c>
      <c r="D15" s="29" t="n">
        <v>13850.92</v>
      </c>
      <c r="E15" s="29" t="n">
        <v>7047.07</v>
      </c>
      <c r="F15" s="30" t="n">
        <v>3400</v>
      </c>
      <c r="G15" s="29" t="n"/>
      <c r="H15" s="29" t="n"/>
    </row>
    <row r="16">
      <c r="A16" s="27" t="n">
        <v>45597</v>
      </c>
      <c r="B16" s="28" t="inlineStr">
        <is>
          <t>Dairy</t>
        </is>
      </c>
      <c r="C16" s="28" t="inlineStr">
        <is>
          <t>Actual</t>
        </is>
      </c>
      <c r="D16" s="29" t="n">
        <v>13636.2</v>
      </c>
      <c r="E16" s="29" t="n">
        <v>3808.35</v>
      </c>
      <c r="F16" s="30" t="n">
        <v>2290</v>
      </c>
      <c r="G16" s="29" t="n"/>
      <c r="H16" s="29" t="n"/>
    </row>
    <row r="17">
      <c r="A17" s="27" t="n">
        <v>45597</v>
      </c>
      <c r="B17" s="28" t="inlineStr">
        <is>
          <t>Food To Go</t>
        </is>
      </c>
      <c r="C17" s="28" t="inlineStr">
        <is>
          <t>Actual</t>
        </is>
      </c>
      <c r="D17" s="29" t="n">
        <v>15179.64</v>
      </c>
      <c r="E17" s="29" t="n">
        <v>7131.84</v>
      </c>
      <c r="F17" s="30" t="n">
        <v>1936</v>
      </c>
      <c r="G17" s="29" t="n"/>
      <c r="H17" s="29" t="n"/>
    </row>
    <row r="18">
      <c r="A18" s="27" t="n">
        <v>45597</v>
      </c>
      <c r="B18" s="28" t="inlineStr">
        <is>
          <t>Frozen</t>
        </is>
      </c>
      <c r="C18" s="28" t="inlineStr">
        <is>
          <t>Actual</t>
        </is>
      </c>
      <c r="D18" s="29" t="n">
        <v>5316.74</v>
      </c>
      <c r="E18" s="29" t="n">
        <v>2326.94</v>
      </c>
      <c r="F18" s="30" t="n">
        <v>806</v>
      </c>
      <c r="G18" s="29" t="n"/>
      <c r="H18" s="29" t="n"/>
    </row>
    <row r="19">
      <c r="A19" s="27" t="n">
        <v>45597</v>
      </c>
      <c r="B19" s="28" t="inlineStr">
        <is>
          <t>Grocery</t>
        </is>
      </c>
      <c r="C19" s="28" t="inlineStr">
        <is>
          <t>Actual</t>
        </is>
      </c>
      <c r="D19" s="29" t="n">
        <v>7966.69</v>
      </c>
      <c r="E19" s="29" t="n">
        <v>2576.49</v>
      </c>
      <c r="F19" s="30" t="n">
        <v>1295</v>
      </c>
      <c r="G19" s="29" t="n"/>
      <c r="H19" s="29" t="n"/>
    </row>
    <row r="20">
      <c r="A20" s="27" t="n">
        <v>45597</v>
      </c>
      <c r="B20" s="28" t="inlineStr">
        <is>
          <t>Health &amp; Beauty</t>
        </is>
      </c>
      <c r="C20" s="28" t="inlineStr">
        <is>
          <t>Actual</t>
        </is>
      </c>
      <c r="D20" s="29" t="n">
        <v>1443.34</v>
      </c>
      <c r="E20" s="29" t="n">
        <v>709.14</v>
      </c>
      <c r="F20" s="30" t="n">
        <v>166</v>
      </c>
      <c r="G20" s="29" t="n"/>
      <c r="H20" s="29" t="n"/>
    </row>
    <row r="21">
      <c r="A21" s="27" t="n">
        <v>45597</v>
      </c>
      <c r="B21" s="28" t="inlineStr">
        <is>
          <t>Household</t>
        </is>
      </c>
      <c r="C21" s="28" t="inlineStr">
        <is>
          <t>Actual</t>
        </is>
      </c>
      <c r="D21" s="29" t="n">
        <v>2115.44</v>
      </c>
      <c r="E21" s="29" t="n">
        <v>857.24</v>
      </c>
      <c r="F21" s="30" t="n">
        <v>256</v>
      </c>
      <c r="G21" s="29" t="n"/>
      <c r="H21" s="29" t="n"/>
    </row>
    <row r="22">
      <c r="A22" s="27" t="n">
        <v>45597</v>
      </c>
      <c r="B22" s="28" t="inlineStr">
        <is>
          <t>Produce</t>
        </is>
      </c>
      <c r="C22" s="28" t="inlineStr">
        <is>
          <t>Actual</t>
        </is>
      </c>
      <c r="D22" s="29" t="n">
        <v>1972.65</v>
      </c>
      <c r="E22" s="29" t="n">
        <v>858.55</v>
      </c>
      <c r="F22" s="30" t="n">
        <v>1285</v>
      </c>
      <c r="G22" s="29" t="n"/>
      <c r="H22" s="29" t="n"/>
    </row>
    <row r="23">
      <c r="A23" s="27" t="n">
        <v>45597</v>
      </c>
      <c r="B23" s="28" t="inlineStr">
        <is>
          <t>Snacks &amp; Confectionery</t>
        </is>
      </c>
      <c r="C23" s="28" t="inlineStr">
        <is>
          <t>Actual</t>
        </is>
      </c>
      <c r="D23" s="29" t="n">
        <v>7871</v>
      </c>
      <c r="E23" s="29" t="n">
        <v>3445.3</v>
      </c>
      <c r="F23" s="30" t="n">
        <v>1820</v>
      </c>
      <c r="G23" s="29" t="n"/>
      <c r="H23" s="29" t="n"/>
    </row>
    <row r="24">
      <c r="A24" s="27" t="n">
        <v>45627</v>
      </c>
      <c r="B24" s="28" t="inlineStr">
        <is>
          <t>Bakery</t>
        </is>
      </c>
      <c r="C24" s="28" t="inlineStr">
        <is>
          <t>Actual</t>
        </is>
      </c>
      <c r="D24" s="29" t="n">
        <v>4842.77</v>
      </c>
      <c r="E24" s="29" t="n">
        <v>1844.97</v>
      </c>
      <c r="F24" s="30" t="n">
        <v>1185</v>
      </c>
      <c r="G24" s="29" t="n"/>
      <c r="H24" s="29" t="n"/>
    </row>
    <row r="25">
      <c r="A25" s="27" t="n">
        <v>45627</v>
      </c>
      <c r="B25" s="28" t="inlineStr">
        <is>
          <t>Beer &amp; Wine</t>
        </is>
      </c>
      <c r="C25" s="28" t="inlineStr">
        <is>
          <t>Actual</t>
        </is>
      </c>
      <c r="D25" s="29" t="n">
        <v>12970.77</v>
      </c>
      <c r="E25" s="29" t="n">
        <v>4291.97</v>
      </c>
      <c r="F25" s="30" t="n">
        <v>683</v>
      </c>
      <c r="G25" s="29" t="n"/>
      <c r="H25" s="29" t="n"/>
    </row>
    <row r="26">
      <c r="A26" s="27" t="n">
        <v>45627</v>
      </c>
      <c r="B26" s="28" t="inlineStr">
        <is>
          <t>Beverages</t>
        </is>
      </c>
      <c r="C26" s="28" t="inlineStr">
        <is>
          <t>Actual</t>
        </is>
      </c>
      <c r="D26" s="29" t="n">
        <v>16026.29</v>
      </c>
      <c r="E26" s="29" t="n">
        <v>8068.84</v>
      </c>
      <c r="F26" s="30" t="n">
        <v>3943</v>
      </c>
      <c r="G26" s="29" t="n"/>
      <c r="H26" s="29" t="n"/>
    </row>
    <row r="27">
      <c r="A27" s="27" t="n">
        <v>45627</v>
      </c>
      <c r="B27" s="28" t="inlineStr">
        <is>
          <t>Dairy</t>
        </is>
      </c>
      <c r="C27" s="28" t="inlineStr">
        <is>
          <t>Actual</t>
        </is>
      </c>
      <c r="D27" s="29" t="n">
        <v>15110.98</v>
      </c>
      <c r="E27" s="29" t="n">
        <v>4244.23</v>
      </c>
      <c r="F27" s="30" t="n">
        <v>2572</v>
      </c>
      <c r="G27" s="29" t="n"/>
      <c r="H27" s="29" t="n"/>
    </row>
    <row r="28">
      <c r="A28" s="27" t="n">
        <v>45627</v>
      </c>
      <c r="B28" s="28" t="inlineStr">
        <is>
          <t>Food To Go</t>
        </is>
      </c>
      <c r="C28" s="28" t="inlineStr">
        <is>
          <t>Actual</t>
        </is>
      </c>
      <c r="D28" s="29" t="n">
        <v>16534.26</v>
      </c>
      <c r="E28" s="29" t="n">
        <v>7807.66</v>
      </c>
      <c r="F28" s="30" t="n">
        <v>2074</v>
      </c>
      <c r="G28" s="29" t="n"/>
      <c r="H28" s="29" t="n"/>
    </row>
    <row r="29">
      <c r="A29" s="27" t="n">
        <v>45627</v>
      </c>
      <c r="B29" s="28" t="inlineStr">
        <is>
          <t>Frozen</t>
        </is>
      </c>
      <c r="C29" s="28" t="inlineStr">
        <is>
          <t>Actual</t>
        </is>
      </c>
      <c r="D29" s="29" t="n">
        <v>5830.14</v>
      </c>
      <c r="E29" s="29" t="n">
        <v>2579.14</v>
      </c>
      <c r="F29" s="30" t="n">
        <v>906</v>
      </c>
      <c r="G29" s="29" t="n"/>
      <c r="H29" s="29" t="n"/>
    </row>
    <row r="30">
      <c r="A30" s="27" t="n">
        <v>45627</v>
      </c>
      <c r="B30" s="28" t="inlineStr">
        <is>
          <t>Grocery</t>
        </is>
      </c>
      <c r="C30" s="28" t="inlineStr">
        <is>
          <t>Actual</t>
        </is>
      </c>
      <c r="D30" s="29" t="n">
        <v>8327.25</v>
      </c>
      <c r="E30" s="29" t="n">
        <v>2713.25</v>
      </c>
      <c r="F30" s="30" t="n">
        <v>1337</v>
      </c>
      <c r="G30" s="29" t="n"/>
      <c r="H30" s="29" t="n"/>
    </row>
    <row r="31">
      <c r="A31" s="27" t="n">
        <v>45627</v>
      </c>
      <c r="B31" s="28" t="inlineStr">
        <is>
          <t>Health &amp; Beauty</t>
        </is>
      </c>
      <c r="C31" s="28" t="inlineStr">
        <is>
          <t>Actual</t>
        </is>
      </c>
      <c r="D31" s="29" t="n">
        <v>1659.13</v>
      </c>
      <c r="E31" s="29" t="n">
        <v>812.13</v>
      </c>
      <c r="F31" s="30" t="n">
        <v>187</v>
      </c>
      <c r="G31" s="29" t="n"/>
      <c r="H31" s="29" t="n"/>
    </row>
    <row r="32">
      <c r="A32" s="27" t="n">
        <v>45627</v>
      </c>
      <c r="B32" s="28" t="inlineStr">
        <is>
          <t>Household</t>
        </is>
      </c>
      <c r="C32" s="28" t="inlineStr">
        <is>
          <t>Actual</t>
        </is>
      </c>
      <c r="D32" s="29" t="n">
        <v>2435</v>
      </c>
      <c r="E32" s="29" t="n">
        <v>984.8</v>
      </c>
      <c r="F32" s="30" t="n">
        <v>300</v>
      </c>
      <c r="G32" s="29" t="n"/>
      <c r="H32" s="29" t="n"/>
    </row>
    <row r="33">
      <c r="A33" s="27" t="n">
        <v>45627</v>
      </c>
      <c r="B33" s="28" t="inlineStr">
        <is>
          <t>Produce</t>
        </is>
      </c>
      <c r="C33" s="28" t="inlineStr">
        <is>
          <t>Actual</t>
        </is>
      </c>
      <c r="D33" s="29" t="n">
        <v>2428.12</v>
      </c>
      <c r="E33" s="29" t="n">
        <v>1042.48</v>
      </c>
      <c r="F33" s="30" t="n">
        <v>1548</v>
      </c>
      <c r="G33" s="29" t="n"/>
      <c r="H33" s="29" t="n"/>
    </row>
    <row r="34">
      <c r="A34" s="27" t="n">
        <v>45627</v>
      </c>
      <c r="B34" s="28" t="inlineStr">
        <is>
          <t>Snacks &amp; Confectionery</t>
        </is>
      </c>
      <c r="C34" s="28" t="inlineStr">
        <is>
          <t>Actual</t>
        </is>
      </c>
      <c r="D34" s="29" t="n">
        <v>8838.4</v>
      </c>
      <c r="E34" s="29" t="n">
        <v>3961.9</v>
      </c>
      <c r="F34" s="30" t="n">
        <v>2010</v>
      </c>
      <c r="G34" s="29" t="n"/>
      <c r="H34" s="29" t="n"/>
    </row>
    <row r="35">
      <c r="A35" s="27" t="n">
        <v>45658</v>
      </c>
      <c r="B35" s="28" t="inlineStr">
        <is>
          <t>Bakery</t>
        </is>
      </c>
      <c r="C35" s="28" t="inlineStr">
        <is>
          <t>Actual</t>
        </is>
      </c>
      <c r="D35" s="29" t="n">
        <v>4173.27</v>
      </c>
      <c r="E35" s="29" t="n">
        <v>1627.57</v>
      </c>
      <c r="F35" s="30" t="n">
        <v>1003</v>
      </c>
      <c r="G35" s="29" t="n"/>
      <c r="H35" s="29" t="n"/>
    </row>
    <row r="36">
      <c r="A36" s="27" t="n">
        <v>45658</v>
      </c>
      <c r="B36" s="28" t="inlineStr">
        <is>
          <t>Beer &amp; Wine</t>
        </is>
      </c>
      <c r="C36" s="28" t="inlineStr">
        <is>
          <t>Actual</t>
        </is>
      </c>
      <c r="D36" s="29" t="n">
        <v>10241.03</v>
      </c>
      <c r="E36" s="29" t="n">
        <v>3464.83</v>
      </c>
      <c r="F36" s="30" t="n">
        <v>537</v>
      </c>
      <c r="G36" s="29" t="n"/>
      <c r="H36" s="29" t="n"/>
    </row>
    <row r="37">
      <c r="A37" s="27" t="n">
        <v>45658</v>
      </c>
      <c r="B37" s="28" t="inlineStr">
        <is>
          <t>Beverages</t>
        </is>
      </c>
      <c r="C37" s="28" t="inlineStr">
        <is>
          <t>Actual</t>
        </is>
      </c>
      <c r="D37" s="29" t="n">
        <v>14053.91</v>
      </c>
      <c r="E37" s="29" t="n">
        <v>7098.56</v>
      </c>
      <c r="F37" s="30" t="n">
        <v>3481</v>
      </c>
      <c r="G37" s="29" t="n"/>
      <c r="H37" s="29" t="n"/>
    </row>
    <row r="38">
      <c r="A38" s="27" t="n">
        <v>45658</v>
      </c>
      <c r="B38" s="28" t="inlineStr">
        <is>
          <t>Dairy</t>
        </is>
      </c>
      <c r="C38" s="28" t="inlineStr">
        <is>
          <t>Actual</t>
        </is>
      </c>
      <c r="D38" s="29" t="n">
        <v>12577.26</v>
      </c>
      <c r="E38" s="29" t="n">
        <v>3583.16</v>
      </c>
      <c r="F38" s="30" t="n">
        <v>2174</v>
      </c>
      <c r="G38" s="29" t="n"/>
      <c r="H38" s="29" t="n"/>
    </row>
    <row r="39">
      <c r="A39" s="27" t="n">
        <v>45658</v>
      </c>
      <c r="B39" s="28" t="inlineStr">
        <is>
          <t>Food To Go</t>
        </is>
      </c>
      <c r="C39" s="28" t="inlineStr">
        <is>
          <t>Actual</t>
        </is>
      </c>
      <c r="D39" s="29" t="n">
        <v>14503.63</v>
      </c>
      <c r="E39" s="29" t="n">
        <v>6838.83</v>
      </c>
      <c r="F39" s="30" t="n">
        <v>1787</v>
      </c>
      <c r="G39" s="29" t="n"/>
      <c r="H39" s="29" t="n"/>
    </row>
    <row r="40">
      <c r="A40" s="27" t="n">
        <v>45658</v>
      </c>
      <c r="B40" s="28" t="inlineStr">
        <is>
          <t>Frozen</t>
        </is>
      </c>
      <c r="C40" s="28" t="inlineStr">
        <is>
          <t>Actual</t>
        </is>
      </c>
      <c r="D40" s="29" t="n">
        <v>5193.61</v>
      </c>
      <c r="E40" s="29" t="n">
        <v>2287.11</v>
      </c>
      <c r="F40" s="30" t="n">
        <v>799</v>
      </c>
      <c r="G40" s="29" t="n"/>
      <c r="H40" s="29" t="n"/>
    </row>
    <row r="41">
      <c r="A41" s="27" t="n">
        <v>45658</v>
      </c>
      <c r="B41" s="28" t="inlineStr">
        <is>
          <t>Grocery</t>
        </is>
      </c>
      <c r="C41" s="28" t="inlineStr">
        <is>
          <t>Actual</t>
        </is>
      </c>
      <c r="D41" s="29" t="n">
        <v>7159.06</v>
      </c>
      <c r="E41" s="29" t="n">
        <v>2438.26</v>
      </c>
      <c r="F41" s="30" t="n">
        <v>1134</v>
      </c>
      <c r="G41" s="29" t="n"/>
      <c r="H41" s="29" t="n"/>
    </row>
    <row r="42">
      <c r="A42" s="27" t="n">
        <v>45658</v>
      </c>
      <c r="B42" s="28" t="inlineStr">
        <is>
          <t>Health &amp; Beauty</t>
        </is>
      </c>
      <c r="C42" s="28" t="inlineStr">
        <is>
          <t>Actual</t>
        </is>
      </c>
      <c r="D42" s="29" t="n">
        <v>1440.87</v>
      </c>
      <c r="E42" s="29" t="n">
        <v>694.47</v>
      </c>
      <c r="F42" s="30" t="n">
        <v>153</v>
      </c>
      <c r="G42" s="29" t="n"/>
      <c r="H42" s="29" t="n"/>
    </row>
    <row r="43">
      <c r="A43" s="27" t="n">
        <v>45658</v>
      </c>
      <c r="B43" s="28" t="inlineStr">
        <is>
          <t>Household</t>
        </is>
      </c>
      <c r="C43" s="28" t="inlineStr">
        <is>
          <t>Actual</t>
        </is>
      </c>
      <c r="D43" s="29" t="n">
        <v>1971.17</v>
      </c>
      <c r="E43" s="29" t="n">
        <v>764.47</v>
      </c>
      <c r="F43" s="30" t="n">
        <v>243</v>
      </c>
      <c r="G43" s="29" t="n"/>
      <c r="H43" s="29" t="n"/>
    </row>
    <row r="44">
      <c r="A44" s="27" t="n">
        <v>45658</v>
      </c>
      <c r="B44" s="28" t="inlineStr">
        <is>
          <t>Produce</t>
        </is>
      </c>
      <c r="C44" s="28" t="inlineStr">
        <is>
          <t>Actual</t>
        </is>
      </c>
      <c r="D44" s="29" t="n">
        <v>1959.34</v>
      </c>
      <c r="E44" s="29" t="n">
        <v>849.58</v>
      </c>
      <c r="F44" s="30" t="n">
        <v>1266</v>
      </c>
      <c r="G44" s="29" t="n"/>
      <c r="H44" s="29" t="n"/>
    </row>
    <row r="45">
      <c r="A45" s="27" t="n">
        <v>45658</v>
      </c>
      <c r="B45" s="28" t="inlineStr">
        <is>
          <t>Snacks &amp; Confectionery</t>
        </is>
      </c>
      <c r="C45" s="28" t="inlineStr">
        <is>
          <t>Actual</t>
        </is>
      </c>
      <c r="D45" s="29" t="n">
        <v>7378.69</v>
      </c>
      <c r="E45" s="29" t="n">
        <v>3249.09</v>
      </c>
      <c r="F45" s="30" t="n">
        <v>1691</v>
      </c>
      <c r="G45" s="29" t="n"/>
      <c r="H45" s="29" t="n"/>
    </row>
    <row r="46">
      <c r="A46" s="27" t="n">
        <v>45689</v>
      </c>
      <c r="B46" s="28" t="inlineStr">
        <is>
          <t>Bakery</t>
        </is>
      </c>
      <c r="C46" s="28" t="inlineStr">
        <is>
          <t>Actual</t>
        </is>
      </c>
      <c r="D46" s="29" t="n">
        <v>4108.81</v>
      </c>
      <c r="E46" s="29" t="n">
        <v>1554.81</v>
      </c>
      <c r="F46" s="30" t="n">
        <v>1019</v>
      </c>
      <c r="G46" s="29" t="n"/>
      <c r="H46" s="29" t="n"/>
    </row>
    <row r="47">
      <c r="A47" s="27" t="n">
        <v>45689</v>
      </c>
      <c r="B47" s="28" t="inlineStr">
        <is>
          <t>Beer &amp; Wine</t>
        </is>
      </c>
      <c r="C47" s="28" t="inlineStr">
        <is>
          <t>Actual</t>
        </is>
      </c>
      <c r="D47" s="29" t="n">
        <v>10389.59</v>
      </c>
      <c r="E47" s="29" t="n">
        <v>3554.99</v>
      </c>
      <c r="F47" s="30" t="n">
        <v>541</v>
      </c>
      <c r="G47" s="29" t="n"/>
      <c r="H47" s="29" t="n"/>
    </row>
    <row r="48">
      <c r="A48" s="27" t="n">
        <v>45689</v>
      </c>
      <c r="B48" s="28" t="inlineStr">
        <is>
          <t>Beverages</t>
        </is>
      </c>
      <c r="C48" s="28" t="inlineStr">
        <is>
          <t>Actual</t>
        </is>
      </c>
      <c r="D48" s="29" t="n">
        <v>13796.63</v>
      </c>
      <c r="E48" s="29" t="n">
        <v>6984.98</v>
      </c>
      <c r="F48" s="30" t="n">
        <v>3387</v>
      </c>
      <c r="G48" s="29" t="n"/>
      <c r="H48" s="29" t="n"/>
    </row>
    <row r="49">
      <c r="A49" s="27" t="n">
        <v>45689</v>
      </c>
      <c r="B49" s="28" t="inlineStr">
        <is>
          <t>Dairy</t>
        </is>
      </c>
      <c r="C49" s="28" t="inlineStr">
        <is>
          <t>Actual</t>
        </is>
      </c>
      <c r="D49" s="29" t="n">
        <v>12519.59</v>
      </c>
      <c r="E49" s="29" t="n">
        <v>3554.54</v>
      </c>
      <c r="F49" s="30" t="n">
        <v>2161</v>
      </c>
      <c r="G49" s="29" t="n"/>
      <c r="H49" s="29" t="n"/>
    </row>
    <row r="50">
      <c r="A50" s="27" t="n">
        <v>45689</v>
      </c>
      <c r="B50" s="28" t="inlineStr">
        <is>
          <t>Food To Go</t>
        </is>
      </c>
      <c r="C50" s="28" t="inlineStr">
        <is>
          <t>Actual</t>
        </is>
      </c>
      <c r="D50" s="29" t="n">
        <v>14436.92</v>
      </c>
      <c r="E50" s="29" t="n">
        <v>6846.82</v>
      </c>
      <c r="F50" s="30" t="n">
        <v>1808</v>
      </c>
      <c r="G50" s="29" t="n"/>
      <c r="H50" s="29" t="n"/>
    </row>
    <row r="51">
      <c r="A51" s="27" t="n">
        <v>45689</v>
      </c>
      <c r="B51" s="28" t="inlineStr">
        <is>
          <t>Frozen</t>
        </is>
      </c>
      <c r="C51" s="28" t="inlineStr">
        <is>
          <t>Actual</t>
        </is>
      </c>
      <c r="D51" s="29" t="n">
        <v>5260</v>
      </c>
      <c r="E51" s="29" t="n">
        <v>2337.7</v>
      </c>
      <c r="F51" s="30" t="n">
        <v>840</v>
      </c>
      <c r="G51" s="29" t="n"/>
      <c r="H51" s="29" t="n"/>
    </row>
    <row r="52">
      <c r="A52" s="27" t="n">
        <v>45689</v>
      </c>
      <c r="B52" s="28" t="inlineStr">
        <is>
          <t>Grocery</t>
        </is>
      </c>
      <c r="C52" s="28" t="inlineStr">
        <is>
          <t>Actual</t>
        </is>
      </c>
      <c r="D52" s="29" t="n">
        <v>6692.11</v>
      </c>
      <c r="E52" s="29" t="n">
        <v>2309.61</v>
      </c>
      <c r="F52" s="30" t="n">
        <v>1089</v>
      </c>
      <c r="G52" s="29" t="n"/>
      <c r="H52" s="29" t="n"/>
    </row>
    <row r="53">
      <c r="A53" s="27" t="n">
        <v>45689</v>
      </c>
      <c r="B53" s="28" t="inlineStr">
        <is>
          <t>Health &amp; Beauty</t>
        </is>
      </c>
      <c r="C53" s="28" t="inlineStr">
        <is>
          <t>Actual</t>
        </is>
      </c>
      <c r="D53" s="29" t="n">
        <v>1253.43</v>
      </c>
      <c r="E53" s="29" t="n">
        <v>626.03</v>
      </c>
      <c r="F53" s="30" t="n">
        <v>157</v>
      </c>
      <c r="G53" s="29" t="n"/>
      <c r="H53" s="29" t="n"/>
    </row>
    <row r="54">
      <c r="A54" s="27" t="n">
        <v>45689</v>
      </c>
      <c r="B54" s="28" t="inlineStr">
        <is>
          <t>Household</t>
        </is>
      </c>
      <c r="C54" s="28" t="inlineStr">
        <is>
          <t>Actual</t>
        </is>
      </c>
      <c r="D54" s="29" t="n">
        <v>1867.69</v>
      </c>
      <c r="E54" s="29" t="n">
        <v>756.1900000000001</v>
      </c>
      <c r="F54" s="30" t="n">
        <v>231</v>
      </c>
      <c r="G54" s="29" t="n"/>
      <c r="H54" s="29" t="n"/>
    </row>
    <row r="55">
      <c r="A55" s="27" t="n">
        <v>45689</v>
      </c>
      <c r="B55" s="28" t="inlineStr">
        <is>
          <t>Produce</t>
        </is>
      </c>
      <c r="C55" s="28" t="inlineStr">
        <is>
          <t>Actual</t>
        </is>
      </c>
      <c r="D55" s="29" t="n">
        <v>2109.33</v>
      </c>
      <c r="E55" s="29" t="n">
        <v>901.6900000000001</v>
      </c>
      <c r="F55" s="30" t="n">
        <v>1327</v>
      </c>
      <c r="G55" s="29" t="n"/>
      <c r="H55" s="29" t="n"/>
    </row>
    <row r="56">
      <c r="A56" s="27" t="n">
        <v>45689</v>
      </c>
      <c r="B56" s="28" t="inlineStr">
        <is>
          <t>Snacks &amp; Confectionery</t>
        </is>
      </c>
      <c r="C56" s="28" t="inlineStr">
        <is>
          <t>Actual</t>
        </is>
      </c>
      <c r="D56" s="29" t="n">
        <v>7474.83</v>
      </c>
      <c r="E56" s="29" t="n">
        <v>3285.93</v>
      </c>
      <c r="F56" s="30" t="n">
        <v>1719</v>
      </c>
      <c r="G56" s="29" t="n"/>
      <c r="H56" s="29" t="n"/>
    </row>
    <row r="57">
      <c r="A57" s="27" t="n">
        <v>45717</v>
      </c>
      <c r="B57" s="28" t="inlineStr">
        <is>
          <t>Bakery</t>
        </is>
      </c>
      <c r="C57" s="28" t="inlineStr">
        <is>
          <t>Actual</t>
        </is>
      </c>
      <c r="D57" s="29" t="n">
        <v>4685.64</v>
      </c>
      <c r="E57" s="29" t="n">
        <v>1834.24</v>
      </c>
      <c r="F57" s="30" t="n">
        <v>1116</v>
      </c>
      <c r="G57" s="29" t="n"/>
      <c r="H57" s="29" t="n"/>
    </row>
    <row r="58">
      <c r="A58" s="27" t="n">
        <v>45717</v>
      </c>
      <c r="B58" s="28" t="inlineStr">
        <is>
          <t>Beer &amp; Wine</t>
        </is>
      </c>
      <c r="C58" s="28" t="inlineStr">
        <is>
          <t>Actual</t>
        </is>
      </c>
      <c r="D58" s="29" t="n">
        <v>11025.5</v>
      </c>
      <c r="E58" s="29" t="n">
        <v>3539.2</v>
      </c>
      <c r="F58" s="30" t="n">
        <v>590</v>
      </c>
      <c r="G58" s="29" t="n"/>
      <c r="H58" s="29" t="n"/>
    </row>
    <row r="59">
      <c r="A59" s="27" t="n">
        <v>45717</v>
      </c>
      <c r="B59" s="28" t="inlineStr">
        <is>
          <t>Beverages</t>
        </is>
      </c>
      <c r="C59" s="28" t="inlineStr">
        <is>
          <t>Actual</t>
        </is>
      </c>
      <c r="D59" s="29" t="n">
        <v>14281.38</v>
      </c>
      <c r="E59" s="29" t="n">
        <v>7246.88</v>
      </c>
      <c r="F59" s="30" t="n">
        <v>3512</v>
      </c>
      <c r="G59" s="29" t="n"/>
      <c r="H59" s="29" t="n"/>
    </row>
    <row r="60">
      <c r="A60" s="27" t="n">
        <v>45717</v>
      </c>
      <c r="B60" s="28" t="inlineStr">
        <is>
          <t>Dairy</t>
        </is>
      </c>
      <c r="C60" s="28" t="inlineStr">
        <is>
          <t>Actual</t>
        </is>
      </c>
      <c r="D60" s="29" t="n">
        <v>14033.27</v>
      </c>
      <c r="E60" s="29" t="n">
        <v>3798.32</v>
      </c>
      <c r="F60" s="30" t="n">
        <v>2431</v>
      </c>
      <c r="G60" s="29" t="n"/>
      <c r="H60" s="29" t="n"/>
    </row>
    <row r="61">
      <c r="A61" s="27" t="n">
        <v>45717</v>
      </c>
      <c r="B61" s="28" t="inlineStr">
        <is>
          <t>Food To Go</t>
        </is>
      </c>
      <c r="C61" s="28" t="inlineStr">
        <is>
          <t>Actual</t>
        </is>
      </c>
      <c r="D61" s="29" t="n">
        <v>16215.27</v>
      </c>
      <c r="E61" s="29" t="n">
        <v>7646.77</v>
      </c>
      <c r="F61" s="30" t="n">
        <v>2093</v>
      </c>
      <c r="G61" s="29" t="n"/>
      <c r="H61" s="29" t="n"/>
    </row>
    <row r="62">
      <c r="A62" s="27" t="n">
        <v>45717</v>
      </c>
      <c r="B62" s="28" t="inlineStr">
        <is>
          <t>Frozen</t>
        </is>
      </c>
      <c r="C62" s="28" t="inlineStr">
        <is>
          <t>Actual</t>
        </is>
      </c>
      <c r="D62" s="29" t="n">
        <v>6250.81</v>
      </c>
      <c r="E62" s="29" t="n">
        <v>2717.91</v>
      </c>
      <c r="F62" s="30" t="n">
        <v>919</v>
      </c>
      <c r="G62" s="29" t="n"/>
      <c r="H62" s="29" t="n"/>
    </row>
    <row r="63">
      <c r="A63" s="27" t="n">
        <v>45717</v>
      </c>
      <c r="B63" s="28" t="inlineStr">
        <is>
          <t>Grocery</t>
        </is>
      </c>
      <c r="C63" s="28" t="inlineStr">
        <is>
          <t>Actual</t>
        </is>
      </c>
      <c r="D63" s="29" t="n">
        <v>7809.36</v>
      </c>
      <c r="E63" s="29" t="n">
        <v>2701.56</v>
      </c>
      <c r="F63" s="30" t="n">
        <v>1274</v>
      </c>
      <c r="G63" s="29" t="n"/>
      <c r="H63" s="29" t="n"/>
    </row>
    <row r="64">
      <c r="A64" s="27" t="n">
        <v>45717</v>
      </c>
      <c r="B64" s="28" t="inlineStr">
        <is>
          <t>Health &amp; Beauty</t>
        </is>
      </c>
      <c r="C64" s="28" t="inlineStr">
        <is>
          <t>Actual</t>
        </is>
      </c>
      <c r="D64" s="29" t="n">
        <v>1483.35</v>
      </c>
      <c r="E64" s="29" t="n">
        <v>724.35</v>
      </c>
      <c r="F64" s="30" t="n">
        <v>165</v>
      </c>
      <c r="G64" s="29" t="n"/>
      <c r="H64" s="29" t="n"/>
    </row>
    <row r="65">
      <c r="A65" s="27" t="n">
        <v>45717</v>
      </c>
      <c r="B65" s="28" t="inlineStr">
        <is>
          <t>Household</t>
        </is>
      </c>
      <c r="C65" s="28" t="inlineStr">
        <is>
          <t>Actual</t>
        </is>
      </c>
      <c r="D65" s="29" t="n">
        <v>2246.34</v>
      </c>
      <c r="E65" s="29" t="n">
        <v>929.34</v>
      </c>
      <c r="F65" s="30" t="n">
        <v>266</v>
      </c>
      <c r="G65" s="29" t="n"/>
      <c r="H65" s="29" t="n"/>
    </row>
    <row r="66">
      <c r="A66" s="27" t="n">
        <v>45717</v>
      </c>
      <c r="B66" s="28" t="inlineStr">
        <is>
          <t>Produce</t>
        </is>
      </c>
      <c r="C66" s="28" t="inlineStr">
        <is>
          <t>Actual</t>
        </is>
      </c>
      <c r="D66" s="29" t="n">
        <v>2066.38</v>
      </c>
      <c r="E66" s="29" t="n">
        <v>899.08</v>
      </c>
      <c r="F66" s="30" t="n">
        <v>1362</v>
      </c>
      <c r="G66" s="29" t="n"/>
      <c r="H66" s="29" t="n"/>
    </row>
    <row r="67">
      <c r="A67" s="27" t="n">
        <v>45717</v>
      </c>
      <c r="B67" s="28" t="inlineStr">
        <is>
          <t>Snacks &amp; Confectionery</t>
        </is>
      </c>
      <c r="C67" s="28" t="inlineStr">
        <is>
          <t>Actual</t>
        </is>
      </c>
      <c r="D67" s="29" t="n">
        <v>7849.36</v>
      </c>
      <c r="E67" s="29" t="n">
        <v>3486.16</v>
      </c>
      <c r="F67" s="30" t="n">
        <v>1794</v>
      </c>
      <c r="G67" s="29" t="n"/>
      <c r="H67" s="29" t="n"/>
    </row>
    <row r="68">
      <c r="A68" s="27" t="n">
        <v>45748</v>
      </c>
      <c r="B68" s="28" t="inlineStr">
        <is>
          <t>Bakery</t>
        </is>
      </c>
      <c r="C68" s="28" t="inlineStr">
        <is>
          <t>Actual</t>
        </is>
      </c>
      <c r="D68" s="29" t="n">
        <v>4466.73</v>
      </c>
      <c r="E68" s="29" t="n">
        <v>1688.53</v>
      </c>
      <c r="F68" s="30" t="n">
        <v>1097</v>
      </c>
      <c r="G68" s="29" t="n"/>
      <c r="H68" s="29" t="n"/>
    </row>
    <row r="69">
      <c r="A69" s="27" t="n">
        <v>45748</v>
      </c>
      <c r="B69" s="28" t="inlineStr">
        <is>
          <t>Beer &amp; Wine</t>
        </is>
      </c>
      <c r="C69" s="28" t="inlineStr">
        <is>
          <t>Actual</t>
        </is>
      </c>
      <c r="D69" s="29" t="n">
        <v>10752.59</v>
      </c>
      <c r="E69" s="29" t="n">
        <v>3613.89</v>
      </c>
      <c r="F69" s="30" t="n">
        <v>561</v>
      </c>
      <c r="G69" s="29" t="n"/>
      <c r="H69" s="29" t="n"/>
    </row>
    <row r="70">
      <c r="A70" s="27" t="n">
        <v>45748</v>
      </c>
      <c r="B70" s="28" t="inlineStr">
        <is>
          <t>Beverages</t>
        </is>
      </c>
      <c r="C70" s="28" t="inlineStr">
        <is>
          <t>Actual</t>
        </is>
      </c>
      <c r="D70" s="29" t="n">
        <v>12207.55</v>
      </c>
      <c r="E70" s="29" t="n">
        <v>6238.55</v>
      </c>
      <c r="F70" s="30" t="n">
        <v>2977</v>
      </c>
      <c r="G70" s="29" t="n"/>
      <c r="H70" s="29" t="n"/>
    </row>
    <row r="71">
      <c r="A71" s="27" t="n">
        <v>45748</v>
      </c>
      <c r="B71" s="28" t="inlineStr">
        <is>
          <t>Dairy</t>
        </is>
      </c>
      <c r="C71" s="28" t="inlineStr">
        <is>
          <t>Actual</t>
        </is>
      </c>
      <c r="D71" s="29" t="n">
        <v>13074.99</v>
      </c>
      <c r="E71" s="29" t="n">
        <v>3664.04</v>
      </c>
      <c r="F71" s="30" t="n">
        <v>2261</v>
      </c>
      <c r="G71" s="29" t="n"/>
      <c r="H71" s="29" t="n"/>
    </row>
    <row r="72">
      <c r="A72" s="27" t="n">
        <v>45748</v>
      </c>
      <c r="B72" s="28" t="inlineStr">
        <is>
          <t>Food To Go</t>
        </is>
      </c>
      <c r="C72" s="28" t="inlineStr">
        <is>
          <t>Actual</t>
        </is>
      </c>
      <c r="D72" s="29" t="n">
        <v>14680.64</v>
      </c>
      <c r="E72" s="29" t="n">
        <v>7020.14</v>
      </c>
      <c r="F72" s="30" t="n">
        <v>1916</v>
      </c>
      <c r="G72" s="29" t="n"/>
      <c r="H72" s="29" t="n"/>
    </row>
    <row r="73">
      <c r="A73" s="27" t="n">
        <v>45748</v>
      </c>
      <c r="B73" s="28" t="inlineStr">
        <is>
          <t>Frozen</t>
        </is>
      </c>
      <c r="C73" s="28" t="inlineStr">
        <is>
          <t>Actual</t>
        </is>
      </c>
      <c r="D73" s="29" t="n">
        <v>5457.93</v>
      </c>
      <c r="E73" s="29" t="n">
        <v>2403.63</v>
      </c>
      <c r="F73" s="30" t="n">
        <v>807</v>
      </c>
      <c r="G73" s="29" t="n"/>
      <c r="H73" s="29" t="n"/>
    </row>
    <row r="74">
      <c r="A74" s="27" t="n">
        <v>45748</v>
      </c>
      <c r="B74" s="28" t="inlineStr">
        <is>
          <t>Grocery</t>
        </is>
      </c>
      <c r="C74" s="28" t="inlineStr">
        <is>
          <t>Actual</t>
        </is>
      </c>
      <c r="D74" s="29" t="n">
        <v>7815.7</v>
      </c>
      <c r="E74" s="29" t="n">
        <v>2723.8</v>
      </c>
      <c r="F74" s="30" t="n">
        <v>1348</v>
      </c>
      <c r="G74" s="29" t="n"/>
      <c r="H74" s="29" t="n"/>
    </row>
    <row r="75">
      <c r="A75" s="27" t="n">
        <v>45748</v>
      </c>
      <c r="B75" s="28" t="inlineStr">
        <is>
          <t>Health &amp; Beauty</t>
        </is>
      </c>
      <c r="C75" s="28" t="inlineStr">
        <is>
          <t>Actual</t>
        </is>
      </c>
      <c r="D75" s="29" t="n">
        <v>1279.42</v>
      </c>
      <c r="E75" s="29" t="n">
        <v>637.22</v>
      </c>
      <c r="F75" s="30" t="n">
        <v>158</v>
      </c>
      <c r="G75" s="29" t="n"/>
      <c r="H75" s="29" t="n"/>
    </row>
    <row r="76">
      <c r="A76" s="27" t="n">
        <v>45748</v>
      </c>
      <c r="B76" s="28" t="inlineStr">
        <is>
          <t>Household</t>
        </is>
      </c>
      <c r="C76" s="28" t="inlineStr">
        <is>
          <t>Actual</t>
        </is>
      </c>
      <c r="D76" s="29" t="n">
        <v>2140.49</v>
      </c>
      <c r="E76" s="29" t="n">
        <v>907.59</v>
      </c>
      <c r="F76" s="30" t="n">
        <v>251</v>
      </c>
      <c r="G76" s="29" t="n"/>
      <c r="H76" s="29" t="n"/>
    </row>
    <row r="77">
      <c r="A77" s="27" t="n">
        <v>45748</v>
      </c>
      <c r="B77" s="28" t="inlineStr">
        <is>
          <t>Produce</t>
        </is>
      </c>
      <c r="C77" s="28" t="inlineStr">
        <is>
          <t>Actual</t>
        </is>
      </c>
      <c r="D77" s="29" t="n">
        <v>1787.13</v>
      </c>
      <c r="E77" s="29" t="n">
        <v>778.01</v>
      </c>
      <c r="F77" s="30" t="n">
        <v>1217</v>
      </c>
      <c r="G77" s="29" t="n"/>
      <c r="H77" s="29" t="n"/>
    </row>
    <row r="78">
      <c r="A78" s="27" t="n">
        <v>45748</v>
      </c>
      <c r="B78" s="28" t="inlineStr">
        <is>
          <t>Snacks &amp; Confectionery</t>
        </is>
      </c>
      <c r="C78" s="28" t="inlineStr">
        <is>
          <t>Actual</t>
        </is>
      </c>
      <c r="D78" s="29" t="n">
        <v>7713.33</v>
      </c>
      <c r="E78" s="29" t="n">
        <v>3407.33</v>
      </c>
      <c r="F78" s="30" t="n">
        <v>1767</v>
      </c>
      <c r="G78" s="29" t="n"/>
      <c r="H78" s="29" t="n"/>
    </row>
    <row r="79">
      <c r="A79" s="27" t="n">
        <v>45778</v>
      </c>
      <c r="B79" s="28" t="inlineStr">
        <is>
          <t>Bakery</t>
        </is>
      </c>
      <c r="C79" s="28" t="inlineStr">
        <is>
          <t>Actual</t>
        </is>
      </c>
      <c r="D79" s="29" t="n">
        <v>4980.16</v>
      </c>
      <c r="E79" s="29" t="n">
        <v>1909.56</v>
      </c>
      <c r="F79" s="30" t="n">
        <v>1224</v>
      </c>
      <c r="G79" s="29" t="n"/>
      <c r="H79" s="29" t="n"/>
    </row>
    <row r="80">
      <c r="A80" s="27" t="n">
        <v>45778</v>
      </c>
      <c r="B80" s="28" t="inlineStr">
        <is>
          <t>Beer &amp; Wine</t>
        </is>
      </c>
      <c r="C80" s="28" t="inlineStr">
        <is>
          <t>Actual</t>
        </is>
      </c>
      <c r="D80" s="29" t="n">
        <v>9995.200000000001</v>
      </c>
      <c r="E80" s="29" t="n">
        <v>3411.2</v>
      </c>
      <c r="F80" s="30" t="n">
        <v>520</v>
      </c>
      <c r="G80" s="29" t="n"/>
      <c r="H80" s="29" t="n"/>
    </row>
    <row r="81">
      <c r="A81" s="27" t="n">
        <v>45778</v>
      </c>
      <c r="B81" s="28" t="inlineStr">
        <is>
          <t>Beverages</t>
        </is>
      </c>
      <c r="C81" s="28" t="inlineStr">
        <is>
          <t>Actual</t>
        </is>
      </c>
      <c r="D81" s="29" t="n">
        <v>11226.43</v>
      </c>
      <c r="E81" s="29" t="n">
        <v>5687.43</v>
      </c>
      <c r="F81" s="30" t="n">
        <v>2747</v>
      </c>
      <c r="G81" s="29" t="n"/>
      <c r="H81" s="29" t="n"/>
    </row>
    <row r="82">
      <c r="A82" s="27" t="n">
        <v>45778</v>
      </c>
      <c r="B82" s="28" t="inlineStr">
        <is>
          <t>Dairy</t>
        </is>
      </c>
      <c r="C82" s="28" t="inlineStr">
        <is>
          <t>Actual</t>
        </is>
      </c>
      <c r="D82" s="29" t="n">
        <v>13578.47</v>
      </c>
      <c r="E82" s="29" t="n">
        <v>3832.47</v>
      </c>
      <c r="F82" s="30" t="n">
        <v>2341</v>
      </c>
      <c r="G82" s="29" t="n"/>
      <c r="H82" s="29" t="n"/>
    </row>
    <row r="83">
      <c r="A83" s="27" t="n">
        <v>45778</v>
      </c>
      <c r="B83" s="28" t="inlineStr">
        <is>
          <t>Food To Go</t>
        </is>
      </c>
      <c r="C83" s="28" t="inlineStr">
        <is>
          <t>Actual</t>
        </is>
      </c>
      <c r="D83" s="29" t="n">
        <v>14481.83</v>
      </c>
      <c r="E83" s="29" t="n">
        <v>6951.43</v>
      </c>
      <c r="F83" s="30" t="n">
        <v>1957</v>
      </c>
      <c r="G83" s="29" t="n"/>
      <c r="H83" s="29" t="n"/>
    </row>
    <row r="84">
      <c r="A84" s="27" t="n">
        <v>45778</v>
      </c>
      <c r="B84" s="28" t="inlineStr">
        <is>
          <t>Frozen</t>
        </is>
      </c>
      <c r="C84" s="28" t="inlineStr">
        <is>
          <t>Actual</t>
        </is>
      </c>
      <c r="D84" s="29" t="n">
        <v>5638.11</v>
      </c>
      <c r="E84" s="29" t="n">
        <v>2447.21</v>
      </c>
      <c r="F84" s="30" t="n">
        <v>789</v>
      </c>
      <c r="G84" s="29" t="n"/>
      <c r="H84" s="29" t="n"/>
    </row>
    <row r="85">
      <c r="A85" s="27" t="n">
        <v>45778</v>
      </c>
      <c r="B85" s="28" t="inlineStr">
        <is>
          <t>Grocery</t>
        </is>
      </c>
      <c r="C85" s="28" t="inlineStr">
        <is>
          <t>Actual</t>
        </is>
      </c>
      <c r="D85" s="29" t="n">
        <v>8273.030000000001</v>
      </c>
      <c r="E85" s="29" t="n">
        <v>2913.33</v>
      </c>
      <c r="F85" s="30" t="n">
        <v>1417</v>
      </c>
      <c r="G85" s="29" t="n"/>
      <c r="H85" s="29" t="n"/>
    </row>
    <row r="86">
      <c r="A86" s="27" t="n">
        <v>45778</v>
      </c>
      <c r="B86" s="28" t="inlineStr">
        <is>
          <t>Health &amp; Beauty</t>
        </is>
      </c>
      <c r="C86" s="28" t="inlineStr">
        <is>
          <t>Actual</t>
        </is>
      </c>
      <c r="D86" s="29" t="n">
        <v>1250.08</v>
      </c>
      <c r="E86" s="29" t="n">
        <v>652.48</v>
      </c>
      <c r="F86" s="30" t="n">
        <v>192</v>
      </c>
      <c r="G86" s="29" t="n"/>
      <c r="H86" s="29" t="n"/>
    </row>
    <row r="87">
      <c r="A87" s="27" t="n">
        <v>45778</v>
      </c>
      <c r="B87" s="28" t="inlineStr">
        <is>
          <t>Household</t>
        </is>
      </c>
      <c r="C87" s="28" t="inlineStr">
        <is>
          <t>Actual</t>
        </is>
      </c>
      <c r="D87" s="29" t="n">
        <v>2536.75</v>
      </c>
      <c r="E87" s="29" t="n">
        <v>1002.05</v>
      </c>
      <c r="F87" s="30" t="n">
        <v>305</v>
      </c>
      <c r="G87" s="29" t="n"/>
      <c r="H87" s="29" t="n"/>
    </row>
    <row r="88">
      <c r="A88" s="27" t="n">
        <v>45778</v>
      </c>
      <c r="B88" s="28" t="inlineStr">
        <is>
          <t>Produce</t>
        </is>
      </c>
      <c r="C88" s="28" t="inlineStr">
        <is>
          <t>Actual</t>
        </is>
      </c>
      <c r="D88" s="29" t="n">
        <v>1717.27</v>
      </c>
      <c r="E88" s="29" t="n">
        <v>749.09</v>
      </c>
      <c r="F88" s="30" t="n">
        <v>1243</v>
      </c>
      <c r="G88" s="29" t="n"/>
      <c r="H88" s="29" t="n"/>
    </row>
    <row r="89">
      <c r="A89" s="27" t="n">
        <v>45778</v>
      </c>
      <c r="B89" s="28" t="inlineStr">
        <is>
          <t>Snacks &amp; Confectionery</t>
        </is>
      </c>
      <c r="C89" s="28" t="inlineStr">
        <is>
          <t>Actual</t>
        </is>
      </c>
      <c r="D89" s="29" t="n">
        <v>8338.49</v>
      </c>
      <c r="E89" s="29" t="n">
        <v>3728.19</v>
      </c>
      <c r="F89" s="30" t="n">
        <v>1901</v>
      </c>
      <c r="G89" s="29" t="n"/>
      <c r="H89" s="29" t="n"/>
    </row>
    <row r="90">
      <c r="A90" s="27" t="n">
        <v>45809</v>
      </c>
      <c r="B90" s="28" t="inlineStr">
        <is>
          <t>Bakery</t>
        </is>
      </c>
      <c r="C90" s="28" t="inlineStr">
        <is>
          <t>Actual</t>
        </is>
      </c>
      <c r="D90" s="29" t="n">
        <v>4298.82</v>
      </c>
      <c r="E90" s="29" t="n">
        <v>1671.22</v>
      </c>
      <c r="F90" s="30" t="n">
        <v>1038</v>
      </c>
      <c r="G90" s="29" t="n"/>
      <c r="H90" s="29" t="n"/>
    </row>
    <row r="91">
      <c r="A91" s="27" t="n">
        <v>45809</v>
      </c>
      <c r="B91" s="28" t="inlineStr">
        <is>
          <t>Beer &amp; Wine</t>
        </is>
      </c>
      <c r="C91" s="28" t="inlineStr">
        <is>
          <t>Actual</t>
        </is>
      </c>
      <c r="D91" s="29" t="n">
        <v>7296.38</v>
      </c>
      <c r="E91" s="29" t="n">
        <v>2496.68</v>
      </c>
      <c r="F91" s="30" t="n">
        <v>382</v>
      </c>
      <c r="G91" s="29" t="n"/>
      <c r="H91" s="29" t="n"/>
    </row>
    <row r="92">
      <c r="A92" s="27" t="n">
        <v>45809</v>
      </c>
      <c r="B92" s="28" t="inlineStr">
        <is>
          <t>Beverages</t>
        </is>
      </c>
      <c r="C92" s="28" t="inlineStr">
        <is>
          <t>Actual</t>
        </is>
      </c>
      <c r="D92" s="29" t="n">
        <v>9139.98</v>
      </c>
      <c r="E92" s="29" t="n">
        <v>4682.28</v>
      </c>
      <c r="F92" s="30" t="n">
        <v>2252</v>
      </c>
      <c r="G92" s="29" t="n"/>
      <c r="H92" s="29" t="n"/>
    </row>
    <row r="93">
      <c r="A93" s="27" t="n">
        <v>45809</v>
      </c>
      <c r="B93" s="28" t="inlineStr">
        <is>
          <t>Dairy</t>
        </is>
      </c>
      <c r="C93" s="28" t="inlineStr">
        <is>
          <t>Actual</t>
        </is>
      </c>
      <c r="D93" s="29" t="n">
        <v>12208.96</v>
      </c>
      <c r="E93" s="29" t="n">
        <v>3413.61</v>
      </c>
      <c r="F93" s="30" t="n">
        <v>2116</v>
      </c>
      <c r="G93" s="29" t="n"/>
      <c r="H93" s="29" t="n"/>
    </row>
    <row r="94">
      <c r="A94" s="27" t="n">
        <v>45809</v>
      </c>
      <c r="B94" s="28" t="inlineStr">
        <is>
          <t>Food To Go</t>
        </is>
      </c>
      <c r="C94" s="28" t="inlineStr">
        <is>
          <t>Actual</t>
        </is>
      </c>
      <c r="D94" s="29" t="n">
        <v>13460.24</v>
      </c>
      <c r="E94" s="29" t="n">
        <v>6577.94</v>
      </c>
      <c r="F94" s="30" t="n">
        <v>1826</v>
      </c>
      <c r="G94" s="29" t="n"/>
      <c r="H94" s="29" t="n"/>
    </row>
    <row r="95">
      <c r="A95" s="27" t="n">
        <v>45809</v>
      </c>
      <c r="B95" s="28" t="inlineStr">
        <is>
          <t>Frozen</t>
        </is>
      </c>
      <c r="C95" s="28" t="inlineStr">
        <is>
          <t>Actual</t>
        </is>
      </c>
      <c r="D95" s="29" t="n">
        <v>5366.8</v>
      </c>
      <c r="E95" s="29" t="n">
        <v>2293.1</v>
      </c>
      <c r="F95" s="30" t="n">
        <v>740</v>
      </c>
      <c r="G95" s="29" t="n"/>
      <c r="H95" s="29" t="n"/>
    </row>
    <row r="96">
      <c r="A96" s="27" t="n">
        <v>45809</v>
      </c>
      <c r="B96" s="28" t="inlineStr">
        <is>
          <t>Grocery</t>
        </is>
      </c>
      <c r="C96" s="28" t="inlineStr">
        <is>
          <t>Actual</t>
        </is>
      </c>
      <c r="D96" s="29" t="n">
        <v>8704.92</v>
      </c>
      <c r="E96" s="29" t="n">
        <v>3068.82</v>
      </c>
      <c r="F96" s="30" t="n">
        <v>1518</v>
      </c>
      <c r="G96" s="29" t="n"/>
      <c r="H96" s="29" t="n"/>
    </row>
    <row r="97">
      <c r="A97" s="27" t="n">
        <v>45809</v>
      </c>
      <c r="B97" s="28" t="inlineStr">
        <is>
          <t>Health &amp; Beauty</t>
        </is>
      </c>
      <c r="C97" s="28" t="inlineStr">
        <is>
          <t>Actual</t>
        </is>
      </c>
      <c r="D97" s="29" t="n">
        <v>1444.84</v>
      </c>
      <c r="E97" s="29" t="n">
        <v>749.4400000000001</v>
      </c>
      <c r="F97" s="30" t="n">
        <v>216</v>
      </c>
      <c r="G97" s="29" t="n"/>
      <c r="H97" s="29" t="n"/>
    </row>
    <row r="98">
      <c r="A98" s="27" t="n">
        <v>45809</v>
      </c>
      <c r="B98" s="28" t="inlineStr">
        <is>
          <t>Household</t>
        </is>
      </c>
      <c r="C98" s="28" t="inlineStr">
        <is>
          <t>Actual</t>
        </is>
      </c>
      <c r="D98" s="29" t="n">
        <v>2002.51</v>
      </c>
      <c r="E98" s="29" t="n">
        <v>808.41</v>
      </c>
      <c r="F98" s="30" t="n">
        <v>249</v>
      </c>
      <c r="G98" s="29" t="n"/>
      <c r="H98" s="29" t="n"/>
    </row>
    <row r="99">
      <c r="A99" s="27" t="n">
        <v>45809</v>
      </c>
      <c r="B99" s="28" t="inlineStr">
        <is>
          <t>Produce</t>
        </is>
      </c>
      <c r="C99" s="28" t="inlineStr">
        <is>
          <t>Actual</t>
        </is>
      </c>
      <c r="D99" s="29" t="n">
        <v>1563.55</v>
      </c>
      <c r="E99" s="29" t="n">
        <v>682.53</v>
      </c>
      <c r="F99" s="30" t="n">
        <v>1175</v>
      </c>
      <c r="G99" s="29" t="n"/>
      <c r="H99" s="29" t="n"/>
    </row>
    <row r="100">
      <c r="A100" s="27" t="n">
        <v>45809</v>
      </c>
      <c r="B100" s="28" t="inlineStr">
        <is>
          <t>Snacks &amp; Confectionery</t>
        </is>
      </c>
      <c r="C100" s="28" t="inlineStr">
        <is>
          <t>Actual</t>
        </is>
      </c>
      <c r="D100" s="29" t="n">
        <v>7993.27</v>
      </c>
      <c r="E100" s="29" t="n">
        <v>3578.47</v>
      </c>
      <c r="F100" s="30" t="n">
        <v>1803</v>
      </c>
      <c r="G100" s="29" t="n"/>
      <c r="H100" s="29" t="n"/>
    </row>
    <row r="101">
      <c r="A101" s="27" t="n">
        <v>45839</v>
      </c>
      <c r="B101" s="28" t="inlineStr">
        <is>
          <t>Bakery</t>
        </is>
      </c>
      <c r="C101" s="28" t="inlineStr">
        <is>
          <t>Actual</t>
        </is>
      </c>
      <c r="D101" s="29" t="n">
        <v>4743.7</v>
      </c>
      <c r="E101" s="29" t="n">
        <v>1828.8</v>
      </c>
      <c r="F101" s="30" t="n">
        <v>1142</v>
      </c>
      <c r="G101" s="29" t="n"/>
      <c r="H101" s="29" t="n"/>
    </row>
    <row r="102">
      <c r="A102" s="27" t="n">
        <v>45839</v>
      </c>
      <c r="B102" s="28" t="inlineStr">
        <is>
          <t>Beer &amp; Wine</t>
        </is>
      </c>
      <c r="C102" s="28" t="inlineStr">
        <is>
          <t>Actual</t>
        </is>
      </c>
      <c r="D102" s="29" t="n">
        <v>8891.309999999999</v>
      </c>
      <c r="E102" s="29" t="n">
        <v>2992.01</v>
      </c>
      <c r="F102" s="30" t="n">
        <v>469</v>
      </c>
      <c r="G102" s="29" t="n"/>
      <c r="H102" s="29" t="n"/>
    </row>
    <row r="103">
      <c r="A103" s="27" t="n">
        <v>45839</v>
      </c>
      <c r="B103" s="28" t="inlineStr">
        <is>
          <t>Beverages</t>
        </is>
      </c>
      <c r="C103" s="28" t="inlineStr">
        <is>
          <t>Actual</t>
        </is>
      </c>
      <c r="D103" s="29" t="n">
        <v>9221.440000000001</v>
      </c>
      <c r="E103" s="29" t="n">
        <v>4718.34</v>
      </c>
      <c r="F103" s="30" t="n">
        <v>2276</v>
      </c>
      <c r="G103" s="29" t="n"/>
      <c r="H103" s="29" t="n"/>
    </row>
    <row r="104">
      <c r="A104" s="27" t="n">
        <v>45839</v>
      </c>
      <c r="B104" s="28" t="inlineStr">
        <is>
          <t>Dairy</t>
        </is>
      </c>
      <c r="C104" s="28" t="inlineStr">
        <is>
          <t>Actual</t>
        </is>
      </c>
      <c r="D104" s="29" t="n">
        <v>13825.63</v>
      </c>
      <c r="E104" s="29" t="n">
        <v>3815.48</v>
      </c>
      <c r="F104" s="30" t="n">
        <v>2357</v>
      </c>
      <c r="G104" s="29" t="n"/>
      <c r="H104" s="29" t="n"/>
    </row>
    <row r="105">
      <c r="A105" s="27" t="n">
        <v>45839</v>
      </c>
      <c r="B105" s="28" t="inlineStr">
        <is>
          <t>Food To Go</t>
        </is>
      </c>
      <c r="C105" s="28" t="inlineStr">
        <is>
          <t>Actual</t>
        </is>
      </c>
      <c r="D105" s="29" t="n">
        <v>14760.91</v>
      </c>
      <c r="E105" s="29" t="n">
        <v>7181.11</v>
      </c>
      <c r="F105" s="30" t="n">
        <v>1999</v>
      </c>
      <c r="G105" s="29" t="n"/>
      <c r="H105" s="29" t="n"/>
    </row>
    <row r="106">
      <c r="A106" s="27" t="n">
        <v>45839</v>
      </c>
      <c r="B106" s="28" t="inlineStr">
        <is>
          <t>Frozen</t>
        </is>
      </c>
      <c r="C106" s="28" t="inlineStr">
        <is>
          <t>Actual</t>
        </is>
      </c>
      <c r="D106" s="29" t="n">
        <v>5339.97</v>
      </c>
      <c r="E106" s="29" t="n">
        <v>2296.97</v>
      </c>
      <c r="F106" s="30" t="n">
        <v>703</v>
      </c>
      <c r="G106" s="29" t="n"/>
      <c r="H106" s="29" t="n"/>
    </row>
    <row r="107">
      <c r="A107" s="27" t="n">
        <v>45839</v>
      </c>
      <c r="B107" s="28" t="inlineStr">
        <is>
          <t>Grocery</t>
        </is>
      </c>
      <c r="C107" s="28" t="inlineStr">
        <is>
          <t>Actual</t>
        </is>
      </c>
      <c r="D107" s="29" t="n">
        <v>9035.98</v>
      </c>
      <c r="E107" s="29" t="n">
        <v>3166.68</v>
      </c>
      <c r="F107" s="30" t="n">
        <v>1562</v>
      </c>
      <c r="G107" s="29" t="n"/>
      <c r="H107" s="29" t="n"/>
    </row>
    <row r="108">
      <c r="A108" s="27" t="n">
        <v>45839</v>
      </c>
      <c r="B108" s="28" t="inlineStr">
        <is>
          <t>Health &amp; Beauty</t>
        </is>
      </c>
      <c r="C108" s="28" t="inlineStr">
        <is>
          <t>Actual</t>
        </is>
      </c>
      <c r="D108" s="29" t="n">
        <v>1331.89</v>
      </c>
      <c r="E108" s="29" t="n">
        <v>684.09</v>
      </c>
      <c r="F108" s="30" t="n">
        <v>211</v>
      </c>
      <c r="G108" s="29" t="n"/>
      <c r="H108" s="29" t="n"/>
    </row>
    <row r="109">
      <c r="A109" s="27" t="n">
        <v>45839</v>
      </c>
      <c r="B109" s="28" t="inlineStr">
        <is>
          <t>Household</t>
        </is>
      </c>
      <c r="C109" s="28" t="inlineStr">
        <is>
          <t>Actual</t>
        </is>
      </c>
      <c r="D109" s="29" t="n">
        <v>2523.15</v>
      </c>
      <c r="E109" s="29" t="n">
        <v>1038.85</v>
      </c>
      <c r="F109" s="30" t="n">
        <v>305</v>
      </c>
      <c r="G109" s="29" t="n"/>
      <c r="H109" s="29" t="n"/>
    </row>
    <row r="110">
      <c r="A110" s="27" t="n">
        <v>45839</v>
      </c>
      <c r="B110" s="28" t="inlineStr">
        <is>
          <t>Produce</t>
        </is>
      </c>
      <c r="C110" s="28" t="inlineStr">
        <is>
          <t>Actual</t>
        </is>
      </c>
      <c r="D110" s="29" t="n">
        <v>1521.21</v>
      </c>
      <c r="E110" s="29" t="n">
        <v>665.49</v>
      </c>
      <c r="F110" s="30" t="n">
        <v>1209</v>
      </c>
      <c r="G110" s="29" t="n"/>
      <c r="H110" s="29" t="n"/>
    </row>
    <row r="111">
      <c r="A111" s="27" t="n">
        <v>45839</v>
      </c>
      <c r="B111" s="28" t="inlineStr">
        <is>
          <t>Snacks &amp; Confectionery</t>
        </is>
      </c>
      <c r="C111" s="28" t="inlineStr">
        <is>
          <t>Actual</t>
        </is>
      </c>
      <c r="D111" s="29" t="n">
        <v>8493.9</v>
      </c>
      <c r="E111" s="29" t="n">
        <v>3753.1</v>
      </c>
      <c r="F111" s="30" t="n">
        <v>1966</v>
      </c>
      <c r="G111" s="29" t="n"/>
      <c r="H111" s="29" t="n"/>
    </row>
    <row r="112">
      <c r="A112" s="27" t="n">
        <v>45870</v>
      </c>
      <c r="B112" s="28" t="inlineStr">
        <is>
          <t>Bakery</t>
        </is>
      </c>
      <c r="C112" s="28" t="inlineStr">
        <is>
          <t>Actual</t>
        </is>
      </c>
      <c r="D112" s="29" t="n">
        <v>4369.09</v>
      </c>
      <c r="E112" s="29" t="n">
        <v>1691.59</v>
      </c>
      <c r="F112" s="30" t="n">
        <v>1061</v>
      </c>
      <c r="G112" s="29" t="n"/>
      <c r="H112" s="29" t="n"/>
    </row>
    <row r="113">
      <c r="A113" s="27" t="n">
        <v>45870</v>
      </c>
      <c r="B113" s="28" t="inlineStr">
        <is>
          <t>Beer &amp; Wine</t>
        </is>
      </c>
      <c r="C113" s="28" t="inlineStr">
        <is>
          <t>Actual</t>
        </is>
      </c>
      <c r="D113" s="29" t="n">
        <v>8273.08</v>
      </c>
      <c r="E113" s="29" t="n">
        <v>2837.78</v>
      </c>
      <c r="F113" s="30" t="n">
        <v>432</v>
      </c>
      <c r="G113" s="29" t="n"/>
      <c r="H113" s="29" t="n"/>
    </row>
    <row r="114">
      <c r="A114" s="27" t="n">
        <v>45870</v>
      </c>
      <c r="B114" s="28" t="inlineStr">
        <is>
          <t>Beverages</t>
        </is>
      </c>
      <c r="C114" s="28" t="inlineStr">
        <is>
          <t>Actual</t>
        </is>
      </c>
      <c r="D114" s="29" t="n">
        <v>9778.09</v>
      </c>
      <c r="E114" s="29" t="n">
        <v>4939.74</v>
      </c>
      <c r="F114" s="30" t="n">
        <v>2439</v>
      </c>
      <c r="G114" s="29" t="n"/>
      <c r="H114" s="29" t="n"/>
    </row>
    <row r="115">
      <c r="A115" s="27" t="n">
        <v>45870</v>
      </c>
      <c r="B115" s="28" t="inlineStr">
        <is>
          <t>Dairy</t>
        </is>
      </c>
      <c r="C115" s="28" t="inlineStr">
        <is>
          <t>Actual</t>
        </is>
      </c>
      <c r="D115" s="29" t="n">
        <v>13305.41</v>
      </c>
      <c r="E115" s="29" t="n">
        <v>3748.71</v>
      </c>
      <c r="F115" s="30" t="n">
        <v>2299</v>
      </c>
      <c r="G115" s="29" t="n"/>
      <c r="H115" s="29" t="n"/>
    </row>
    <row r="116">
      <c r="A116" s="27" t="n">
        <v>45870</v>
      </c>
      <c r="B116" s="28" t="inlineStr">
        <is>
          <t>Food To Go</t>
        </is>
      </c>
      <c r="C116" s="28" t="inlineStr">
        <is>
          <t>Actual</t>
        </is>
      </c>
      <c r="D116" s="29" t="n">
        <v>14795.13</v>
      </c>
      <c r="E116" s="29" t="n">
        <v>7204.03</v>
      </c>
      <c r="F116" s="30" t="n">
        <v>2017</v>
      </c>
      <c r="G116" s="29" t="n"/>
      <c r="H116" s="29" t="n"/>
    </row>
    <row r="117">
      <c r="A117" s="27" t="n">
        <v>45870</v>
      </c>
      <c r="B117" s="28" t="inlineStr">
        <is>
          <t>Frozen</t>
        </is>
      </c>
      <c r="C117" s="28" t="inlineStr">
        <is>
          <t>Actual</t>
        </is>
      </c>
      <c r="D117" s="29" t="n">
        <v>5555.5</v>
      </c>
      <c r="E117" s="29" t="n">
        <v>2377.2</v>
      </c>
      <c r="F117" s="30" t="n">
        <v>750</v>
      </c>
      <c r="G117" s="29" t="n"/>
      <c r="H117" s="29" t="n"/>
    </row>
    <row r="118">
      <c r="A118" s="27" t="n">
        <v>45870</v>
      </c>
      <c r="B118" s="28" t="inlineStr">
        <is>
          <t>Grocery</t>
        </is>
      </c>
      <c r="C118" s="28" t="inlineStr">
        <is>
          <t>Actual</t>
        </is>
      </c>
      <c r="D118" s="29" t="n">
        <v>8319.09</v>
      </c>
      <c r="E118" s="29" t="n">
        <v>2946.79</v>
      </c>
      <c r="F118" s="30" t="n">
        <v>1441</v>
      </c>
      <c r="G118" s="29" t="n"/>
      <c r="H118" s="29" t="n"/>
    </row>
    <row r="119">
      <c r="A119" s="27" t="n">
        <v>45870</v>
      </c>
      <c r="B119" s="28" t="inlineStr">
        <is>
          <t>Health &amp; Beauty</t>
        </is>
      </c>
      <c r="C119" s="28" t="inlineStr">
        <is>
          <t>Actual</t>
        </is>
      </c>
      <c r="D119" s="29" t="n">
        <v>1342.54</v>
      </c>
      <c r="E119" s="29" t="n">
        <v>682.9400000000001</v>
      </c>
      <c r="F119" s="30" t="n">
        <v>206</v>
      </c>
      <c r="G119" s="29" t="n"/>
      <c r="H119" s="29" t="n"/>
    </row>
    <row r="120">
      <c r="A120" s="27" t="n">
        <v>45870</v>
      </c>
      <c r="B120" s="28" t="inlineStr">
        <is>
          <t>Household</t>
        </is>
      </c>
      <c r="C120" s="28" t="inlineStr">
        <is>
          <t>Actual</t>
        </is>
      </c>
      <c r="D120" s="29" t="n">
        <v>2140.25</v>
      </c>
      <c r="E120" s="29" t="n">
        <v>800.95</v>
      </c>
      <c r="F120" s="30" t="n">
        <v>275</v>
      </c>
      <c r="G120" s="29" t="n"/>
      <c r="H120" s="29" t="n"/>
    </row>
    <row r="121">
      <c r="A121" s="27" t="n">
        <v>45870</v>
      </c>
      <c r="B121" s="28" t="inlineStr">
        <is>
          <t>Produce</t>
        </is>
      </c>
      <c r="C121" s="28" t="inlineStr">
        <is>
          <t>Actual</t>
        </is>
      </c>
      <c r="D121" s="29" t="n">
        <v>1535.79</v>
      </c>
      <c r="E121" s="29" t="n">
        <v>671.61</v>
      </c>
      <c r="F121" s="30" t="n">
        <v>1191</v>
      </c>
      <c r="G121" s="29" t="n"/>
      <c r="H121" s="29" t="n"/>
    </row>
    <row r="122">
      <c r="A122" s="27" t="n">
        <v>45870</v>
      </c>
      <c r="B122" s="28" t="inlineStr">
        <is>
          <t>Snacks &amp; Confectionery</t>
        </is>
      </c>
      <c r="C122" s="28" t="inlineStr">
        <is>
          <t>Actual</t>
        </is>
      </c>
      <c r="D122" s="29" t="n">
        <v>8403.01</v>
      </c>
      <c r="E122" s="29" t="n">
        <v>3715.81</v>
      </c>
      <c r="F122" s="30" t="n">
        <v>1919</v>
      </c>
      <c r="G122" s="29" t="n"/>
      <c r="H122" s="29" t="n"/>
    </row>
    <row r="123">
      <c r="A123" s="27" t="n">
        <v>45901</v>
      </c>
      <c r="B123" s="28" t="inlineStr">
        <is>
          <t>Bakery</t>
        </is>
      </c>
      <c r="C123" s="28" t="inlineStr">
        <is>
          <t>Actual</t>
        </is>
      </c>
      <c r="D123" s="29" t="n">
        <v>4642.06</v>
      </c>
      <c r="E123" s="29" t="n">
        <v>1780.36</v>
      </c>
      <c r="F123" s="30" t="n">
        <v>1134</v>
      </c>
      <c r="G123" s="29" t="n"/>
      <c r="H123" s="29" t="n"/>
    </row>
    <row r="124">
      <c r="A124" s="27" t="n">
        <v>45901</v>
      </c>
      <c r="B124" s="28" t="inlineStr">
        <is>
          <t>Beer &amp; Wine</t>
        </is>
      </c>
      <c r="C124" s="28" t="inlineStr">
        <is>
          <t>Actual</t>
        </is>
      </c>
      <c r="D124" s="29" t="n">
        <v>9297.190000000001</v>
      </c>
      <c r="E124" s="29" t="n">
        <v>3203.29</v>
      </c>
      <c r="F124" s="30" t="n">
        <v>481</v>
      </c>
      <c r="G124" s="29" t="n"/>
      <c r="H124" s="29" t="n"/>
    </row>
    <row r="125">
      <c r="A125" s="27" t="n">
        <v>45901</v>
      </c>
      <c r="B125" s="28" t="inlineStr">
        <is>
          <t>Beverages</t>
        </is>
      </c>
      <c r="C125" s="28" t="inlineStr">
        <is>
          <t>Actual</t>
        </is>
      </c>
      <c r="D125" s="29" t="n">
        <v>10792.53</v>
      </c>
      <c r="E125" s="29" t="n">
        <v>5504.13</v>
      </c>
      <c r="F125" s="30" t="n">
        <v>2657</v>
      </c>
      <c r="G125" s="29" t="n"/>
      <c r="H125" s="29" t="n"/>
    </row>
    <row r="126">
      <c r="A126" s="27" t="n">
        <v>45901</v>
      </c>
      <c r="B126" s="28" t="inlineStr">
        <is>
          <t>Dairy</t>
        </is>
      </c>
      <c r="C126" s="28" t="inlineStr">
        <is>
          <t>Actual</t>
        </is>
      </c>
      <c r="D126" s="29" t="n">
        <v>13673.91</v>
      </c>
      <c r="E126" s="29" t="n">
        <v>3732.31</v>
      </c>
      <c r="F126" s="30" t="n">
        <v>2373</v>
      </c>
      <c r="G126" s="29" t="n"/>
      <c r="H126" s="29" t="n"/>
    </row>
    <row r="127">
      <c r="A127" s="27" t="n">
        <v>45901</v>
      </c>
      <c r="B127" s="28" t="inlineStr">
        <is>
          <t>Food To Go</t>
        </is>
      </c>
      <c r="C127" s="28" t="inlineStr">
        <is>
          <t>Actual</t>
        </is>
      </c>
      <c r="D127" s="29" t="n">
        <v>14028.75</v>
      </c>
      <c r="E127" s="29" t="n">
        <v>6822.15</v>
      </c>
      <c r="F127" s="30" t="n">
        <v>1875</v>
      </c>
      <c r="G127" s="29" t="n"/>
      <c r="H127" s="29" t="n"/>
    </row>
    <row r="128">
      <c r="A128" s="27" t="n">
        <v>45901</v>
      </c>
      <c r="B128" s="28" t="inlineStr">
        <is>
          <t>Frozen</t>
        </is>
      </c>
      <c r="C128" s="28" t="inlineStr">
        <is>
          <t>Actual</t>
        </is>
      </c>
      <c r="D128" s="29" t="n">
        <v>5793.89</v>
      </c>
      <c r="E128" s="29" t="n">
        <v>2467.59</v>
      </c>
      <c r="F128" s="30" t="n">
        <v>831</v>
      </c>
      <c r="G128" s="29" t="n"/>
      <c r="H128" s="29" t="n"/>
    </row>
    <row r="129">
      <c r="A129" s="27" t="n">
        <v>45901</v>
      </c>
      <c r="B129" s="28" t="inlineStr">
        <is>
          <t>Grocery</t>
        </is>
      </c>
      <c r="C129" s="28" t="inlineStr">
        <is>
          <t>Actual</t>
        </is>
      </c>
      <c r="D129" s="29" t="n">
        <v>8025.44</v>
      </c>
      <c r="E129" s="29" t="n">
        <v>2854.34</v>
      </c>
      <c r="F129" s="30" t="n">
        <v>1376</v>
      </c>
      <c r="G129" s="29" t="n"/>
      <c r="H129" s="29" t="n"/>
    </row>
    <row r="130">
      <c r="A130" s="27" t="n">
        <v>45901</v>
      </c>
      <c r="B130" s="28" t="inlineStr">
        <is>
          <t>Health &amp; Beauty</t>
        </is>
      </c>
      <c r="C130" s="28" t="inlineStr">
        <is>
          <t>Actual</t>
        </is>
      </c>
      <c r="D130" s="29" t="n">
        <v>1058.34</v>
      </c>
      <c r="E130" s="29" t="n">
        <v>555.14</v>
      </c>
      <c r="F130" s="30" t="n">
        <v>166</v>
      </c>
      <c r="G130" s="29" t="n"/>
      <c r="H130" s="29" t="n"/>
    </row>
    <row r="131">
      <c r="A131" s="27" t="n">
        <v>45901</v>
      </c>
      <c r="B131" s="28" t="inlineStr">
        <is>
          <t>Household</t>
        </is>
      </c>
      <c r="C131" s="28" t="inlineStr">
        <is>
          <t>Actual</t>
        </is>
      </c>
      <c r="D131" s="29" t="n">
        <v>2516.01</v>
      </c>
      <c r="E131" s="29" t="n">
        <v>1010.71</v>
      </c>
      <c r="F131" s="30" t="n">
        <v>299</v>
      </c>
      <c r="G131" s="29" t="n"/>
      <c r="H131" s="29" t="n"/>
    </row>
    <row r="132">
      <c r="A132" s="27" t="n">
        <v>45901</v>
      </c>
      <c r="B132" s="28" t="inlineStr">
        <is>
          <t>Produce</t>
        </is>
      </c>
      <c r="C132" s="28" t="inlineStr">
        <is>
          <t>Actual</t>
        </is>
      </c>
      <c r="D132" s="29" t="n">
        <v>1686.31</v>
      </c>
      <c r="E132" s="29" t="n">
        <v>716.03</v>
      </c>
      <c r="F132" s="30" t="n">
        <v>1219</v>
      </c>
      <c r="G132" s="29" t="n"/>
      <c r="H132" s="29" t="n"/>
    </row>
    <row r="133">
      <c r="A133" s="27" t="n">
        <v>45901</v>
      </c>
      <c r="B133" s="28" t="inlineStr">
        <is>
          <t>Snacks &amp; Confectionery</t>
        </is>
      </c>
      <c r="C133" s="28" t="inlineStr">
        <is>
          <t>Actual</t>
        </is>
      </c>
      <c r="D133" s="29" t="n">
        <v>8383.32</v>
      </c>
      <c r="E133" s="29" t="n">
        <v>3722.52</v>
      </c>
      <c r="F133" s="30" t="n">
        <v>1918</v>
      </c>
      <c r="G133" s="29" t="n"/>
      <c r="H133" s="29" t="n"/>
    </row>
    <row r="134">
      <c r="A134" s="27" t="n">
        <v>45931</v>
      </c>
      <c r="B134" s="28" t="inlineStr">
        <is>
          <t>Bakery</t>
        </is>
      </c>
      <c r="C134" s="28" t="inlineStr">
        <is>
          <t>Actual</t>
        </is>
      </c>
      <c r="D134" s="29" t="n">
        <v>4610.34</v>
      </c>
      <c r="E134" s="29" t="n">
        <v>1784.54</v>
      </c>
      <c r="F134" s="30" t="n">
        <v>1126</v>
      </c>
      <c r="G134" s="29" t="n"/>
      <c r="H134" s="29" t="n"/>
    </row>
    <row r="135">
      <c r="A135" s="27" t="n">
        <v>45931</v>
      </c>
      <c r="B135" s="28" t="inlineStr">
        <is>
          <t>Beer &amp; Wine</t>
        </is>
      </c>
      <c r="C135" s="28" t="inlineStr">
        <is>
          <t>Actual</t>
        </is>
      </c>
      <c r="D135" s="29" t="n">
        <v>10732.84</v>
      </c>
      <c r="E135" s="29" t="n">
        <v>3386.24</v>
      </c>
      <c r="F135" s="30" t="n">
        <v>576</v>
      </c>
      <c r="G135" s="29" t="n"/>
      <c r="H135" s="29" t="n"/>
    </row>
    <row r="136">
      <c r="A136" s="27" t="n">
        <v>45931</v>
      </c>
      <c r="B136" s="28" t="inlineStr">
        <is>
          <t>Beverages</t>
        </is>
      </c>
      <c r="C136" s="28" t="inlineStr">
        <is>
          <t>Actual</t>
        </is>
      </c>
      <c r="D136" s="29" t="n">
        <v>12425.41</v>
      </c>
      <c r="E136" s="29" t="n">
        <v>6385.06</v>
      </c>
      <c r="F136" s="30" t="n">
        <v>3059</v>
      </c>
      <c r="G136" s="29" t="n"/>
      <c r="H136" s="29" t="n"/>
    </row>
    <row r="137">
      <c r="A137" s="27" t="n">
        <v>45931</v>
      </c>
      <c r="B137" s="28" t="inlineStr">
        <is>
          <t>Dairy</t>
        </is>
      </c>
      <c r="C137" s="28" t="inlineStr">
        <is>
          <t>Actual</t>
        </is>
      </c>
      <c r="D137" s="29" t="n">
        <v>14347.2</v>
      </c>
      <c r="E137" s="29" t="n">
        <v>4082.25</v>
      </c>
      <c r="F137" s="30" t="n">
        <v>2430</v>
      </c>
      <c r="G137" s="29" t="n"/>
      <c r="H137" s="29" t="n"/>
    </row>
    <row r="138">
      <c r="A138" s="27" t="n">
        <v>45931</v>
      </c>
      <c r="B138" s="28" t="inlineStr">
        <is>
          <t>Food To Go</t>
        </is>
      </c>
      <c r="C138" s="28" t="inlineStr">
        <is>
          <t>Actual</t>
        </is>
      </c>
      <c r="D138" s="29" t="n">
        <v>15227.21</v>
      </c>
      <c r="E138" s="29" t="n">
        <v>7262.71</v>
      </c>
      <c r="F138" s="30" t="n">
        <v>2019</v>
      </c>
      <c r="G138" s="29" t="n"/>
      <c r="H138" s="29" t="n"/>
    </row>
    <row r="139">
      <c r="A139" s="27" t="n">
        <v>45931</v>
      </c>
      <c r="B139" s="28" t="inlineStr">
        <is>
          <t>Frozen</t>
        </is>
      </c>
      <c r="C139" s="28" t="inlineStr">
        <is>
          <t>Actual</t>
        </is>
      </c>
      <c r="D139" s="29" t="n">
        <v>5773.36</v>
      </c>
      <c r="E139" s="29" t="n">
        <v>2448.86</v>
      </c>
      <c r="F139" s="30" t="n">
        <v>844</v>
      </c>
      <c r="G139" s="29" t="n"/>
      <c r="H139" s="29" t="n"/>
    </row>
    <row r="140">
      <c r="A140" s="27" t="n">
        <v>45931</v>
      </c>
      <c r="B140" s="28" t="inlineStr">
        <is>
          <t>Grocery</t>
        </is>
      </c>
      <c r="C140" s="28" t="inlineStr">
        <is>
          <t>Actual</t>
        </is>
      </c>
      <c r="D140" s="29" t="n">
        <v>8426.559999999999</v>
      </c>
      <c r="E140" s="29" t="n">
        <v>2940.66</v>
      </c>
      <c r="F140" s="30" t="n">
        <v>1414</v>
      </c>
      <c r="G140" s="29" t="n"/>
      <c r="H140" s="29" t="n"/>
    </row>
    <row r="141">
      <c r="A141" s="27" t="n">
        <v>45931</v>
      </c>
      <c r="B141" s="28" t="inlineStr">
        <is>
          <t>Health &amp; Beauty</t>
        </is>
      </c>
      <c r="C141" s="28" t="inlineStr">
        <is>
          <t>Actual</t>
        </is>
      </c>
      <c r="D141" s="29" t="n">
        <v>1593.95</v>
      </c>
      <c r="E141" s="29" t="n">
        <v>784.15</v>
      </c>
      <c r="F141" s="30" t="n">
        <v>205</v>
      </c>
      <c r="G141" s="29" t="n"/>
      <c r="H141" s="29" t="n"/>
    </row>
    <row r="142">
      <c r="A142" s="27" t="n">
        <v>45931</v>
      </c>
      <c r="B142" s="28" t="inlineStr">
        <is>
          <t>Household</t>
        </is>
      </c>
      <c r="C142" s="28" t="inlineStr">
        <is>
          <t>Actual</t>
        </is>
      </c>
      <c r="D142" s="29" t="n">
        <v>2499.08</v>
      </c>
      <c r="E142" s="29" t="n">
        <v>1043.48</v>
      </c>
      <c r="F142" s="30" t="n">
        <v>292</v>
      </c>
      <c r="G142" s="29" t="n"/>
      <c r="H142" s="29" t="n"/>
    </row>
    <row r="143">
      <c r="A143" s="27" t="n">
        <v>45931</v>
      </c>
      <c r="B143" s="28" t="inlineStr">
        <is>
          <t>Produce</t>
        </is>
      </c>
      <c r="C143" s="28" t="inlineStr">
        <is>
          <t>Actual</t>
        </is>
      </c>
      <c r="D143" s="29" t="n">
        <v>2076.36</v>
      </c>
      <c r="E143" s="29" t="n">
        <v>904.22</v>
      </c>
      <c r="F143" s="30" t="n">
        <v>1424</v>
      </c>
      <c r="G143" s="29" t="n"/>
      <c r="H143" s="29" t="n"/>
    </row>
    <row r="144">
      <c r="A144" s="27" t="n">
        <v>45931</v>
      </c>
      <c r="B144" s="28" t="inlineStr">
        <is>
          <t>Snacks &amp; Confectionery</t>
        </is>
      </c>
      <c r="C144" s="28" t="inlineStr">
        <is>
          <t>Actual</t>
        </is>
      </c>
      <c r="D144" s="29" t="n">
        <v>8609.889999999999</v>
      </c>
      <c r="E144" s="29" t="n">
        <v>3837.89</v>
      </c>
      <c r="F144" s="30" t="n">
        <v>1951</v>
      </c>
      <c r="G144" s="29" t="n"/>
      <c r="H144" s="29" t="n"/>
    </row>
    <row r="145">
      <c r="A145" s="27" t="n">
        <v>45962</v>
      </c>
      <c r="B145" s="28" t="inlineStr">
        <is>
          <t>Bakery</t>
        </is>
      </c>
      <c r="C145" s="28" t="inlineStr">
        <is>
          <t>Actual</t>
        </is>
      </c>
      <c r="D145" s="29" t="n">
        <v>4566.07</v>
      </c>
      <c r="E145" s="29" t="n">
        <v>1718.17</v>
      </c>
      <c r="F145" s="30" t="n">
        <v>1123</v>
      </c>
      <c r="G145" s="29" t="n"/>
      <c r="H145" s="29" t="n"/>
    </row>
    <row r="146">
      <c r="A146" s="27" t="n">
        <v>45962</v>
      </c>
      <c r="B146" s="28" t="inlineStr">
        <is>
          <t>Beer &amp; Wine</t>
        </is>
      </c>
      <c r="C146" s="28" t="inlineStr">
        <is>
          <t>Actual</t>
        </is>
      </c>
      <c r="D146" s="29" t="n">
        <v>10908.65</v>
      </c>
      <c r="E146" s="29" t="n">
        <v>3615.15</v>
      </c>
      <c r="F146" s="30" t="n">
        <v>575</v>
      </c>
      <c r="G146" s="29" t="n"/>
      <c r="H146" s="29" t="n"/>
    </row>
    <row r="147">
      <c r="A147" s="27" t="n">
        <v>45962</v>
      </c>
      <c r="B147" s="28" t="inlineStr">
        <is>
          <t>Beverages</t>
        </is>
      </c>
      <c r="C147" s="28" t="inlineStr">
        <is>
          <t>Actual</t>
        </is>
      </c>
      <c r="D147" s="29" t="n">
        <v>14150.1</v>
      </c>
      <c r="E147" s="29" t="n">
        <v>7159.65</v>
      </c>
      <c r="F147" s="30" t="n">
        <v>3560</v>
      </c>
      <c r="G147" s="29" t="n"/>
      <c r="H147" s="29" t="n"/>
    </row>
    <row r="148">
      <c r="A148" s="27" t="n">
        <v>45962</v>
      </c>
      <c r="B148" s="28" t="inlineStr">
        <is>
          <t>Dairy</t>
        </is>
      </c>
      <c r="C148" s="28" t="inlineStr">
        <is>
          <t>Actual</t>
        </is>
      </c>
      <c r="D148" s="29" t="n">
        <v>13597.37</v>
      </c>
      <c r="E148" s="29" t="n">
        <v>3857.22</v>
      </c>
      <c r="F148" s="30" t="n">
        <v>2361</v>
      </c>
      <c r="G148" s="29" t="n"/>
      <c r="H148" s="29" t="n"/>
    </row>
    <row r="149">
      <c r="A149" s="27" t="n">
        <v>45962</v>
      </c>
      <c r="B149" s="28" t="inlineStr">
        <is>
          <t>Food To Go</t>
        </is>
      </c>
      <c r="C149" s="28" t="inlineStr">
        <is>
          <t>Actual</t>
        </is>
      </c>
      <c r="D149" s="29" t="n">
        <v>15303.57</v>
      </c>
      <c r="E149" s="29" t="n">
        <v>7141.67</v>
      </c>
      <c r="F149" s="30" t="n">
        <v>1983</v>
      </c>
      <c r="G149" s="29" t="n"/>
      <c r="H149" s="29" t="n"/>
    </row>
    <row r="150">
      <c r="A150" s="27" t="n">
        <v>45962</v>
      </c>
      <c r="B150" s="28" t="inlineStr">
        <is>
          <t>Frozen</t>
        </is>
      </c>
      <c r="C150" s="28" t="inlineStr">
        <is>
          <t>Actual</t>
        </is>
      </c>
      <c r="D150" s="29" t="n">
        <v>5648</v>
      </c>
      <c r="E150" s="29" t="n">
        <v>2434.3</v>
      </c>
      <c r="F150" s="30" t="n">
        <v>880</v>
      </c>
      <c r="G150" s="29" t="n"/>
      <c r="H150" s="29" t="n"/>
    </row>
    <row r="151">
      <c r="A151" s="27" t="n">
        <v>45962</v>
      </c>
      <c r="B151" s="28" t="inlineStr">
        <is>
          <t>Grocery</t>
        </is>
      </c>
      <c r="C151" s="28" t="inlineStr">
        <is>
          <t>Actual</t>
        </is>
      </c>
      <c r="D151" s="29" t="n">
        <v>7671.56</v>
      </c>
      <c r="E151" s="29" t="n">
        <v>2644.46</v>
      </c>
      <c r="F151" s="30" t="n">
        <v>1238</v>
      </c>
      <c r="G151" s="29" t="n"/>
      <c r="H151" s="29" t="n"/>
    </row>
    <row r="152">
      <c r="A152" s="27" t="n">
        <v>45962</v>
      </c>
      <c r="B152" s="28" t="inlineStr">
        <is>
          <t>Health &amp; Beauty</t>
        </is>
      </c>
      <c r="C152" s="28" t="inlineStr">
        <is>
          <t>Actual</t>
        </is>
      </c>
      <c r="D152" s="29" t="n">
        <v>1535.11</v>
      </c>
      <c r="E152" s="29" t="n">
        <v>764.11</v>
      </c>
      <c r="F152" s="30" t="n">
        <v>189</v>
      </c>
      <c r="G152" s="29" t="n"/>
      <c r="H152" s="29" t="n"/>
    </row>
    <row r="153">
      <c r="A153" s="27" t="n">
        <v>45962</v>
      </c>
      <c r="B153" s="28" t="inlineStr">
        <is>
          <t>Household</t>
        </is>
      </c>
      <c r="C153" s="28" t="inlineStr">
        <is>
          <t>Actual</t>
        </is>
      </c>
      <c r="D153" s="29" t="n">
        <v>2188.31</v>
      </c>
      <c r="E153" s="29" t="n">
        <v>896.61</v>
      </c>
      <c r="F153" s="30" t="n">
        <v>269</v>
      </c>
      <c r="G153" s="29" t="n"/>
      <c r="H153" s="29" t="n"/>
    </row>
    <row r="154">
      <c r="A154" s="27" t="n">
        <v>45962</v>
      </c>
      <c r="B154" s="28" t="inlineStr">
        <is>
          <t>Produce</t>
        </is>
      </c>
      <c r="C154" s="28" t="inlineStr">
        <is>
          <t>Actual</t>
        </is>
      </c>
      <c r="D154" s="29" t="n">
        <v>2107.81</v>
      </c>
      <c r="E154" s="29" t="n">
        <v>915.6900000000001</v>
      </c>
      <c r="F154" s="30" t="n">
        <v>1349</v>
      </c>
      <c r="G154" s="29" t="n"/>
      <c r="H154" s="29" t="n"/>
    </row>
    <row r="155">
      <c r="A155" s="27" t="n">
        <v>45962</v>
      </c>
      <c r="B155" s="28" t="inlineStr">
        <is>
          <t>Snacks &amp; Confectionery</t>
        </is>
      </c>
      <c r="C155" s="28" t="inlineStr">
        <is>
          <t>Actual</t>
        </is>
      </c>
      <c r="D155" s="29" t="n">
        <v>8220.559999999999</v>
      </c>
      <c r="E155" s="29" t="n">
        <v>3670.86</v>
      </c>
      <c r="F155" s="30" t="n">
        <v>1874</v>
      </c>
      <c r="G155" s="29" t="n"/>
      <c r="H155" s="29" t="n"/>
    </row>
    <row r="156">
      <c r="A156" s="27" t="n">
        <v>45992</v>
      </c>
      <c r="B156" s="28" t="inlineStr">
        <is>
          <t>Bakery</t>
        </is>
      </c>
      <c r="C156" s="28" t="inlineStr">
        <is>
          <t>Actual</t>
        </is>
      </c>
      <c r="D156" s="29" t="n">
        <v>5391.33</v>
      </c>
      <c r="E156" s="29" t="n">
        <v>2030.53</v>
      </c>
      <c r="F156" s="30" t="n">
        <v>1329</v>
      </c>
      <c r="G156" s="29" t="n"/>
      <c r="H156" s="29" t="n"/>
    </row>
    <row r="157">
      <c r="A157" s="27" t="n">
        <v>45992</v>
      </c>
      <c r="B157" s="28" t="inlineStr">
        <is>
          <t>Beer &amp; Wine</t>
        </is>
      </c>
      <c r="C157" s="28" t="inlineStr">
        <is>
          <t>Actual</t>
        </is>
      </c>
      <c r="D157" s="29" t="n">
        <v>13539.05</v>
      </c>
      <c r="E157" s="29" t="n">
        <v>4479.85</v>
      </c>
      <c r="F157" s="30" t="n">
        <v>715</v>
      </c>
      <c r="G157" s="29" t="n"/>
      <c r="H157" s="29" t="n"/>
    </row>
    <row r="158">
      <c r="A158" s="27" t="n">
        <v>45992</v>
      </c>
      <c r="B158" s="28" t="inlineStr">
        <is>
          <t>Beverages</t>
        </is>
      </c>
      <c r="C158" s="28" t="inlineStr">
        <is>
          <t>Actual</t>
        </is>
      </c>
      <c r="D158" s="29" t="n">
        <v>16885.76</v>
      </c>
      <c r="E158" s="29" t="n">
        <v>8679.209999999999</v>
      </c>
      <c r="F158" s="30" t="n">
        <v>4134</v>
      </c>
      <c r="G158" s="29" t="n"/>
      <c r="H158" s="29" t="n"/>
    </row>
    <row r="159">
      <c r="A159" s="27" t="n">
        <v>45992</v>
      </c>
      <c r="B159" s="28" t="inlineStr">
        <is>
          <t>Dairy</t>
        </is>
      </c>
      <c r="C159" s="28" t="inlineStr">
        <is>
          <t>Actual</t>
        </is>
      </c>
      <c r="D159" s="29" t="n">
        <v>15266.52</v>
      </c>
      <c r="E159" s="29" t="n">
        <v>4249.37</v>
      </c>
      <c r="F159" s="30" t="n">
        <v>2598</v>
      </c>
      <c r="G159" s="29" t="n"/>
      <c r="H159" s="29" t="n"/>
    </row>
    <row r="160">
      <c r="A160" s="27" t="n">
        <v>45992</v>
      </c>
      <c r="B160" s="28" t="inlineStr">
        <is>
          <t>Food To Go</t>
        </is>
      </c>
      <c r="C160" s="28" t="inlineStr">
        <is>
          <t>Actual</t>
        </is>
      </c>
      <c r="D160" s="29" t="n">
        <v>17049.87</v>
      </c>
      <c r="E160" s="29" t="n">
        <v>8053.57</v>
      </c>
      <c r="F160" s="30" t="n">
        <v>2113</v>
      </c>
      <c r="G160" s="29" t="n"/>
      <c r="H160" s="29" t="n"/>
    </row>
    <row r="161">
      <c r="A161" s="27" t="n">
        <v>45992</v>
      </c>
      <c r="B161" s="28" t="inlineStr">
        <is>
          <t>Frozen</t>
        </is>
      </c>
      <c r="C161" s="28" t="inlineStr">
        <is>
          <t>Actual</t>
        </is>
      </c>
      <c r="D161" s="29" t="n">
        <v>6367.83</v>
      </c>
      <c r="E161" s="29" t="n">
        <v>2773.93</v>
      </c>
      <c r="F161" s="30" t="n">
        <v>1017</v>
      </c>
      <c r="G161" s="29" t="n"/>
      <c r="H161" s="29" t="n"/>
    </row>
    <row r="162">
      <c r="A162" s="27" t="n">
        <v>45992</v>
      </c>
      <c r="B162" s="28" t="inlineStr">
        <is>
          <t>Grocery</t>
        </is>
      </c>
      <c r="C162" s="28" t="inlineStr">
        <is>
          <t>Actual</t>
        </is>
      </c>
      <c r="D162" s="29" t="n">
        <v>8438.33</v>
      </c>
      <c r="E162" s="29" t="n">
        <v>2849.53</v>
      </c>
      <c r="F162" s="30" t="n">
        <v>1387</v>
      </c>
      <c r="G162" s="29" t="n"/>
      <c r="H162" s="29" t="n"/>
    </row>
    <row r="163">
      <c r="A163" s="27" t="n">
        <v>45992</v>
      </c>
      <c r="B163" s="28" t="inlineStr">
        <is>
          <t>Health &amp; Beauty</t>
        </is>
      </c>
      <c r="C163" s="28" t="inlineStr">
        <is>
          <t>Actual</t>
        </is>
      </c>
      <c r="D163" s="29" t="n">
        <v>1540.44</v>
      </c>
      <c r="E163" s="29" t="n">
        <v>750.64</v>
      </c>
      <c r="F163" s="30" t="n">
        <v>176</v>
      </c>
      <c r="G163" s="29" t="n"/>
      <c r="H163" s="29" t="n"/>
    </row>
    <row r="164">
      <c r="A164" s="27" t="n">
        <v>45992</v>
      </c>
      <c r="B164" s="28" t="inlineStr">
        <is>
          <t>Household</t>
        </is>
      </c>
      <c r="C164" s="28" t="inlineStr">
        <is>
          <t>Actual</t>
        </is>
      </c>
      <c r="D164" s="29" t="n">
        <v>2655.87</v>
      </c>
      <c r="E164" s="29" t="n">
        <v>1099.17</v>
      </c>
      <c r="F164" s="30" t="n">
        <v>313</v>
      </c>
      <c r="G164" s="29" t="n"/>
      <c r="H164" s="29" t="n"/>
    </row>
    <row r="165">
      <c r="A165" s="27" t="n">
        <v>45992</v>
      </c>
      <c r="B165" s="28" t="inlineStr">
        <is>
          <t>Produce</t>
        </is>
      </c>
      <c r="C165" s="28" t="inlineStr">
        <is>
          <t>Actual</t>
        </is>
      </c>
      <c r="D165" s="29" t="n">
        <v>2569.23</v>
      </c>
      <c r="E165" s="29" t="n">
        <v>1099.49</v>
      </c>
      <c r="F165" s="30" t="n">
        <v>1577</v>
      </c>
      <c r="G165" s="29" t="n"/>
      <c r="H165" s="29" t="n"/>
    </row>
    <row r="166">
      <c r="A166" s="27" t="n">
        <v>45992</v>
      </c>
      <c r="B166" s="28" t="inlineStr">
        <is>
          <t>Snacks &amp; Confectionery</t>
        </is>
      </c>
      <c r="C166" s="28" t="inlineStr">
        <is>
          <t>Actual</t>
        </is>
      </c>
      <c r="D166" s="29" t="n">
        <v>9408.639999999999</v>
      </c>
      <c r="E166" s="29" t="n">
        <v>4220.74</v>
      </c>
      <c r="F166" s="30" t="n">
        <v>2150</v>
      </c>
      <c r="G166" s="29" t="n"/>
      <c r="H166" s="29" t="n"/>
    </row>
    <row r="167">
      <c r="A167" s="27" t="n">
        <v>46023</v>
      </c>
      <c r="B167" s="28" t="inlineStr">
        <is>
          <t>Bakery</t>
        </is>
      </c>
      <c r="C167" s="28" t="inlineStr">
        <is>
          <t>Actual</t>
        </is>
      </c>
      <c r="D167" s="29" t="n">
        <v>4087.54</v>
      </c>
      <c r="E167" s="29" t="n">
        <v>1582.14</v>
      </c>
      <c r="F167" s="30" t="n">
        <v>996</v>
      </c>
      <c r="G167" s="29" t="n"/>
      <c r="H167" s="29" t="n"/>
    </row>
    <row r="168">
      <c r="A168" s="27" t="n">
        <v>46023</v>
      </c>
      <c r="B168" s="28" t="inlineStr">
        <is>
          <t>Beer &amp; Wine</t>
        </is>
      </c>
      <c r="C168" s="28" t="inlineStr">
        <is>
          <t>Actual</t>
        </is>
      </c>
      <c r="D168" s="29" t="n">
        <v>10936.37</v>
      </c>
      <c r="E168" s="29" t="n">
        <v>3747.17</v>
      </c>
      <c r="F168" s="30" t="n">
        <v>563</v>
      </c>
      <c r="G168" s="29" t="n"/>
      <c r="H168" s="29" t="n"/>
    </row>
    <row r="169">
      <c r="A169" s="27" t="n">
        <v>46023</v>
      </c>
      <c r="B169" s="28" t="inlineStr">
        <is>
          <t>Beverages</t>
        </is>
      </c>
      <c r="C169" s="28" t="inlineStr">
        <is>
          <t>Actual</t>
        </is>
      </c>
      <c r="D169" s="29" t="n">
        <v>14573.28</v>
      </c>
      <c r="E169" s="29" t="n">
        <v>7442.58</v>
      </c>
      <c r="F169" s="30" t="n">
        <v>3592</v>
      </c>
      <c r="G169" s="29" t="n"/>
      <c r="H169" s="29" t="n"/>
    </row>
    <row r="170">
      <c r="A170" s="27" t="n">
        <v>46023</v>
      </c>
      <c r="B170" s="28" t="inlineStr">
        <is>
          <t>Dairy</t>
        </is>
      </c>
      <c r="C170" s="28" t="inlineStr">
        <is>
          <t>Actual</t>
        </is>
      </c>
      <c r="D170" s="29" t="n">
        <v>12899.93</v>
      </c>
      <c r="E170" s="29" t="n">
        <v>3467.53</v>
      </c>
      <c r="F170" s="30" t="n">
        <v>2275</v>
      </c>
      <c r="G170" s="29" t="n"/>
      <c r="H170" s="29" t="n"/>
    </row>
    <row r="171">
      <c r="A171" s="27" t="n">
        <v>46023</v>
      </c>
      <c r="B171" s="28" t="inlineStr">
        <is>
          <t>Food To Go</t>
        </is>
      </c>
      <c r="C171" s="28" t="inlineStr">
        <is>
          <t>Actual</t>
        </is>
      </c>
      <c r="D171" s="29" t="n">
        <v>14949.45</v>
      </c>
      <c r="E171" s="29" t="n">
        <v>7069.35</v>
      </c>
      <c r="F171" s="30" t="n">
        <v>1855</v>
      </c>
      <c r="G171" s="29" t="n"/>
      <c r="H171" s="29" t="n"/>
    </row>
    <row r="172">
      <c r="A172" s="27" t="n">
        <v>46023</v>
      </c>
      <c r="B172" s="28" t="inlineStr">
        <is>
          <t>Frozen</t>
        </is>
      </c>
      <c r="C172" s="28" t="inlineStr">
        <is>
          <t>Actual</t>
        </is>
      </c>
      <c r="D172" s="29" t="n">
        <v>5312.11</v>
      </c>
      <c r="E172" s="29" t="n">
        <v>2321.91</v>
      </c>
      <c r="F172" s="30" t="n">
        <v>849</v>
      </c>
      <c r="G172" s="29" t="n"/>
      <c r="H172" s="29" t="n"/>
    </row>
    <row r="173">
      <c r="A173" s="27" t="n">
        <v>46023</v>
      </c>
      <c r="B173" s="28" t="inlineStr">
        <is>
          <t>Grocery</t>
        </is>
      </c>
      <c r="C173" s="28" t="inlineStr">
        <is>
          <t>Actual</t>
        </is>
      </c>
      <c r="D173" s="29" t="n">
        <v>6692.02</v>
      </c>
      <c r="E173" s="29" t="n">
        <v>2231.12</v>
      </c>
      <c r="F173" s="30" t="n">
        <v>1088</v>
      </c>
      <c r="G173" s="29" t="n"/>
      <c r="H173" s="29" t="n"/>
    </row>
    <row r="174">
      <c r="A174" s="27" t="n">
        <v>46023</v>
      </c>
      <c r="B174" s="28" t="inlineStr">
        <is>
          <t>Health &amp; Beauty</t>
        </is>
      </c>
      <c r="C174" s="28" t="inlineStr">
        <is>
          <t>Actual</t>
        </is>
      </c>
      <c r="D174" s="29" t="n">
        <v>1344.56</v>
      </c>
      <c r="E174" s="29" t="n">
        <v>652.16</v>
      </c>
      <c r="F174" s="30" t="n">
        <v>144</v>
      </c>
      <c r="G174" s="29" t="n"/>
      <c r="H174" s="29" t="n"/>
    </row>
    <row r="175">
      <c r="A175" s="27" t="n">
        <v>46023</v>
      </c>
      <c r="B175" s="28" t="inlineStr">
        <is>
          <t>Household</t>
        </is>
      </c>
      <c r="C175" s="28" t="inlineStr">
        <is>
          <t>Actual</t>
        </is>
      </c>
      <c r="D175" s="29" t="n">
        <v>2094.55</v>
      </c>
      <c r="E175" s="29" t="n">
        <v>883.85</v>
      </c>
      <c r="F175" s="30" t="n">
        <v>245</v>
      </c>
      <c r="G175" s="29" t="n"/>
      <c r="H175" s="29" t="n"/>
    </row>
    <row r="176">
      <c r="A176" s="27" t="n">
        <v>46023</v>
      </c>
      <c r="B176" s="28" t="inlineStr">
        <is>
          <t>Produce</t>
        </is>
      </c>
      <c r="C176" s="28" t="inlineStr">
        <is>
          <t>Actual</t>
        </is>
      </c>
      <c r="D176" s="29" t="n">
        <v>2105.94</v>
      </c>
      <c r="E176" s="29" t="n">
        <v>914.72</v>
      </c>
      <c r="F176" s="30" t="n">
        <v>1286</v>
      </c>
      <c r="G176" s="29" t="n"/>
      <c r="H176" s="29" t="n"/>
    </row>
    <row r="177">
      <c r="A177" s="27" t="n">
        <v>46023</v>
      </c>
      <c r="B177" s="28" t="inlineStr">
        <is>
          <t>Snacks &amp; Confectionery</t>
        </is>
      </c>
      <c r="C177" s="28" t="inlineStr">
        <is>
          <t>Actual</t>
        </is>
      </c>
      <c r="D177" s="29" t="n">
        <v>8111.65</v>
      </c>
      <c r="E177" s="29" t="n">
        <v>3573.25</v>
      </c>
      <c r="F177" s="30" t="n">
        <v>1855</v>
      </c>
      <c r="G177" s="29" t="n"/>
      <c r="H177" s="29" t="n"/>
    </row>
    <row r="178">
      <c r="A178" s="27" t="n">
        <v>46054</v>
      </c>
      <c r="B178" s="28" t="inlineStr">
        <is>
          <t>Bakery</t>
        </is>
      </c>
      <c r="C178" s="28" t="inlineStr">
        <is>
          <t>Actual</t>
        </is>
      </c>
      <c r="D178" s="29" t="n">
        <v>4141.87</v>
      </c>
      <c r="E178" s="29" t="n">
        <v>1617.37</v>
      </c>
      <c r="F178" s="30" t="n">
        <v>993</v>
      </c>
      <c r="G178" s="29" t="n"/>
      <c r="H178" s="29" t="n"/>
    </row>
    <row r="179">
      <c r="A179" s="27" t="n">
        <v>46054</v>
      </c>
      <c r="B179" s="28" t="inlineStr">
        <is>
          <t>Beer &amp; Wine</t>
        </is>
      </c>
      <c r="C179" s="28" t="inlineStr">
        <is>
          <t>Actual</t>
        </is>
      </c>
      <c r="D179" s="29" t="n">
        <v>10387.8</v>
      </c>
      <c r="E179" s="29" t="n">
        <v>3459.9</v>
      </c>
      <c r="F179" s="30" t="n">
        <v>540</v>
      </c>
      <c r="G179" s="29" t="n"/>
      <c r="H179" s="29" t="n"/>
    </row>
    <row r="180">
      <c r="A180" s="27" t="n">
        <v>46054</v>
      </c>
      <c r="B180" s="28" t="inlineStr">
        <is>
          <t>Beverages</t>
        </is>
      </c>
      <c r="C180" s="28" t="inlineStr">
        <is>
          <t>Actual</t>
        </is>
      </c>
      <c r="D180" s="29" t="n">
        <v>14566.32</v>
      </c>
      <c r="E180" s="29" t="n">
        <v>7401.12</v>
      </c>
      <c r="F180" s="30" t="n">
        <v>3612</v>
      </c>
      <c r="G180" s="29" t="n"/>
      <c r="H180" s="29" t="n"/>
    </row>
    <row r="181">
      <c r="A181" s="27" t="n">
        <v>46054</v>
      </c>
      <c r="B181" s="28" t="inlineStr">
        <is>
          <t>Dairy</t>
        </is>
      </c>
      <c r="C181" s="28" t="inlineStr">
        <is>
          <t>Actual</t>
        </is>
      </c>
      <c r="D181" s="29" t="n">
        <v>13712.83</v>
      </c>
      <c r="E181" s="29" t="n">
        <v>3641.63</v>
      </c>
      <c r="F181" s="30" t="n">
        <v>2389</v>
      </c>
      <c r="G181" s="29" t="n"/>
      <c r="H181" s="29" t="n"/>
    </row>
    <row r="182">
      <c r="A182" s="27" t="n">
        <v>46054</v>
      </c>
      <c r="B182" s="28" t="inlineStr">
        <is>
          <t>Food To Go</t>
        </is>
      </c>
      <c r="C182" s="28" t="inlineStr">
        <is>
          <t>Actual</t>
        </is>
      </c>
      <c r="D182" s="29" t="n">
        <v>14966.73</v>
      </c>
      <c r="E182" s="29" t="n">
        <v>6962.43</v>
      </c>
      <c r="F182" s="30" t="n">
        <v>1867</v>
      </c>
      <c r="G182" s="29" t="n"/>
      <c r="H182" s="29" t="n"/>
    </row>
    <row r="183">
      <c r="A183" s="27" t="n">
        <v>46054</v>
      </c>
      <c r="B183" s="28" t="inlineStr">
        <is>
          <t>Frozen</t>
        </is>
      </c>
      <c r="C183" s="28" t="inlineStr">
        <is>
          <t>Actual</t>
        </is>
      </c>
      <c r="D183" s="29" t="n">
        <v>5145.8</v>
      </c>
      <c r="E183" s="29" t="n">
        <v>2312</v>
      </c>
      <c r="F183" s="30" t="n">
        <v>820</v>
      </c>
      <c r="G183" s="29" t="n"/>
      <c r="H183" s="29" t="n"/>
    </row>
    <row r="184">
      <c r="A184" s="27" t="n">
        <v>46054</v>
      </c>
      <c r="B184" s="28" t="inlineStr">
        <is>
          <t>Grocery</t>
        </is>
      </c>
      <c r="C184" s="28" t="inlineStr">
        <is>
          <t>Actual</t>
        </is>
      </c>
      <c r="D184" s="29" t="n">
        <v>6874.31</v>
      </c>
      <c r="E184" s="29" t="n">
        <v>2397.11</v>
      </c>
      <c r="F184" s="30" t="n">
        <v>1119</v>
      </c>
      <c r="G184" s="29" t="n"/>
      <c r="H184" s="29" t="n"/>
    </row>
    <row r="185">
      <c r="A185" s="27" t="n">
        <v>46054</v>
      </c>
      <c r="B185" s="28" t="inlineStr">
        <is>
          <t>Health &amp; Beauty</t>
        </is>
      </c>
      <c r="C185" s="28" t="inlineStr">
        <is>
          <t>Actual</t>
        </is>
      </c>
      <c r="D185" s="29" t="n">
        <v>1234.56</v>
      </c>
      <c r="E185" s="29" t="n">
        <v>608.16</v>
      </c>
      <c r="F185" s="30" t="n">
        <v>144</v>
      </c>
      <c r="G185" s="29" t="n"/>
      <c r="H185" s="29" t="n"/>
    </row>
    <row r="186">
      <c r="A186" s="27" t="n">
        <v>46054</v>
      </c>
      <c r="B186" s="28" t="inlineStr">
        <is>
          <t>Household</t>
        </is>
      </c>
      <c r="C186" s="28" t="inlineStr">
        <is>
          <t>Actual</t>
        </is>
      </c>
      <c r="D186" s="29" t="n">
        <v>2141.35</v>
      </c>
      <c r="E186" s="29" t="n">
        <v>879.25</v>
      </c>
      <c r="F186" s="30" t="n">
        <v>265</v>
      </c>
      <c r="G186" s="29" t="n"/>
      <c r="H186" s="29" t="n"/>
    </row>
    <row r="187">
      <c r="A187" s="27" t="n">
        <v>46054</v>
      </c>
      <c r="B187" s="28" t="inlineStr">
        <is>
          <t>Produce</t>
        </is>
      </c>
      <c r="C187" s="28" t="inlineStr">
        <is>
          <t>Actual</t>
        </is>
      </c>
      <c r="D187" s="29" t="n">
        <v>1907.46</v>
      </c>
      <c r="E187" s="29" t="n">
        <v>817.7</v>
      </c>
      <c r="F187" s="30" t="n">
        <v>1244</v>
      </c>
      <c r="G187" s="29" t="n"/>
      <c r="H187" s="29" t="n"/>
    </row>
    <row r="188">
      <c r="A188" s="27" t="n">
        <v>46054</v>
      </c>
      <c r="B188" s="28" t="inlineStr">
        <is>
          <t>Snacks &amp; Confectionery</t>
        </is>
      </c>
      <c r="C188" s="28" t="inlineStr">
        <is>
          <t>Actual</t>
        </is>
      </c>
      <c r="D188" s="29" t="n">
        <v>7843.4</v>
      </c>
      <c r="E188" s="29" t="n">
        <v>3453.5</v>
      </c>
      <c r="F188" s="30" t="n">
        <v>1808</v>
      </c>
      <c r="G188" s="29" t="n"/>
      <c r="H188" s="29" t="n"/>
    </row>
    <row r="189">
      <c r="A189" s="27" t="n">
        <v>46082</v>
      </c>
      <c r="B189" s="28" t="inlineStr">
        <is>
          <t>Bakery</t>
        </is>
      </c>
      <c r="C189" s="28" t="inlineStr">
        <is>
          <t>Actual</t>
        </is>
      </c>
      <c r="D189" s="29" t="n">
        <v>4842.84</v>
      </c>
      <c r="E189" s="29" t="n">
        <v>1856.64</v>
      </c>
      <c r="F189" s="30" t="n">
        <v>1196</v>
      </c>
      <c r="G189" s="29" t="n"/>
      <c r="H189" s="29" t="n"/>
    </row>
    <row r="190">
      <c r="A190" s="27" t="n">
        <v>46082</v>
      </c>
      <c r="B190" s="28" t="inlineStr">
        <is>
          <t>Beer &amp; Wine</t>
        </is>
      </c>
      <c r="C190" s="28" t="inlineStr">
        <is>
          <t>Actual</t>
        </is>
      </c>
      <c r="D190" s="29" t="n">
        <v>12366.89</v>
      </c>
      <c r="E190" s="29" t="n">
        <v>4212.29</v>
      </c>
      <c r="F190" s="30" t="n">
        <v>651</v>
      </c>
      <c r="G190" s="29" t="n"/>
      <c r="H190" s="29" t="n"/>
    </row>
    <row r="191">
      <c r="A191" s="27" t="n">
        <v>46082</v>
      </c>
      <c r="B191" s="28" t="inlineStr">
        <is>
          <t>Beverages</t>
        </is>
      </c>
      <c r="C191" s="28" t="inlineStr">
        <is>
          <t>Actual</t>
        </is>
      </c>
      <c r="D191" s="29" t="n">
        <v>15097.25</v>
      </c>
      <c r="E191" s="29" t="n">
        <v>7763.55</v>
      </c>
      <c r="F191" s="30" t="n">
        <v>3725</v>
      </c>
      <c r="G191" s="29" t="n"/>
      <c r="H191" s="29" t="n"/>
    </row>
    <row r="192">
      <c r="A192" s="27" t="n">
        <v>46082</v>
      </c>
      <c r="B192" s="28" t="inlineStr">
        <is>
          <t>Dairy</t>
        </is>
      </c>
      <c r="C192" s="28" t="inlineStr">
        <is>
          <t>Actual</t>
        </is>
      </c>
      <c r="D192" s="29" t="n">
        <v>14294.73</v>
      </c>
      <c r="E192" s="29" t="n">
        <v>3967.23</v>
      </c>
      <c r="F192" s="30" t="n">
        <v>2465</v>
      </c>
      <c r="G192" s="29" t="n"/>
      <c r="H192" s="29" t="n"/>
    </row>
    <row r="193">
      <c r="A193" s="27" t="n">
        <v>46082</v>
      </c>
      <c r="B193" s="28" t="inlineStr">
        <is>
          <t>Food To Go</t>
        </is>
      </c>
      <c r="C193" s="28" t="inlineStr">
        <is>
          <t>Actual</t>
        </is>
      </c>
      <c r="D193" s="29" t="n">
        <v>16996.64</v>
      </c>
      <c r="E193" s="29" t="n">
        <v>8046.14</v>
      </c>
      <c r="F193" s="30" t="n">
        <v>2166</v>
      </c>
      <c r="G193" s="29" t="n"/>
      <c r="H193" s="29" t="n"/>
    </row>
    <row r="194">
      <c r="A194" s="27" t="n">
        <v>46082</v>
      </c>
      <c r="B194" s="28" t="inlineStr">
        <is>
          <t>Frozen</t>
        </is>
      </c>
      <c r="C194" s="28" t="inlineStr">
        <is>
          <t>Actual</t>
        </is>
      </c>
      <c r="D194" s="29" t="n">
        <v>6026.88</v>
      </c>
      <c r="E194" s="29" t="n">
        <v>2608.58</v>
      </c>
      <c r="F194" s="30" t="n">
        <v>892</v>
      </c>
      <c r="G194" s="29" t="n"/>
      <c r="H194" s="29" t="n"/>
    </row>
    <row r="195">
      <c r="A195" s="27" t="n">
        <v>46082</v>
      </c>
      <c r="B195" s="28" t="inlineStr">
        <is>
          <t>Grocery</t>
        </is>
      </c>
      <c r="C195" s="28" t="inlineStr">
        <is>
          <t>Actual</t>
        </is>
      </c>
      <c r="D195" s="29" t="n">
        <v>8644.700000000001</v>
      </c>
      <c r="E195" s="29" t="n">
        <v>2953.6</v>
      </c>
      <c r="F195" s="30" t="n">
        <v>1408</v>
      </c>
      <c r="G195" s="29" t="n"/>
      <c r="H195" s="29" t="n"/>
    </row>
    <row r="196">
      <c r="A196" s="27" t="n">
        <v>46082</v>
      </c>
      <c r="B196" s="28" t="inlineStr">
        <is>
          <t>Health &amp; Beauty</t>
        </is>
      </c>
      <c r="C196" s="28" t="inlineStr">
        <is>
          <t>Actual</t>
        </is>
      </c>
      <c r="D196" s="29" t="n">
        <v>1574.08</v>
      </c>
      <c r="E196" s="29" t="n">
        <v>758.6799999999999</v>
      </c>
      <c r="F196" s="30" t="n">
        <v>192</v>
      </c>
      <c r="G196" s="29" t="n"/>
      <c r="H196" s="29" t="n"/>
    </row>
    <row r="197">
      <c r="A197" s="27" t="n">
        <v>46082</v>
      </c>
      <c r="B197" s="28" t="inlineStr">
        <is>
          <t>Household</t>
        </is>
      </c>
      <c r="C197" s="28" t="inlineStr">
        <is>
          <t>Actual</t>
        </is>
      </c>
      <c r="D197" s="29" t="n">
        <v>2551.93</v>
      </c>
      <c r="E197" s="29" t="n">
        <v>1083.63</v>
      </c>
      <c r="F197" s="30" t="n">
        <v>307</v>
      </c>
      <c r="G197" s="29" t="n"/>
      <c r="H197" s="29" t="n"/>
    </row>
    <row r="198">
      <c r="A198" s="27" t="n">
        <v>46082</v>
      </c>
      <c r="B198" s="28" t="inlineStr">
        <is>
          <t>Produce</t>
        </is>
      </c>
      <c r="C198" s="28" t="inlineStr">
        <is>
          <t>Actual</t>
        </is>
      </c>
      <c r="D198" s="29" t="n">
        <v>2222.71</v>
      </c>
      <c r="E198" s="29" t="n">
        <v>968.09</v>
      </c>
      <c r="F198" s="30" t="n">
        <v>1459</v>
      </c>
      <c r="G198" s="29" t="n"/>
      <c r="H198" s="29" t="n"/>
    </row>
    <row r="199">
      <c r="A199" s="27" t="n">
        <v>46082</v>
      </c>
      <c r="B199" s="28" t="inlineStr">
        <is>
          <t>Snacks &amp; Confectionery</t>
        </is>
      </c>
      <c r="C199" s="28" t="inlineStr">
        <is>
          <t>Actual</t>
        </is>
      </c>
      <c r="D199" s="29" t="n">
        <v>8735.690000000001</v>
      </c>
      <c r="E199" s="29" t="n">
        <v>3876.19</v>
      </c>
      <c r="F199" s="30" t="n">
        <v>2001</v>
      </c>
      <c r="G199" s="29" t="n"/>
      <c r="H199" s="29" t="n"/>
    </row>
    <row r="200">
      <c r="A200" s="27" t="n">
        <v>46113</v>
      </c>
      <c r="B200" s="28" t="inlineStr">
        <is>
          <t>Bakery</t>
        </is>
      </c>
      <c r="C200" s="28" t="inlineStr">
        <is>
          <t>Actual</t>
        </is>
      </c>
      <c r="D200" s="29" t="n">
        <v>4545.58</v>
      </c>
      <c r="E200" s="29" t="n">
        <v>1731.58</v>
      </c>
      <c r="F200" s="30" t="n">
        <v>1122</v>
      </c>
      <c r="G200" s="29" t="n"/>
      <c r="H200" s="29" t="n"/>
    </row>
    <row r="201">
      <c r="A201" s="27" t="n">
        <v>46113</v>
      </c>
      <c r="B201" s="28" t="inlineStr">
        <is>
          <t>Beer &amp; Wine</t>
        </is>
      </c>
      <c r="C201" s="28" t="inlineStr">
        <is>
          <t>Actual</t>
        </is>
      </c>
      <c r="D201" s="29" t="n">
        <v>9539.6</v>
      </c>
      <c r="E201" s="29" t="n">
        <v>3270.5</v>
      </c>
      <c r="F201" s="30" t="n">
        <v>500</v>
      </c>
      <c r="G201" s="29" t="n"/>
      <c r="H201" s="29" t="n"/>
    </row>
    <row r="202">
      <c r="A202" s="27" t="n">
        <v>46113</v>
      </c>
      <c r="B202" s="28" t="inlineStr">
        <is>
          <t>Beverages</t>
        </is>
      </c>
      <c r="C202" s="28" t="inlineStr">
        <is>
          <t>Actual</t>
        </is>
      </c>
      <c r="D202" s="29" t="n">
        <v>13019.21</v>
      </c>
      <c r="E202" s="29" t="n">
        <v>6642.71</v>
      </c>
      <c r="F202" s="30" t="n">
        <v>3169</v>
      </c>
      <c r="G202" s="29" t="n"/>
      <c r="H202" s="29" t="n"/>
    </row>
    <row r="203">
      <c r="A203" s="27" t="n">
        <v>46113</v>
      </c>
      <c r="B203" s="28" t="inlineStr">
        <is>
          <t>Dairy</t>
        </is>
      </c>
      <c r="C203" s="28" t="inlineStr">
        <is>
          <t>Actual</t>
        </is>
      </c>
      <c r="D203" s="29" t="n">
        <v>13840.21</v>
      </c>
      <c r="E203" s="29" t="n">
        <v>3791.41</v>
      </c>
      <c r="F203" s="30" t="n">
        <v>2407</v>
      </c>
      <c r="G203" s="29" t="n"/>
      <c r="H203" s="29" t="n"/>
    </row>
    <row r="204">
      <c r="A204" s="27" t="n">
        <v>46113</v>
      </c>
      <c r="B204" s="28" t="inlineStr">
        <is>
          <t>Food To Go</t>
        </is>
      </c>
      <c r="C204" s="28" t="inlineStr">
        <is>
          <t>Actual</t>
        </is>
      </c>
      <c r="D204" s="29" t="n">
        <v>15770.28</v>
      </c>
      <c r="E204" s="29" t="n">
        <v>7510.28</v>
      </c>
      <c r="F204" s="30" t="n">
        <v>2052</v>
      </c>
      <c r="G204" s="29" t="n"/>
      <c r="H204" s="29" t="n"/>
    </row>
    <row r="205">
      <c r="A205" s="27" t="n">
        <v>46113</v>
      </c>
      <c r="B205" s="28" t="inlineStr">
        <is>
          <t>Frozen</t>
        </is>
      </c>
      <c r="C205" s="28" t="inlineStr">
        <is>
          <t>Actual</t>
        </is>
      </c>
      <c r="D205" s="29" t="n">
        <v>5361.97</v>
      </c>
      <c r="E205" s="29" t="n">
        <v>2367.67</v>
      </c>
      <c r="F205" s="30" t="n">
        <v>803</v>
      </c>
      <c r="G205" s="29" t="n"/>
      <c r="H205" s="29" t="n"/>
    </row>
    <row r="206">
      <c r="A206" s="27" t="n">
        <v>46113</v>
      </c>
      <c r="B206" s="28" t="inlineStr">
        <is>
          <t>Grocery</t>
        </is>
      </c>
      <c r="C206" s="28" t="inlineStr">
        <is>
          <t>Actual</t>
        </is>
      </c>
      <c r="D206" s="29" t="n">
        <v>8268.030000000001</v>
      </c>
      <c r="E206" s="29" t="n">
        <v>2856.23</v>
      </c>
      <c r="F206" s="30" t="n">
        <v>1367</v>
      </c>
      <c r="G206" s="29" t="n"/>
      <c r="H206" s="29" t="n"/>
    </row>
    <row r="207">
      <c r="A207" s="27" t="n">
        <v>46113</v>
      </c>
      <c r="B207" s="28" t="inlineStr">
        <is>
          <t>Health &amp; Beauty</t>
        </is>
      </c>
      <c r="C207" s="28" t="inlineStr">
        <is>
          <t>Actual</t>
        </is>
      </c>
      <c r="D207" s="29" t="n">
        <v>1374.32</v>
      </c>
      <c r="E207" s="29" t="n">
        <v>683.12</v>
      </c>
      <c r="F207" s="30" t="n">
        <v>168</v>
      </c>
      <c r="G207" s="29" t="n"/>
      <c r="H207" s="29" t="n"/>
    </row>
    <row r="208">
      <c r="A208" s="27" t="n">
        <v>46113</v>
      </c>
      <c r="B208" s="28" t="inlineStr">
        <is>
          <t>Household</t>
        </is>
      </c>
      <c r="C208" s="28" t="inlineStr">
        <is>
          <t>Actual</t>
        </is>
      </c>
      <c r="D208" s="29" t="n">
        <v>1877.74</v>
      </c>
      <c r="E208" s="29" t="n">
        <v>772.54</v>
      </c>
      <c r="F208" s="30" t="n">
        <v>226</v>
      </c>
      <c r="G208" s="29" t="n"/>
      <c r="H208" s="29" t="n"/>
    </row>
    <row r="209">
      <c r="A209" s="27" t="n">
        <v>46113</v>
      </c>
      <c r="B209" s="28" t="inlineStr">
        <is>
          <t>Produce</t>
        </is>
      </c>
      <c r="C209" s="28" t="inlineStr">
        <is>
          <t>Actual</t>
        </is>
      </c>
      <c r="D209" s="29" t="n">
        <v>2098.7</v>
      </c>
      <c r="E209" s="29" t="n">
        <v>911.42</v>
      </c>
      <c r="F209" s="30" t="n">
        <v>1350</v>
      </c>
      <c r="G209" s="29" t="n"/>
      <c r="H209" s="29" t="n"/>
    </row>
    <row r="210">
      <c r="A210" s="27" t="n">
        <v>46113</v>
      </c>
      <c r="B210" s="28" t="inlineStr">
        <is>
          <t>Snacks &amp; Confectionery</t>
        </is>
      </c>
      <c r="C210" s="28" t="inlineStr">
        <is>
          <t>Actual</t>
        </is>
      </c>
      <c r="D210" s="29" t="n">
        <v>8185.98</v>
      </c>
      <c r="E210" s="29" t="n">
        <v>3624.08</v>
      </c>
      <c r="F210" s="30" t="n">
        <v>1902</v>
      </c>
      <c r="G210" s="29" t="n"/>
      <c r="H210" s="29" t="n"/>
    </row>
    <row r="211">
      <c r="A211" s="27" t="n">
        <v>46143</v>
      </c>
      <c r="B211" s="28" t="inlineStr">
        <is>
          <t>Bakery</t>
        </is>
      </c>
      <c r="C211" s="28" t="inlineStr">
        <is>
          <t>Actual</t>
        </is>
      </c>
      <c r="D211" s="29" t="n">
        <v>5165.52</v>
      </c>
      <c r="E211" s="29" t="n">
        <v>1983.72</v>
      </c>
      <c r="F211" s="30" t="n">
        <v>1258</v>
      </c>
      <c r="G211" s="29" t="n"/>
      <c r="H211" s="29" t="n"/>
    </row>
    <row r="212">
      <c r="A212" s="27" t="n">
        <v>46143</v>
      </c>
      <c r="B212" s="28" t="inlineStr">
        <is>
          <t>Beer &amp; Wine</t>
        </is>
      </c>
      <c r="C212" s="28" t="inlineStr">
        <is>
          <t>Actual</t>
        </is>
      </c>
      <c r="D212" s="29" t="n">
        <v>9796.27</v>
      </c>
      <c r="E212" s="29" t="n">
        <v>3314.17</v>
      </c>
      <c r="F212" s="30" t="n">
        <v>513</v>
      </c>
      <c r="G212" s="29" t="n"/>
      <c r="H212" s="29" t="n"/>
    </row>
    <row r="213">
      <c r="A213" s="27" t="n">
        <v>46143</v>
      </c>
      <c r="B213" s="28" t="inlineStr">
        <is>
          <t>Beverages</t>
        </is>
      </c>
      <c r="C213" s="28" t="inlineStr">
        <is>
          <t>Actual</t>
        </is>
      </c>
      <c r="D213" s="29" t="n">
        <v>11765.75</v>
      </c>
      <c r="E213" s="29" t="n">
        <v>5910.6</v>
      </c>
      <c r="F213" s="30" t="n">
        <v>2889</v>
      </c>
      <c r="G213" s="29" t="n"/>
      <c r="H213" s="29" t="n"/>
    </row>
    <row r="214">
      <c r="A214" s="27" t="n">
        <v>46143</v>
      </c>
      <c r="B214" s="28" t="inlineStr">
        <is>
          <t>Dairy</t>
        </is>
      </c>
      <c r="C214" s="28" t="inlineStr">
        <is>
          <t>Actual</t>
        </is>
      </c>
      <c r="D214" s="29" t="n">
        <v>13862.62</v>
      </c>
      <c r="E214" s="29" t="n">
        <v>3880.17</v>
      </c>
      <c r="F214" s="30" t="n">
        <v>2466</v>
      </c>
      <c r="G214" s="29" t="n"/>
      <c r="H214" s="29" t="n"/>
    </row>
    <row r="215">
      <c r="A215" s="27" t="n">
        <v>46143</v>
      </c>
      <c r="B215" s="28" t="inlineStr">
        <is>
          <t>Food To Go</t>
        </is>
      </c>
      <c r="C215" s="28" t="inlineStr">
        <is>
          <t>Actual</t>
        </is>
      </c>
      <c r="D215" s="29" t="n">
        <v>15499.36</v>
      </c>
      <c r="E215" s="29" t="n">
        <v>7522.56</v>
      </c>
      <c r="F215" s="30" t="n">
        <v>2064</v>
      </c>
      <c r="G215" s="29" t="n"/>
      <c r="H215" s="29" t="n"/>
    </row>
    <row r="216">
      <c r="A216" s="27" t="n">
        <v>46143</v>
      </c>
      <c r="B216" s="28" t="inlineStr">
        <is>
          <t>Frozen</t>
        </is>
      </c>
      <c r="C216" s="28" t="inlineStr">
        <is>
          <t>Actual</t>
        </is>
      </c>
      <c r="D216" s="29" t="n">
        <v>5928.46</v>
      </c>
      <c r="E216" s="29" t="n">
        <v>2597.16</v>
      </c>
      <c r="F216" s="30" t="n">
        <v>854</v>
      </c>
      <c r="G216" s="29" t="n"/>
      <c r="H216" s="29" t="n"/>
    </row>
    <row r="217">
      <c r="A217" s="27" t="n">
        <v>46143</v>
      </c>
      <c r="B217" s="28" t="inlineStr">
        <is>
          <t>Grocery</t>
        </is>
      </c>
      <c r="C217" s="28" t="inlineStr">
        <is>
          <t>Actual</t>
        </is>
      </c>
      <c r="D217" s="29" t="n">
        <v>8997.27</v>
      </c>
      <c r="E217" s="29" t="n">
        <v>3184.37</v>
      </c>
      <c r="F217" s="30" t="n">
        <v>1543</v>
      </c>
      <c r="G217" s="29" t="n"/>
      <c r="H217" s="29" t="n"/>
    </row>
    <row r="218">
      <c r="A218" s="27" t="n">
        <v>46143</v>
      </c>
      <c r="B218" s="28" t="inlineStr">
        <is>
          <t>Health &amp; Beauty</t>
        </is>
      </c>
      <c r="C218" s="28" t="inlineStr">
        <is>
          <t>Actual</t>
        </is>
      </c>
      <c r="D218" s="29" t="n">
        <v>1522.92</v>
      </c>
      <c r="E218" s="29" t="n">
        <v>774.3200000000001</v>
      </c>
      <c r="F218" s="30" t="n">
        <v>208</v>
      </c>
      <c r="G218" s="29" t="n"/>
      <c r="H218" s="29" t="n"/>
    </row>
    <row r="219">
      <c r="A219" s="27" t="n">
        <v>46143</v>
      </c>
      <c r="B219" s="28" t="inlineStr">
        <is>
          <t>Household</t>
        </is>
      </c>
      <c r="C219" s="28" t="inlineStr">
        <is>
          <t>Actual</t>
        </is>
      </c>
      <c r="D219" s="29" t="n">
        <v>2240.22</v>
      </c>
      <c r="E219" s="29" t="n">
        <v>912.42</v>
      </c>
      <c r="F219" s="30" t="n">
        <v>278</v>
      </c>
      <c r="G219" s="29" t="n"/>
      <c r="H219" s="29" t="n"/>
    </row>
    <row r="220">
      <c r="A220" s="27" t="n">
        <v>46143</v>
      </c>
      <c r="B220" s="28" t="inlineStr">
        <is>
          <t>Produce</t>
        </is>
      </c>
      <c r="C220" s="28" t="inlineStr">
        <is>
          <t>Actual</t>
        </is>
      </c>
      <c r="D220" s="29" t="n">
        <v>1792.2</v>
      </c>
      <c r="E220" s="29" t="n">
        <v>783.54</v>
      </c>
      <c r="F220" s="30" t="n">
        <v>1320</v>
      </c>
      <c r="G220" s="29" t="n"/>
      <c r="H220" s="29" t="n"/>
    </row>
    <row r="221">
      <c r="A221" s="27" t="n">
        <v>46143</v>
      </c>
      <c r="B221" s="28" t="inlineStr">
        <is>
          <t>Snacks &amp; Confectionery</t>
        </is>
      </c>
      <c r="C221" s="28" t="inlineStr">
        <is>
          <t>Actual</t>
        </is>
      </c>
      <c r="D221" s="29" t="n">
        <v>8809.950000000001</v>
      </c>
      <c r="E221" s="29" t="n">
        <v>3929.75</v>
      </c>
      <c r="F221" s="30" t="n">
        <v>2003</v>
      </c>
      <c r="G221" s="29" t="n"/>
      <c r="H221" s="29" t="n"/>
    </row>
    <row r="222">
      <c r="A222" s="27" t="n">
        <v>46174</v>
      </c>
      <c r="B222" s="28" t="inlineStr">
        <is>
          <t>Bakery</t>
        </is>
      </c>
      <c r="C222" s="28" t="inlineStr">
        <is>
          <t>Actual</t>
        </is>
      </c>
      <c r="D222" s="29" t="n">
        <v>4917.51</v>
      </c>
      <c r="E222" s="29" t="n">
        <v>1877.51</v>
      </c>
      <c r="F222" s="30" t="n">
        <v>1205</v>
      </c>
      <c r="G222" s="29" t="n"/>
      <c r="H222" s="29" t="n"/>
    </row>
    <row r="223">
      <c r="A223" s="27" t="n">
        <v>46174</v>
      </c>
      <c r="B223" s="28" t="inlineStr">
        <is>
          <t>Beer &amp; Wine</t>
        </is>
      </c>
      <c r="C223" s="28" t="inlineStr">
        <is>
          <t>Actual</t>
        </is>
      </c>
      <c r="D223" s="29" t="n">
        <v>8079.88</v>
      </c>
      <c r="E223" s="29" t="n">
        <v>2788.18</v>
      </c>
      <c r="F223" s="30" t="n">
        <v>412</v>
      </c>
      <c r="G223" s="29" t="n"/>
      <c r="H223" s="29" t="n"/>
    </row>
    <row r="224">
      <c r="A224" s="27" t="n">
        <v>46174</v>
      </c>
      <c r="B224" s="28" t="inlineStr">
        <is>
          <t>Beverages</t>
        </is>
      </c>
      <c r="C224" s="28" t="inlineStr">
        <is>
          <t>Actual</t>
        </is>
      </c>
      <c r="D224" s="29" t="n">
        <v>9996.52</v>
      </c>
      <c r="E224" s="29" t="n">
        <v>5052.32</v>
      </c>
      <c r="F224" s="30" t="n">
        <v>2418</v>
      </c>
      <c r="G224" s="29" t="n"/>
      <c r="H224" s="29" t="n"/>
    </row>
    <row r="225">
      <c r="A225" s="27" t="n">
        <v>46174</v>
      </c>
      <c r="B225" s="28" t="inlineStr">
        <is>
          <t>Dairy</t>
        </is>
      </c>
      <c r="C225" s="28" t="inlineStr">
        <is>
          <t>Actual</t>
        </is>
      </c>
      <c r="D225" s="29" t="n">
        <v>14048.97</v>
      </c>
      <c r="E225" s="29" t="n">
        <v>3972.67</v>
      </c>
      <c r="F225" s="30" t="n">
        <v>2423</v>
      </c>
      <c r="G225" s="29" t="n"/>
      <c r="H225" s="29" t="n"/>
    </row>
    <row r="226">
      <c r="A226" s="27" t="n">
        <v>46174</v>
      </c>
      <c r="B226" s="28" t="inlineStr">
        <is>
          <t>Food To Go</t>
        </is>
      </c>
      <c r="C226" s="28" t="inlineStr">
        <is>
          <t>Actual</t>
        </is>
      </c>
      <c r="D226" s="29" t="n">
        <v>14215.33</v>
      </c>
      <c r="E226" s="29" t="n">
        <v>6894.43</v>
      </c>
      <c r="F226" s="30" t="n">
        <v>1917</v>
      </c>
      <c r="G226" s="29" t="n"/>
      <c r="H226" s="29" t="n"/>
    </row>
    <row r="227">
      <c r="A227" s="27" t="n">
        <v>46174</v>
      </c>
      <c r="B227" s="28" t="inlineStr">
        <is>
          <t>Frozen</t>
        </is>
      </c>
      <c r="C227" s="28" t="inlineStr">
        <is>
          <t>Actual</t>
        </is>
      </c>
      <c r="D227" s="29" t="n">
        <v>5972.94</v>
      </c>
      <c r="E227" s="29" t="n">
        <v>2570.44</v>
      </c>
      <c r="F227" s="30" t="n">
        <v>806</v>
      </c>
      <c r="G227" s="29" t="n"/>
      <c r="H227" s="29" t="n"/>
    </row>
    <row r="228">
      <c r="A228" s="27" t="n">
        <v>46174</v>
      </c>
      <c r="B228" s="28" t="inlineStr">
        <is>
          <t>Grocery</t>
        </is>
      </c>
      <c r="C228" s="28" t="inlineStr">
        <is>
          <t>Actual</t>
        </is>
      </c>
      <c r="D228" s="29" t="n">
        <v>8883.559999999999</v>
      </c>
      <c r="E228" s="29" t="n">
        <v>3145.36</v>
      </c>
      <c r="F228" s="30" t="n">
        <v>1544</v>
      </c>
      <c r="G228" s="29" t="n"/>
      <c r="H228" s="29" t="n"/>
    </row>
    <row r="229">
      <c r="A229" s="27" t="n">
        <v>46174</v>
      </c>
      <c r="B229" s="28" t="inlineStr">
        <is>
          <t>Health &amp; Beauty</t>
        </is>
      </c>
      <c r="C229" s="28" t="inlineStr">
        <is>
          <t>Actual</t>
        </is>
      </c>
      <c r="D229" s="29" t="n">
        <v>1470.72</v>
      </c>
      <c r="E229" s="29" t="n">
        <v>769.3200000000001</v>
      </c>
      <c r="F229" s="30" t="n">
        <v>228</v>
      </c>
      <c r="G229" s="29" t="n"/>
      <c r="H229" s="29" t="n"/>
    </row>
    <row r="230">
      <c r="A230" s="27" t="n">
        <v>46174</v>
      </c>
      <c r="B230" s="28" t="inlineStr">
        <is>
          <t>Household</t>
        </is>
      </c>
      <c r="C230" s="28" t="inlineStr">
        <is>
          <t>Actual</t>
        </is>
      </c>
      <c r="D230" s="29" t="n">
        <v>2368.07</v>
      </c>
      <c r="E230" s="29" t="n">
        <v>958.97</v>
      </c>
      <c r="F230" s="30" t="n">
        <v>293</v>
      </c>
      <c r="G230" s="29" t="n"/>
      <c r="H230" s="29" t="n"/>
    </row>
    <row r="231">
      <c r="A231" s="27" t="n">
        <v>46174</v>
      </c>
      <c r="B231" s="28" t="inlineStr">
        <is>
          <t>Produce</t>
        </is>
      </c>
      <c r="C231" s="28" t="inlineStr">
        <is>
          <t>Actual</t>
        </is>
      </c>
      <c r="D231" s="29" t="n">
        <v>1631.17</v>
      </c>
      <c r="E231" s="29" t="n">
        <v>713.51</v>
      </c>
      <c r="F231" s="30" t="n">
        <v>1273</v>
      </c>
      <c r="G231" s="29" t="n"/>
      <c r="H231" s="29" t="n"/>
    </row>
    <row r="232">
      <c r="A232" s="27" t="n">
        <v>46174</v>
      </c>
      <c r="B232" s="28" t="inlineStr">
        <is>
          <t>Snacks &amp; Confectionery</t>
        </is>
      </c>
      <c r="C232" s="28" t="inlineStr">
        <is>
          <t>Actual</t>
        </is>
      </c>
      <c r="D232" s="29" t="n">
        <v>8699.959999999999</v>
      </c>
      <c r="E232" s="29" t="n">
        <v>3884.66</v>
      </c>
      <c r="F232" s="30" t="n">
        <v>1986</v>
      </c>
      <c r="G232" s="29" t="n"/>
      <c r="H232" s="29" t="n"/>
    </row>
    <row r="233">
      <c r="A233" s="27" t="n">
        <v>46204</v>
      </c>
      <c r="B233" s="28" t="inlineStr">
        <is>
          <t>Bakery</t>
        </is>
      </c>
      <c r="C233" s="28" t="inlineStr">
        <is>
          <t>Actual</t>
        </is>
      </c>
      <c r="D233" s="29" t="n">
        <v>5189.17</v>
      </c>
      <c r="E233" s="29" t="n">
        <v>1983.07</v>
      </c>
      <c r="F233" s="30" t="n">
        <v>1265</v>
      </c>
      <c r="G233" s="29" t="n"/>
      <c r="H233" s="29" t="n"/>
    </row>
    <row r="234">
      <c r="A234" s="27" t="n">
        <v>46204</v>
      </c>
      <c r="B234" s="28" t="inlineStr">
        <is>
          <t>Beer &amp; Wine</t>
        </is>
      </c>
      <c r="C234" s="28" t="inlineStr">
        <is>
          <t>Actual</t>
        </is>
      </c>
      <c r="D234" s="29" t="n">
        <v>8830.42</v>
      </c>
      <c r="E234" s="29" t="n">
        <v>2985.12</v>
      </c>
      <c r="F234" s="30" t="n">
        <v>458</v>
      </c>
      <c r="G234" s="29" t="n"/>
      <c r="H234" s="29" t="n"/>
    </row>
    <row r="235">
      <c r="A235" s="27" t="n">
        <v>46204</v>
      </c>
      <c r="B235" s="28" t="inlineStr">
        <is>
          <t>Beverages</t>
        </is>
      </c>
      <c r="C235" s="28" t="inlineStr">
        <is>
          <t>Actual</t>
        </is>
      </c>
      <c r="D235" s="29" t="n">
        <v>9738.25</v>
      </c>
      <c r="E235" s="29" t="n">
        <v>4977.75</v>
      </c>
      <c r="F235" s="30" t="n">
        <v>2405</v>
      </c>
      <c r="G235" s="29" t="n"/>
      <c r="H235" s="29" t="n"/>
    </row>
    <row r="236">
      <c r="A236" s="27" t="n">
        <v>46204</v>
      </c>
      <c r="B236" s="28" t="inlineStr">
        <is>
          <t>Dairy</t>
        </is>
      </c>
      <c r="C236" s="28" t="inlineStr">
        <is>
          <t>Actual</t>
        </is>
      </c>
      <c r="D236" s="29" t="n">
        <v>14461.37</v>
      </c>
      <c r="E236" s="29" t="n">
        <v>4059.07</v>
      </c>
      <c r="F236" s="30" t="n">
        <v>2483</v>
      </c>
      <c r="G236" s="29" t="n"/>
      <c r="H236" s="29" t="n"/>
    </row>
    <row r="237">
      <c r="A237" s="27" t="n">
        <v>46204</v>
      </c>
      <c r="B237" s="28" t="inlineStr">
        <is>
          <t>Food To Go</t>
        </is>
      </c>
      <c r="C237" s="28" t="inlineStr">
        <is>
          <t>Actual</t>
        </is>
      </c>
      <c r="D237" s="29" t="n">
        <v>14945.34</v>
      </c>
      <c r="E237" s="29" t="n">
        <v>7273.74</v>
      </c>
      <c r="F237" s="30" t="n">
        <v>2026</v>
      </c>
      <c r="G237" s="29" t="n"/>
      <c r="H237" s="29" t="n"/>
    </row>
    <row r="238">
      <c r="A238" s="27" t="n">
        <v>46204</v>
      </c>
      <c r="B238" s="28" t="inlineStr">
        <is>
          <t>Frozen</t>
        </is>
      </c>
      <c r="C238" s="28" t="inlineStr">
        <is>
          <t>Actual</t>
        </is>
      </c>
      <c r="D238" s="29" t="n">
        <v>6203.5</v>
      </c>
      <c r="E238" s="29" t="n">
        <v>2688.1</v>
      </c>
      <c r="F238" s="30" t="n">
        <v>850</v>
      </c>
      <c r="G238" s="29" t="n"/>
      <c r="H238" s="29" t="n"/>
    </row>
    <row r="239">
      <c r="A239" s="27" t="n">
        <v>46204</v>
      </c>
      <c r="B239" s="28" t="inlineStr">
        <is>
          <t>Grocery</t>
        </is>
      </c>
      <c r="C239" s="28" t="inlineStr">
        <is>
          <t>Actual</t>
        </is>
      </c>
      <c r="D239" s="29" t="n">
        <v>9181.52</v>
      </c>
      <c r="E239" s="29" t="n">
        <v>3225.32</v>
      </c>
      <c r="F239" s="30" t="n">
        <v>1558</v>
      </c>
      <c r="G239" s="29" t="n"/>
      <c r="H239" s="29" t="n"/>
    </row>
    <row r="240">
      <c r="A240" s="27" t="n">
        <v>46204</v>
      </c>
      <c r="B240" s="28" t="inlineStr">
        <is>
          <t>Health &amp; Beauty</t>
        </is>
      </c>
      <c r="C240" s="28" t="inlineStr">
        <is>
          <t>Actual</t>
        </is>
      </c>
      <c r="D240" s="29" t="n">
        <v>1231.9</v>
      </c>
      <c r="E240" s="29" t="n">
        <v>645.1</v>
      </c>
      <c r="F240" s="30" t="n">
        <v>210</v>
      </c>
      <c r="G240" s="29" t="n"/>
      <c r="H240" s="29" t="n"/>
    </row>
    <row r="241">
      <c r="A241" s="27" t="n">
        <v>46204</v>
      </c>
      <c r="B241" s="28" t="inlineStr">
        <is>
          <t>Household</t>
        </is>
      </c>
      <c r="C241" s="28" t="inlineStr">
        <is>
          <t>Actual</t>
        </is>
      </c>
      <c r="D241" s="29" t="n">
        <v>2332.2</v>
      </c>
      <c r="E241" s="29" t="n">
        <v>959.6</v>
      </c>
      <c r="F241" s="30" t="n">
        <v>280</v>
      </c>
      <c r="G241" s="29" t="n"/>
      <c r="H241" s="29" t="n"/>
    </row>
    <row r="242">
      <c r="A242" s="27" t="n">
        <v>46204</v>
      </c>
      <c r="B242" s="28" t="inlineStr">
        <is>
          <t>Produce</t>
        </is>
      </c>
      <c r="C242" s="28" t="inlineStr">
        <is>
          <t>Actual</t>
        </is>
      </c>
      <c r="D242" s="29" t="n">
        <v>1569.85</v>
      </c>
      <c r="E242" s="29" t="n">
        <v>686.8099999999999</v>
      </c>
      <c r="F242" s="30" t="n">
        <v>1225</v>
      </c>
      <c r="G242" s="29" t="n"/>
      <c r="H242" s="29" t="n"/>
    </row>
    <row r="243">
      <c r="A243" s="27" t="n">
        <v>46204</v>
      </c>
      <c r="B243" s="28" t="inlineStr">
        <is>
          <t>Snacks &amp; Confectionery</t>
        </is>
      </c>
      <c r="C243" s="28" t="inlineStr">
        <is>
          <t>Actual</t>
        </is>
      </c>
      <c r="D243" s="29" t="n">
        <v>9249.77</v>
      </c>
      <c r="E243" s="29" t="n">
        <v>4042.77</v>
      </c>
      <c r="F243" s="30" t="n">
        <v>2143</v>
      </c>
      <c r="G243" s="29" t="n"/>
      <c r="H243" s="29" t="n"/>
    </row>
    <row r="244">
      <c r="A244" s="27" t="n">
        <v>46235</v>
      </c>
      <c r="B244" s="28" t="inlineStr">
        <is>
          <t>Bakery</t>
        </is>
      </c>
      <c r="C244" s="28" t="inlineStr">
        <is>
          <t>Actual</t>
        </is>
      </c>
      <c r="D244" s="29" t="n">
        <v>5111.89</v>
      </c>
      <c r="E244" s="29" t="n">
        <v>1994.89</v>
      </c>
      <c r="F244" s="30" t="n">
        <v>1221</v>
      </c>
      <c r="G244" s="29" t="n"/>
      <c r="H244" s="29" t="n"/>
    </row>
    <row r="245">
      <c r="A245" s="27" t="n">
        <v>46235</v>
      </c>
      <c r="B245" s="28" t="inlineStr">
        <is>
          <t>Beer &amp; Wine</t>
        </is>
      </c>
      <c r="C245" s="28" t="inlineStr">
        <is>
          <t>Actual</t>
        </is>
      </c>
      <c r="D245" s="29" t="n">
        <v>8312.459999999999</v>
      </c>
      <c r="E245" s="29" t="n">
        <v>2860.26</v>
      </c>
      <c r="F245" s="30" t="n">
        <v>434</v>
      </c>
      <c r="G245" s="29" t="n"/>
      <c r="H245" s="29" t="n"/>
    </row>
    <row r="246">
      <c r="A246" s="27" t="n">
        <v>46235</v>
      </c>
      <c r="B246" s="28" t="inlineStr">
        <is>
          <t>Beverages</t>
        </is>
      </c>
      <c r="C246" s="28" t="inlineStr">
        <is>
          <t>Actual</t>
        </is>
      </c>
      <c r="D246" s="29" t="n">
        <v>9908.870000000001</v>
      </c>
      <c r="E246" s="29" t="n">
        <v>5074.87</v>
      </c>
      <c r="F246" s="30" t="n">
        <v>2423</v>
      </c>
      <c r="G246" s="29" t="n"/>
      <c r="H246" s="29" t="n"/>
    </row>
    <row r="247">
      <c r="A247" s="27" t="n">
        <v>46235</v>
      </c>
      <c r="B247" s="28" t="inlineStr">
        <is>
          <t>Dairy</t>
        </is>
      </c>
      <c r="C247" s="28" t="inlineStr">
        <is>
          <t>Actual</t>
        </is>
      </c>
      <c r="D247" s="29" t="n">
        <v>13735.33</v>
      </c>
      <c r="E247" s="29" t="n">
        <v>3857.03</v>
      </c>
      <c r="F247" s="30" t="n">
        <v>2373</v>
      </c>
      <c r="G247" s="29" t="n"/>
      <c r="H247" s="29" t="n"/>
    </row>
    <row r="248">
      <c r="A248" s="27" t="n">
        <v>46235</v>
      </c>
      <c r="B248" s="28" t="inlineStr">
        <is>
          <t>Food To Go</t>
        </is>
      </c>
      <c r="C248" s="28" t="inlineStr">
        <is>
          <t>Actual</t>
        </is>
      </c>
      <c r="D248" s="29" t="n">
        <v>15421.66</v>
      </c>
      <c r="E248" s="29" t="n">
        <v>7453.86</v>
      </c>
      <c r="F248" s="30" t="n">
        <v>2084</v>
      </c>
      <c r="G248" s="29" t="n"/>
      <c r="H248" s="29" t="n"/>
    </row>
    <row r="249">
      <c r="A249" s="27" t="n">
        <v>46235</v>
      </c>
      <c r="B249" s="28" t="inlineStr">
        <is>
          <t>Frozen</t>
        </is>
      </c>
      <c r="C249" s="28" t="inlineStr">
        <is>
          <t>Actual</t>
        </is>
      </c>
      <c r="D249" s="29" t="n">
        <v>6010.43</v>
      </c>
      <c r="E249" s="29" t="n">
        <v>2587.93</v>
      </c>
      <c r="F249" s="30" t="n">
        <v>817</v>
      </c>
      <c r="G249" s="29" t="n"/>
      <c r="H249" s="29" t="n"/>
    </row>
    <row r="250">
      <c r="A250" s="27" t="n">
        <v>46235</v>
      </c>
      <c r="B250" s="28" t="inlineStr">
        <is>
          <t>Grocery</t>
        </is>
      </c>
      <c r="C250" s="28" t="inlineStr">
        <is>
          <t>Actual</t>
        </is>
      </c>
      <c r="D250" s="29" t="n">
        <v>9283.700000000001</v>
      </c>
      <c r="E250" s="29" t="n">
        <v>3281.4</v>
      </c>
      <c r="F250" s="30" t="n">
        <v>1618</v>
      </c>
      <c r="G250" s="29" t="n"/>
      <c r="H250" s="29" t="n"/>
    </row>
    <row r="251">
      <c r="A251" s="27" t="n">
        <v>46235</v>
      </c>
      <c r="B251" s="28" t="inlineStr">
        <is>
          <t>Health &amp; Beauty</t>
        </is>
      </c>
      <c r="C251" s="28" t="inlineStr">
        <is>
          <t>Actual</t>
        </is>
      </c>
      <c r="D251" s="29" t="n">
        <v>1453.79</v>
      </c>
      <c r="E251" s="29" t="n">
        <v>756.99</v>
      </c>
      <c r="F251" s="30" t="n">
        <v>221</v>
      </c>
      <c r="G251" s="29" t="n"/>
      <c r="H251" s="29" t="n"/>
    </row>
    <row r="252">
      <c r="A252" s="27" t="n">
        <v>46235</v>
      </c>
      <c r="B252" s="28" t="inlineStr">
        <is>
          <t>Household</t>
        </is>
      </c>
      <c r="C252" s="28" t="inlineStr">
        <is>
          <t>Actual</t>
        </is>
      </c>
      <c r="D252" s="29" t="n">
        <v>2412.04</v>
      </c>
      <c r="E252" s="29" t="n">
        <v>986.64</v>
      </c>
      <c r="F252" s="30" t="n">
        <v>296</v>
      </c>
      <c r="G252" s="29" t="n"/>
      <c r="H252" s="29" t="n"/>
    </row>
    <row r="253">
      <c r="A253" s="27" t="n">
        <v>46235</v>
      </c>
      <c r="B253" s="28" t="inlineStr">
        <is>
          <t>Produce</t>
        </is>
      </c>
      <c r="C253" s="28" t="inlineStr">
        <is>
          <t>Actual</t>
        </is>
      </c>
      <c r="D253" s="29" t="n">
        <v>1710.61</v>
      </c>
      <c r="E253" s="29" t="n">
        <v>733.23</v>
      </c>
      <c r="F253" s="30" t="n">
        <v>1289</v>
      </c>
      <c r="G253" s="29" t="n"/>
      <c r="H253" s="29" t="n"/>
    </row>
    <row r="254">
      <c r="A254" s="27" t="n">
        <v>46235</v>
      </c>
      <c r="B254" s="28" t="inlineStr">
        <is>
          <t>Snacks &amp; Confectionery</t>
        </is>
      </c>
      <c r="C254" s="28" t="inlineStr">
        <is>
          <t>Actual</t>
        </is>
      </c>
      <c r="D254" s="29" t="n">
        <v>9127.610000000001</v>
      </c>
      <c r="E254" s="29" t="n">
        <v>4081.51</v>
      </c>
      <c r="F254" s="30" t="n">
        <v>2059</v>
      </c>
      <c r="G254" s="29" t="n"/>
      <c r="H254" s="29" t="n"/>
    </row>
    <row r="255">
      <c r="A255" s="27" t="n">
        <v>46266</v>
      </c>
      <c r="B255" s="28" t="inlineStr">
        <is>
          <t>Bakery</t>
        </is>
      </c>
      <c r="C255" s="28" t="inlineStr">
        <is>
          <t>Outlook</t>
        </is>
      </c>
      <c r="D255" s="29" t="n">
        <v>4807.08</v>
      </c>
      <c r="E255" s="29" t="n">
        <v>1841.11</v>
      </c>
      <c r="F255" s="30" t="n"/>
      <c r="G255" s="29" t="n">
        <v>4620.3</v>
      </c>
      <c r="H255" s="29" t="n">
        <v>4993.86</v>
      </c>
    </row>
    <row r="256">
      <c r="A256" s="27" t="n">
        <v>46266</v>
      </c>
      <c r="B256" s="28" t="inlineStr">
        <is>
          <t>Beer &amp; Wine</t>
        </is>
      </c>
      <c r="C256" s="28" t="inlineStr">
        <is>
          <t>Outlook</t>
        </is>
      </c>
      <c r="D256" s="29" t="n">
        <v>9185.48</v>
      </c>
      <c r="E256" s="29" t="n">
        <v>3095.51</v>
      </c>
      <c r="F256" s="30" t="n"/>
      <c r="G256" s="29" t="n">
        <v>8828.58</v>
      </c>
      <c r="H256" s="29" t="n">
        <v>9542.370000000001</v>
      </c>
    </row>
    <row r="257">
      <c r="A257" s="27" t="n">
        <v>46266</v>
      </c>
      <c r="B257" s="28" t="inlineStr">
        <is>
          <t>Beverages</t>
        </is>
      </c>
      <c r="C257" s="28" t="inlineStr">
        <is>
          <t>Outlook</t>
        </is>
      </c>
      <c r="D257" s="29" t="n">
        <v>11786.76</v>
      </c>
      <c r="E257" s="29" t="n">
        <v>6011.25</v>
      </c>
      <c r="F257" s="30" t="n"/>
      <c r="G257" s="29" t="n">
        <v>11328.79</v>
      </c>
      <c r="H257" s="29" t="n">
        <v>12244.73</v>
      </c>
    </row>
    <row r="258">
      <c r="A258" s="27" t="n">
        <v>46266</v>
      </c>
      <c r="B258" s="28" t="inlineStr">
        <is>
          <t>Dairy</t>
        </is>
      </c>
      <c r="C258" s="28" t="inlineStr">
        <is>
          <t>Outlook</t>
        </is>
      </c>
      <c r="D258" s="29" t="n">
        <v>13488.67</v>
      </c>
      <c r="E258" s="29" t="n">
        <v>3749.85</v>
      </c>
      <c r="F258" s="30" t="n"/>
      <c r="G258" s="29" t="n">
        <v>12964.57</v>
      </c>
      <c r="H258" s="29" t="n">
        <v>14012.76</v>
      </c>
    </row>
    <row r="259">
      <c r="A259" s="27" t="n">
        <v>46266</v>
      </c>
      <c r="B259" s="28" t="inlineStr">
        <is>
          <t>Food To Go</t>
        </is>
      </c>
      <c r="C259" s="28" t="inlineStr">
        <is>
          <t>Outlook</t>
        </is>
      </c>
      <c r="D259" s="29" t="n">
        <v>14382.46</v>
      </c>
      <c r="E259" s="29" t="n">
        <v>6860.43</v>
      </c>
      <c r="F259" s="30" t="n"/>
      <c r="G259" s="29" t="n">
        <v>13823.64</v>
      </c>
      <c r="H259" s="29" t="n">
        <v>14941.29</v>
      </c>
    </row>
    <row r="260">
      <c r="A260" s="27" t="n">
        <v>46266</v>
      </c>
      <c r="B260" s="28" t="inlineStr">
        <is>
          <t>Frozen</t>
        </is>
      </c>
      <c r="C260" s="28" t="inlineStr">
        <is>
          <t>Outlook</t>
        </is>
      </c>
      <c r="D260" s="29" t="n">
        <v>5558.56</v>
      </c>
      <c r="E260" s="29" t="n">
        <v>2412.42</v>
      </c>
      <c r="F260" s="30" t="n"/>
      <c r="G260" s="29" t="n">
        <v>5342.59</v>
      </c>
      <c r="H260" s="29" t="n">
        <v>5774.54</v>
      </c>
    </row>
    <row r="261">
      <c r="A261" s="27" t="n">
        <v>46266</v>
      </c>
      <c r="B261" s="28" t="inlineStr">
        <is>
          <t>Grocery</t>
        </is>
      </c>
      <c r="C261" s="28" t="inlineStr">
        <is>
          <t>Outlook</t>
        </is>
      </c>
      <c r="D261" s="29" t="n">
        <v>9055.35</v>
      </c>
      <c r="E261" s="29" t="n">
        <v>3151.26</v>
      </c>
      <c r="F261" s="30" t="n"/>
      <c r="G261" s="29" t="n">
        <v>8703.51</v>
      </c>
      <c r="H261" s="29" t="n">
        <v>9407.190000000001</v>
      </c>
    </row>
    <row r="262">
      <c r="A262" s="27" t="n">
        <v>46266</v>
      </c>
      <c r="B262" s="28" t="inlineStr">
        <is>
          <t>Health &amp; Beauty</t>
        </is>
      </c>
      <c r="C262" s="28" t="inlineStr">
        <is>
          <t>Outlook</t>
        </is>
      </c>
      <c r="D262" s="29" t="n">
        <v>1469.79</v>
      </c>
      <c r="E262" s="29" t="n">
        <v>737.84</v>
      </c>
      <c r="F262" s="30" t="n"/>
      <c r="G262" s="29" t="n">
        <v>1412.68</v>
      </c>
      <c r="H262" s="29" t="n">
        <v>1526.9</v>
      </c>
    </row>
    <row r="263">
      <c r="A263" s="27" t="n">
        <v>46266</v>
      </c>
      <c r="B263" s="28" t="inlineStr">
        <is>
          <t>Household</t>
        </is>
      </c>
      <c r="C263" s="28" t="inlineStr">
        <is>
          <t>Outlook</t>
        </is>
      </c>
      <c r="D263" s="29" t="n">
        <v>2581.49</v>
      </c>
      <c r="E263" s="29" t="n">
        <v>1063.57</v>
      </c>
      <c r="F263" s="30" t="n"/>
      <c r="G263" s="29" t="n">
        <v>2481.19</v>
      </c>
      <c r="H263" s="29" t="n">
        <v>2681.79</v>
      </c>
    </row>
    <row r="264">
      <c r="A264" s="27" t="n">
        <v>46266</v>
      </c>
      <c r="B264" s="28" t="inlineStr">
        <is>
          <t>Produce</t>
        </is>
      </c>
      <c r="C264" s="28" t="inlineStr">
        <is>
          <t>Outlook</t>
        </is>
      </c>
      <c r="D264" s="29" t="n">
        <v>1731.94</v>
      </c>
      <c r="E264" s="29" t="n">
        <v>749.9299999999999</v>
      </c>
      <c r="F264" s="30" t="n"/>
      <c r="G264" s="29" t="n">
        <v>1664.65</v>
      </c>
      <c r="H264" s="29" t="n">
        <v>1799.24</v>
      </c>
    </row>
    <row r="265">
      <c r="A265" s="27" t="n">
        <v>46266</v>
      </c>
      <c r="B265" s="28" t="inlineStr">
        <is>
          <t>Snacks &amp; Confectionery</t>
        </is>
      </c>
      <c r="C265" s="28" t="inlineStr">
        <is>
          <t>Outlook</t>
        </is>
      </c>
      <c r="D265" s="29" t="n">
        <v>9199.48</v>
      </c>
      <c r="E265" s="29" t="n">
        <v>4084.57</v>
      </c>
      <c r="F265" s="30" t="n"/>
      <c r="G265" s="29" t="n">
        <v>8842.040000000001</v>
      </c>
      <c r="H265" s="29" t="n">
        <v>9556.92</v>
      </c>
    </row>
    <row r="266">
      <c r="A266" s="27" t="n">
        <v>46296</v>
      </c>
      <c r="B266" s="28" t="inlineStr">
        <is>
          <t>Bakery</t>
        </is>
      </c>
      <c r="C266" s="28" t="inlineStr">
        <is>
          <t>Forecast</t>
        </is>
      </c>
      <c r="D266" s="29" t="n">
        <v>5065.99</v>
      </c>
      <c r="E266" s="29" t="n"/>
      <c r="F266" s="30" t="n"/>
      <c r="G266" s="29" t="n">
        <v>4869.16</v>
      </c>
      <c r="H266" s="29" t="n">
        <v>5262.83</v>
      </c>
    </row>
    <row r="267">
      <c r="A267" s="27" t="n">
        <v>46296</v>
      </c>
      <c r="B267" s="28" t="inlineStr">
        <is>
          <t>Beer &amp; Wine</t>
        </is>
      </c>
      <c r="C267" s="28" t="inlineStr">
        <is>
          <t>Forecast</t>
        </is>
      </c>
      <c r="D267" s="29" t="n">
        <v>10669.84</v>
      </c>
      <c r="E267" s="29" t="n"/>
      <c r="F267" s="30" t="n"/>
      <c r="G267" s="29" t="n">
        <v>10255.27</v>
      </c>
      <c r="H267" s="29" t="n">
        <v>11084.41</v>
      </c>
    </row>
    <row r="268">
      <c r="A268" s="27" t="n">
        <v>46296</v>
      </c>
      <c r="B268" s="28" t="inlineStr">
        <is>
          <t>Beverages</t>
        </is>
      </c>
      <c r="C268" s="28" t="inlineStr">
        <is>
          <t>Forecast</t>
        </is>
      </c>
      <c r="D268" s="29" t="n">
        <v>13068.02</v>
      </c>
      <c r="E268" s="29" t="n"/>
      <c r="F268" s="30" t="n"/>
      <c r="G268" s="29" t="n">
        <v>12560.27</v>
      </c>
      <c r="H268" s="29" t="n">
        <v>13575.78</v>
      </c>
    </row>
    <row r="269">
      <c r="A269" s="27" t="n">
        <v>46296</v>
      </c>
      <c r="B269" s="28" t="inlineStr">
        <is>
          <t>Dairy</t>
        </is>
      </c>
      <c r="C269" s="28" t="inlineStr">
        <is>
          <t>Forecast</t>
        </is>
      </c>
      <c r="D269" s="29" t="n">
        <v>14695.11</v>
      </c>
      <c r="E269" s="29" t="n"/>
      <c r="F269" s="30" t="n"/>
      <c r="G269" s="29" t="n">
        <v>14124.14</v>
      </c>
      <c r="H269" s="29" t="n">
        <v>15266.08</v>
      </c>
    </row>
    <row r="270">
      <c r="A270" s="27" t="n">
        <v>46296</v>
      </c>
      <c r="B270" s="28" t="inlineStr">
        <is>
          <t>Food To Go</t>
        </is>
      </c>
      <c r="C270" s="28" t="inlineStr">
        <is>
          <t>Forecast</t>
        </is>
      </c>
      <c r="D270" s="29" t="n">
        <v>15607.92</v>
      </c>
      <c r="E270" s="29" t="n"/>
      <c r="F270" s="30" t="n"/>
      <c r="G270" s="29" t="n">
        <v>15001.49</v>
      </c>
      <c r="H270" s="29" t="n">
        <v>16214.36</v>
      </c>
    </row>
    <row r="271">
      <c r="A271" s="27" t="n">
        <v>46296</v>
      </c>
      <c r="B271" s="28" t="inlineStr">
        <is>
          <t>Frozen</t>
        </is>
      </c>
      <c r="C271" s="28" t="inlineStr">
        <is>
          <t>Forecast</t>
        </is>
      </c>
      <c r="D271" s="29" t="n">
        <v>6094.86</v>
      </c>
      <c r="E271" s="29" t="n"/>
      <c r="F271" s="30" t="n"/>
      <c r="G271" s="29" t="n">
        <v>5858.05</v>
      </c>
      <c r="H271" s="29" t="n">
        <v>6331.68</v>
      </c>
    </row>
    <row r="272">
      <c r="A272" s="27" t="n">
        <v>46296</v>
      </c>
      <c r="B272" s="28" t="inlineStr">
        <is>
          <t>Grocery</t>
        </is>
      </c>
      <c r="C272" s="28" t="inlineStr">
        <is>
          <t>Forecast</t>
        </is>
      </c>
      <c r="D272" s="29" t="n">
        <v>9058.049999999999</v>
      </c>
      <c r="E272" s="29" t="n"/>
      <c r="F272" s="30" t="n"/>
      <c r="G272" s="29" t="n">
        <v>8706.110000000001</v>
      </c>
      <c r="H272" s="29" t="n">
        <v>9410</v>
      </c>
    </row>
    <row r="273">
      <c r="A273" s="27" t="n">
        <v>46296</v>
      </c>
      <c r="B273" s="28" t="inlineStr">
        <is>
          <t>Health &amp; Beauty</t>
        </is>
      </c>
      <c r="C273" s="28" t="inlineStr">
        <is>
          <t>Forecast</t>
        </is>
      </c>
      <c r="D273" s="29" t="n">
        <v>1730.96</v>
      </c>
      <c r="E273" s="29" t="n"/>
      <c r="F273" s="30" t="n"/>
      <c r="G273" s="29" t="n">
        <v>1663.7</v>
      </c>
      <c r="H273" s="29" t="n">
        <v>1798.21</v>
      </c>
    </row>
    <row r="274">
      <c r="A274" s="27" t="n">
        <v>46296</v>
      </c>
      <c r="B274" s="28" t="inlineStr">
        <is>
          <t>Household</t>
        </is>
      </c>
      <c r="C274" s="28" t="inlineStr">
        <is>
          <t>Forecast</t>
        </is>
      </c>
      <c r="D274" s="29" t="n">
        <v>2556.74</v>
      </c>
      <c r="E274" s="29" t="n"/>
      <c r="F274" s="30" t="n"/>
      <c r="G274" s="29" t="n">
        <v>2457.4</v>
      </c>
      <c r="H274" s="29" t="n">
        <v>2656.08</v>
      </c>
    </row>
    <row r="275">
      <c r="A275" s="27" t="n">
        <v>46296</v>
      </c>
      <c r="B275" s="28" t="inlineStr">
        <is>
          <t>Produce</t>
        </is>
      </c>
      <c r="C275" s="28" t="inlineStr">
        <is>
          <t>Forecast</t>
        </is>
      </c>
      <c r="D275" s="29" t="n">
        <v>2220.22</v>
      </c>
      <c r="E275" s="29" t="n"/>
      <c r="F275" s="30" t="n"/>
      <c r="G275" s="29" t="n">
        <v>2133.96</v>
      </c>
      <c r="H275" s="29" t="n">
        <v>2306.49</v>
      </c>
    </row>
    <row r="276">
      <c r="A276" s="27" t="n">
        <v>46296</v>
      </c>
      <c r="B276" s="28" t="inlineStr">
        <is>
          <t>Snacks &amp; Confectionery</t>
        </is>
      </c>
      <c r="C276" s="28" t="inlineStr">
        <is>
          <t>Forecast</t>
        </is>
      </c>
      <c r="D276" s="29" t="n">
        <v>9260.799999999999</v>
      </c>
      <c r="E276" s="29" t="n"/>
      <c r="F276" s="30" t="n"/>
      <c r="G276" s="29" t="n">
        <v>8900.98</v>
      </c>
      <c r="H276" s="29" t="n">
        <v>9620.620000000001</v>
      </c>
    </row>
    <row r="277">
      <c r="A277" s="27" t="n">
        <v>46327</v>
      </c>
      <c r="B277" s="28" t="inlineStr">
        <is>
          <t>Bakery</t>
        </is>
      </c>
      <c r="C277" s="28" t="inlineStr">
        <is>
          <t>Forecast</t>
        </is>
      </c>
      <c r="D277" s="29" t="n">
        <v>5017.35</v>
      </c>
      <c r="E277" s="29" t="n"/>
      <c r="F277" s="30" t="n"/>
      <c r="G277" s="29" t="n">
        <v>4822.4</v>
      </c>
      <c r="H277" s="29" t="n">
        <v>5212.29</v>
      </c>
    </row>
    <row r="278">
      <c r="A278" s="27" t="n">
        <v>46327</v>
      </c>
      <c r="B278" s="28" t="inlineStr">
        <is>
          <t>Beer &amp; Wine</t>
        </is>
      </c>
      <c r="C278" s="28" t="inlineStr">
        <is>
          <t>Forecast</t>
        </is>
      </c>
      <c r="D278" s="29" t="n">
        <v>10844.62</v>
      </c>
      <c r="E278" s="29" t="n"/>
      <c r="F278" s="30" t="n"/>
      <c r="G278" s="29" t="n">
        <v>10423.26</v>
      </c>
      <c r="H278" s="29" t="n">
        <v>11265.98</v>
      </c>
    </row>
    <row r="279">
      <c r="A279" s="27" t="n">
        <v>46327</v>
      </c>
      <c r="B279" s="28" t="inlineStr">
        <is>
          <t>Beverages</t>
        </is>
      </c>
      <c r="C279" s="28" t="inlineStr">
        <is>
          <t>Forecast</t>
        </is>
      </c>
      <c r="D279" s="29" t="n">
        <v>14881.91</v>
      </c>
      <c r="E279" s="29" t="n"/>
      <c r="F279" s="30" t="n"/>
      <c r="G279" s="29" t="n">
        <v>14303.68</v>
      </c>
      <c r="H279" s="29" t="n">
        <v>15460.14</v>
      </c>
    </row>
    <row r="280">
      <c r="A280" s="27" t="n">
        <v>46327</v>
      </c>
      <c r="B280" s="28" t="inlineStr">
        <is>
          <t>Dairy</t>
        </is>
      </c>
      <c r="C280" s="28" t="inlineStr">
        <is>
          <t>Forecast</t>
        </is>
      </c>
      <c r="D280" s="29" t="n">
        <v>13927.09</v>
      </c>
      <c r="E280" s="29" t="n"/>
      <c r="F280" s="30" t="n"/>
      <c r="G280" s="29" t="n">
        <v>13385.96</v>
      </c>
      <c r="H280" s="29" t="n">
        <v>14468.22</v>
      </c>
    </row>
    <row r="281">
      <c r="A281" s="27" t="n">
        <v>46327</v>
      </c>
      <c r="B281" s="28" t="inlineStr">
        <is>
          <t>Food To Go</t>
        </is>
      </c>
      <c r="C281" s="28" t="inlineStr">
        <is>
          <t>Forecast</t>
        </is>
      </c>
      <c r="D281" s="29" t="n">
        <v>15686.19</v>
      </c>
      <c r="E281" s="29" t="n"/>
      <c r="F281" s="30" t="n"/>
      <c r="G281" s="29" t="n">
        <v>15076.71</v>
      </c>
      <c r="H281" s="29" t="n">
        <v>16295.67</v>
      </c>
    </row>
    <row r="282">
      <c r="A282" s="27" t="n">
        <v>46327</v>
      </c>
      <c r="B282" s="28" t="inlineStr">
        <is>
          <t>Frozen</t>
        </is>
      </c>
      <c r="C282" s="28" t="inlineStr">
        <is>
          <t>Forecast</t>
        </is>
      </c>
      <c r="D282" s="29" t="n">
        <v>5962.52</v>
      </c>
      <c r="E282" s="29" t="n"/>
      <c r="F282" s="30" t="n"/>
      <c r="G282" s="29" t="n">
        <v>5730.85</v>
      </c>
      <c r="H282" s="29" t="n">
        <v>6194.19</v>
      </c>
    </row>
    <row r="283">
      <c r="A283" s="27" t="n">
        <v>46327</v>
      </c>
      <c r="B283" s="28" t="inlineStr">
        <is>
          <t>Grocery</t>
        </is>
      </c>
      <c r="C283" s="28" t="inlineStr">
        <is>
          <t>Forecast</t>
        </is>
      </c>
      <c r="D283" s="29" t="n">
        <v>8246.469999999999</v>
      </c>
      <c r="E283" s="29" t="n"/>
      <c r="F283" s="30" t="n"/>
      <c r="G283" s="29" t="n">
        <v>7926.06</v>
      </c>
      <c r="H283" s="29" t="n">
        <v>8566.889999999999</v>
      </c>
    </row>
    <row r="284">
      <c r="A284" s="27" t="n">
        <v>46327</v>
      </c>
      <c r="B284" s="28" t="inlineStr">
        <is>
          <t>Health &amp; Beauty</t>
        </is>
      </c>
      <c r="C284" s="28" t="inlineStr">
        <is>
          <t>Forecast</t>
        </is>
      </c>
      <c r="D284" s="29" t="n">
        <v>1667.06</v>
      </c>
      <c r="E284" s="29" t="n"/>
      <c r="F284" s="30" t="n"/>
      <c r="G284" s="29" t="n">
        <v>1602.29</v>
      </c>
      <c r="H284" s="29" t="n">
        <v>1731.83</v>
      </c>
    </row>
    <row r="285">
      <c r="A285" s="27" t="n">
        <v>46327</v>
      </c>
      <c r="B285" s="28" t="inlineStr">
        <is>
          <t>Household</t>
        </is>
      </c>
      <c r="C285" s="28" t="inlineStr">
        <is>
          <t>Forecast</t>
        </is>
      </c>
      <c r="D285" s="29" t="n">
        <v>2238.8</v>
      </c>
      <c r="E285" s="29" t="n"/>
      <c r="F285" s="30" t="n"/>
      <c r="G285" s="29" t="n">
        <v>2151.81</v>
      </c>
      <c r="H285" s="29" t="n">
        <v>2325.79</v>
      </c>
    </row>
    <row r="286">
      <c r="A286" s="27" t="n">
        <v>46327</v>
      </c>
      <c r="B286" s="28" t="inlineStr">
        <is>
          <t>Produce</t>
        </is>
      </c>
      <c r="C286" s="28" t="inlineStr">
        <is>
          <t>Forecast</t>
        </is>
      </c>
      <c r="D286" s="29" t="n">
        <v>2253.85</v>
      </c>
      <c r="E286" s="29" t="n"/>
      <c r="F286" s="30" t="n"/>
      <c r="G286" s="29" t="n">
        <v>2166.28</v>
      </c>
      <c r="H286" s="29" t="n">
        <v>2341.42</v>
      </c>
    </row>
    <row r="287">
      <c r="A287" s="27" t="n">
        <v>46327</v>
      </c>
      <c r="B287" s="28" t="inlineStr">
        <is>
          <t>Snacks &amp; Confectionery</t>
        </is>
      </c>
      <c r="C287" s="28" t="inlineStr">
        <is>
          <t>Forecast</t>
        </is>
      </c>
      <c r="D287" s="29" t="n">
        <v>8842.040000000001</v>
      </c>
      <c r="E287" s="29" t="n"/>
      <c r="F287" s="30" t="n"/>
      <c r="G287" s="29" t="n">
        <v>8498.48</v>
      </c>
      <c r="H287" s="29" t="n">
        <v>9185.59</v>
      </c>
    </row>
    <row r="288">
      <c r="A288" s="27" t="n">
        <v>46357</v>
      </c>
      <c r="B288" s="28" t="inlineStr">
        <is>
          <t>Bakery</t>
        </is>
      </c>
      <c r="C288" s="28" t="inlineStr">
        <is>
          <t>Forecast</t>
        </is>
      </c>
      <c r="D288" s="29" t="n">
        <v>5924.17</v>
      </c>
      <c r="E288" s="29" t="n"/>
      <c r="F288" s="30" t="n"/>
      <c r="G288" s="29" t="n">
        <v>5693.99</v>
      </c>
      <c r="H288" s="29" t="n">
        <v>6154.35</v>
      </c>
    </row>
    <row r="289">
      <c r="A289" s="27" t="n">
        <v>46357</v>
      </c>
      <c r="B289" s="28" t="inlineStr">
        <is>
          <t>Beer &amp; Wine</t>
        </is>
      </c>
      <c r="C289" s="28" t="inlineStr">
        <is>
          <t>Forecast</t>
        </is>
      </c>
      <c r="D289" s="29" t="n">
        <v>13459.58</v>
      </c>
      <c r="E289" s="29" t="n"/>
      <c r="F289" s="30" t="n"/>
      <c r="G289" s="29" t="n">
        <v>12936.61</v>
      </c>
      <c r="H289" s="29" t="n">
        <v>13982.54</v>
      </c>
    </row>
    <row r="290">
      <c r="A290" s="27" t="n">
        <v>46357</v>
      </c>
      <c r="B290" s="28" t="inlineStr">
        <is>
          <t>Beverages</t>
        </is>
      </c>
      <c r="C290" s="28" t="inlineStr">
        <is>
          <t>Forecast</t>
        </is>
      </c>
      <c r="D290" s="29" t="n">
        <v>17759.05</v>
      </c>
      <c r="E290" s="29" t="n"/>
      <c r="F290" s="30" t="n"/>
      <c r="G290" s="29" t="n">
        <v>17069.04</v>
      </c>
      <c r="H290" s="29" t="n">
        <v>18449.07</v>
      </c>
    </row>
    <row r="291">
      <c r="A291" s="27" t="n">
        <v>46357</v>
      </c>
      <c r="B291" s="28" t="inlineStr">
        <is>
          <t>Dairy</t>
        </is>
      </c>
      <c r="C291" s="28" t="inlineStr">
        <is>
          <t>Forecast</t>
        </is>
      </c>
      <c r="D291" s="29" t="n">
        <v>15636.72</v>
      </c>
      <c r="E291" s="29" t="n"/>
      <c r="F291" s="30" t="n"/>
      <c r="G291" s="29" t="n">
        <v>15029.16</v>
      </c>
      <c r="H291" s="29" t="n">
        <v>16244.27</v>
      </c>
    </row>
    <row r="292">
      <c r="A292" s="27" t="n">
        <v>46357</v>
      </c>
      <c r="B292" s="28" t="inlineStr">
        <is>
          <t>Food To Go</t>
        </is>
      </c>
      <c r="C292" s="28" t="inlineStr">
        <is>
          <t>Forecast</t>
        </is>
      </c>
      <c r="D292" s="29" t="n">
        <v>17476.15</v>
      </c>
      <c r="E292" s="29" t="n"/>
      <c r="F292" s="30" t="n"/>
      <c r="G292" s="29" t="n">
        <v>16797.13</v>
      </c>
      <c r="H292" s="29" t="n">
        <v>18155.18</v>
      </c>
    </row>
    <row r="293">
      <c r="A293" s="27" t="n">
        <v>46357</v>
      </c>
      <c r="B293" s="28" t="inlineStr">
        <is>
          <t>Frozen</t>
        </is>
      </c>
      <c r="C293" s="28" t="inlineStr">
        <is>
          <t>Forecast</t>
        </is>
      </c>
      <c r="D293" s="29" t="n">
        <v>6722.44</v>
      </c>
      <c r="E293" s="29" t="n"/>
      <c r="F293" s="30" t="n"/>
      <c r="G293" s="29" t="n">
        <v>6461.24</v>
      </c>
      <c r="H293" s="29" t="n">
        <v>6983.63</v>
      </c>
    </row>
    <row r="294">
      <c r="A294" s="27" t="n">
        <v>46357</v>
      </c>
      <c r="B294" s="28" t="inlineStr">
        <is>
          <t>Grocery</t>
        </is>
      </c>
      <c r="C294" s="28" t="inlineStr">
        <is>
          <t>Forecast</t>
        </is>
      </c>
      <c r="D294" s="29" t="n">
        <v>9070.709999999999</v>
      </c>
      <c r="E294" s="29" t="n"/>
      <c r="F294" s="30" t="n"/>
      <c r="G294" s="29" t="n">
        <v>8718.27</v>
      </c>
      <c r="H294" s="29" t="n">
        <v>9423.139999999999</v>
      </c>
    </row>
    <row r="295">
      <c r="A295" s="27" t="n">
        <v>46357</v>
      </c>
      <c r="B295" s="28" t="inlineStr">
        <is>
          <t>Health &amp; Beauty</t>
        </is>
      </c>
      <c r="C295" s="28" t="inlineStr">
        <is>
          <t>Forecast</t>
        </is>
      </c>
      <c r="D295" s="29" t="n">
        <v>1672.85</v>
      </c>
      <c r="E295" s="29" t="n"/>
      <c r="F295" s="30" t="n"/>
      <c r="G295" s="29" t="n">
        <v>1607.85</v>
      </c>
      <c r="H295" s="29" t="n">
        <v>1737.85</v>
      </c>
    </row>
    <row r="296">
      <c r="A296" s="27" t="n">
        <v>46357</v>
      </c>
      <c r="B296" s="28" t="inlineStr">
        <is>
          <t>Household</t>
        </is>
      </c>
      <c r="C296" s="28" t="inlineStr">
        <is>
          <t>Forecast</t>
        </is>
      </c>
      <c r="D296" s="29" t="n">
        <v>2717.15</v>
      </c>
      <c r="E296" s="29" t="n"/>
      <c r="F296" s="30" t="n"/>
      <c r="G296" s="29" t="n">
        <v>2611.57</v>
      </c>
      <c r="H296" s="29" t="n">
        <v>2822.72</v>
      </c>
    </row>
    <row r="297">
      <c r="A297" s="27" t="n">
        <v>46357</v>
      </c>
      <c r="B297" s="28" t="inlineStr">
        <is>
          <t>Produce</t>
        </is>
      </c>
      <c r="C297" s="28" t="inlineStr">
        <is>
          <t>Forecast</t>
        </is>
      </c>
      <c r="D297" s="29" t="n">
        <v>2747.24</v>
      </c>
      <c r="E297" s="29" t="n"/>
      <c r="F297" s="30" t="n"/>
      <c r="G297" s="29" t="n">
        <v>2640.5</v>
      </c>
      <c r="H297" s="29" t="n">
        <v>2853.99</v>
      </c>
    </row>
    <row r="298">
      <c r="A298" s="27" t="n">
        <v>46357</v>
      </c>
      <c r="B298" s="28" t="inlineStr">
        <is>
          <t>Snacks &amp; Confectionery</t>
        </is>
      </c>
      <c r="C298" s="28" t="inlineStr">
        <is>
          <t>Forecast</t>
        </is>
      </c>
      <c r="D298" s="29" t="n">
        <v>10119.94</v>
      </c>
      <c r="E298" s="29" t="n"/>
      <c r="F298" s="30" t="n"/>
      <c r="G298" s="29" t="n">
        <v>9726.73</v>
      </c>
      <c r="H298" s="29" t="n">
        <v>10513.14</v>
      </c>
    </row>
    <row r="299">
      <c r="A299" s="27" t="n">
        <v>46388</v>
      </c>
      <c r="B299" s="28" t="inlineStr">
        <is>
          <t>Bakery</t>
        </is>
      </c>
      <c r="C299" s="28" t="inlineStr">
        <is>
          <t>Forecast</t>
        </is>
      </c>
      <c r="D299" s="29" t="n">
        <v>4491.52</v>
      </c>
      <c r="E299" s="29" t="n"/>
      <c r="F299" s="30" t="n"/>
      <c r="G299" s="29" t="n">
        <v>4317.01</v>
      </c>
      <c r="H299" s="29" t="n">
        <v>4666.04</v>
      </c>
    </row>
    <row r="300">
      <c r="A300" s="27" t="n">
        <v>46388</v>
      </c>
      <c r="B300" s="28" t="inlineStr">
        <is>
          <t>Beer &amp; Wine</t>
        </is>
      </c>
      <c r="C300" s="28" t="inlineStr">
        <is>
          <t>Forecast</t>
        </is>
      </c>
      <c r="D300" s="29" t="n">
        <v>10872.17</v>
      </c>
      <c r="E300" s="29" t="n"/>
      <c r="F300" s="30" t="n"/>
      <c r="G300" s="29" t="n">
        <v>10449.74</v>
      </c>
      <c r="H300" s="29" t="n">
        <v>11294.61</v>
      </c>
    </row>
    <row r="301">
      <c r="A301" s="27" t="n">
        <v>46388</v>
      </c>
      <c r="B301" s="28" t="inlineStr">
        <is>
          <t>Beverages</t>
        </is>
      </c>
      <c r="C301" s="28" t="inlineStr">
        <is>
          <t>Forecast</t>
        </is>
      </c>
      <c r="D301" s="29" t="n">
        <v>15326.98</v>
      </c>
      <c r="E301" s="29" t="n"/>
      <c r="F301" s="30" t="n"/>
      <c r="G301" s="29" t="n">
        <v>14731.46</v>
      </c>
      <c r="H301" s="29" t="n">
        <v>15922.5</v>
      </c>
    </row>
    <row r="302">
      <c r="A302" s="27" t="n">
        <v>46388</v>
      </c>
      <c r="B302" s="28" t="inlineStr">
        <is>
          <t>Dairy</t>
        </is>
      </c>
      <c r="C302" s="28" t="inlineStr">
        <is>
          <t>Forecast</t>
        </is>
      </c>
      <c r="D302" s="29" t="n">
        <v>13212.74</v>
      </c>
      <c r="E302" s="29" t="n"/>
      <c r="F302" s="30" t="n"/>
      <c r="G302" s="29" t="n">
        <v>12699.37</v>
      </c>
      <c r="H302" s="29" t="n">
        <v>13726.11</v>
      </c>
    </row>
    <row r="303">
      <c r="A303" s="27" t="n">
        <v>46388</v>
      </c>
      <c r="B303" s="28" t="inlineStr">
        <is>
          <t>Food To Go</t>
        </is>
      </c>
      <c r="C303" s="28" t="inlineStr">
        <is>
          <t>Forecast</t>
        </is>
      </c>
      <c r="D303" s="29" t="n">
        <v>15323.22</v>
      </c>
      <c r="E303" s="29" t="n"/>
      <c r="F303" s="30" t="n"/>
      <c r="G303" s="29" t="n">
        <v>14727.84</v>
      </c>
      <c r="H303" s="29" t="n">
        <v>15918.59</v>
      </c>
    </row>
    <row r="304">
      <c r="A304" s="27" t="n">
        <v>46388</v>
      </c>
      <c r="B304" s="28" t="inlineStr">
        <is>
          <t>Frozen</t>
        </is>
      </c>
      <c r="C304" s="28" t="inlineStr">
        <is>
          <t>Forecast</t>
        </is>
      </c>
      <c r="D304" s="29" t="n">
        <v>5607.93</v>
      </c>
      <c r="E304" s="29" t="n"/>
      <c r="F304" s="30" t="n"/>
      <c r="G304" s="29" t="n">
        <v>5390.03</v>
      </c>
      <c r="H304" s="29" t="n">
        <v>5825.82</v>
      </c>
    </row>
    <row r="305">
      <c r="A305" s="27" t="n">
        <v>46388</v>
      </c>
      <c r="B305" s="28" t="inlineStr">
        <is>
          <t>Grocery</t>
        </is>
      </c>
      <c r="C305" s="28" t="inlineStr">
        <is>
          <t>Forecast</t>
        </is>
      </c>
      <c r="D305" s="29" t="n">
        <v>7193.53</v>
      </c>
      <c r="E305" s="29" t="n"/>
      <c r="F305" s="30" t="n"/>
      <c r="G305" s="29" t="n">
        <v>6914.03</v>
      </c>
      <c r="H305" s="29" t="n">
        <v>7473.03</v>
      </c>
    </row>
    <row r="306">
      <c r="A306" s="27" t="n">
        <v>46388</v>
      </c>
      <c r="B306" s="28" t="inlineStr">
        <is>
          <t>Health &amp; Beauty</t>
        </is>
      </c>
      <c r="C306" s="28" t="inlineStr">
        <is>
          <t>Forecast</t>
        </is>
      </c>
      <c r="D306" s="29" t="n">
        <v>1460.13</v>
      </c>
      <c r="E306" s="29" t="n"/>
      <c r="F306" s="30" t="n"/>
      <c r="G306" s="29" t="n">
        <v>1403.4</v>
      </c>
      <c r="H306" s="29" t="n">
        <v>1516.86</v>
      </c>
    </row>
    <row r="307">
      <c r="A307" s="27" t="n">
        <v>46388</v>
      </c>
      <c r="B307" s="28" t="inlineStr">
        <is>
          <t>Household</t>
        </is>
      </c>
      <c r="C307" s="28" t="inlineStr">
        <is>
          <t>Forecast</t>
        </is>
      </c>
      <c r="D307" s="29" t="n">
        <v>2142.88</v>
      </c>
      <c r="E307" s="29" t="n"/>
      <c r="F307" s="30" t="n"/>
      <c r="G307" s="29" t="n">
        <v>2059.62</v>
      </c>
      <c r="H307" s="29" t="n">
        <v>2226.14</v>
      </c>
    </row>
    <row r="308">
      <c r="A308" s="27" t="n">
        <v>46388</v>
      </c>
      <c r="B308" s="28" t="inlineStr">
        <is>
          <t>Produce</t>
        </is>
      </c>
      <c r="C308" s="28" t="inlineStr">
        <is>
          <t>Forecast</t>
        </is>
      </c>
      <c r="D308" s="29" t="n">
        <v>2251.85</v>
      </c>
      <c r="E308" s="29" t="n"/>
      <c r="F308" s="30" t="n"/>
      <c r="G308" s="29" t="n">
        <v>2164.36</v>
      </c>
      <c r="H308" s="29" t="n">
        <v>2339.35</v>
      </c>
    </row>
    <row r="309">
      <c r="A309" s="27" t="n">
        <v>46388</v>
      </c>
      <c r="B309" s="28" t="inlineStr">
        <is>
          <t>Snacks &amp; Confectionery</t>
        </is>
      </c>
      <c r="C309" s="28" t="inlineStr">
        <is>
          <t>Forecast</t>
        </is>
      </c>
      <c r="D309" s="29" t="n">
        <v>8724.889999999999</v>
      </c>
      <c r="E309" s="29" t="n"/>
      <c r="F309" s="30" t="n"/>
      <c r="G309" s="29" t="n">
        <v>8385.889999999999</v>
      </c>
      <c r="H309" s="29" t="n">
        <v>9063.889999999999</v>
      </c>
    </row>
    <row r="310">
      <c r="A310" s="27" t="n">
        <v>46419</v>
      </c>
      <c r="B310" s="28" t="inlineStr">
        <is>
          <t>Bakery</t>
        </is>
      </c>
      <c r="C310" s="28" t="inlineStr">
        <is>
          <t>Forecast</t>
        </is>
      </c>
      <c r="D310" s="29" t="n">
        <v>4551.22</v>
      </c>
      <c r="E310" s="29" t="n"/>
      <c r="F310" s="30" t="n"/>
      <c r="G310" s="29" t="n">
        <v>4374.39</v>
      </c>
      <c r="H310" s="29" t="n">
        <v>4728.06</v>
      </c>
    </row>
    <row r="311">
      <c r="A311" s="27" t="n">
        <v>46419</v>
      </c>
      <c r="B311" s="28" t="inlineStr">
        <is>
          <t>Beer &amp; Wine</t>
        </is>
      </c>
      <c r="C311" s="28" t="inlineStr">
        <is>
          <t>Forecast</t>
        </is>
      </c>
      <c r="D311" s="29" t="n">
        <v>10326.82</v>
      </c>
      <c r="E311" s="29" t="n"/>
      <c r="F311" s="30" t="n"/>
      <c r="G311" s="29" t="n">
        <v>9925.58</v>
      </c>
      <c r="H311" s="29" t="n">
        <v>10728.07</v>
      </c>
    </row>
    <row r="312">
      <c r="A312" s="27" t="n">
        <v>46419</v>
      </c>
      <c r="B312" s="28" t="inlineStr">
        <is>
          <t>Beverages</t>
        </is>
      </c>
      <c r="C312" s="28" t="inlineStr">
        <is>
          <t>Forecast</t>
        </is>
      </c>
      <c r="D312" s="29" t="n">
        <v>15319.66</v>
      </c>
      <c r="E312" s="29" t="n"/>
      <c r="F312" s="30" t="n"/>
      <c r="G312" s="29" t="n">
        <v>14724.42</v>
      </c>
      <c r="H312" s="29" t="n">
        <v>15914.89</v>
      </c>
    </row>
    <row r="313">
      <c r="A313" s="27" t="n">
        <v>46419</v>
      </c>
      <c r="B313" s="28" t="inlineStr">
        <is>
          <t>Dairy</t>
        </is>
      </c>
      <c r="C313" s="28" t="inlineStr">
        <is>
          <t>Forecast</t>
        </is>
      </c>
      <c r="D313" s="29" t="n">
        <v>14045.35</v>
      </c>
      <c r="E313" s="29" t="n"/>
      <c r="F313" s="30" t="n"/>
      <c r="G313" s="29" t="n">
        <v>13499.63</v>
      </c>
      <c r="H313" s="29" t="n">
        <v>14591.08</v>
      </c>
    </row>
    <row r="314">
      <c r="A314" s="27" t="n">
        <v>46419</v>
      </c>
      <c r="B314" s="28" t="inlineStr">
        <is>
          <t>Food To Go</t>
        </is>
      </c>
      <c r="C314" s="28" t="inlineStr">
        <is>
          <t>Forecast</t>
        </is>
      </c>
      <c r="D314" s="29" t="n">
        <v>15340.93</v>
      </c>
      <c r="E314" s="29" t="n"/>
      <c r="F314" s="30" t="n"/>
      <c r="G314" s="29" t="n">
        <v>14744.87</v>
      </c>
      <c r="H314" s="29" t="n">
        <v>15936.99</v>
      </c>
    </row>
    <row r="315">
      <c r="A315" s="27" t="n">
        <v>46419</v>
      </c>
      <c r="B315" s="28" t="inlineStr">
        <is>
          <t>Frozen</t>
        </is>
      </c>
      <c r="C315" s="28" t="inlineStr">
        <is>
          <t>Forecast</t>
        </is>
      </c>
      <c r="D315" s="29" t="n">
        <v>5432.36</v>
      </c>
      <c r="E315" s="29" t="n"/>
      <c r="F315" s="30" t="n"/>
      <c r="G315" s="29" t="n">
        <v>5221.29</v>
      </c>
      <c r="H315" s="29" t="n">
        <v>5643.43</v>
      </c>
    </row>
    <row r="316">
      <c r="A316" s="27" t="n">
        <v>46419</v>
      </c>
      <c r="B316" s="28" t="inlineStr">
        <is>
          <t>Grocery</t>
        </is>
      </c>
      <c r="C316" s="28" t="inlineStr">
        <is>
          <t>Forecast</t>
        </is>
      </c>
      <c r="D316" s="29" t="n">
        <v>7389.48</v>
      </c>
      <c r="E316" s="29" t="n"/>
      <c r="F316" s="30" t="n"/>
      <c r="G316" s="29" t="n">
        <v>7102.36</v>
      </c>
      <c r="H316" s="29" t="n">
        <v>7676.59</v>
      </c>
    </row>
    <row r="317">
      <c r="A317" s="27" t="n">
        <v>46419</v>
      </c>
      <c r="B317" s="28" t="inlineStr">
        <is>
          <t>Health &amp; Beauty</t>
        </is>
      </c>
      <c r="C317" s="28" t="inlineStr">
        <is>
          <t>Forecast</t>
        </is>
      </c>
      <c r="D317" s="29" t="n">
        <v>1340.68</v>
      </c>
      <c r="E317" s="29" t="n"/>
      <c r="F317" s="30" t="n"/>
      <c r="G317" s="29" t="n">
        <v>1288.59</v>
      </c>
      <c r="H317" s="29" t="n">
        <v>1392.77</v>
      </c>
    </row>
    <row r="318">
      <c r="A318" s="27" t="n">
        <v>46419</v>
      </c>
      <c r="B318" s="28" t="inlineStr">
        <is>
          <t>Household</t>
        </is>
      </c>
      <c r="C318" s="28" t="inlineStr">
        <is>
          <t>Forecast</t>
        </is>
      </c>
      <c r="D318" s="29" t="n">
        <v>2190.76</v>
      </c>
      <c r="E318" s="29" t="n"/>
      <c r="F318" s="30" t="n"/>
      <c r="G318" s="29" t="n">
        <v>2105.64</v>
      </c>
      <c r="H318" s="29" t="n">
        <v>2275.88</v>
      </c>
    </row>
    <row r="319">
      <c r="A319" s="27" t="n">
        <v>46419</v>
      </c>
      <c r="B319" s="28" t="inlineStr">
        <is>
          <t>Produce</t>
        </is>
      </c>
      <c r="C319" s="28" t="inlineStr">
        <is>
          <t>Forecast</t>
        </is>
      </c>
      <c r="D319" s="29" t="n">
        <v>2039.62</v>
      </c>
      <c r="E319" s="29" t="n"/>
      <c r="F319" s="30" t="n"/>
      <c r="G319" s="29" t="n">
        <v>1960.37</v>
      </c>
      <c r="H319" s="29" t="n">
        <v>2118.87</v>
      </c>
    </row>
    <row r="320">
      <c r="A320" s="27" t="n">
        <v>46419</v>
      </c>
      <c r="B320" s="28" t="inlineStr">
        <is>
          <t>Snacks &amp; Confectionery</t>
        </is>
      </c>
      <c r="C320" s="28" t="inlineStr">
        <is>
          <t>Forecast</t>
        </is>
      </c>
      <c r="D320" s="29" t="n">
        <v>8436.360000000001</v>
      </c>
      <c r="E320" s="29" t="n"/>
      <c r="F320" s="30" t="n"/>
      <c r="G320" s="29" t="n">
        <v>8108.57</v>
      </c>
      <c r="H320" s="29" t="n">
        <v>8764.15</v>
      </c>
    </row>
    <row r="321">
      <c r="A321" s="27" t="n">
        <v>46447</v>
      </c>
      <c r="B321" s="28" t="inlineStr">
        <is>
          <t>Bakery</t>
        </is>
      </c>
      <c r="C321" s="28" t="inlineStr">
        <is>
          <t>Forecast</t>
        </is>
      </c>
      <c r="D321" s="29" t="n">
        <v>5321.47</v>
      </c>
      <c r="E321" s="29" t="n"/>
      <c r="F321" s="30" t="n"/>
      <c r="G321" s="29" t="n">
        <v>5114.71</v>
      </c>
      <c r="H321" s="29" t="n">
        <v>5528.23</v>
      </c>
    </row>
    <row r="322">
      <c r="A322" s="27" t="n">
        <v>46447</v>
      </c>
      <c r="B322" s="28" t="inlineStr">
        <is>
          <t>Beer &amp; Wine</t>
        </is>
      </c>
      <c r="C322" s="28" t="inlineStr">
        <is>
          <t>Forecast</t>
        </is>
      </c>
      <c r="D322" s="29" t="n">
        <v>12294.3</v>
      </c>
      <c r="E322" s="29" t="n"/>
      <c r="F322" s="30" t="n"/>
      <c r="G322" s="29" t="n">
        <v>11816.61</v>
      </c>
      <c r="H322" s="29" t="n">
        <v>12771.99</v>
      </c>
    </row>
    <row r="323">
      <c r="A323" s="27" t="n">
        <v>46447</v>
      </c>
      <c r="B323" s="28" t="inlineStr">
        <is>
          <t>Beverages</t>
        </is>
      </c>
      <c r="C323" s="28" t="inlineStr">
        <is>
          <t>Forecast</t>
        </is>
      </c>
      <c r="D323" s="29" t="n">
        <v>15878.05</v>
      </c>
      <c r="E323" s="29" t="n"/>
      <c r="F323" s="30" t="n"/>
      <c r="G323" s="29" t="n">
        <v>15261.11</v>
      </c>
      <c r="H323" s="29" t="n">
        <v>16494.98</v>
      </c>
    </row>
    <row r="324">
      <c r="A324" s="27" t="n">
        <v>46447</v>
      </c>
      <c r="B324" s="28" t="inlineStr">
        <is>
          <t>Dairy</t>
        </is>
      </c>
      <c r="C324" s="28" t="inlineStr">
        <is>
          <t>Forecast</t>
        </is>
      </c>
      <c r="D324" s="29" t="n">
        <v>14641.36</v>
      </c>
      <c r="E324" s="29" t="n"/>
      <c r="F324" s="30" t="n"/>
      <c r="G324" s="29" t="n">
        <v>14072.48</v>
      </c>
      <c r="H324" s="29" t="n">
        <v>15210.25</v>
      </c>
    </row>
    <row r="325">
      <c r="A325" s="27" t="n">
        <v>46447</v>
      </c>
      <c r="B325" s="28" t="inlineStr">
        <is>
          <t>Food To Go</t>
        </is>
      </c>
      <c r="C325" s="28" t="inlineStr">
        <is>
          <t>Forecast</t>
        </is>
      </c>
      <c r="D325" s="29" t="n">
        <v>17421.59</v>
      </c>
      <c r="E325" s="29" t="n"/>
      <c r="F325" s="30" t="n"/>
      <c r="G325" s="29" t="n">
        <v>16744.69</v>
      </c>
      <c r="H325" s="29" t="n">
        <v>18098.5</v>
      </c>
    </row>
    <row r="326">
      <c r="A326" s="27" t="n">
        <v>46447</v>
      </c>
      <c r="B326" s="28" t="inlineStr">
        <is>
          <t>Frozen</t>
        </is>
      </c>
      <c r="C326" s="28" t="inlineStr">
        <is>
          <t>Forecast</t>
        </is>
      </c>
      <c r="D326" s="29" t="n">
        <v>6362.5</v>
      </c>
      <c r="E326" s="29" t="n"/>
      <c r="F326" s="30" t="n"/>
      <c r="G326" s="29" t="n">
        <v>6115.29</v>
      </c>
      <c r="H326" s="29" t="n">
        <v>6609.71</v>
      </c>
    </row>
    <row r="327">
      <c r="A327" s="27" t="n">
        <v>46447</v>
      </c>
      <c r="B327" s="28" t="inlineStr">
        <is>
          <t>Grocery</t>
        </is>
      </c>
      <c r="C327" s="28" t="inlineStr">
        <is>
          <t>Forecast</t>
        </is>
      </c>
      <c r="D327" s="29" t="n">
        <v>9292.540000000001</v>
      </c>
      <c r="E327" s="29" t="n"/>
      <c r="F327" s="30" t="n"/>
      <c r="G327" s="29" t="n">
        <v>8931.49</v>
      </c>
      <c r="H327" s="29" t="n">
        <v>9653.6</v>
      </c>
    </row>
    <row r="328">
      <c r="A328" s="27" t="n">
        <v>46447</v>
      </c>
      <c r="B328" s="28" t="inlineStr">
        <is>
          <t>Health &amp; Beauty</t>
        </is>
      </c>
      <c r="C328" s="28" t="inlineStr">
        <is>
          <t>Forecast</t>
        </is>
      </c>
      <c r="D328" s="29" t="n">
        <v>1709.38</v>
      </c>
      <c r="E328" s="29" t="n"/>
      <c r="F328" s="30" t="n"/>
      <c r="G328" s="29" t="n">
        <v>1642.96</v>
      </c>
      <c r="H328" s="29" t="n">
        <v>1775.8</v>
      </c>
    </row>
    <row r="329">
      <c r="A329" s="27" t="n">
        <v>46447</v>
      </c>
      <c r="B329" s="28" t="inlineStr">
        <is>
          <t>Household</t>
        </is>
      </c>
      <c r="C329" s="28" t="inlineStr">
        <is>
          <t>Forecast</t>
        </is>
      </c>
      <c r="D329" s="29" t="n">
        <v>2610.81</v>
      </c>
      <c r="E329" s="29" t="n"/>
      <c r="F329" s="30" t="n"/>
      <c r="G329" s="29" t="n">
        <v>2509.37</v>
      </c>
      <c r="H329" s="29" t="n">
        <v>2712.25</v>
      </c>
    </row>
    <row r="330">
      <c r="A330" s="27" t="n">
        <v>46447</v>
      </c>
      <c r="B330" s="28" t="inlineStr">
        <is>
          <t>Produce</t>
        </is>
      </c>
      <c r="C330" s="28" t="inlineStr">
        <is>
          <t>Forecast</t>
        </is>
      </c>
      <c r="D330" s="29" t="n">
        <v>2376.71</v>
      </c>
      <c r="E330" s="29" t="n"/>
      <c r="F330" s="30" t="n"/>
      <c r="G330" s="29" t="n">
        <v>2284.37</v>
      </c>
      <c r="H330" s="29" t="n">
        <v>2469.06</v>
      </c>
    </row>
    <row r="331">
      <c r="A331" s="27" t="n">
        <v>46447</v>
      </c>
      <c r="B331" s="28" t="inlineStr">
        <is>
          <t>Snacks &amp; Confectionery</t>
        </is>
      </c>
      <c r="C331" s="28" t="inlineStr">
        <is>
          <t>Forecast</t>
        </is>
      </c>
      <c r="D331" s="29" t="n">
        <v>9396.110000000001</v>
      </c>
      <c r="E331" s="29" t="n"/>
      <c r="F331" s="30" t="n"/>
      <c r="G331" s="29" t="n">
        <v>9031.030000000001</v>
      </c>
      <c r="H331" s="29" t="n">
        <v>9761.190000000001</v>
      </c>
    </row>
    <row r="332">
      <c r="A332" s="27" t="n">
        <v>46478</v>
      </c>
      <c r="B332" s="28" t="inlineStr">
        <is>
          <t>Bakery</t>
        </is>
      </c>
      <c r="C332" s="28" t="inlineStr">
        <is>
          <t>Forecast</t>
        </is>
      </c>
      <c r="D332" s="29" t="n">
        <v>4994.83</v>
      </c>
      <c r="E332" s="29" t="n"/>
      <c r="F332" s="30" t="n"/>
      <c r="G332" s="29" t="n">
        <v>4800.76</v>
      </c>
      <c r="H332" s="29" t="n">
        <v>5188.9</v>
      </c>
    </row>
    <row r="333">
      <c r="A333" s="27" t="n">
        <v>46478</v>
      </c>
      <c r="B333" s="28" t="inlineStr">
        <is>
          <t>Beer &amp; Wine</t>
        </is>
      </c>
      <c r="C333" s="28" t="inlineStr">
        <is>
          <t>Forecast</t>
        </is>
      </c>
      <c r="D333" s="29" t="n">
        <v>9483.6</v>
      </c>
      <c r="E333" s="29" t="n"/>
      <c r="F333" s="30" t="n"/>
      <c r="G333" s="29" t="n">
        <v>9115.120000000001</v>
      </c>
      <c r="H333" s="29" t="n">
        <v>9852.08</v>
      </c>
    </row>
    <row r="334">
      <c r="A334" s="27" t="n">
        <v>46478</v>
      </c>
      <c r="B334" s="28" t="inlineStr">
        <is>
          <t>Beverages</t>
        </is>
      </c>
      <c r="C334" s="28" t="inlineStr">
        <is>
          <t>Forecast</t>
        </is>
      </c>
      <c r="D334" s="29" t="n">
        <v>13692.53</v>
      </c>
      <c r="E334" s="29" t="n"/>
      <c r="F334" s="30" t="n"/>
      <c r="G334" s="29" t="n">
        <v>13160.52</v>
      </c>
      <c r="H334" s="29" t="n">
        <v>14224.55</v>
      </c>
    </row>
    <row r="335">
      <c r="A335" s="27" t="n">
        <v>46478</v>
      </c>
      <c r="B335" s="28" t="inlineStr">
        <is>
          <t>Dairy</t>
        </is>
      </c>
      <c r="C335" s="28" t="inlineStr">
        <is>
          <t>Forecast</t>
        </is>
      </c>
      <c r="D335" s="29" t="n">
        <v>14175.82</v>
      </c>
      <c r="E335" s="29" t="n"/>
      <c r="F335" s="30" t="n"/>
      <c r="G335" s="29" t="n">
        <v>13625.03</v>
      </c>
      <c r="H335" s="29" t="n">
        <v>14726.62</v>
      </c>
    </row>
    <row r="336">
      <c r="A336" s="27" t="n">
        <v>46478</v>
      </c>
      <c r="B336" s="28" t="inlineStr">
        <is>
          <t>Food To Go</t>
        </is>
      </c>
      <c r="C336" s="28" t="inlineStr">
        <is>
          <t>Forecast</t>
        </is>
      </c>
      <c r="D336" s="29" t="n">
        <v>16164.57</v>
      </c>
      <c r="E336" s="29" t="n"/>
      <c r="F336" s="30" t="n"/>
      <c r="G336" s="29" t="n">
        <v>15536.51</v>
      </c>
      <c r="H336" s="29" t="n">
        <v>16792.64</v>
      </c>
    </row>
    <row r="337">
      <c r="A337" s="27" t="n">
        <v>46478</v>
      </c>
      <c r="B337" s="28" t="inlineStr">
        <is>
          <t>Frozen</t>
        </is>
      </c>
      <c r="C337" s="28" t="inlineStr">
        <is>
          <t>Forecast</t>
        </is>
      </c>
      <c r="D337" s="29" t="n">
        <v>5660.56</v>
      </c>
      <c r="E337" s="29" t="n"/>
      <c r="F337" s="30" t="n"/>
      <c r="G337" s="29" t="n">
        <v>5440.63</v>
      </c>
      <c r="H337" s="29" t="n">
        <v>5880.5</v>
      </c>
    </row>
    <row r="338">
      <c r="A338" s="27" t="n">
        <v>46478</v>
      </c>
      <c r="B338" s="28" t="inlineStr">
        <is>
          <t>Grocery</t>
        </is>
      </c>
      <c r="C338" s="28" t="inlineStr">
        <is>
          <t>Forecast</t>
        </is>
      </c>
      <c r="D338" s="29" t="n">
        <v>8887.639999999999</v>
      </c>
      <c r="E338" s="29" t="n"/>
      <c r="F338" s="30" t="n"/>
      <c r="G338" s="29" t="n">
        <v>8542.32</v>
      </c>
      <c r="H338" s="29" t="n">
        <v>9232.969999999999</v>
      </c>
    </row>
    <row r="339">
      <c r="A339" s="27" t="n">
        <v>46478</v>
      </c>
      <c r="B339" s="28" t="inlineStr">
        <is>
          <t>Health &amp; Beauty</t>
        </is>
      </c>
      <c r="C339" s="28" t="inlineStr">
        <is>
          <t>Forecast</t>
        </is>
      </c>
      <c r="D339" s="29" t="n">
        <v>1492.45</v>
      </c>
      <c r="E339" s="29" t="n"/>
      <c r="F339" s="30" t="n"/>
      <c r="G339" s="29" t="n">
        <v>1434.46</v>
      </c>
      <c r="H339" s="29" t="n">
        <v>1550.44</v>
      </c>
    </row>
    <row r="340">
      <c r="A340" s="27" t="n">
        <v>46478</v>
      </c>
      <c r="B340" s="28" t="inlineStr">
        <is>
          <t>Household</t>
        </is>
      </c>
      <c r="C340" s="28" t="inlineStr">
        <is>
          <t>Forecast</t>
        </is>
      </c>
      <c r="D340" s="29" t="n">
        <v>1921.06</v>
      </c>
      <c r="E340" s="29" t="n"/>
      <c r="F340" s="30" t="n"/>
      <c r="G340" s="29" t="n">
        <v>1846.42</v>
      </c>
      <c r="H340" s="29" t="n">
        <v>1995.71</v>
      </c>
    </row>
    <row r="341">
      <c r="A341" s="27" t="n">
        <v>46478</v>
      </c>
      <c r="B341" s="28" t="inlineStr">
        <is>
          <t>Produce</t>
        </is>
      </c>
      <c r="C341" s="28" t="inlineStr">
        <is>
          <t>Forecast</t>
        </is>
      </c>
      <c r="D341" s="29" t="n">
        <v>2244.11</v>
      </c>
      <c r="E341" s="29" t="n"/>
      <c r="F341" s="30" t="n"/>
      <c r="G341" s="29" t="n">
        <v>2156.92</v>
      </c>
      <c r="H341" s="29" t="n">
        <v>2331.31</v>
      </c>
    </row>
    <row r="342">
      <c r="A342" s="27" t="n">
        <v>46478</v>
      </c>
      <c r="B342" s="28" t="inlineStr">
        <is>
          <t>Snacks &amp; Confectionery</t>
        </is>
      </c>
      <c r="C342" s="28" t="inlineStr">
        <is>
          <t>Forecast</t>
        </is>
      </c>
      <c r="D342" s="29" t="n">
        <v>8804.84</v>
      </c>
      <c r="E342" s="29" t="n"/>
      <c r="F342" s="30" t="n"/>
      <c r="G342" s="29" t="n">
        <v>8462.74</v>
      </c>
      <c r="H342" s="29" t="n">
        <v>9146.950000000001</v>
      </c>
    </row>
    <row r="343">
      <c r="A343" s="27" t="n">
        <v>46508</v>
      </c>
      <c r="B343" s="28" t="inlineStr">
        <is>
          <t>Bakery</t>
        </is>
      </c>
      <c r="C343" s="28" t="inlineStr">
        <is>
          <t>Forecast</t>
        </is>
      </c>
      <c r="D343" s="29" t="n">
        <v>5676.04</v>
      </c>
      <c r="E343" s="29" t="n"/>
      <c r="F343" s="30" t="n"/>
      <c r="G343" s="29" t="n">
        <v>5455.5</v>
      </c>
      <c r="H343" s="29" t="n">
        <v>5896.58</v>
      </c>
    </row>
    <row r="344">
      <c r="A344" s="27" t="n">
        <v>46508</v>
      </c>
      <c r="B344" s="28" t="inlineStr">
        <is>
          <t>Beer &amp; Wine</t>
        </is>
      </c>
      <c r="C344" s="28" t="inlineStr">
        <is>
          <t>Forecast</t>
        </is>
      </c>
      <c r="D344" s="29" t="n">
        <v>9738.77</v>
      </c>
      <c r="E344" s="29" t="n"/>
      <c r="F344" s="30" t="n"/>
      <c r="G344" s="29" t="n">
        <v>9360.370000000001</v>
      </c>
      <c r="H344" s="29" t="n">
        <v>10117.16</v>
      </c>
    </row>
    <row r="345">
      <c r="A345" s="27" t="n">
        <v>46508</v>
      </c>
      <c r="B345" s="28" t="inlineStr">
        <is>
          <t>Beverages</t>
        </is>
      </c>
      <c r="C345" s="28" t="inlineStr">
        <is>
          <t>Forecast</t>
        </is>
      </c>
      <c r="D345" s="29" t="n">
        <v>12374.25</v>
      </c>
      <c r="E345" s="29" t="n"/>
      <c r="F345" s="30" t="n"/>
      <c r="G345" s="29" t="n">
        <v>11893.45</v>
      </c>
      <c r="H345" s="29" t="n">
        <v>12855.04</v>
      </c>
    </row>
    <row r="346">
      <c r="A346" s="27" t="n">
        <v>46508</v>
      </c>
      <c r="B346" s="28" t="inlineStr">
        <is>
          <t>Dairy</t>
        </is>
      </c>
      <c r="C346" s="28" t="inlineStr">
        <is>
          <t>Forecast</t>
        </is>
      </c>
      <c r="D346" s="29" t="n">
        <v>14198.77</v>
      </c>
      <c r="E346" s="29" t="n"/>
      <c r="F346" s="30" t="n"/>
      <c r="G346" s="29" t="n">
        <v>13647.09</v>
      </c>
      <c r="H346" s="29" t="n">
        <v>14750.46</v>
      </c>
    </row>
    <row r="347">
      <c r="A347" s="27" t="n">
        <v>46508</v>
      </c>
      <c r="B347" s="28" t="inlineStr">
        <is>
          <t>Food To Go</t>
        </is>
      </c>
      <c r="C347" s="28" t="inlineStr">
        <is>
          <t>Forecast</t>
        </is>
      </c>
      <c r="D347" s="29" t="n">
        <v>15886.88</v>
      </c>
      <c r="E347" s="29" t="n"/>
      <c r="F347" s="30" t="n"/>
      <c r="G347" s="29" t="n">
        <v>15269.6</v>
      </c>
      <c r="H347" s="29" t="n">
        <v>16504.15</v>
      </c>
    </row>
    <row r="348">
      <c r="A348" s="27" t="n">
        <v>46508</v>
      </c>
      <c r="B348" s="28" t="inlineStr">
        <is>
          <t>Frozen</t>
        </is>
      </c>
      <c r="C348" s="28" t="inlineStr">
        <is>
          <t>Forecast</t>
        </is>
      </c>
      <c r="D348" s="29" t="n">
        <v>6258.6</v>
      </c>
      <c r="E348" s="29" t="n"/>
      <c r="F348" s="30" t="n"/>
      <c r="G348" s="29" t="n">
        <v>6015.43</v>
      </c>
      <c r="H348" s="29" t="n">
        <v>6501.77</v>
      </c>
    </row>
    <row r="349">
      <c r="A349" s="27" t="n">
        <v>46508</v>
      </c>
      <c r="B349" s="28" t="inlineStr">
        <is>
          <t>Grocery</t>
        </is>
      </c>
      <c r="C349" s="28" t="inlineStr">
        <is>
          <t>Forecast</t>
        </is>
      </c>
      <c r="D349" s="29" t="n">
        <v>9671.530000000001</v>
      </c>
      <c r="E349" s="29" t="n"/>
      <c r="F349" s="30" t="n"/>
      <c r="G349" s="29" t="n">
        <v>9295.75</v>
      </c>
      <c r="H349" s="29" t="n">
        <v>10047.32</v>
      </c>
    </row>
    <row r="350">
      <c r="A350" s="27" t="n">
        <v>46508</v>
      </c>
      <c r="B350" s="28" t="inlineStr">
        <is>
          <t>Health &amp; Beauty</t>
        </is>
      </c>
      <c r="C350" s="28" t="inlineStr">
        <is>
          <t>Forecast</t>
        </is>
      </c>
      <c r="D350" s="29" t="n">
        <v>1653.82</v>
      </c>
      <c r="E350" s="29" t="n"/>
      <c r="F350" s="30" t="n"/>
      <c r="G350" s="29" t="n">
        <v>1589.56</v>
      </c>
      <c r="H350" s="29" t="n">
        <v>1718.08</v>
      </c>
    </row>
    <row r="351">
      <c r="A351" s="27" t="n">
        <v>46508</v>
      </c>
      <c r="B351" s="28" t="inlineStr">
        <is>
          <t>Household</t>
        </is>
      </c>
      <c r="C351" s="28" t="inlineStr">
        <is>
          <t>Forecast</t>
        </is>
      </c>
      <c r="D351" s="29" t="n">
        <v>2291.91</v>
      </c>
      <c r="E351" s="29" t="n"/>
      <c r="F351" s="30" t="n"/>
      <c r="G351" s="29" t="n">
        <v>2202.86</v>
      </c>
      <c r="H351" s="29" t="n">
        <v>2380.96</v>
      </c>
    </row>
    <row r="352">
      <c r="A352" s="27" t="n">
        <v>46508</v>
      </c>
      <c r="B352" s="28" t="inlineStr">
        <is>
          <t>Produce</t>
        </is>
      </c>
      <c r="C352" s="28" t="inlineStr">
        <is>
          <t>Forecast</t>
        </is>
      </c>
      <c r="D352" s="29" t="n">
        <v>1916.38</v>
      </c>
      <c r="E352" s="29" t="n"/>
      <c r="F352" s="30" t="n"/>
      <c r="G352" s="29" t="n">
        <v>1841.92</v>
      </c>
      <c r="H352" s="29" t="n">
        <v>1990.83</v>
      </c>
    </row>
    <row r="353">
      <c r="A353" s="27" t="n">
        <v>46508</v>
      </c>
      <c r="B353" s="28" t="inlineStr">
        <is>
          <t>Snacks &amp; Confectionery</t>
        </is>
      </c>
      <c r="C353" s="28" t="inlineStr">
        <is>
          <t>Forecast</t>
        </is>
      </c>
      <c r="D353" s="29" t="n">
        <v>9475.98</v>
      </c>
      <c r="E353" s="29" t="n"/>
      <c r="F353" s="30" t="n"/>
      <c r="G353" s="29" t="n">
        <v>9107.799999999999</v>
      </c>
      <c r="H353" s="29" t="n">
        <v>9844.17</v>
      </c>
    </row>
    <row r="354">
      <c r="A354" s="27" t="n">
        <v>46539</v>
      </c>
      <c r="B354" s="28" t="inlineStr">
        <is>
          <t>Bakery</t>
        </is>
      </c>
      <c r="C354" s="28" t="inlineStr">
        <is>
          <t>Forecast</t>
        </is>
      </c>
      <c r="D354" s="29" t="n">
        <v>5403.52</v>
      </c>
      <c r="E354" s="29" t="n"/>
      <c r="F354" s="30" t="n"/>
      <c r="G354" s="29" t="n">
        <v>5193.57</v>
      </c>
      <c r="H354" s="29" t="n">
        <v>5613.47</v>
      </c>
    </row>
    <row r="355">
      <c r="A355" s="27" t="n">
        <v>46539</v>
      </c>
      <c r="B355" s="28" t="inlineStr">
        <is>
          <t>Beer &amp; Wine</t>
        </is>
      </c>
      <c r="C355" s="28" t="inlineStr">
        <is>
          <t>Forecast</t>
        </is>
      </c>
      <c r="D355" s="29" t="n">
        <v>8032.45</v>
      </c>
      <c r="E355" s="29" t="n"/>
      <c r="F355" s="30" t="n"/>
      <c r="G355" s="29" t="n">
        <v>7720.36</v>
      </c>
      <c r="H355" s="29" t="n">
        <v>8344.549999999999</v>
      </c>
    </row>
    <row r="356">
      <c r="A356" s="27" t="n">
        <v>46539</v>
      </c>
      <c r="B356" s="28" t="inlineStr">
        <is>
          <t>Beverages</t>
        </is>
      </c>
      <c r="C356" s="28" t="inlineStr">
        <is>
          <t>Forecast</t>
        </is>
      </c>
      <c r="D356" s="29" t="n">
        <v>10513.52</v>
      </c>
      <c r="E356" s="29" t="n"/>
      <c r="F356" s="30" t="n"/>
      <c r="G356" s="29" t="n">
        <v>10105.02</v>
      </c>
      <c r="H356" s="29" t="n">
        <v>10922.01</v>
      </c>
    </row>
    <row r="357">
      <c r="A357" s="27" t="n">
        <v>46539</v>
      </c>
      <c r="B357" s="28" t="inlineStr">
        <is>
          <t>Dairy</t>
        </is>
      </c>
      <c r="C357" s="28" t="inlineStr">
        <is>
          <t>Forecast</t>
        </is>
      </c>
      <c r="D357" s="29" t="n">
        <v>14389.64</v>
      </c>
      <c r="E357" s="29" t="n"/>
      <c r="F357" s="30" t="n"/>
      <c r="G357" s="29" t="n">
        <v>13830.54</v>
      </c>
      <c r="H357" s="29" t="n">
        <v>14948.75</v>
      </c>
    </row>
    <row r="358">
      <c r="A358" s="27" t="n">
        <v>46539</v>
      </c>
      <c r="B358" s="28" t="inlineStr">
        <is>
          <t>Food To Go</t>
        </is>
      </c>
      <c r="C358" s="28" t="inlineStr">
        <is>
          <t>Forecast</t>
        </is>
      </c>
      <c r="D358" s="29" t="n">
        <v>14570.74</v>
      </c>
      <c r="E358" s="29" t="n"/>
      <c r="F358" s="30" t="n"/>
      <c r="G358" s="29" t="n">
        <v>14004.61</v>
      </c>
      <c r="H358" s="29" t="n">
        <v>15136.88</v>
      </c>
    </row>
    <row r="359">
      <c r="A359" s="27" t="n">
        <v>46539</v>
      </c>
      <c r="B359" s="28" t="inlineStr">
        <is>
          <t>Frozen</t>
        </is>
      </c>
      <c r="C359" s="28" t="inlineStr">
        <is>
          <t>Forecast</t>
        </is>
      </c>
      <c r="D359" s="29" t="n">
        <v>6305.56</v>
      </c>
      <c r="E359" s="29" t="n"/>
      <c r="F359" s="30" t="n"/>
      <c r="G359" s="29" t="n">
        <v>6060.56</v>
      </c>
      <c r="H359" s="29" t="n">
        <v>6550.56</v>
      </c>
    </row>
    <row r="360">
      <c r="A360" s="27" t="n">
        <v>46539</v>
      </c>
      <c r="B360" s="28" t="inlineStr">
        <is>
          <t>Grocery</t>
        </is>
      </c>
      <c r="C360" s="28" t="inlineStr">
        <is>
          <t>Forecast</t>
        </is>
      </c>
      <c r="D360" s="29" t="n">
        <v>9549.299999999999</v>
      </c>
      <c r="E360" s="29" t="n"/>
      <c r="F360" s="30" t="n"/>
      <c r="G360" s="29" t="n">
        <v>9178.27</v>
      </c>
      <c r="H360" s="29" t="n">
        <v>9920.33</v>
      </c>
    </row>
    <row r="361">
      <c r="A361" s="27" t="n">
        <v>46539</v>
      </c>
      <c r="B361" s="28" t="inlineStr">
        <is>
          <t>Health &amp; Beauty</t>
        </is>
      </c>
      <c r="C361" s="28" t="inlineStr">
        <is>
          <t>Forecast</t>
        </is>
      </c>
      <c r="D361" s="29" t="n">
        <v>1597.14</v>
      </c>
      <c r="E361" s="29" t="n"/>
      <c r="F361" s="30" t="n"/>
      <c r="G361" s="29" t="n">
        <v>1535.08</v>
      </c>
      <c r="H361" s="29" t="n">
        <v>1659.19</v>
      </c>
    </row>
    <row r="362">
      <c r="A362" s="27" t="n">
        <v>46539</v>
      </c>
      <c r="B362" s="28" t="inlineStr">
        <is>
          <t>Household</t>
        </is>
      </c>
      <c r="C362" s="28" t="inlineStr">
        <is>
          <t>Forecast</t>
        </is>
      </c>
      <c r="D362" s="29" t="n">
        <v>2422.71</v>
      </c>
      <c r="E362" s="29" t="n"/>
      <c r="F362" s="30" t="n"/>
      <c r="G362" s="29" t="n">
        <v>2328.57</v>
      </c>
      <c r="H362" s="29" t="n">
        <v>2516.84</v>
      </c>
    </row>
    <row r="363">
      <c r="A363" s="27" t="n">
        <v>46539</v>
      </c>
      <c r="B363" s="28" t="inlineStr">
        <is>
          <t>Produce</t>
        </is>
      </c>
      <c r="C363" s="28" t="inlineStr">
        <is>
          <t>Forecast</t>
        </is>
      </c>
      <c r="D363" s="29" t="n">
        <v>1744.19</v>
      </c>
      <c r="E363" s="29" t="n"/>
      <c r="F363" s="30" t="n"/>
      <c r="G363" s="29" t="n">
        <v>1676.42</v>
      </c>
      <c r="H363" s="29" t="n">
        <v>1811.96</v>
      </c>
    </row>
    <row r="364">
      <c r="A364" s="27" t="n">
        <v>46539</v>
      </c>
      <c r="B364" s="28" t="inlineStr">
        <is>
          <t>Snacks &amp; Confectionery</t>
        </is>
      </c>
      <c r="C364" s="28" t="inlineStr">
        <is>
          <t>Forecast</t>
        </is>
      </c>
      <c r="D364" s="29" t="n">
        <v>9357.68</v>
      </c>
      <c r="E364" s="29" t="n"/>
      <c r="F364" s="30" t="n"/>
      <c r="G364" s="29" t="n">
        <v>8994.09</v>
      </c>
      <c r="H364" s="29" t="n">
        <v>9721.27</v>
      </c>
    </row>
    <row r="365">
      <c r="A365" s="27" t="n">
        <v>46569</v>
      </c>
      <c r="B365" s="28" t="inlineStr">
        <is>
          <t>Bakery</t>
        </is>
      </c>
      <c r="C365" s="28" t="inlineStr">
        <is>
          <t>Forecast</t>
        </is>
      </c>
      <c r="D365" s="29" t="n">
        <v>5702.03</v>
      </c>
      <c r="E365" s="29" t="n"/>
      <c r="F365" s="30" t="n"/>
      <c r="G365" s="29" t="n">
        <v>5480.48</v>
      </c>
      <c r="H365" s="29" t="n">
        <v>5923.58</v>
      </c>
    </row>
    <row r="366">
      <c r="A366" s="27" t="n">
        <v>46569</v>
      </c>
      <c r="B366" s="28" t="inlineStr">
        <is>
          <t>Beer &amp; Wine</t>
        </is>
      </c>
      <c r="C366" s="28" t="inlineStr">
        <is>
          <t>Forecast</t>
        </is>
      </c>
      <c r="D366" s="29" t="n">
        <v>8778.59</v>
      </c>
      <c r="E366" s="29" t="n"/>
      <c r="F366" s="30" t="n"/>
      <c r="G366" s="29" t="n">
        <v>8437.5</v>
      </c>
      <c r="H366" s="29" t="n">
        <v>9119.67</v>
      </c>
    </row>
    <row r="367">
      <c r="A367" s="27" t="n">
        <v>46569</v>
      </c>
      <c r="B367" s="28" t="inlineStr">
        <is>
          <t>Beverages</t>
        </is>
      </c>
      <c r="C367" s="28" t="inlineStr">
        <is>
          <t>Forecast</t>
        </is>
      </c>
      <c r="D367" s="29" t="n">
        <v>10241.89</v>
      </c>
      <c r="E367" s="29" t="n"/>
      <c r="F367" s="30" t="n"/>
      <c r="G367" s="29" t="n">
        <v>9843.950000000001</v>
      </c>
      <c r="H367" s="29" t="n">
        <v>10639.83</v>
      </c>
    </row>
    <row r="368">
      <c r="A368" s="27" t="n">
        <v>46569</v>
      </c>
      <c r="B368" s="28" t="inlineStr">
        <is>
          <t>Dairy</t>
        </is>
      </c>
      <c r="C368" s="28" t="inlineStr">
        <is>
          <t>Forecast</t>
        </is>
      </c>
      <c r="D368" s="29" t="n">
        <v>14812.04</v>
      </c>
      <c r="E368" s="29" t="n"/>
      <c r="F368" s="30" t="n"/>
      <c r="G368" s="29" t="n">
        <v>14236.53</v>
      </c>
      <c r="H368" s="29" t="n">
        <v>15387.56</v>
      </c>
    </row>
    <row r="369">
      <c r="A369" s="27" t="n">
        <v>46569</v>
      </c>
      <c r="B369" s="28" t="inlineStr">
        <is>
          <t>Food To Go</t>
        </is>
      </c>
      <c r="C369" s="28" t="inlineStr">
        <is>
          <t>Forecast</t>
        </is>
      </c>
      <c r="D369" s="29" t="n">
        <v>15319.01</v>
      </c>
      <c r="E369" s="29" t="n"/>
      <c r="F369" s="30" t="n"/>
      <c r="G369" s="29" t="n">
        <v>14723.79</v>
      </c>
      <c r="H369" s="29" t="n">
        <v>15914.22</v>
      </c>
    </row>
    <row r="370">
      <c r="A370" s="27" t="n">
        <v>46569</v>
      </c>
      <c r="B370" s="28" t="inlineStr">
        <is>
          <t>Frozen</t>
        </is>
      </c>
      <c r="C370" s="28" t="inlineStr">
        <is>
          <t>Forecast</t>
        </is>
      </c>
      <c r="D370" s="29" t="n">
        <v>6548.96</v>
      </c>
      <c r="E370" s="29" t="n"/>
      <c r="F370" s="30" t="n"/>
      <c r="G370" s="29" t="n">
        <v>6294.5</v>
      </c>
      <c r="H370" s="29" t="n">
        <v>6803.41</v>
      </c>
    </row>
    <row r="371">
      <c r="A371" s="27" t="n">
        <v>46569</v>
      </c>
      <c r="B371" s="28" t="inlineStr">
        <is>
          <t>Grocery</t>
        </is>
      </c>
      <c r="C371" s="28" t="inlineStr">
        <is>
          <t>Forecast</t>
        </is>
      </c>
      <c r="D371" s="29" t="n">
        <v>9869.59</v>
      </c>
      <c r="E371" s="29" t="n"/>
      <c r="F371" s="30" t="n"/>
      <c r="G371" s="29" t="n">
        <v>9486.110000000001</v>
      </c>
      <c r="H371" s="29" t="n">
        <v>10253.07</v>
      </c>
    </row>
    <row r="372">
      <c r="A372" s="27" t="n">
        <v>46569</v>
      </c>
      <c r="B372" s="28" t="inlineStr">
        <is>
          <t>Health &amp; Beauty</t>
        </is>
      </c>
      <c r="C372" s="28" t="inlineStr">
        <is>
          <t>Forecast</t>
        </is>
      </c>
      <c r="D372" s="29" t="n">
        <v>1337.79</v>
      </c>
      <c r="E372" s="29" t="n"/>
      <c r="F372" s="30" t="n"/>
      <c r="G372" s="29" t="n">
        <v>1285.81</v>
      </c>
      <c r="H372" s="29" t="n">
        <v>1389.77</v>
      </c>
    </row>
    <row r="373">
      <c r="A373" s="27" t="n">
        <v>46569</v>
      </c>
      <c r="B373" s="28" t="inlineStr">
        <is>
          <t>Household</t>
        </is>
      </c>
      <c r="C373" s="28" t="inlineStr">
        <is>
          <t>Forecast</t>
        </is>
      </c>
      <c r="D373" s="29" t="n">
        <v>2386.01</v>
      </c>
      <c r="E373" s="29" t="n"/>
      <c r="F373" s="30" t="n"/>
      <c r="G373" s="29" t="n">
        <v>2293.3</v>
      </c>
      <c r="H373" s="29" t="n">
        <v>2478.72</v>
      </c>
    </row>
    <row r="374">
      <c r="A374" s="27" t="n">
        <v>46569</v>
      </c>
      <c r="B374" s="28" t="inlineStr">
        <is>
          <t>Produce</t>
        </is>
      </c>
      <c r="C374" s="28" t="inlineStr">
        <is>
          <t>Forecast</t>
        </is>
      </c>
      <c r="D374" s="29" t="n">
        <v>1678.62</v>
      </c>
      <c r="E374" s="29" t="n"/>
      <c r="F374" s="30" t="n"/>
      <c r="G374" s="29" t="n">
        <v>1613.4</v>
      </c>
      <c r="H374" s="29" t="n">
        <v>1743.84</v>
      </c>
    </row>
    <row r="375">
      <c r="A375" s="27" t="n">
        <v>46569</v>
      </c>
      <c r="B375" s="28" t="inlineStr">
        <is>
          <t>Snacks &amp; Confectionery</t>
        </is>
      </c>
      <c r="C375" s="28" t="inlineStr">
        <is>
          <t>Forecast</t>
        </is>
      </c>
      <c r="D375" s="29" t="n">
        <v>9949.059999999999</v>
      </c>
      <c r="E375" s="29" t="n"/>
      <c r="F375" s="30" t="n"/>
      <c r="G375" s="29" t="n">
        <v>9562.49</v>
      </c>
      <c r="H375" s="29" t="n">
        <v>10335.62</v>
      </c>
    </row>
    <row r="376">
      <c r="A376" s="27" t="n">
        <v>46600</v>
      </c>
      <c r="B376" s="28" t="inlineStr">
        <is>
          <t>Bakery</t>
        </is>
      </c>
      <c r="C376" s="28" t="inlineStr">
        <is>
          <t>Forecast</t>
        </is>
      </c>
      <c r="D376" s="29" t="n">
        <v>5617.11</v>
      </c>
      <c r="E376" s="29" t="n"/>
      <c r="F376" s="30" t="n"/>
      <c r="G376" s="29" t="n">
        <v>5398.86</v>
      </c>
      <c r="H376" s="29" t="n">
        <v>5835.36</v>
      </c>
    </row>
    <row r="377">
      <c r="A377" s="27" t="n">
        <v>46600</v>
      </c>
      <c r="B377" s="28" t="inlineStr">
        <is>
          <t>Beer &amp; Wine</t>
        </is>
      </c>
      <c r="C377" s="28" t="inlineStr">
        <is>
          <t>Forecast</t>
        </is>
      </c>
      <c r="D377" s="29" t="n">
        <v>8263.67</v>
      </c>
      <c r="E377" s="29" t="n"/>
      <c r="F377" s="30" t="n"/>
      <c r="G377" s="29" t="n">
        <v>7942.59</v>
      </c>
      <c r="H377" s="29" t="n">
        <v>8584.75</v>
      </c>
    </row>
    <row r="378">
      <c r="A378" s="27" t="n">
        <v>46600</v>
      </c>
      <c r="B378" s="28" t="inlineStr">
        <is>
          <t>Beverages</t>
        </is>
      </c>
      <c r="C378" s="28" t="inlineStr">
        <is>
          <t>Forecast</t>
        </is>
      </c>
      <c r="D378" s="29" t="n">
        <v>10421.33</v>
      </c>
      <c r="E378" s="29" t="n"/>
      <c r="F378" s="30" t="n"/>
      <c r="G378" s="29" t="n">
        <v>10016.42</v>
      </c>
      <c r="H378" s="29" t="n">
        <v>10826.25</v>
      </c>
    </row>
    <row r="379">
      <c r="A379" s="27" t="n">
        <v>46600</v>
      </c>
      <c r="B379" s="28" t="inlineStr">
        <is>
          <t>Dairy</t>
        </is>
      </c>
      <c r="C379" s="28" t="inlineStr">
        <is>
          <t>Forecast</t>
        </is>
      </c>
      <c r="D379" s="29" t="n">
        <v>14068.4</v>
      </c>
      <c r="E379" s="29" t="n"/>
      <c r="F379" s="30" t="n"/>
      <c r="G379" s="29" t="n">
        <v>13521.78</v>
      </c>
      <c r="H379" s="29" t="n">
        <v>14615.02</v>
      </c>
    </row>
    <row r="380">
      <c r="A380" s="27" t="n">
        <v>46600</v>
      </c>
      <c r="B380" s="28" t="inlineStr">
        <is>
          <t>Food To Go</t>
        </is>
      </c>
      <c r="C380" s="28" t="inlineStr">
        <is>
          <t>Forecast</t>
        </is>
      </c>
      <c r="D380" s="29" t="n">
        <v>15807.23</v>
      </c>
      <c r="E380" s="29" t="n"/>
      <c r="F380" s="30" t="n"/>
      <c r="G380" s="29" t="n">
        <v>15193.05</v>
      </c>
      <c r="H380" s="29" t="n">
        <v>16421.42</v>
      </c>
    </row>
    <row r="381">
      <c r="A381" s="27" t="n">
        <v>46600</v>
      </c>
      <c r="B381" s="28" t="inlineStr">
        <is>
          <t>Frozen</t>
        </is>
      </c>
      <c r="C381" s="28" t="inlineStr">
        <is>
          <t>Forecast</t>
        </is>
      </c>
      <c r="D381" s="29" t="n">
        <v>6345.14</v>
      </c>
      <c r="E381" s="29" t="n"/>
      <c r="F381" s="30" t="n"/>
      <c r="G381" s="29" t="n">
        <v>6098.6</v>
      </c>
      <c r="H381" s="29" t="n">
        <v>6591.67</v>
      </c>
    </row>
    <row r="382">
      <c r="A382" s="27" t="n">
        <v>46600</v>
      </c>
      <c r="B382" s="28" t="inlineStr">
        <is>
          <t>Grocery</t>
        </is>
      </c>
      <c r="C382" s="28" t="inlineStr">
        <is>
          <t>Forecast</t>
        </is>
      </c>
      <c r="D382" s="29" t="n">
        <v>9979.43</v>
      </c>
      <c r="E382" s="29" t="n"/>
      <c r="F382" s="30" t="n"/>
      <c r="G382" s="29" t="n">
        <v>9591.68</v>
      </c>
      <c r="H382" s="29" t="n">
        <v>10367.17</v>
      </c>
    </row>
    <row r="383">
      <c r="A383" s="27" t="n">
        <v>46600</v>
      </c>
      <c r="B383" s="28" t="inlineStr">
        <is>
          <t>Health &amp; Beauty</t>
        </is>
      </c>
      <c r="C383" s="28" t="inlineStr">
        <is>
          <t>Forecast</t>
        </is>
      </c>
      <c r="D383" s="29" t="n">
        <v>1578.75</v>
      </c>
      <c r="E383" s="29" t="n"/>
      <c r="F383" s="30" t="n"/>
      <c r="G383" s="29" t="n">
        <v>1517.41</v>
      </c>
      <c r="H383" s="29" t="n">
        <v>1640.09</v>
      </c>
    </row>
    <row r="384">
      <c r="A384" s="27" t="n">
        <v>46600</v>
      </c>
      <c r="B384" s="28" t="inlineStr">
        <is>
          <t>Household</t>
        </is>
      </c>
      <c r="C384" s="28" t="inlineStr">
        <is>
          <t>Forecast</t>
        </is>
      </c>
      <c r="D384" s="29" t="n">
        <v>2467.69</v>
      </c>
      <c r="E384" s="29" t="n"/>
      <c r="F384" s="30" t="n"/>
      <c r="G384" s="29" t="n">
        <v>2371.81</v>
      </c>
      <c r="H384" s="29" t="n">
        <v>2563.57</v>
      </c>
    </row>
    <row r="385">
      <c r="A385" s="27" t="n">
        <v>46600</v>
      </c>
      <c r="B385" s="28" t="inlineStr">
        <is>
          <t>Produce</t>
        </is>
      </c>
      <c r="C385" s="28" t="inlineStr">
        <is>
          <t>Forecast</t>
        </is>
      </c>
      <c r="D385" s="29" t="n">
        <v>1829.13</v>
      </c>
      <c r="E385" s="29" t="n"/>
      <c r="F385" s="30" t="n"/>
      <c r="G385" s="29" t="n">
        <v>1758.06</v>
      </c>
      <c r="H385" s="29" t="n">
        <v>1900.2</v>
      </c>
    </row>
    <row r="386">
      <c r="A386" s="27" t="n">
        <v>46600</v>
      </c>
      <c r="B386" s="28" t="inlineStr">
        <is>
          <t>Snacks &amp; Confectionery</t>
        </is>
      </c>
      <c r="C386" s="28" t="inlineStr">
        <is>
          <t>Forecast</t>
        </is>
      </c>
      <c r="D386" s="29" t="n">
        <v>9817.66</v>
      </c>
      <c r="E386" s="29" t="n"/>
      <c r="F386" s="30" t="n"/>
      <c r="G386" s="29" t="n">
        <v>9436.200000000001</v>
      </c>
      <c r="H386" s="29" t="n">
        <v>10199.12</v>
      </c>
    </row>
    <row r="387">
      <c r="A387" s="27" t="n">
        <v>46631</v>
      </c>
      <c r="B387" s="28" t="inlineStr">
        <is>
          <t>Bakery</t>
        </is>
      </c>
      <c r="C387" s="28" t="inlineStr">
        <is>
          <t>Forecast</t>
        </is>
      </c>
      <c r="D387" s="29" t="n">
        <v>5282.18</v>
      </c>
      <c r="E387" s="29" t="n"/>
      <c r="F387" s="30" t="n"/>
      <c r="G387" s="29" t="n">
        <v>5076.94</v>
      </c>
      <c r="H387" s="29" t="n">
        <v>5487.42</v>
      </c>
    </row>
    <row r="388">
      <c r="A388" s="27" t="n">
        <v>46631</v>
      </c>
      <c r="B388" s="28" t="inlineStr">
        <is>
          <t>Beer &amp; Wine</t>
        </is>
      </c>
      <c r="C388" s="28" t="inlineStr">
        <is>
          <t>Forecast</t>
        </is>
      </c>
      <c r="D388" s="29" t="n">
        <v>9131.559999999999</v>
      </c>
      <c r="E388" s="29" t="n"/>
      <c r="F388" s="30" t="n"/>
      <c r="G388" s="29" t="n">
        <v>8776.76</v>
      </c>
      <c r="H388" s="29" t="n">
        <v>9486.360000000001</v>
      </c>
    </row>
    <row r="389">
      <c r="A389" s="27" t="n">
        <v>46631</v>
      </c>
      <c r="B389" s="28" t="inlineStr">
        <is>
          <t>Beverages</t>
        </is>
      </c>
      <c r="C389" s="28" t="inlineStr">
        <is>
          <t>Forecast</t>
        </is>
      </c>
      <c r="D389" s="29" t="n">
        <v>12396.35</v>
      </c>
      <c r="E389" s="29" t="n"/>
      <c r="F389" s="30" t="n"/>
      <c r="G389" s="29" t="n">
        <v>11914.69</v>
      </c>
      <c r="H389" s="29" t="n">
        <v>12878</v>
      </c>
    </row>
    <row r="390">
      <c r="A390" s="27" t="n">
        <v>46631</v>
      </c>
      <c r="B390" s="28" t="inlineStr">
        <is>
          <t>Dairy</t>
        </is>
      </c>
      <c r="C390" s="28" t="inlineStr">
        <is>
          <t>Forecast</t>
        </is>
      </c>
      <c r="D390" s="29" t="n">
        <v>13815.75</v>
      </c>
      <c r="E390" s="29" t="n"/>
      <c r="F390" s="30" t="n"/>
      <c r="G390" s="29" t="n">
        <v>13278.95</v>
      </c>
      <c r="H390" s="29" t="n">
        <v>14352.56</v>
      </c>
    </row>
    <row r="391">
      <c r="A391" s="27" t="n">
        <v>46631</v>
      </c>
      <c r="B391" s="28" t="inlineStr">
        <is>
          <t>Food To Go</t>
        </is>
      </c>
      <c r="C391" s="28" t="inlineStr">
        <is>
          <t>Forecast</t>
        </is>
      </c>
      <c r="D391" s="29" t="n">
        <v>14742.06</v>
      </c>
      <c r="E391" s="29" t="n"/>
      <c r="F391" s="30" t="n"/>
      <c r="G391" s="29" t="n">
        <v>14169.26</v>
      </c>
      <c r="H391" s="29" t="n">
        <v>15314.85</v>
      </c>
    </row>
    <row r="392">
      <c r="A392" s="27" t="n">
        <v>46631</v>
      </c>
      <c r="B392" s="28" t="inlineStr">
        <is>
          <t>Frozen</t>
        </is>
      </c>
      <c r="C392" s="28" t="inlineStr">
        <is>
          <t>Forecast</t>
        </is>
      </c>
      <c r="D392" s="29" t="n">
        <v>5868.1</v>
      </c>
      <c r="E392" s="29" t="n"/>
      <c r="F392" s="30" t="n"/>
      <c r="G392" s="29" t="n">
        <v>5640.1</v>
      </c>
      <c r="H392" s="29" t="n">
        <v>6096.11</v>
      </c>
    </row>
    <row r="393">
      <c r="A393" s="27" t="n">
        <v>46631</v>
      </c>
      <c r="B393" s="28" t="inlineStr">
        <is>
          <t>Grocery</t>
        </is>
      </c>
      <c r="C393" s="28" t="inlineStr">
        <is>
          <t>Forecast</t>
        </is>
      </c>
      <c r="D393" s="29" t="n">
        <v>9733.969999999999</v>
      </c>
      <c r="E393" s="29" t="n"/>
      <c r="F393" s="30" t="n"/>
      <c r="G393" s="29" t="n">
        <v>9355.76</v>
      </c>
      <c r="H393" s="29" t="n">
        <v>10112.18</v>
      </c>
    </row>
    <row r="394">
      <c r="A394" s="27" t="n">
        <v>46631</v>
      </c>
      <c r="B394" s="28" t="inlineStr">
        <is>
          <t>Health &amp; Beauty</t>
        </is>
      </c>
      <c r="C394" s="28" t="inlineStr">
        <is>
          <t>Forecast</t>
        </is>
      </c>
      <c r="D394" s="29" t="n">
        <v>1596.13</v>
      </c>
      <c r="E394" s="29" t="n"/>
      <c r="F394" s="30" t="n"/>
      <c r="G394" s="29" t="n">
        <v>1534.11</v>
      </c>
      <c r="H394" s="29" t="n">
        <v>1658.14</v>
      </c>
    </row>
    <row r="395">
      <c r="A395" s="27" t="n">
        <v>46631</v>
      </c>
      <c r="B395" s="28" t="inlineStr">
        <is>
          <t>Household</t>
        </is>
      </c>
      <c r="C395" s="28" t="inlineStr">
        <is>
          <t>Forecast</t>
        </is>
      </c>
      <c r="D395" s="29" t="n">
        <v>2641.05</v>
      </c>
      <c r="E395" s="29" t="n"/>
      <c r="F395" s="30" t="n"/>
      <c r="G395" s="29" t="n">
        <v>2538.44</v>
      </c>
      <c r="H395" s="29" t="n">
        <v>2743.67</v>
      </c>
    </row>
    <row r="396">
      <c r="A396" s="27" t="n">
        <v>46631</v>
      </c>
      <c r="B396" s="28" t="inlineStr">
        <is>
          <t>Produce</t>
        </is>
      </c>
      <c r="C396" s="28" t="inlineStr">
        <is>
          <t>Forecast</t>
        </is>
      </c>
      <c r="D396" s="29" t="n">
        <v>1851.95</v>
      </c>
      <c r="E396" s="29" t="n"/>
      <c r="F396" s="30" t="n"/>
      <c r="G396" s="29" t="n">
        <v>1779.99</v>
      </c>
      <c r="H396" s="29" t="n">
        <v>1923.9</v>
      </c>
    </row>
    <row r="397">
      <c r="A397" s="27" t="n">
        <v>46631</v>
      </c>
      <c r="B397" s="28" t="inlineStr">
        <is>
          <t>Snacks &amp; Confectionery</t>
        </is>
      </c>
      <c r="C397" s="28" t="inlineStr">
        <is>
          <t>Forecast</t>
        </is>
      </c>
      <c r="D397" s="29" t="n">
        <v>9894.959999999999</v>
      </c>
      <c r="E397" s="29" t="n"/>
      <c r="F397" s="30" t="n"/>
      <c r="G397" s="29" t="n">
        <v>9510.5</v>
      </c>
      <c r="H397" s="29" t="n">
        <v>10279.43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7" customWidth="1" min="3" max="3"/>
    <col width="13" customWidth="1" min="4" max="4"/>
    <col width="14" customWidth="1" min="5" max="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B5" s="13" t="inlineStr">
        <is>
          <t>targets</t>
        </is>
      </c>
      <c r="M5" s="13" t="inlineStr">
        <is>
          <t>Category list</t>
        </is>
      </c>
    </row>
    <row r="6" ht="28" customHeight="1">
      <c r="B6" s="14" t="inlineStr">
        <is>
          <t>category</t>
        </is>
      </c>
      <c r="C6" s="14" t="inlineStr">
        <is>
          <t>gm_target_pct</t>
        </is>
      </c>
      <c r="D6" s="14" t="inlineStr">
        <is>
          <t>owner</t>
        </is>
      </c>
      <c r="E6" s="14" t="inlineStr">
        <is>
          <t>short_life</t>
        </is>
      </c>
      <c r="M6" s="28" t="inlineStr">
        <is>
          <t>All</t>
        </is>
      </c>
    </row>
    <row r="7">
      <c r="B7" s="31" t="inlineStr">
        <is>
          <t>Bakery</t>
        </is>
      </c>
      <c r="C7" s="17" t="n">
        <v>0.383</v>
      </c>
      <c r="D7" s="31" t="inlineStr">
        <is>
          <t>Store Manager</t>
        </is>
      </c>
      <c r="E7" s="31" t="inlineStr">
        <is>
          <t>Yes</t>
        </is>
      </c>
      <c r="M7" s="28" t="inlineStr">
        <is>
          <t>Bakery</t>
        </is>
      </c>
    </row>
    <row r="8">
      <c r="B8" s="31" t="inlineStr">
        <is>
          <t>Beer &amp; Wine</t>
        </is>
      </c>
      <c r="C8" s="17" t="n">
        <v>0.337</v>
      </c>
      <c r="D8" s="31" t="inlineStr">
        <is>
          <t>Licence Manager</t>
        </is>
      </c>
      <c r="E8" s="31" t="inlineStr">
        <is>
          <t>No</t>
        </is>
      </c>
      <c r="M8" s="28" t="inlineStr">
        <is>
          <t>Beer &amp; Wine</t>
        </is>
      </c>
    </row>
    <row r="9">
      <c r="B9" s="31" t="inlineStr">
        <is>
          <t>Beverages</t>
        </is>
      </c>
      <c r="C9" s="17" t="n">
        <v>0.51</v>
      </c>
      <c r="D9" s="31" t="inlineStr">
        <is>
          <t>Duty Manager</t>
        </is>
      </c>
      <c r="E9" s="31" t="inlineStr">
        <is>
          <t>No</t>
        </is>
      </c>
      <c r="M9" s="28" t="inlineStr">
        <is>
          <t>Beverages</t>
        </is>
      </c>
    </row>
    <row r="10">
      <c r="B10" s="31" t="inlineStr">
        <is>
          <t>Dairy</t>
        </is>
      </c>
      <c r="C10" s="17" t="n">
        <v>0.278</v>
      </c>
      <c r="D10" s="31" t="inlineStr">
        <is>
          <t>Duty Manager</t>
        </is>
      </c>
      <c r="E10" s="31" t="inlineStr">
        <is>
          <t>Yes</t>
        </is>
      </c>
      <c r="M10" s="28" t="inlineStr">
        <is>
          <t>Dairy</t>
        </is>
      </c>
    </row>
    <row r="11">
      <c r="B11" s="31" t="inlineStr">
        <is>
          <t>Food To Go</t>
        </is>
      </c>
      <c r="C11" s="17" t="n">
        <v>0.477</v>
      </c>
      <c r="D11" s="31" t="inlineStr">
        <is>
          <t>Store Manager</t>
        </is>
      </c>
      <c r="E11" s="31" t="inlineStr">
        <is>
          <t>Yes</t>
        </is>
      </c>
      <c r="M11" s="28" t="inlineStr">
        <is>
          <t>Food To Go</t>
        </is>
      </c>
    </row>
    <row r="12">
      <c r="B12" s="31" t="inlineStr">
        <is>
          <t>Frozen</t>
        </is>
      </c>
      <c r="C12" s="17" t="n">
        <v>0.434</v>
      </c>
      <c r="D12" s="31" t="inlineStr">
        <is>
          <t>Duty Manager</t>
        </is>
      </c>
      <c r="E12" s="31" t="inlineStr">
        <is>
          <t>No</t>
        </is>
      </c>
      <c r="M12" s="28" t="inlineStr">
        <is>
          <t>Frozen</t>
        </is>
      </c>
    </row>
    <row r="13">
      <c r="B13" s="31" t="inlineStr">
        <is>
          <t>Grocery</t>
        </is>
      </c>
      <c r="C13" s="17" t="n">
        <v>0.348</v>
      </c>
      <c r="D13" s="31" t="inlineStr">
        <is>
          <t>Duty Manager</t>
        </is>
      </c>
      <c r="E13" s="31" t="inlineStr">
        <is>
          <t>No</t>
        </is>
      </c>
      <c r="M13" s="28" t="inlineStr">
        <is>
          <t>Grocery</t>
        </is>
      </c>
    </row>
    <row r="14">
      <c r="B14" s="31" t="inlineStr">
        <is>
          <t>Health &amp; Beauty</t>
        </is>
      </c>
      <c r="C14" s="17" t="n">
        <v>0.502</v>
      </c>
      <c r="D14" s="31" t="inlineStr">
        <is>
          <t>Store Manager</t>
        </is>
      </c>
      <c r="E14" s="31" t="inlineStr">
        <is>
          <t>No</t>
        </is>
      </c>
      <c r="M14" s="28" t="inlineStr">
        <is>
          <t>Health &amp; Beauty</t>
        </is>
      </c>
    </row>
    <row r="15">
      <c r="B15" s="31" t="inlineStr">
        <is>
          <t>Household</t>
        </is>
      </c>
      <c r="C15" s="17" t="n">
        <v>0.412</v>
      </c>
      <c r="D15" s="31" t="inlineStr">
        <is>
          <t>Duty Manager</t>
        </is>
      </c>
      <c r="E15" s="31" t="inlineStr">
        <is>
          <t>No</t>
        </is>
      </c>
      <c r="M15" s="28" t="inlineStr">
        <is>
          <t>Household</t>
        </is>
      </c>
    </row>
    <row r="16">
      <c r="B16" s="31" t="inlineStr">
        <is>
          <t>Produce</t>
        </is>
      </c>
      <c r="C16" s="17" t="n">
        <v>0.433</v>
      </c>
      <c r="D16" s="31" t="inlineStr">
        <is>
          <t>Duty Manager</t>
        </is>
      </c>
      <c r="E16" s="31" t="inlineStr">
        <is>
          <t>Yes</t>
        </is>
      </c>
      <c r="M16" s="28" t="inlineStr">
        <is>
          <t>Produce</t>
        </is>
      </c>
    </row>
    <row r="17">
      <c r="B17" s="31" t="inlineStr">
        <is>
          <t>Snacks &amp; Confectionery</t>
        </is>
      </c>
      <c r="C17" s="17" t="n">
        <v>0.444</v>
      </c>
      <c r="D17" s="31" t="inlineStr">
        <is>
          <t>Duty Manager</t>
        </is>
      </c>
      <c r="E17" s="31" t="inlineStr">
        <is>
          <t>No</t>
        </is>
      </c>
      <c r="M17" s="28" t="inlineStr">
        <is>
          <t>Snacks &amp; Confectionery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4" t="inlineStr">
        <is>
          <t>Input</t>
        </is>
      </c>
      <c r="C5" s="14" t="inlineStr">
        <is>
          <t>Value</t>
        </is>
      </c>
      <c r="D5" s="14" t="inlineStr">
        <is>
          <t>Why / source</t>
        </is>
      </c>
    </row>
    <row r="6">
      <c r="B6" s="31" t="inlineStr">
        <is>
          <t>Growth target vs last year</t>
        </is>
      </c>
      <c r="C6" s="32" t="n">
        <v>0.04</v>
      </c>
      <c r="D6" s="33" t="inlineStr">
        <is>
          <t>config.yaml › budget.growth_vs_last_year_pct</t>
        </is>
      </c>
    </row>
    <row r="7">
      <c r="B7" s="31" t="inlineStr">
        <is>
          <t>Plan starts (first month)</t>
        </is>
      </c>
      <c r="C7" s="34" t="n">
        <v>46296</v>
      </c>
      <c r="D7" s="33" t="inlineStr">
        <is>
          <t>First whole month after the data date</t>
        </is>
      </c>
    </row>
    <row r="8">
      <c r="B8" s="31" t="inlineStr">
        <is>
          <t>Months in plan</t>
        </is>
      </c>
      <c r="C8" s="35" t="n">
        <v>3</v>
      </c>
      <c r="D8" s="33" t="inlineStr">
        <is>
          <t>1-12. KPI tiles and the category plan use this window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3" t="inlineStr">
        <is>
          <t>About this workbook</t>
        </is>
      </c>
    </row>
    <row r="6">
      <c r="C6" s="36" t="inlineStr">
        <is>
          <t>Store: Demo Neighbourhood Store (Eden Terrace format).  Data to 25 Sep 2026.  Shelly v1.1.0.</t>
        </is>
      </c>
    </row>
    <row r="7">
      <c r="C7" s="36" t="inlineStr">
        <is>
          <t>Synthetic demo data.</t>
        </is>
      </c>
    </row>
    <row r="8">
      <c r="C8" s="36" t="inlineStr">
        <is>
          <t>Change the blue Category cell on the Dashboard, or any blue input on Assumptions: every formula follows.</t>
        </is>
      </c>
    </row>
    <row r="10">
      <c r="B10" s="13" t="inlineStr">
        <is>
          <t>Method</t>
        </is>
      </c>
    </row>
    <row r="11">
      <c r="C11" s="36" t="inlineStr">
        <is>
          <t>Budget = last year's same month × (1 + growth target).</t>
        </is>
      </c>
    </row>
    <row r="12">
      <c r="C12" s="36" t="inlineStr">
        <is>
          <t>Forecast = last year's same month × recent 12-week trend (capped ±15%), backtested; Low/High = 80% range.</t>
        </is>
      </c>
    </row>
    <row r="13">
      <c r="C13" s="36" t="inlineStr">
        <is>
          <t>Outlook rows = the current part-month (actual month-to-date + forecast for the rest).</t>
        </is>
      </c>
    </row>
    <row r="15">
      <c r="B15" s="13" t="inlineStr">
        <is>
          <t>Data dictionary (Raw sheet)</t>
        </is>
      </c>
    </row>
    <row r="16">
      <c r="B16" s="31" t="inlineStr">
        <is>
          <t>Month</t>
        </is>
      </c>
      <c r="C16" s="31" t="inlineStr">
        <is>
          <t>First day of the month</t>
        </is>
      </c>
    </row>
    <row r="17">
      <c r="B17" s="31" t="inlineStr">
        <is>
          <t>Category</t>
        </is>
      </c>
      <c r="C17" s="31" t="inlineStr">
        <is>
          <t>Product category</t>
        </is>
      </c>
    </row>
    <row r="18">
      <c r="B18" s="31" t="inlineStr">
        <is>
          <t>Type</t>
        </is>
      </c>
      <c r="C18" s="31" t="inlineStr">
        <is>
          <t>Actual = history; Forecast = Shelly's plan months; Outlook = current month</t>
        </is>
      </c>
    </row>
    <row r="19">
      <c r="B19" s="31" t="inlineStr">
        <is>
          <t>Sales</t>
        </is>
      </c>
      <c r="C19" s="31" t="inlineStr">
        <is>
          <t>Net sales excl. GST ($)</t>
        </is>
      </c>
    </row>
    <row r="20">
      <c r="B20" s="31" t="inlineStr">
        <is>
          <t>Gross margin</t>
        </is>
      </c>
      <c r="C20" s="31" t="inlineStr">
        <is>
          <t>Sales − cost of goods ($), actuals only</t>
        </is>
      </c>
    </row>
    <row r="21">
      <c r="B21" s="31" t="inlineStr">
        <is>
          <t>Units</t>
        </is>
      </c>
      <c r="C21" s="31" t="inlineStr">
        <is>
          <t>Units sold (actuals)</t>
        </is>
      </c>
    </row>
    <row r="22">
      <c r="B22" s="31" t="inlineStr">
        <is>
          <t>Low / High</t>
        </is>
      </c>
      <c r="C22" s="31" t="inlineStr">
        <is>
          <t>80% forecast range ($)</t>
        </is>
      </c>
    </row>
    <row r="24">
      <c r="B24" s="13" t="inlineStr">
        <is>
          <t>Sign-off</t>
        </is>
      </c>
    </row>
    <row r="25">
      <c r="B25" s="28" t="inlineStr">
        <is>
          <t>Growth target and budget approved</t>
        </is>
      </c>
      <c r="C25" s="7" t="inlineStr">
        <is>
          <t>Name: ____________   Date: ________   ☐ Approved  ☐ Changes needed</t>
        </is>
      </c>
    </row>
    <row r="26">
      <c r="B26" s="28" t="inlineStr">
        <is>
          <t>Category owners briefed on their numbers</t>
        </is>
      </c>
      <c r="C26" s="7" t="inlineStr">
        <is>
          <t>Name: ____________   Date: ________   ☐ Approved  ☐ Changes needed</t>
        </is>
      </c>
    </row>
    <row r="28">
      <c r="B28" s="7" t="inlineStr">
        <is>
          <t>Generated by Shelly on 29 Sep 2026 22:16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2026-09-29T22:16:38Z</dcterms:created>
  <dcterms:modified xmlns:dcterms="http://purl.org/dc/terms/" xmlns:xsi="http://www.w3.org/2001/XMLSchema-instance" xsi:type="dcterms:W3CDTF">2026-09-29T22:16:38Z</dcterms:modified>
</cp:coreProperties>
</file>