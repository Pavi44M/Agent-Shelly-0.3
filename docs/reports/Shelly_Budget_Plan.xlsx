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Notes" sheetId="7" state="visible" r:id="rId7"/>
  </sheets>
  <definedNames>
    <definedName name="in_growth">Assumptions!$C$6</definedName>
    <definedName name="in_start">Assumptions!$C$7</definedName>
    <definedName name="in_months">Assumptions!$C$8</definedName>
    <definedName name="SelCat">Dashboard!$B$6</definedName>
    <definedName name="CatCrit">IF(Dashboard!$B$6="All","*",Dashboard!$B$6)</definedName>
  </definedNames>
  <calcPr calcId="124519" fullCalcOnLoad="1"/>
  <pivotCaches>
    <pivotCache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0" fontId="8" fillId="6" borderId="0" pivotButton="0" quotePrefix="0" xfId="0"/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49" fontId="2" fillId="0" borderId="1" pivotButton="0" quotePrefix="0" xfId="0"/>
    <xf numFmtId="49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8" fontId="7" fillId="4" borderId="2" pivotButton="0" quotePrefix="0" xfId="0"/>
    <xf numFmtId="0" fontId="8" fillId="0" borderId="1" pivotButton="0" quotePrefix="0" xfId="0"/>
    <xf numFmtId="165" fontId="7" fillId="4" borderId="2" pivotButton="0" quotePrefix="0" xfId="0"/>
    <xf numFmtId="167" fontId="7" fillId="4" borderId="2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forecast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v>Budget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'Model'!$D$8:$D$19</f>
            </numRef>
          </val>
        </ser>
        <ser>
          <idx val="1"/>
          <order val="1"/>
          <tx>
            <v>Forecast</v>
          </tx>
          <spPr>
            <a:solidFill>
              <a:srgbClr val="0B1220"/>
            </a:solidFill>
            <a:ln>
              <a:solidFill>
                <a:srgbClr val="0B1220"/>
              </a:solidFill>
              <a:prstDash val="solid"/>
            </a:ln>
          </spPr>
          <cat>
            <numRef>
              <f>'Model'!$B$8:$B$19</f>
            </numRef>
          </cat>
          <val>
            <numRef>
              <f>'Model'!$E$8:$E$19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Gap to budget by category (plan window)</a:t>
            </a:r>
          </a:p>
        </rich>
      </tx>
    </title>
    <plotArea>
      <barChart>
        <barDir val="col"/>
        <grouping val="clustered"/>
        <ser>
          <idx val="0"/>
          <order val="0"/>
          <tx>
            <v>Gap</v>
          </tx>
          <spPr>
            <a:solidFill>
              <a:srgbClr val="2A8FB8"/>
            </a:solidFill>
            <a:ln>
              <a:solidFill>
                <a:srgbClr val="2A8FB8"/>
              </a:solidFill>
              <a:prstDash val="solid"/>
            </a:ln>
          </spPr>
          <cat>
            <numRef>
              <f>'Model'!$B$26:$B$36</f>
            </numRef>
          </cat>
          <val>
            <numRef>
              <f>'Model'!$F$26:$F$36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C7" authorId="0" shapeId="0">
      <text>
        <t>Actual sales, same month last year</t>
      </text>
    </comment>
    <comment ref="D7" authorId="0" shapeId="0">
      <text>
        <t>Last year × (1 + growth target)</t>
      </text>
    </comment>
    <comment ref="L7" authorId="0" shapeId="0">
      <text>
        <t>1 = inside the plan window</t>
      </text>
    </comment>
    <comment ref="I25" authorId="0" shapeId="0">
      <text>
        <t>Lookup: last 12 months' GM % for the category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  <s v="2027-10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112.59" maxValue="18730.55"/>
    </cacheField>
    <cacheField name="Gross margin" uniqueList="1" numFmtId="0" sqlType="0" hierarchy="0" level="0" databaseField="1">
      <sharedItems count="0" containsNumber="1" containsSemiMixedTypes="0" containsString="0" minValue="0" maxValue="8606.96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67"/>
    </cacheField>
    <cacheField name="Low" uniqueList="1" numFmtId="0" sqlType="0" hierarchy="0" level="0" databaseField="1">
      <sharedItems count="0" containsNumber="1" containsSemiMixedTypes="0" containsString="0" minValue="0" maxValue="17702.72"/>
    </cacheField>
    <cacheField name="High" uniqueList="1" numFmtId="0" sqlType="0" hierarchy="0" level="0" databaseField="1">
      <sharedItems count="0" containsNumber="1" containsSemiMixedTypes="0" containsString="0" minValue="0" maxValue="19758.3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396" r:id="rId1">
  <cacheSource type="worksheet">
    <worksheetSource ref="A1:H397" sheet="Raw"/>
  </cacheSource>
  <cacheFields count="8">
    <cacheField name="Month" uniqueList="1" numFmtId="0" sqlType="0" hierarchy="0" level="0" databaseField="1">
      <sharedItems count="36">
        <s v="2024-11-01"/>
        <s v="2024-12-01"/>
        <s v="2025-01-01"/>
        <s v="2025-02-01"/>
        <s v="2025-03-01"/>
        <s v="2025-04-01"/>
        <s v="2025-05-01"/>
        <s v="2025-06-01"/>
        <s v="2025-07-01"/>
        <s v="2025-08-01"/>
        <s v="2025-09-01"/>
        <s v="2025-10-01"/>
        <s v="2025-11-01"/>
        <s v="2025-12-01"/>
        <s v="2026-01-01"/>
        <s v="2026-02-01"/>
        <s v="2026-03-01"/>
        <s v="2026-04-01"/>
        <s v="2026-05-01"/>
        <s v="2026-06-01"/>
        <s v="2026-07-01"/>
        <s v="2026-08-01"/>
        <s v="2026-09-01"/>
        <s v="2026-10-01"/>
        <s v="2026-11-01"/>
        <s v="2026-12-01"/>
        <s v="2027-01-01"/>
        <s v="2027-02-01"/>
        <s v="2027-03-01"/>
        <s v="2027-04-01"/>
        <s v="2027-05-01"/>
        <s v="2027-06-01"/>
        <s v="2027-07-01"/>
        <s v="2027-08-01"/>
        <s v="2027-09-01"/>
        <s v="2027-10-01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3">
        <s v="Actual"/>
        <s v="Forecast"/>
        <s v="Outlook"/>
      </sharedItems>
    </cacheField>
    <cacheField name="Sales" uniqueList="1" numFmtId="0" sqlType="0" hierarchy="0" level="0" databaseField="1">
      <sharedItems count="0" containsNumber="1" containsSemiMixedTypes="0" containsString="0" minValue="1112.59" maxValue="18730.55"/>
    </cacheField>
    <cacheField name="Gross margin" uniqueList="1" numFmtId="0" sqlType="0" hierarchy="0" level="0" databaseField="1">
      <sharedItems count="0" containsNumber="1" containsSemiMixedTypes="0" containsString="0" minValue="0" maxValue="8606.969999999999"/>
    </cacheField>
    <cacheField name="Units" uniqueList="1" numFmtId="0" sqlType="0" hierarchy="0" level="0" databaseField="1">
      <sharedItems count="0" containsInteger="1" containsNumber="1" containsSemiMixedTypes="0" containsString="0" minValue="0" maxValue="4167"/>
    </cacheField>
    <cacheField name="Low" uniqueList="1" numFmtId="0" sqlType="0" hierarchy="0" level="0" databaseField="1">
      <sharedItems count="0" containsNumber="1" containsSemiMixedTypes="0" containsString="0" minValue="0" maxValue="17702.72"/>
    </cacheField>
    <cacheField name="High" uniqueList="1" numFmtId="0" sqlType="0" hierarchy="0" level="0" databaseField="1">
      <sharedItems count="0" containsNumber="1" containsSemiMixedTypes="0" containsString="0" minValue="0" maxValue="19758.37"/>
    </cacheField>
  </cacheFields>
</pivotCacheDefinition>
</file>

<file path=xl/pivotCache/pivotCacheRecords1.xml><?xml version="1.0" encoding="utf-8"?>
<pivotCacheRecords xmlns="http://schemas.openxmlformats.org/spreadsheetml/2006/main" count="396">
  <r>
    <x v="0"/>
    <x v="0"/>
    <x v="0"/>
    <n v="4628.96"/>
    <n v="1801.46"/>
    <n v="1114"/>
    <n v="0"/>
    <n v="0"/>
  </r>
  <r>
    <x v="0"/>
    <x v="1"/>
    <x v="0"/>
    <n v="10652.12"/>
    <n v="3605.02"/>
    <n v="548"/>
    <n v="0"/>
    <n v="0"/>
  </r>
  <r>
    <x v="0"/>
    <x v="2"/>
    <x v="0"/>
    <n v="13088.05"/>
    <n v="6730.45"/>
    <n v="3185"/>
    <n v="0"/>
    <n v="0"/>
  </r>
  <r>
    <x v="0"/>
    <x v="3"/>
    <x v="0"/>
    <n v="13197.44"/>
    <n v="3696.84"/>
    <n v="2240"/>
    <n v="0"/>
    <n v="0"/>
  </r>
  <r>
    <x v="0"/>
    <x v="4"/>
    <x v="0"/>
    <n v="15020.93"/>
    <n v="7072.43"/>
    <n v="1907"/>
    <n v="0"/>
    <n v="0"/>
  </r>
  <r>
    <x v="0"/>
    <x v="5"/>
    <x v="0"/>
    <n v="5635.53"/>
    <n v="2461.73"/>
    <n v="827"/>
    <n v="0"/>
    <n v="0"/>
  </r>
  <r>
    <x v="0"/>
    <x v="6"/>
    <x v="0"/>
    <n v="7186.21"/>
    <n v="2493.91"/>
    <n v="1179"/>
    <n v="0"/>
    <n v="0"/>
  </r>
  <r>
    <x v="0"/>
    <x v="7"/>
    <x v="0"/>
    <n v="1513.64"/>
    <n v="737.04"/>
    <n v="176"/>
    <n v="0"/>
    <n v="0"/>
  </r>
  <r>
    <x v="0"/>
    <x v="8"/>
    <x v="0"/>
    <n v="2276.19"/>
    <n v="928.29"/>
    <n v="281"/>
    <n v="0"/>
    <n v="0"/>
  </r>
  <r>
    <x v="0"/>
    <x v="9"/>
    <x v="0"/>
    <n v="2136.5"/>
    <n v="929.02"/>
    <n v="1370"/>
    <n v="0"/>
    <n v="0"/>
  </r>
  <r>
    <x v="0"/>
    <x v="10"/>
    <x v="0"/>
    <n v="7992.89"/>
    <n v="3567.99"/>
    <n v="1831"/>
    <n v="0"/>
    <n v="0"/>
  </r>
  <r>
    <x v="1"/>
    <x v="0"/>
    <x v="0"/>
    <n v="5149.7"/>
    <n v="1952"/>
    <n v="1262"/>
    <n v="0"/>
    <n v="0"/>
  </r>
  <r>
    <x v="1"/>
    <x v="1"/>
    <x v="0"/>
    <n v="12593.03"/>
    <n v="4294.63"/>
    <n v="657"/>
    <n v="0"/>
    <n v="0"/>
  </r>
  <r>
    <x v="1"/>
    <x v="2"/>
    <x v="0"/>
    <n v="16376.87"/>
    <n v="8314.32"/>
    <n v="3983"/>
    <n v="0"/>
    <n v="0"/>
  </r>
  <r>
    <x v="1"/>
    <x v="3"/>
    <x v="0"/>
    <n v="14409.25"/>
    <n v="4107.15"/>
    <n v="2445"/>
    <n v="0"/>
    <n v="0"/>
  </r>
  <r>
    <x v="1"/>
    <x v="4"/>
    <x v="0"/>
    <n v="16822.06"/>
    <n v="7748.16"/>
    <n v="2134"/>
    <n v="0"/>
    <n v="0"/>
  </r>
  <r>
    <x v="1"/>
    <x v="5"/>
    <x v="0"/>
    <n v="6151.76"/>
    <n v="2673.76"/>
    <n v="984"/>
    <n v="0"/>
    <n v="0"/>
  </r>
  <r>
    <x v="1"/>
    <x v="6"/>
    <x v="0"/>
    <n v="8132.87"/>
    <n v="2791.77"/>
    <n v="1293"/>
    <n v="0"/>
    <n v="0"/>
  </r>
  <r>
    <x v="1"/>
    <x v="7"/>
    <x v="0"/>
    <n v="1918.87"/>
    <n v="911.47"/>
    <n v="213"/>
    <n v="0"/>
    <n v="0"/>
  </r>
  <r>
    <x v="1"/>
    <x v="8"/>
    <x v="0"/>
    <n v="2285.24"/>
    <n v="931.64"/>
    <n v="276"/>
    <n v="0"/>
    <n v="0"/>
  </r>
  <r>
    <x v="1"/>
    <x v="9"/>
    <x v="0"/>
    <n v="2288.1"/>
    <n v="980.72"/>
    <n v="1460"/>
    <n v="0"/>
    <n v="0"/>
  </r>
  <r>
    <x v="1"/>
    <x v="10"/>
    <x v="0"/>
    <n v="8785.48"/>
    <n v="3892.48"/>
    <n v="2010"/>
    <n v="0"/>
    <n v="0"/>
  </r>
  <r>
    <x v="2"/>
    <x v="0"/>
    <x v="0"/>
    <n v="4114.07"/>
    <n v="1589.47"/>
    <n v="993"/>
    <n v="0"/>
    <n v="0"/>
  </r>
  <r>
    <x v="2"/>
    <x v="1"/>
    <x v="0"/>
    <n v="9969.799999999999"/>
    <n v="3366.9"/>
    <n v="520"/>
    <n v="0"/>
    <n v="0"/>
  </r>
  <r>
    <x v="2"/>
    <x v="2"/>
    <x v="0"/>
    <n v="13971.65"/>
    <n v="7169"/>
    <n v="3451"/>
    <n v="0"/>
    <n v="0"/>
  </r>
  <r>
    <x v="2"/>
    <x v="3"/>
    <x v="0"/>
    <n v="12938.54"/>
    <n v="3582.69"/>
    <n v="2244"/>
    <n v="0"/>
    <n v="0"/>
  </r>
  <r>
    <x v="2"/>
    <x v="4"/>
    <x v="0"/>
    <n v="14701.07"/>
    <n v="6762.17"/>
    <n v="1863"/>
    <n v="0"/>
    <n v="0"/>
  </r>
  <r>
    <x v="2"/>
    <x v="5"/>
    <x v="0"/>
    <n v="5339.68"/>
    <n v="2380.48"/>
    <n v="832"/>
    <n v="0"/>
    <n v="0"/>
  </r>
  <r>
    <x v="2"/>
    <x v="6"/>
    <x v="0"/>
    <n v="6623.55"/>
    <n v="2198.85"/>
    <n v="1065"/>
    <n v="0"/>
    <n v="0"/>
  </r>
  <r>
    <x v="2"/>
    <x v="7"/>
    <x v="0"/>
    <n v="1307.57"/>
    <n v="636.5700000000001"/>
    <n v="143"/>
    <n v="0"/>
    <n v="0"/>
  </r>
  <r>
    <x v="2"/>
    <x v="8"/>
    <x v="0"/>
    <n v="2111.16"/>
    <n v="819.76"/>
    <n v="264"/>
    <n v="0"/>
    <n v="0"/>
  </r>
  <r>
    <x v="2"/>
    <x v="9"/>
    <x v="0"/>
    <n v="2175.88"/>
    <n v="939.26"/>
    <n v="1342"/>
    <n v="0"/>
    <n v="0"/>
  </r>
  <r>
    <x v="2"/>
    <x v="10"/>
    <x v="0"/>
    <n v="7430.67"/>
    <n v="3337.97"/>
    <n v="1683"/>
    <n v="0"/>
    <n v="0"/>
  </r>
  <r>
    <x v="3"/>
    <x v="0"/>
    <x v="0"/>
    <n v="4141.36"/>
    <n v="1542.96"/>
    <n v="1034"/>
    <n v="0"/>
    <n v="0"/>
  </r>
  <r>
    <x v="3"/>
    <x v="1"/>
    <x v="0"/>
    <n v="10315.6"/>
    <n v="3537.1"/>
    <n v="540"/>
    <n v="0"/>
    <n v="0"/>
  </r>
  <r>
    <x v="3"/>
    <x v="2"/>
    <x v="0"/>
    <n v="13738.86"/>
    <n v="6995.66"/>
    <n v="3354"/>
    <n v="0"/>
    <n v="0"/>
  </r>
  <r>
    <x v="3"/>
    <x v="3"/>
    <x v="0"/>
    <n v="12393.48"/>
    <n v="3500.08"/>
    <n v="2152"/>
    <n v="0"/>
    <n v="0"/>
  </r>
  <r>
    <x v="3"/>
    <x v="4"/>
    <x v="0"/>
    <n v="14256.94"/>
    <n v="6683.64"/>
    <n v="1806"/>
    <n v="0"/>
    <n v="0"/>
  </r>
  <r>
    <x v="3"/>
    <x v="5"/>
    <x v="0"/>
    <n v="5209.81"/>
    <n v="2323.51"/>
    <n v="819"/>
    <n v="0"/>
    <n v="0"/>
  </r>
  <r>
    <x v="3"/>
    <x v="6"/>
    <x v="0"/>
    <n v="6934.83"/>
    <n v="2395.83"/>
    <n v="1127"/>
    <n v="0"/>
    <n v="0"/>
  </r>
  <r>
    <x v="3"/>
    <x v="7"/>
    <x v="0"/>
    <n v="1328.9"/>
    <n v="621.3"/>
    <n v="170"/>
    <n v="0"/>
    <n v="0"/>
  </r>
  <r>
    <x v="3"/>
    <x v="8"/>
    <x v="0"/>
    <n v="1911.78"/>
    <n v="782.58"/>
    <n v="222"/>
    <n v="0"/>
    <n v="0"/>
  </r>
  <r>
    <x v="3"/>
    <x v="9"/>
    <x v="0"/>
    <n v="1782.75"/>
    <n v="765.61"/>
    <n v="1231"/>
    <n v="0"/>
    <n v="0"/>
  </r>
  <r>
    <x v="3"/>
    <x v="10"/>
    <x v="0"/>
    <n v="7366.67"/>
    <n v="3301.97"/>
    <n v="1673"/>
    <n v="0"/>
    <n v="0"/>
  </r>
  <r>
    <x v="4"/>
    <x v="0"/>
    <x v="0"/>
    <n v="4770.18"/>
    <n v="1840.28"/>
    <n v="1146"/>
    <n v="0"/>
    <n v="0"/>
  </r>
  <r>
    <x v="4"/>
    <x v="1"/>
    <x v="0"/>
    <n v="11230.18"/>
    <n v="3869.18"/>
    <n v="582"/>
    <n v="0"/>
    <n v="0"/>
  </r>
  <r>
    <x v="4"/>
    <x v="2"/>
    <x v="0"/>
    <n v="14157.03"/>
    <n v="7250.33"/>
    <n v="3487"/>
    <n v="0"/>
    <n v="0"/>
  </r>
  <r>
    <x v="4"/>
    <x v="3"/>
    <x v="0"/>
    <n v="13916.61"/>
    <n v="3959.11"/>
    <n v="2379"/>
    <n v="0"/>
    <n v="0"/>
  </r>
  <r>
    <x v="4"/>
    <x v="4"/>
    <x v="0"/>
    <n v="15513.41"/>
    <n v="7386.41"/>
    <n v="1959"/>
    <n v="0"/>
    <n v="0"/>
  </r>
  <r>
    <x v="4"/>
    <x v="5"/>
    <x v="0"/>
    <n v="6282.37"/>
    <n v="2724.37"/>
    <n v="963"/>
    <n v="0"/>
    <n v="0"/>
  </r>
  <r>
    <x v="4"/>
    <x v="6"/>
    <x v="0"/>
    <n v="7481.14"/>
    <n v="2600.24"/>
    <n v="1266"/>
    <n v="0"/>
    <n v="0"/>
  </r>
  <r>
    <x v="4"/>
    <x v="7"/>
    <x v="0"/>
    <n v="1112.59"/>
    <n v="556.99"/>
    <n v="141"/>
    <n v="0"/>
    <n v="0"/>
  </r>
  <r>
    <x v="4"/>
    <x v="8"/>
    <x v="0"/>
    <n v="2491.08"/>
    <n v="1079.48"/>
    <n v="292"/>
    <n v="0"/>
    <n v="0"/>
  </r>
  <r>
    <x v="4"/>
    <x v="9"/>
    <x v="0"/>
    <n v="2078.01"/>
    <n v="904.33"/>
    <n v="1369"/>
    <n v="0"/>
    <n v="0"/>
  </r>
  <r>
    <x v="4"/>
    <x v="10"/>
    <x v="0"/>
    <n v="7950.45"/>
    <n v="3573.85"/>
    <n v="1815"/>
    <n v="0"/>
    <n v="0"/>
  </r>
  <r>
    <x v="5"/>
    <x v="0"/>
    <x v="0"/>
    <n v="4460.66"/>
    <n v="1729.66"/>
    <n v="1084"/>
    <n v="0"/>
    <n v="0"/>
  </r>
  <r>
    <x v="5"/>
    <x v="1"/>
    <x v="0"/>
    <n v="10121.02"/>
    <n v="3322.42"/>
    <n v="538"/>
    <n v="0"/>
    <n v="0"/>
  </r>
  <r>
    <x v="5"/>
    <x v="2"/>
    <x v="0"/>
    <n v="11682.51"/>
    <n v="5980.31"/>
    <n v="2831"/>
    <n v="0"/>
    <n v="0"/>
  </r>
  <r>
    <x v="5"/>
    <x v="3"/>
    <x v="0"/>
    <n v="13514.58"/>
    <n v="3699.93"/>
    <n v="2358"/>
    <n v="0"/>
    <n v="0"/>
  </r>
  <r>
    <x v="5"/>
    <x v="4"/>
    <x v="0"/>
    <n v="14315.41"/>
    <n v="6843.61"/>
    <n v="1869"/>
    <n v="0"/>
    <n v="0"/>
  </r>
  <r>
    <x v="5"/>
    <x v="5"/>
    <x v="0"/>
    <n v="5419.17"/>
    <n v="2388.57"/>
    <n v="823"/>
    <n v="0"/>
    <n v="0"/>
  </r>
  <r>
    <x v="5"/>
    <x v="6"/>
    <x v="0"/>
    <n v="7559.75"/>
    <n v="2565.05"/>
    <n v="1271"/>
    <n v="0"/>
    <n v="0"/>
  </r>
  <r>
    <x v="5"/>
    <x v="7"/>
    <x v="0"/>
    <n v="1369.14"/>
    <n v="695.34"/>
    <n v="186"/>
    <n v="0"/>
    <n v="0"/>
  </r>
  <r>
    <x v="5"/>
    <x v="8"/>
    <x v="0"/>
    <n v="2308.56"/>
    <n v="877.96"/>
    <n v="284"/>
    <n v="0"/>
    <n v="0"/>
  </r>
  <r>
    <x v="5"/>
    <x v="9"/>
    <x v="0"/>
    <n v="1836.46"/>
    <n v="767.8"/>
    <n v="1338"/>
    <n v="0"/>
    <n v="0"/>
  </r>
  <r>
    <x v="5"/>
    <x v="10"/>
    <x v="0"/>
    <n v="7508.5"/>
    <n v="3360.4"/>
    <n v="1708"/>
    <n v="0"/>
    <n v="0"/>
  </r>
  <r>
    <x v="6"/>
    <x v="0"/>
    <x v="0"/>
    <n v="4996.49"/>
    <n v="1942.09"/>
    <n v="1211"/>
    <n v="0"/>
    <n v="0"/>
  </r>
  <r>
    <x v="6"/>
    <x v="1"/>
    <x v="0"/>
    <n v="9050.33"/>
    <n v="3118.23"/>
    <n v="467"/>
    <n v="0"/>
    <n v="0"/>
  </r>
  <r>
    <x v="6"/>
    <x v="2"/>
    <x v="0"/>
    <n v="11003.69"/>
    <n v="5584.29"/>
    <n v="2699"/>
    <n v="0"/>
    <n v="0"/>
  </r>
  <r>
    <x v="6"/>
    <x v="3"/>
    <x v="0"/>
    <n v="13582.38"/>
    <n v="3834.68"/>
    <n v="2322"/>
    <n v="0"/>
    <n v="0"/>
  </r>
  <r>
    <x v="6"/>
    <x v="4"/>
    <x v="0"/>
    <n v="14428.55"/>
    <n v="6944.05"/>
    <n v="1925"/>
    <n v="0"/>
    <n v="0"/>
  </r>
  <r>
    <x v="6"/>
    <x v="5"/>
    <x v="0"/>
    <n v="5463.39"/>
    <n v="2372.59"/>
    <n v="761"/>
    <n v="0"/>
    <n v="0"/>
  </r>
  <r>
    <x v="6"/>
    <x v="6"/>
    <x v="0"/>
    <n v="9101.58"/>
    <n v="3176.48"/>
    <n v="1502"/>
    <n v="0"/>
    <n v="0"/>
  </r>
  <r>
    <x v="6"/>
    <x v="7"/>
    <x v="0"/>
    <n v="1307.99"/>
    <n v="682.79"/>
    <n v="201"/>
    <n v="0"/>
    <n v="0"/>
  </r>
  <r>
    <x v="6"/>
    <x v="8"/>
    <x v="0"/>
    <n v="2382.11"/>
    <n v="1025.21"/>
    <n v="289"/>
    <n v="0"/>
    <n v="0"/>
  </r>
  <r>
    <x v="6"/>
    <x v="9"/>
    <x v="0"/>
    <n v="1751.2"/>
    <n v="763.1799999999999"/>
    <n v="1260"/>
    <n v="0"/>
    <n v="0"/>
  </r>
  <r>
    <x v="6"/>
    <x v="10"/>
    <x v="0"/>
    <n v="8391.33"/>
    <n v="3705.83"/>
    <n v="1923"/>
    <n v="0"/>
    <n v="0"/>
  </r>
  <r>
    <x v="7"/>
    <x v="0"/>
    <x v="0"/>
    <n v="4341.21"/>
    <n v="1686.91"/>
    <n v="1049"/>
    <n v="0"/>
    <n v="0"/>
  </r>
  <r>
    <x v="7"/>
    <x v="1"/>
    <x v="0"/>
    <n v="8259.74"/>
    <n v="2855.94"/>
    <n v="426"/>
    <n v="0"/>
    <n v="0"/>
  </r>
  <r>
    <x v="7"/>
    <x v="2"/>
    <x v="0"/>
    <n v="9124.41"/>
    <n v="4604.36"/>
    <n v="2273"/>
    <n v="0"/>
    <n v="0"/>
  </r>
  <r>
    <x v="7"/>
    <x v="3"/>
    <x v="0"/>
    <n v="12510.41"/>
    <n v="3473.76"/>
    <n v="2171"/>
    <n v="0"/>
    <n v="0"/>
  </r>
  <r>
    <x v="7"/>
    <x v="4"/>
    <x v="0"/>
    <n v="13194.33"/>
    <n v="6356.53"/>
    <n v="1817"/>
    <n v="0"/>
    <n v="0"/>
  </r>
  <r>
    <x v="7"/>
    <x v="5"/>
    <x v="0"/>
    <n v="5103.21"/>
    <n v="2198.11"/>
    <n v="679"/>
    <n v="0"/>
    <n v="0"/>
  </r>
  <r>
    <x v="7"/>
    <x v="6"/>
    <x v="0"/>
    <n v="8650.57"/>
    <n v="3057.67"/>
    <n v="1483"/>
    <n v="0"/>
    <n v="0"/>
  </r>
  <r>
    <x v="7"/>
    <x v="7"/>
    <x v="0"/>
    <n v="1198.1"/>
    <n v="630.1"/>
    <n v="190"/>
    <n v="0"/>
    <n v="0"/>
  </r>
  <r>
    <x v="7"/>
    <x v="8"/>
    <x v="0"/>
    <n v="2053.54"/>
    <n v="843.14"/>
    <n v="246"/>
    <n v="0"/>
    <n v="0"/>
  </r>
  <r>
    <x v="7"/>
    <x v="9"/>
    <x v="0"/>
    <n v="1479.91"/>
    <n v="635.61"/>
    <n v="1187"/>
    <n v="0"/>
    <n v="0"/>
  </r>
  <r>
    <x v="7"/>
    <x v="10"/>
    <x v="0"/>
    <n v="8006.8"/>
    <n v="3572.5"/>
    <n v="1830"/>
    <n v="0"/>
    <n v="0"/>
  </r>
  <r>
    <x v="8"/>
    <x v="0"/>
    <x v="0"/>
    <n v="4470.86"/>
    <n v="1689.16"/>
    <n v="1094"/>
    <n v="0"/>
    <n v="0"/>
  </r>
  <r>
    <x v="8"/>
    <x v="1"/>
    <x v="0"/>
    <n v="8509.76"/>
    <n v="2912.26"/>
    <n v="444"/>
    <n v="0"/>
    <n v="0"/>
  </r>
  <r>
    <x v="8"/>
    <x v="2"/>
    <x v="0"/>
    <n v="9291.700000000001"/>
    <n v="4750.1"/>
    <n v="2260"/>
    <n v="0"/>
    <n v="0"/>
  </r>
  <r>
    <x v="8"/>
    <x v="3"/>
    <x v="0"/>
    <n v="13719.33"/>
    <n v="3837.43"/>
    <n v="2319"/>
    <n v="0"/>
    <n v="0"/>
  </r>
  <r>
    <x v="8"/>
    <x v="4"/>
    <x v="0"/>
    <n v="14564.1"/>
    <n v="7059.3"/>
    <n v="2030"/>
    <n v="0"/>
    <n v="0"/>
  </r>
  <r>
    <x v="8"/>
    <x v="5"/>
    <x v="0"/>
    <n v="5878.97"/>
    <n v="2524.87"/>
    <n v="783"/>
    <n v="0"/>
    <n v="0"/>
  </r>
  <r>
    <x v="8"/>
    <x v="6"/>
    <x v="0"/>
    <n v="8812.66"/>
    <n v="3130.46"/>
    <n v="1506"/>
    <n v="0"/>
    <n v="0"/>
  </r>
  <r>
    <x v="8"/>
    <x v="7"/>
    <x v="0"/>
    <n v="1280.52"/>
    <n v="663.92"/>
    <n v="208"/>
    <n v="0"/>
    <n v="0"/>
  </r>
  <r>
    <x v="8"/>
    <x v="8"/>
    <x v="0"/>
    <n v="2153.56"/>
    <n v="858.76"/>
    <n v="264"/>
    <n v="0"/>
    <n v="0"/>
  </r>
  <r>
    <x v="8"/>
    <x v="9"/>
    <x v="0"/>
    <n v="1507.27"/>
    <n v="650.39"/>
    <n v="1267"/>
    <n v="0"/>
    <n v="0"/>
  </r>
  <r>
    <x v="8"/>
    <x v="10"/>
    <x v="0"/>
    <n v="8568.469999999999"/>
    <n v="3821.17"/>
    <n v="1943"/>
    <n v="0"/>
    <n v="0"/>
  </r>
  <r>
    <x v="9"/>
    <x v="0"/>
    <x v="0"/>
    <n v="4586.76"/>
    <n v="1762.56"/>
    <n v="1114"/>
    <n v="0"/>
    <n v="0"/>
  </r>
  <r>
    <x v="9"/>
    <x v="1"/>
    <x v="0"/>
    <n v="8531.25"/>
    <n v="2835.05"/>
    <n v="455"/>
    <n v="0"/>
    <n v="0"/>
  </r>
  <r>
    <x v="9"/>
    <x v="2"/>
    <x v="0"/>
    <n v="9254.9"/>
    <n v="4762.3"/>
    <n v="2280"/>
    <n v="0"/>
    <n v="0"/>
  </r>
  <r>
    <x v="9"/>
    <x v="3"/>
    <x v="0"/>
    <n v="13103.3"/>
    <n v="3677.9"/>
    <n v="2270"/>
    <n v="0"/>
    <n v="0"/>
  </r>
  <r>
    <x v="9"/>
    <x v="4"/>
    <x v="0"/>
    <n v="14715.43"/>
    <n v="6966.23"/>
    <n v="2007"/>
    <n v="0"/>
    <n v="0"/>
  </r>
  <r>
    <x v="9"/>
    <x v="5"/>
    <x v="0"/>
    <n v="5416.54"/>
    <n v="2350.74"/>
    <n v="746"/>
    <n v="0"/>
    <n v="0"/>
  </r>
  <r>
    <x v="9"/>
    <x v="6"/>
    <x v="0"/>
    <n v="8159.57"/>
    <n v="2918.07"/>
    <n v="1433"/>
    <n v="0"/>
    <n v="0"/>
  </r>
  <r>
    <x v="9"/>
    <x v="7"/>
    <x v="0"/>
    <n v="1550.96"/>
    <n v="782.36"/>
    <n v="204"/>
    <n v="0"/>
    <n v="0"/>
  </r>
  <r>
    <x v="9"/>
    <x v="8"/>
    <x v="0"/>
    <n v="2446.11"/>
    <n v="1011.81"/>
    <n v="289"/>
    <n v="0"/>
    <n v="0"/>
  </r>
  <r>
    <x v="9"/>
    <x v="9"/>
    <x v="0"/>
    <n v="1580.37"/>
    <n v="690.97"/>
    <n v="1213"/>
    <n v="0"/>
    <n v="0"/>
  </r>
  <r>
    <x v="9"/>
    <x v="10"/>
    <x v="0"/>
    <n v="8496.77"/>
    <n v="3816.97"/>
    <n v="1923"/>
    <n v="0"/>
    <n v="0"/>
  </r>
  <r>
    <x v="10"/>
    <x v="0"/>
    <x v="0"/>
    <n v="4616.95"/>
    <n v="1727.25"/>
    <n v="1147"/>
    <n v="0"/>
    <n v="0"/>
  </r>
  <r>
    <x v="10"/>
    <x v="1"/>
    <x v="0"/>
    <n v="9107.4"/>
    <n v="3059.7"/>
    <n v="480"/>
    <n v="0"/>
    <n v="0"/>
  </r>
  <r>
    <x v="10"/>
    <x v="2"/>
    <x v="0"/>
    <n v="10700.48"/>
    <n v="5448.23"/>
    <n v="2602"/>
    <n v="0"/>
    <n v="0"/>
  </r>
  <r>
    <x v="10"/>
    <x v="3"/>
    <x v="0"/>
    <n v="13854.74"/>
    <n v="3781.69"/>
    <n v="2408"/>
    <n v="0"/>
    <n v="0"/>
  </r>
  <r>
    <x v="10"/>
    <x v="4"/>
    <x v="0"/>
    <n v="14004.94"/>
    <n v="6790.04"/>
    <n v="1856"/>
    <n v="0"/>
    <n v="0"/>
  </r>
  <r>
    <x v="10"/>
    <x v="5"/>
    <x v="0"/>
    <n v="5218.39"/>
    <n v="2279.69"/>
    <n v="761"/>
    <n v="0"/>
    <n v="0"/>
  </r>
  <r>
    <x v="10"/>
    <x v="6"/>
    <x v="0"/>
    <n v="8588.690000000001"/>
    <n v="2980.19"/>
    <n v="1451"/>
    <n v="0"/>
    <n v="0"/>
  </r>
  <r>
    <x v="10"/>
    <x v="7"/>
    <x v="0"/>
    <n v="1343.96"/>
    <n v="674.36"/>
    <n v="204"/>
    <n v="0"/>
    <n v="0"/>
  </r>
  <r>
    <x v="10"/>
    <x v="8"/>
    <x v="0"/>
    <n v="2216.16"/>
    <n v="877.5599999999999"/>
    <n v="264"/>
    <n v="0"/>
    <n v="0"/>
  </r>
  <r>
    <x v="10"/>
    <x v="9"/>
    <x v="0"/>
    <n v="1739"/>
    <n v="758.96"/>
    <n v="1260"/>
    <n v="0"/>
    <n v="0"/>
  </r>
  <r>
    <x v="10"/>
    <x v="10"/>
    <x v="0"/>
    <n v="8579.49"/>
    <n v="3791.39"/>
    <n v="1961"/>
    <n v="0"/>
    <n v="0"/>
  </r>
  <r>
    <x v="11"/>
    <x v="0"/>
    <x v="0"/>
    <n v="4704.28"/>
    <n v="1808.98"/>
    <n v="1142"/>
    <n v="0"/>
    <n v="0"/>
  </r>
  <r>
    <x v="11"/>
    <x v="1"/>
    <x v="0"/>
    <n v="9682.059999999999"/>
    <n v="3326.56"/>
    <n v="494"/>
    <n v="0"/>
    <n v="0"/>
  </r>
  <r>
    <x v="11"/>
    <x v="2"/>
    <x v="0"/>
    <n v="13030.69"/>
    <n v="6686.79"/>
    <n v="3191"/>
    <n v="0"/>
    <n v="0"/>
  </r>
  <r>
    <x v="11"/>
    <x v="3"/>
    <x v="0"/>
    <n v="14508.13"/>
    <n v="4118.58"/>
    <n v="2457"/>
    <n v="0"/>
    <n v="0"/>
  </r>
  <r>
    <x v="11"/>
    <x v="4"/>
    <x v="0"/>
    <n v="14824.54"/>
    <n v="7076.74"/>
    <n v="1946"/>
    <n v="0"/>
    <n v="0"/>
  </r>
  <r>
    <x v="11"/>
    <x v="5"/>
    <x v="0"/>
    <n v="5897.13"/>
    <n v="2549.73"/>
    <n v="867"/>
    <n v="0"/>
    <n v="0"/>
  </r>
  <r>
    <x v="11"/>
    <x v="6"/>
    <x v="0"/>
    <n v="8274.389999999999"/>
    <n v="2828.99"/>
    <n v="1349"/>
    <n v="0"/>
    <n v="0"/>
  </r>
  <r>
    <x v="11"/>
    <x v="7"/>
    <x v="0"/>
    <n v="1609.12"/>
    <n v="801.12"/>
    <n v="208"/>
    <n v="0"/>
    <n v="0"/>
  </r>
  <r>
    <x v="11"/>
    <x v="8"/>
    <x v="0"/>
    <n v="2270.18"/>
    <n v="935.98"/>
    <n v="282"/>
    <n v="0"/>
    <n v="0"/>
  </r>
  <r>
    <x v="11"/>
    <x v="9"/>
    <x v="0"/>
    <n v="1942.15"/>
    <n v="844.6900000000001"/>
    <n v="1275"/>
    <n v="0"/>
    <n v="0"/>
  </r>
  <r>
    <x v="11"/>
    <x v="10"/>
    <x v="0"/>
    <n v="8307.309999999999"/>
    <n v="3724.51"/>
    <n v="1879"/>
    <n v="0"/>
    <n v="0"/>
  </r>
  <r>
    <x v="12"/>
    <x v="0"/>
    <x v="0"/>
    <n v="4642.49"/>
    <n v="1777.89"/>
    <n v="1131"/>
    <n v="0"/>
    <n v="0"/>
  </r>
  <r>
    <x v="12"/>
    <x v="1"/>
    <x v="0"/>
    <n v="11274.42"/>
    <n v="3807.22"/>
    <n v="598"/>
    <n v="0"/>
    <n v="0"/>
  </r>
  <r>
    <x v="12"/>
    <x v="2"/>
    <x v="0"/>
    <n v="13594.21"/>
    <n v="6996.76"/>
    <n v="3349"/>
    <n v="0"/>
    <n v="0"/>
  </r>
  <r>
    <x v="12"/>
    <x v="3"/>
    <x v="0"/>
    <n v="13846.93"/>
    <n v="3893.53"/>
    <n v="2347"/>
    <n v="0"/>
    <n v="0"/>
  </r>
  <r>
    <x v="12"/>
    <x v="4"/>
    <x v="0"/>
    <n v="15472"/>
    <n v="7358.6"/>
    <n v="1950"/>
    <n v="0"/>
    <n v="0"/>
  </r>
  <r>
    <x v="12"/>
    <x v="5"/>
    <x v="0"/>
    <n v="6076.23"/>
    <n v="2643.13"/>
    <n v="917"/>
    <n v="0"/>
    <n v="0"/>
  </r>
  <r>
    <x v="12"/>
    <x v="6"/>
    <x v="0"/>
    <n v="7753.56"/>
    <n v="2594.16"/>
    <n v="1304"/>
    <n v="0"/>
    <n v="0"/>
  </r>
  <r>
    <x v="12"/>
    <x v="7"/>
    <x v="0"/>
    <n v="1448.95"/>
    <n v="717.35"/>
    <n v="185"/>
    <n v="0"/>
    <n v="0"/>
  </r>
  <r>
    <x v="12"/>
    <x v="8"/>
    <x v="0"/>
    <n v="2227.36"/>
    <n v="940.96"/>
    <n v="264"/>
    <n v="0"/>
    <n v="0"/>
  </r>
  <r>
    <x v="12"/>
    <x v="9"/>
    <x v="0"/>
    <n v="2165.95"/>
    <n v="906.29"/>
    <n v="1417"/>
    <n v="0"/>
    <n v="0"/>
  </r>
  <r>
    <x v="12"/>
    <x v="10"/>
    <x v="0"/>
    <n v="8469.799999999999"/>
    <n v="3804.5"/>
    <n v="1930"/>
    <n v="0"/>
    <n v="0"/>
  </r>
  <r>
    <x v="13"/>
    <x v="0"/>
    <x v="0"/>
    <n v="5025.93"/>
    <n v="1929.93"/>
    <n v="1227"/>
    <n v="0"/>
    <n v="0"/>
  </r>
  <r>
    <x v="13"/>
    <x v="1"/>
    <x v="0"/>
    <n v="13565.31"/>
    <n v="4552.31"/>
    <n v="709"/>
    <n v="0"/>
    <n v="0"/>
  </r>
  <r>
    <x v="13"/>
    <x v="2"/>
    <x v="0"/>
    <n v="16929.03"/>
    <n v="8602.93"/>
    <n v="4167"/>
    <n v="0"/>
    <n v="0"/>
  </r>
  <r>
    <x v="13"/>
    <x v="3"/>
    <x v="0"/>
    <n v="15361.49"/>
    <n v="4288.59"/>
    <n v="2613"/>
    <n v="0"/>
    <n v="0"/>
  </r>
  <r>
    <x v="13"/>
    <x v="4"/>
    <x v="0"/>
    <n v="18363.67"/>
    <n v="8606.969999999999"/>
    <n v="2283"/>
    <n v="0"/>
    <n v="0"/>
  </r>
  <r>
    <x v="13"/>
    <x v="5"/>
    <x v="0"/>
    <n v="6499.2"/>
    <n v="2895.5"/>
    <n v="1060"/>
    <n v="0"/>
    <n v="0"/>
  </r>
  <r>
    <x v="13"/>
    <x v="6"/>
    <x v="0"/>
    <n v="7786.44"/>
    <n v="2715.44"/>
    <n v="1306"/>
    <n v="0"/>
    <n v="0"/>
  </r>
  <r>
    <x v="13"/>
    <x v="7"/>
    <x v="0"/>
    <n v="1673.15"/>
    <n v="816.15"/>
    <n v="185"/>
    <n v="0"/>
    <n v="0"/>
  </r>
  <r>
    <x v="13"/>
    <x v="8"/>
    <x v="0"/>
    <n v="2642.04"/>
    <n v="1096.24"/>
    <n v="316"/>
    <n v="0"/>
    <n v="0"/>
  </r>
  <r>
    <x v="13"/>
    <x v="9"/>
    <x v="0"/>
    <n v="2393.69"/>
    <n v="1005.61"/>
    <n v="1583"/>
    <n v="0"/>
    <n v="0"/>
  </r>
  <r>
    <x v="13"/>
    <x v="10"/>
    <x v="0"/>
    <n v="9002.799999999999"/>
    <n v="4013.2"/>
    <n v="2048"/>
    <n v="0"/>
    <n v="0"/>
  </r>
  <r>
    <x v="14"/>
    <x v="0"/>
    <x v="0"/>
    <n v="4098.67"/>
    <n v="1543.97"/>
    <n v="1013"/>
    <n v="0"/>
    <n v="0"/>
  </r>
  <r>
    <x v="14"/>
    <x v="1"/>
    <x v="0"/>
    <n v="10760.47"/>
    <n v="3697.97"/>
    <n v="553"/>
    <n v="0"/>
    <n v="0"/>
  </r>
  <r>
    <x v="14"/>
    <x v="2"/>
    <x v="0"/>
    <n v="14824.87"/>
    <n v="7516.87"/>
    <n v="3689"/>
    <n v="0"/>
    <n v="0"/>
  </r>
  <r>
    <x v="14"/>
    <x v="3"/>
    <x v="0"/>
    <n v="12515.06"/>
    <n v="3472.36"/>
    <n v="2180"/>
    <n v="0"/>
    <n v="0"/>
  </r>
  <r>
    <x v="14"/>
    <x v="4"/>
    <x v="0"/>
    <n v="15473.11"/>
    <n v="7236.41"/>
    <n v="1939"/>
    <n v="0"/>
    <n v="0"/>
  </r>
  <r>
    <x v="14"/>
    <x v="5"/>
    <x v="0"/>
    <n v="5074.22"/>
    <n v="2252.22"/>
    <n v="818"/>
    <n v="0"/>
    <n v="0"/>
  </r>
  <r>
    <x v="14"/>
    <x v="6"/>
    <x v="0"/>
    <n v="7075.73"/>
    <n v="2430.93"/>
    <n v="1117"/>
    <n v="0"/>
    <n v="0"/>
  </r>
  <r>
    <x v="14"/>
    <x v="7"/>
    <x v="0"/>
    <n v="1420.97"/>
    <n v="678.37"/>
    <n v="163"/>
    <n v="0"/>
    <n v="0"/>
  </r>
  <r>
    <x v="14"/>
    <x v="8"/>
    <x v="0"/>
    <n v="2065.55"/>
    <n v="873.25"/>
    <n v="245"/>
    <n v="0"/>
    <n v="0"/>
  </r>
  <r>
    <x v="14"/>
    <x v="9"/>
    <x v="0"/>
    <n v="2019.74"/>
    <n v="879.14"/>
    <n v="1326"/>
    <n v="0"/>
    <n v="0"/>
  </r>
  <r>
    <x v="14"/>
    <x v="10"/>
    <x v="0"/>
    <n v="7368.96"/>
    <n v="3270.86"/>
    <n v="1698"/>
    <n v="0"/>
    <n v="0"/>
  </r>
  <r>
    <x v="15"/>
    <x v="0"/>
    <x v="0"/>
    <n v="4268.34"/>
    <n v="1664.64"/>
    <n v="1026"/>
    <n v="0"/>
    <n v="0"/>
  </r>
  <r>
    <x v="15"/>
    <x v="1"/>
    <x v="0"/>
    <n v="10700.4"/>
    <n v="3579.8"/>
    <n v="560"/>
    <n v="0"/>
    <n v="0"/>
  </r>
  <r>
    <x v="15"/>
    <x v="2"/>
    <x v="0"/>
    <n v="14659.79"/>
    <n v="7467.54"/>
    <n v="3611"/>
    <n v="0"/>
    <n v="0"/>
  </r>
  <r>
    <x v="15"/>
    <x v="3"/>
    <x v="0"/>
    <n v="13747.87"/>
    <n v="3747.77"/>
    <n v="2355"/>
    <n v="0"/>
    <n v="0"/>
  </r>
  <r>
    <x v="15"/>
    <x v="4"/>
    <x v="0"/>
    <n v="15609.97"/>
    <n v="7294.57"/>
    <n v="1963"/>
    <n v="0"/>
    <n v="0"/>
  </r>
  <r>
    <x v="15"/>
    <x v="5"/>
    <x v="0"/>
    <n v="5420.55"/>
    <n v="2395.55"/>
    <n v="845"/>
    <n v="0"/>
    <n v="0"/>
  </r>
  <r>
    <x v="15"/>
    <x v="6"/>
    <x v="0"/>
    <n v="7224.78"/>
    <n v="2448.18"/>
    <n v="1144"/>
    <n v="0"/>
    <n v="0"/>
  </r>
  <r>
    <x v="15"/>
    <x v="7"/>
    <x v="0"/>
    <n v="1574.26"/>
    <n v="767.86"/>
    <n v="174"/>
    <n v="0"/>
    <n v="0"/>
  </r>
  <r>
    <x v="15"/>
    <x v="8"/>
    <x v="0"/>
    <n v="1992.36"/>
    <n v="738.16"/>
    <n v="264"/>
    <n v="0"/>
    <n v="0"/>
  </r>
  <r>
    <x v="15"/>
    <x v="9"/>
    <x v="0"/>
    <n v="2038.82"/>
    <n v="887.54"/>
    <n v="1338"/>
    <n v="0"/>
    <n v="0"/>
  </r>
  <r>
    <x v="15"/>
    <x v="10"/>
    <x v="0"/>
    <n v="7807.55"/>
    <n v="3452.35"/>
    <n v="1795"/>
    <n v="0"/>
    <n v="0"/>
  </r>
  <r>
    <x v="16"/>
    <x v="0"/>
    <x v="0"/>
    <n v="4831.94"/>
    <n v="1871.14"/>
    <n v="1186"/>
    <n v="0"/>
    <n v="0"/>
  </r>
  <r>
    <x v="16"/>
    <x v="1"/>
    <x v="0"/>
    <n v="12516.57"/>
    <n v="4083.87"/>
    <n v="663"/>
    <n v="0"/>
    <n v="0"/>
  </r>
  <r>
    <x v="16"/>
    <x v="2"/>
    <x v="0"/>
    <n v="14989.59"/>
    <n v="7676.29"/>
    <n v="3651"/>
    <n v="0"/>
    <n v="0"/>
  </r>
  <r>
    <x v="16"/>
    <x v="3"/>
    <x v="0"/>
    <n v="14216"/>
    <n v="3924.2"/>
    <n v="2474"/>
    <n v="0"/>
    <n v="0"/>
  </r>
  <r>
    <x v="16"/>
    <x v="4"/>
    <x v="0"/>
    <n v="16295.68"/>
    <n v="7746.38"/>
    <n v="2082"/>
    <n v="0"/>
    <n v="0"/>
  </r>
  <r>
    <x v="16"/>
    <x v="5"/>
    <x v="0"/>
    <n v="5992.15"/>
    <n v="2646.25"/>
    <n v="925"/>
    <n v="0"/>
    <n v="0"/>
  </r>
  <r>
    <x v="16"/>
    <x v="6"/>
    <x v="0"/>
    <n v="8413.92"/>
    <n v="2953.52"/>
    <n v="1418"/>
    <n v="0"/>
    <n v="0"/>
  </r>
  <r>
    <x v="16"/>
    <x v="7"/>
    <x v="0"/>
    <n v="1748.96"/>
    <n v="861.5599999999999"/>
    <n v="204"/>
    <n v="0"/>
    <n v="0"/>
  </r>
  <r>
    <x v="16"/>
    <x v="8"/>
    <x v="0"/>
    <n v="2344.31"/>
    <n v="994.01"/>
    <n v="269"/>
    <n v="0"/>
    <n v="0"/>
  </r>
  <r>
    <x v="16"/>
    <x v="9"/>
    <x v="0"/>
    <n v="2333.76"/>
    <n v="986.08"/>
    <n v="1474"/>
    <n v="0"/>
    <n v="0"/>
  </r>
  <r>
    <x v="16"/>
    <x v="10"/>
    <x v="0"/>
    <n v="8883.92"/>
    <n v="3940.92"/>
    <n v="2048"/>
    <n v="0"/>
    <n v="0"/>
  </r>
  <r>
    <x v="17"/>
    <x v="0"/>
    <x v="0"/>
    <n v="4825.73"/>
    <n v="1849.13"/>
    <n v="1177"/>
    <n v="0"/>
    <n v="0"/>
  </r>
  <r>
    <x v="17"/>
    <x v="1"/>
    <x v="0"/>
    <n v="9610.01"/>
    <n v="3314.91"/>
    <n v="499"/>
    <n v="0"/>
    <n v="0"/>
  </r>
  <r>
    <x v="17"/>
    <x v="2"/>
    <x v="0"/>
    <n v="12898.75"/>
    <n v="6474.5"/>
    <n v="3187"/>
    <n v="0"/>
    <n v="0"/>
  </r>
  <r>
    <x v="17"/>
    <x v="3"/>
    <x v="0"/>
    <n v="13793.26"/>
    <n v="3817.41"/>
    <n v="2396"/>
    <n v="0"/>
    <n v="0"/>
  </r>
  <r>
    <x v="17"/>
    <x v="4"/>
    <x v="0"/>
    <n v="15033.46"/>
    <n v="7149.06"/>
    <n v="1934"/>
    <n v="0"/>
    <n v="0"/>
  </r>
  <r>
    <x v="17"/>
    <x v="5"/>
    <x v="0"/>
    <n v="5376.06"/>
    <n v="2367.06"/>
    <n v="794"/>
    <n v="0"/>
    <n v="0"/>
  </r>
  <r>
    <x v="17"/>
    <x v="6"/>
    <x v="0"/>
    <n v="7765.4"/>
    <n v="2738.8"/>
    <n v="1330"/>
    <n v="0"/>
    <n v="0"/>
  </r>
  <r>
    <x v="17"/>
    <x v="7"/>
    <x v="0"/>
    <n v="1416.16"/>
    <n v="712.5599999999999"/>
    <n v="184"/>
    <n v="0"/>
    <n v="0"/>
  </r>
  <r>
    <x v="17"/>
    <x v="8"/>
    <x v="0"/>
    <n v="2109.44"/>
    <n v="870.84"/>
    <n v="256"/>
    <n v="0"/>
    <n v="0"/>
  </r>
  <r>
    <x v="17"/>
    <x v="9"/>
    <x v="0"/>
    <n v="1955.56"/>
    <n v="829.48"/>
    <n v="1368"/>
    <n v="0"/>
    <n v="0"/>
  </r>
  <r>
    <x v="17"/>
    <x v="10"/>
    <x v="0"/>
    <n v="8237.82"/>
    <n v="3693.92"/>
    <n v="1868"/>
    <n v="0"/>
    <n v="0"/>
  </r>
  <r>
    <x v="18"/>
    <x v="0"/>
    <x v="0"/>
    <n v="5184.84"/>
    <n v="1993.84"/>
    <n v="1256"/>
    <n v="0"/>
    <n v="0"/>
  </r>
  <r>
    <x v="18"/>
    <x v="1"/>
    <x v="0"/>
    <n v="9819.700000000001"/>
    <n v="3328.4"/>
    <n v="510"/>
    <n v="0"/>
    <n v="0"/>
  </r>
  <r>
    <x v="18"/>
    <x v="2"/>
    <x v="0"/>
    <n v="11542.75"/>
    <n v="5835.15"/>
    <n v="2805"/>
    <n v="0"/>
    <n v="0"/>
  </r>
  <r>
    <x v="18"/>
    <x v="3"/>
    <x v="0"/>
    <n v="13797.6"/>
    <n v="3738.7"/>
    <n v="2472"/>
    <n v="0"/>
    <n v="0"/>
  </r>
  <r>
    <x v="18"/>
    <x v="4"/>
    <x v="0"/>
    <n v="14732.18"/>
    <n v="7062.48"/>
    <n v="1982"/>
    <n v="0"/>
    <n v="0"/>
  </r>
  <r>
    <x v="18"/>
    <x v="5"/>
    <x v="0"/>
    <n v="6133.52"/>
    <n v="2652.92"/>
    <n v="848"/>
    <n v="0"/>
    <n v="0"/>
  </r>
  <r>
    <x v="18"/>
    <x v="6"/>
    <x v="0"/>
    <n v="9071.370000000001"/>
    <n v="3095.67"/>
    <n v="1503"/>
    <n v="0"/>
    <n v="0"/>
  </r>
  <r>
    <x v="18"/>
    <x v="7"/>
    <x v="0"/>
    <n v="1287.04"/>
    <n v="663.24"/>
    <n v="196"/>
    <n v="0"/>
    <n v="0"/>
  </r>
  <r>
    <x v="18"/>
    <x v="8"/>
    <x v="0"/>
    <n v="2191.32"/>
    <n v="915.72"/>
    <n v="268"/>
    <n v="0"/>
    <n v="0"/>
  </r>
  <r>
    <x v="18"/>
    <x v="9"/>
    <x v="0"/>
    <n v="1782.97"/>
    <n v="766.9299999999999"/>
    <n v="1263"/>
    <n v="0"/>
    <n v="0"/>
  </r>
  <r>
    <x v="18"/>
    <x v="10"/>
    <x v="0"/>
    <n v="8858.59"/>
    <n v="3908.19"/>
    <n v="2011"/>
    <n v="0"/>
    <n v="0"/>
  </r>
  <r>
    <x v="19"/>
    <x v="0"/>
    <x v="0"/>
    <n v="4885.73"/>
    <n v="1879.43"/>
    <n v="1187"/>
    <n v="0"/>
    <n v="0"/>
  </r>
  <r>
    <x v="19"/>
    <x v="1"/>
    <x v="0"/>
    <n v="8698.49"/>
    <n v="3007.89"/>
    <n v="451"/>
    <n v="0"/>
    <n v="0"/>
  </r>
  <r>
    <x v="19"/>
    <x v="2"/>
    <x v="0"/>
    <n v="9994.23"/>
    <n v="5071.98"/>
    <n v="2457"/>
    <n v="0"/>
    <n v="0"/>
  </r>
  <r>
    <x v="19"/>
    <x v="3"/>
    <x v="0"/>
    <n v="13940.86"/>
    <n v="3925.16"/>
    <n v="2424"/>
    <n v="0"/>
    <n v="0"/>
  </r>
  <r>
    <x v="19"/>
    <x v="4"/>
    <x v="0"/>
    <n v="14600.95"/>
    <n v="6972.45"/>
    <n v="1995"/>
    <n v="0"/>
    <n v="0"/>
  </r>
  <r>
    <x v="19"/>
    <x v="5"/>
    <x v="0"/>
    <n v="5905.01"/>
    <n v="2551.41"/>
    <n v="799"/>
    <n v="0"/>
    <n v="0"/>
  </r>
  <r>
    <x v="19"/>
    <x v="6"/>
    <x v="0"/>
    <n v="9297.379999999999"/>
    <n v="3308.98"/>
    <n v="1562"/>
    <n v="0"/>
    <n v="0"/>
  </r>
  <r>
    <x v="19"/>
    <x v="7"/>
    <x v="0"/>
    <n v="1496.14"/>
    <n v="764.9400000000001"/>
    <n v="226"/>
    <n v="0"/>
    <n v="0"/>
  </r>
  <r>
    <x v="19"/>
    <x v="8"/>
    <x v="0"/>
    <n v="2282.31"/>
    <n v="945.41"/>
    <n v="269"/>
    <n v="0"/>
    <n v="0"/>
  </r>
  <r>
    <x v="19"/>
    <x v="9"/>
    <x v="0"/>
    <n v="1737.44"/>
    <n v="757.84"/>
    <n v="1256"/>
    <n v="0"/>
    <n v="0"/>
  </r>
  <r>
    <x v="19"/>
    <x v="10"/>
    <x v="0"/>
    <n v="8414.309999999999"/>
    <n v="3745.31"/>
    <n v="1909"/>
    <n v="0"/>
    <n v="0"/>
  </r>
  <r>
    <x v="20"/>
    <x v="0"/>
    <x v="0"/>
    <n v="5299.88"/>
    <n v="2016.88"/>
    <n v="1292"/>
    <n v="0"/>
    <n v="0"/>
  </r>
  <r>
    <x v="20"/>
    <x v="1"/>
    <x v="0"/>
    <n v="8785.51"/>
    <n v="3036.11"/>
    <n v="449"/>
    <n v="0"/>
    <n v="0"/>
  </r>
  <r>
    <x v="20"/>
    <x v="2"/>
    <x v="0"/>
    <n v="9805.82"/>
    <n v="5016.82"/>
    <n v="2428"/>
    <n v="0"/>
    <n v="0"/>
  </r>
  <r>
    <x v="20"/>
    <x v="3"/>
    <x v="0"/>
    <n v="14597.33"/>
    <n v="4020.78"/>
    <n v="2521"/>
    <n v="0"/>
    <n v="0"/>
  </r>
  <r>
    <x v="20"/>
    <x v="4"/>
    <x v="0"/>
    <n v="15114.42"/>
    <n v="7396.62"/>
    <n v="2058"/>
    <n v="0"/>
    <n v="0"/>
  </r>
  <r>
    <x v="20"/>
    <x v="5"/>
    <x v="0"/>
    <n v="5770.2"/>
    <n v="2492.4"/>
    <n v="780"/>
    <n v="0"/>
    <n v="0"/>
  </r>
  <r>
    <x v="20"/>
    <x v="6"/>
    <x v="0"/>
    <n v="9621.6"/>
    <n v="3398.6"/>
    <n v="1680"/>
    <n v="0"/>
    <n v="0"/>
  </r>
  <r>
    <x v="20"/>
    <x v="7"/>
    <x v="0"/>
    <n v="1407.32"/>
    <n v="725.72"/>
    <n v="228"/>
    <n v="0"/>
    <n v="0"/>
  </r>
  <r>
    <x v="20"/>
    <x v="8"/>
    <x v="0"/>
    <n v="2547.97"/>
    <n v="1068.67"/>
    <n v="303"/>
    <n v="0"/>
    <n v="0"/>
  </r>
  <r>
    <x v="20"/>
    <x v="9"/>
    <x v="0"/>
    <n v="1723.07"/>
    <n v="742.55"/>
    <n v="1365"/>
    <n v="0"/>
    <n v="0"/>
  </r>
  <r>
    <x v="20"/>
    <x v="10"/>
    <x v="0"/>
    <n v="9387.49"/>
    <n v="4116.89"/>
    <n v="2151"/>
    <n v="0"/>
    <n v="0"/>
  </r>
  <r>
    <x v="21"/>
    <x v="0"/>
    <x v="0"/>
    <n v="4954.82"/>
    <n v="1881.72"/>
    <n v="1208"/>
    <n v="0"/>
    <n v="0"/>
  </r>
  <r>
    <x v="21"/>
    <x v="1"/>
    <x v="0"/>
    <n v="8604.559999999999"/>
    <n v="2975.46"/>
    <n v="444"/>
    <n v="0"/>
    <n v="0"/>
  </r>
  <r>
    <x v="21"/>
    <x v="2"/>
    <x v="0"/>
    <n v="10619.25"/>
    <n v="5367.35"/>
    <n v="2585"/>
    <n v="0"/>
    <n v="0"/>
  </r>
  <r>
    <x v="21"/>
    <x v="3"/>
    <x v="0"/>
    <n v="13689.93"/>
    <n v="3850.33"/>
    <n v="2377"/>
    <n v="0"/>
    <n v="0"/>
  </r>
  <r>
    <x v="21"/>
    <x v="4"/>
    <x v="0"/>
    <n v="14994.58"/>
    <n v="7198.98"/>
    <n v="2062"/>
    <n v="0"/>
    <n v="0"/>
  </r>
  <r>
    <x v="21"/>
    <x v="5"/>
    <x v="0"/>
    <n v="5618.85"/>
    <n v="2444.45"/>
    <n v="795"/>
    <n v="0"/>
    <n v="0"/>
  </r>
  <r>
    <x v="21"/>
    <x v="6"/>
    <x v="0"/>
    <n v="9292.76"/>
    <n v="3284.56"/>
    <n v="1626"/>
    <n v="0"/>
    <n v="0"/>
  </r>
  <r>
    <x v="21"/>
    <x v="7"/>
    <x v="0"/>
    <n v="1484.34"/>
    <n v="739.9400000000001"/>
    <n v="226"/>
    <n v="0"/>
    <n v="0"/>
  </r>
  <r>
    <x v="21"/>
    <x v="8"/>
    <x v="0"/>
    <n v="2496.07"/>
    <n v="1042.37"/>
    <n v="293"/>
    <n v="0"/>
    <n v="0"/>
  </r>
  <r>
    <x v="21"/>
    <x v="9"/>
    <x v="0"/>
    <n v="1673.88"/>
    <n v="730.7"/>
    <n v="1232"/>
    <n v="0"/>
    <n v="0"/>
  </r>
  <r>
    <x v="21"/>
    <x v="10"/>
    <x v="0"/>
    <n v="8915.01"/>
    <n v="4006.01"/>
    <n v="2029"/>
    <n v="0"/>
    <n v="0"/>
  </r>
  <r>
    <x v="22"/>
    <x v="0"/>
    <x v="0"/>
    <n v="4794.73"/>
    <n v="1833.73"/>
    <n v="1167"/>
    <n v="0"/>
    <n v="0"/>
  </r>
  <r>
    <x v="22"/>
    <x v="1"/>
    <x v="0"/>
    <n v="9156.6"/>
    <n v="3099.9"/>
    <n v="480"/>
    <n v="0"/>
    <n v="0"/>
  </r>
  <r>
    <x v="22"/>
    <x v="2"/>
    <x v="0"/>
    <n v="11375.6"/>
    <n v="5758.5"/>
    <n v="2760"/>
    <n v="0"/>
    <n v="0"/>
  </r>
  <r>
    <x v="22"/>
    <x v="3"/>
    <x v="0"/>
    <n v="13196.08"/>
    <n v="3722.03"/>
    <n v="2236"/>
    <n v="0"/>
    <n v="0"/>
  </r>
  <r>
    <x v="22"/>
    <x v="4"/>
    <x v="0"/>
    <n v="14252.94"/>
    <n v="6928.84"/>
    <n v="1916"/>
    <n v="0"/>
    <n v="0"/>
  </r>
  <r>
    <x v="22"/>
    <x v="5"/>
    <x v="0"/>
    <n v="5709.16"/>
    <n v="2453.56"/>
    <n v="804"/>
    <n v="0"/>
    <n v="0"/>
  </r>
  <r>
    <x v="22"/>
    <x v="6"/>
    <x v="0"/>
    <n v="8605.139999999999"/>
    <n v="3003.94"/>
    <n v="1472"/>
    <n v="0"/>
    <n v="0"/>
  </r>
  <r>
    <x v="22"/>
    <x v="7"/>
    <x v="0"/>
    <n v="1284.05"/>
    <n v="668.45"/>
    <n v="195"/>
    <n v="0"/>
    <n v="0"/>
  </r>
  <r>
    <x v="22"/>
    <x v="8"/>
    <x v="0"/>
    <n v="2157.46"/>
    <n v="856.26"/>
    <n v="254"/>
    <n v="0"/>
    <n v="0"/>
  </r>
  <r>
    <x v="22"/>
    <x v="9"/>
    <x v="0"/>
    <n v="1851"/>
    <n v="806.8"/>
    <n v="1300"/>
    <n v="0"/>
    <n v="0"/>
  </r>
  <r>
    <x v="22"/>
    <x v="10"/>
    <x v="0"/>
    <n v="8835.77"/>
    <n v="3926.37"/>
    <n v="2013"/>
    <n v="0"/>
    <n v="0"/>
  </r>
  <r>
    <x v="23"/>
    <x v="0"/>
    <x v="2"/>
    <n v="5055.61"/>
    <n v="1936.3"/>
    <n v="0"/>
    <n v="4778.19"/>
    <n v="5333.03"/>
  </r>
  <r>
    <x v="23"/>
    <x v="1"/>
    <x v="2"/>
    <n v="9066.43"/>
    <n v="3073.52"/>
    <n v="0"/>
    <n v="8568.92"/>
    <n v="9563.950000000001"/>
  </r>
  <r>
    <x v="23"/>
    <x v="2"/>
    <x v="2"/>
    <n v="14431.67"/>
    <n v="7345.72"/>
    <n v="0"/>
    <n v="13639.74"/>
    <n v="15223.6"/>
  </r>
  <r>
    <x v="23"/>
    <x v="3"/>
    <x v="2"/>
    <n v="14292.44"/>
    <n v="3973.3"/>
    <n v="0"/>
    <n v="13508.15"/>
    <n v="15076.72"/>
  </r>
  <r>
    <x v="23"/>
    <x v="4"/>
    <x v="2"/>
    <n v="15095"/>
    <n v="7185.22"/>
    <n v="0"/>
    <n v="14266.68"/>
    <n v="15923.33"/>
  </r>
  <r>
    <x v="23"/>
    <x v="5"/>
    <x v="2"/>
    <n v="6103.68"/>
    <n v="2667.31"/>
    <n v="0"/>
    <n v="5768.74"/>
    <n v="6438.61"/>
  </r>
  <r>
    <x v="23"/>
    <x v="6"/>
    <x v="2"/>
    <n v="8845.1"/>
    <n v="3069.25"/>
    <n v="0"/>
    <n v="8359.73"/>
    <n v="9330.459999999999"/>
  </r>
  <r>
    <x v="23"/>
    <x v="7"/>
    <x v="2"/>
    <n v="1644.75"/>
    <n v="822.37"/>
    <n v="0"/>
    <n v="1554.5"/>
    <n v="1735"/>
  </r>
  <r>
    <x v="23"/>
    <x v="8"/>
    <x v="2"/>
    <n v="2357.56"/>
    <n v="973.67"/>
    <n v="0"/>
    <n v="2228.19"/>
    <n v="2486.92"/>
  </r>
  <r>
    <x v="23"/>
    <x v="9"/>
    <x v="2"/>
    <n v="2125.44"/>
    <n v="911.8099999999999"/>
    <n v="0"/>
    <n v="2008.8"/>
    <n v="2242.07"/>
  </r>
  <r>
    <x v="23"/>
    <x v="10"/>
    <x v="2"/>
    <n v="8699.110000000001"/>
    <n v="3871.1"/>
    <n v="0"/>
    <n v="8221.75"/>
    <n v="9176.469999999999"/>
  </r>
  <r>
    <x v="24"/>
    <x v="0"/>
    <x v="1"/>
    <n v="5048.16"/>
    <n v="0"/>
    <n v="0"/>
    <n v="4771.15"/>
    <n v="5325.18"/>
  </r>
  <r>
    <x v="24"/>
    <x v="1"/>
    <x v="1"/>
    <n v="10979.67"/>
    <n v="0"/>
    <n v="0"/>
    <n v="10377.17"/>
    <n v="11582.17"/>
  </r>
  <r>
    <x v="24"/>
    <x v="2"/>
    <x v="1"/>
    <n v="14985.25"/>
    <n v="0"/>
    <n v="0"/>
    <n v="14162.95"/>
    <n v="15807.56"/>
  </r>
  <r>
    <x v="24"/>
    <x v="3"/>
    <x v="1"/>
    <n v="13855.91"/>
    <n v="0"/>
    <n v="0"/>
    <n v="13095.58"/>
    <n v="14616.24"/>
  </r>
  <r>
    <x v="24"/>
    <x v="4"/>
    <x v="1"/>
    <n v="15781.11"/>
    <n v="0"/>
    <n v="0"/>
    <n v="14915.13"/>
    <n v="16647.09"/>
  </r>
  <r>
    <x v="24"/>
    <x v="5"/>
    <x v="1"/>
    <n v="6279.19"/>
    <n v="0"/>
    <n v="0"/>
    <n v="5934.62"/>
    <n v="6623.75"/>
  </r>
  <r>
    <x v="24"/>
    <x v="6"/>
    <x v="1"/>
    <n v="8336.110000000001"/>
    <n v="0"/>
    <n v="0"/>
    <n v="7878.68"/>
    <n v="8793.549999999999"/>
  </r>
  <r>
    <x v="24"/>
    <x v="7"/>
    <x v="1"/>
    <n v="1445.46"/>
    <n v="0"/>
    <n v="0"/>
    <n v="1366.15"/>
    <n v="1524.78"/>
  </r>
  <r>
    <x v="24"/>
    <x v="8"/>
    <x v="1"/>
    <n v="2305.84"/>
    <n v="0"/>
    <n v="0"/>
    <n v="2179.31"/>
    <n v="2432.38"/>
  </r>
  <r>
    <x v="24"/>
    <x v="9"/>
    <x v="1"/>
    <n v="2391.21"/>
    <n v="0"/>
    <n v="0"/>
    <n v="2260"/>
    <n v="2522.43"/>
  </r>
  <r>
    <x v="24"/>
    <x v="10"/>
    <x v="1"/>
    <n v="9017.75"/>
    <n v="0"/>
    <n v="0"/>
    <n v="8522.91"/>
    <n v="9512.59"/>
  </r>
  <r>
    <x v="25"/>
    <x v="0"/>
    <x v="1"/>
    <n v="5465.11"/>
    <n v="0"/>
    <n v="0"/>
    <n v="5165.22"/>
    <n v="5765"/>
  </r>
  <r>
    <x v="25"/>
    <x v="1"/>
    <x v="1"/>
    <n v="13210.67"/>
    <n v="0"/>
    <n v="0"/>
    <n v="12485.74"/>
    <n v="13935.59"/>
  </r>
  <r>
    <x v="25"/>
    <x v="2"/>
    <x v="1"/>
    <n v="18661.31"/>
    <n v="0"/>
    <n v="0"/>
    <n v="17637.29"/>
    <n v="19685.34"/>
  </r>
  <r>
    <x v="25"/>
    <x v="3"/>
    <x v="1"/>
    <n v="15371.45"/>
    <n v="0"/>
    <n v="0"/>
    <n v="14527.95"/>
    <n v="16214.95"/>
  </r>
  <r>
    <x v="25"/>
    <x v="4"/>
    <x v="1"/>
    <n v="18730.55"/>
    <n v="0"/>
    <n v="0"/>
    <n v="17702.72"/>
    <n v="19758.37"/>
  </r>
  <r>
    <x v="25"/>
    <x v="5"/>
    <x v="1"/>
    <n v="6716.29"/>
    <n v="0"/>
    <n v="0"/>
    <n v="6347.73"/>
    <n v="7084.84"/>
  </r>
  <r>
    <x v="25"/>
    <x v="6"/>
    <x v="1"/>
    <n v="8371.459999999999"/>
    <n v="0"/>
    <n v="0"/>
    <n v="7912.09"/>
    <n v="8830.84"/>
  </r>
  <r>
    <x v="25"/>
    <x v="7"/>
    <x v="1"/>
    <n v="1669.12"/>
    <n v="0"/>
    <n v="0"/>
    <n v="1577.53"/>
    <n v="1760.72"/>
  </r>
  <r>
    <x v="25"/>
    <x v="8"/>
    <x v="1"/>
    <n v="2735.14"/>
    <n v="0"/>
    <n v="0"/>
    <n v="2585.05"/>
    <n v="2885.23"/>
  </r>
  <r>
    <x v="25"/>
    <x v="9"/>
    <x v="1"/>
    <n v="2642.64"/>
    <n v="0"/>
    <n v="0"/>
    <n v="2497.63"/>
    <n v="2787.65"/>
  </r>
  <r>
    <x v="25"/>
    <x v="10"/>
    <x v="1"/>
    <n v="9585.23"/>
    <n v="0"/>
    <n v="0"/>
    <n v="9059.25"/>
    <n v="10111.22"/>
  </r>
  <r>
    <x v="26"/>
    <x v="0"/>
    <x v="1"/>
    <n v="4456.82"/>
    <n v="0"/>
    <n v="0"/>
    <n v="4212.26"/>
    <n v="4701.39"/>
  </r>
  <r>
    <x v="26"/>
    <x v="1"/>
    <x v="1"/>
    <n v="10479.16"/>
    <n v="0"/>
    <n v="0"/>
    <n v="9904.120000000001"/>
    <n v="11054.19"/>
  </r>
  <r>
    <x v="26"/>
    <x v="2"/>
    <x v="1"/>
    <n v="16341.84"/>
    <n v="0"/>
    <n v="0"/>
    <n v="15445.09"/>
    <n v="17238.59"/>
  </r>
  <r>
    <x v="26"/>
    <x v="3"/>
    <x v="1"/>
    <n v="12523.17"/>
    <n v="0"/>
    <n v="0"/>
    <n v="11835.97"/>
    <n v="13210.37"/>
  </r>
  <r>
    <x v="26"/>
    <x v="4"/>
    <x v="1"/>
    <n v="15782.24"/>
    <n v="0"/>
    <n v="0"/>
    <n v="14916.2"/>
    <n v="16648.28"/>
  </r>
  <r>
    <x v="26"/>
    <x v="5"/>
    <x v="1"/>
    <n v="5243.71"/>
    <n v="0"/>
    <n v="0"/>
    <n v="4955.96"/>
    <n v="5531.45"/>
  </r>
  <r>
    <x v="26"/>
    <x v="6"/>
    <x v="1"/>
    <n v="7607.36"/>
    <n v="0"/>
    <n v="0"/>
    <n v="7189.91"/>
    <n v="8024.8"/>
  </r>
  <r>
    <x v="26"/>
    <x v="7"/>
    <x v="1"/>
    <n v="1417.55"/>
    <n v="0"/>
    <n v="0"/>
    <n v="1339.76"/>
    <n v="1495.34"/>
  </r>
  <r>
    <x v="26"/>
    <x v="8"/>
    <x v="1"/>
    <n v="2138.33"/>
    <n v="0"/>
    <n v="0"/>
    <n v="2020.99"/>
    <n v="2255.67"/>
  </r>
  <r>
    <x v="26"/>
    <x v="9"/>
    <x v="1"/>
    <n v="2229.8"/>
    <n v="0"/>
    <n v="0"/>
    <n v="2107.44"/>
    <n v="2352.16"/>
  </r>
  <r>
    <x v="26"/>
    <x v="10"/>
    <x v="1"/>
    <n v="7845.69"/>
    <n v="0"/>
    <n v="0"/>
    <n v="7415.17"/>
    <n v="8276.219999999999"/>
  </r>
  <r>
    <x v="27"/>
    <x v="0"/>
    <x v="1"/>
    <n v="4641.32"/>
    <n v="0"/>
    <n v="0"/>
    <n v="4386.63"/>
    <n v="4896.01"/>
  </r>
  <r>
    <x v="27"/>
    <x v="1"/>
    <x v="1"/>
    <n v="10420.66"/>
    <n v="0"/>
    <n v="0"/>
    <n v="9848.83"/>
    <n v="10992.48"/>
  </r>
  <r>
    <x v="27"/>
    <x v="2"/>
    <x v="1"/>
    <n v="16159.87"/>
    <n v="0"/>
    <n v="0"/>
    <n v="15273.11"/>
    <n v="17046.63"/>
  </r>
  <r>
    <x v="27"/>
    <x v="3"/>
    <x v="1"/>
    <n v="13756.78"/>
    <n v="0"/>
    <n v="0"/>
    <n v="13001.89"/>
    <n v="14511.68"/>
  </r>
  <r>
    <x v="27"/>
    <x v="4"/>
    <x v="1"/>
    <n v="15921.83"/>
    <n v="0"/>
    <n v="0"/>
    <n v="15048.14"/>
    <n v="16795.53"/>
  </r>
  <r>
    <x v="27"/>
    <x v="5"/>
    <x v="1"/>
    <n v="5601.61"/>
    <n v="0"/>
    <n v="0"/>
    <n v="5294.22"/>
    <n v="5908.99"/>
  </r>
  <r>
    <x v="27"/>
    <x v="6"/>
    <x v="1"/>
    <n v="7767.61"/>
    <n v="0"/>
    <n v="0"/>
    <n v="7341.36"/>
    <n v="8193.85"/>
  </r>
  <r>
    <x v="27"/>
    <x v="7"/>
    <x v="1"/>
    <n v="1570.47"/>
    <n v="0"/>
    <n v="0"/>
    <n v="1484.29"/>
    <n v="1656.65"/>
  </r>
  <r>
    <x v="27"/>
    <x v="8"/>
    <x v="1"/>
    <n v="2062.56"/>
    <n v="0"/>
    <n v="0"/>
    <n v="1949.38"/>
    <n v="2175.75"/>
  </r>
  <r>
    <x v="27"/>
    <x v="9"/>
    <x v="1"/>
    <n v="2250.86"/>
    <n v="0"/>
    <n v="0"/>
    <n v="2127.35"/>
    <n v="2374.38"/>
  </r>
  <r>
    <x v="27"/>
    <x v="10"/>
    <x v="1"/>
    <n v="8312.66"/>
    <n v="0"/>
    <n v="0"/>
    <n v="7856.51"/>
    <n v="8768.809999999999"/>
  </r>
  <r>
    <x v="28"/>
    <x v="0"/>
    <x v="1"/>
    <n v="5254.17"/>
    <n v="0"/>
    <n v="0"/>
    <n v="4965.85"/>
    <n v="5542.49"/>
  </r>
  <r>
    <x v="28"/>
    <x v="1"/>
    <x v="1"/>
    <n v="12189.35"/>
    <n v="0"/>
    <n v="0"/>
    <n v="11520.46"/>
    <n v="12858.23"/>
  </r>
  <r>
    <x v="28"/>
    <x v="2"/>
    <x v="1"/>
    <n v="16523.42"/>
    <n v="0"/>
    <n v="0"/>
    <n v="15616.71"/>
    <n v="17430.13"/>
  </r>
  <r>
    <x v="28"/>
    <x v="3"/>
    <x v="1"/>
    <n v="14225.22"/>
    <n v="0"/>
    <n v="0"/>
    <n v="13444.62"/>
    <n v="15005.82"/>
  </r>
  <r>
    <x v="28"/>
    <x v="4"/>
    <x v="1"/>
    <n v="16621.24"/>
    <n v="0"/>
    <n v="0"/>
    <n v="15709.17"/>
    <n v="17533.32"/>
  </r>
  <r>
    <x v="28"/>
    <x v="5"/>
    <x v="1"/>
    <n v="6192.3"/>
    <n v="0"/>
    <n v="0"/>
    <n v="5852.5"/>
    <n v="6532.1"/>
  </r>
  <r>
    <x v="28"/>
    <x v="6"/>
    <x v="1"/>
    <n v="9046.09"/>
    <n v="0"/>
    <n v="0"/>
    <n v="8549.690000000001"/>
    <n v="9542.49"/>
  </r>
  <r>
    <x v="28"/>
    <x v="7"/>
    <x v="1"/>
    <n v="1744.75"/>
    <n v="0"/>
    <n v="0"/>
    <n v="1649.01"/>
    <n v="1840.49"/>
  </r>
  <r>
    <x v="28"/>
    <x v="8"/>
    <x v="1"/>
    <n v="2426.92"/>
    <n v="0"/>
    <n v="0"/>
    <n v="2293.74"/>
    <n v="2560.09"/>
  </r>
  <r>
    <x v="28"/>
    <x v="9"/>
    <x v="1"/>
    <n v="2576.48"/>
    <n v="0"/>
    <n v="0"/>
    <n v="2435.1"/>
    <n v="2717.86"/>
  </r>
  <r>
    <x v="28"/>
    <x v="10"/>
    <x v="1"/>
    <n v="9458.66"/>
    <n v="0"/>
    <n v="0"/>
    <n v="8939.629999999999"/>
    <n v="9977.700000000001"/>
  </r>
  <r>
    <x v="29"/>
    <x v="0"/>
    <x v="1"/>
    <n v="5247.42"/>
    <n v="0"/>
    <n v="0"/>
    <n v="4959.47"/>
    <n v="5535.36"/>
  </r>
  <r>
    <x v="29"/>
    <x v="1"/>
    <x v="1"/>
    <n v="9358.77"/>
    <n v="0"/>
    <n v="0"/>
    <n v="8845.219999999999"/>
    <n v="9872.33"/>
  </r>
  <r>
    <x v="29"/>
    <x v="2"/>
    <x v="1"/>
    <n v="14218.63"/>
    <n v="0"/>
    <n v="0"/>
    <n v="13438.39"/>
    <n v="14998.86"/>
  </r>
  <r>
    <x v="29"/>
    <x v="3"/>
    <x v="1"/>
    <n v="13802.2"/>
    <n v="0"/>
    <n v="0"/>
    <n v="13044.82"/>
    <n v="14559.59"/>
  </r>
  <r>
    <x v="29"/>
    <x v="4"/>
    <x v="1"/>
    <n v="15333.81"/>
    <n v="0"/>
    <n v="0"/>
    <n v="14492.38"/>
    <n v="16175.24"/>
  </r>
  <r>
    <x v="29"/>
    <x v="5"/>
    <x v="1"/>
    <n v="5555.63"/>
    <n v="0"/>
    <n v="0"/>
    <n v="5250.77"/>
    <n v="5860.49"/>
  </r>
  <r>
    <x v="29"/>
    <x v="6"/>
    <x v="1"/>
    <n v="8348.84"/>
    <n v="0"/>
    <n v="0"/>
    <n v="7890.71"/>
    <n v="8806.98"/>
  </r>
  <r>
    <x v="29"/>
    <x v="7"/>
    <x v="1"/>
    <n v="1412.75"/>
    <n v="0"/>
    <n v="0"/>
    <n v="1335.23"/>
    <n v="1490.28"/>
  </r>
  <r>
    <x v="29"/>
    <x v="8"/>
    <x v="1"/>
    <n v="2183.77"/>
    <n v="0"/>
    <n v="0"/>
    <n v="2063.94"/>
    <n v="2303.6"/>
  </r>
  <r>
    <x v="29"/>
    <x v="9"/>
    <x v="1"/>
    <n v="2158.94"/>
    <n v="0"/>
    <n v="0"/>
    <n v="2040.47"/>
    <n v="2277.41"/>
  </r>
  <r>
    <x v="29"/>
    <x v="10"/>
    <x v="1"/>
    <n v="8770.76"/>
    <n v="0"/>
    <n v="0"/>
    <n v="8289.469999999999"/>
    <n v="9252.049999999999"/>
  </r>
  <r>
    <x v="30"/>
    <x v="0"/>
    <x v="1"/>
    <n v="5637.91"/>
    <n v="0"/>
    <n v="0"/>
    <n v="5328.53"/>
    <n v="5947.28"/>
  </r>
  <r>
    <x v="30"/>
    <x v="1"/>
    <x v="1"/>
    <n v="9562.98"/>
    <n v="0"/>
    <n v="0"/>
    <n v="9038.219999999999"/>
    <n v="10087.74"/>
  </r>
  <r>
    <x v="30"/>
    <x v="2"/>
    <x v="1"/>
    <n v="12723.87"/>
    <n v="0"/>
    <n v="0"/>
    <n v="12025.66"/>
    <n v="13422.09"/>
  </r>
  <r>
    <x v="30"/>
    <x v="3"/>
    <x v="1"/>
    <n v="13806.55"/>
    <n v="0"/>
    <n v="0"/>
    <n v="13048.92"/>
    <n v="14564.17"/>
  </r>
  <r>
    <x v="30"/>
    <x v="4"/>
    <x v="1"/>
    <n v="15026.51"/>
    <n v="0"/>
    <n v="0"/>
    <n v="14201.94"/>
    <n v="15851.08"/>
  </r>
  <r>
    <x v="30"/>
    <x v="5"/>
    <x v="1"/>
    <n v="6338.39"/>
    <n v="0"/>
    <n v="0"/>
    <n v="5990.58"/>
    <n v="6686.21"/>
  </r>
  <r>
    <x v="30"/>
    <x v="6"/>
    <x v="1"/>
    <n v="9752.940000000001"/>
    <n v="0"/>
    <n v="0"/>
    <n v="9217.75"/>
    <n v="10288.12"/>
  </r>
  <r>
    <x v="30"/>
    <x v="7"/>
    <x v="1"/>
    <n v="1283.94"/>
    <n v="0"/>
    <n v="0"/>
    <n v="1213.49"/>
    <n v="1354.4"/>
  </r>
  <r>
    <x v="30"/>
    <x v="8"/>
    <x v="1"/>
    <n v="2268.53"/>
    <n v="0"/>
    <n v="0"/>
    <n v="2144.05"/>
    <n v="2393.02"/>
  </r>
  <r>
    <x v="30"/>
    <x v="9"/>
    <x v="1"/>
    <n v="1968.4"/>
    <n v="0"/>
    <n v="0"/>
    <n v="1860.39"/>
    <n v="2076.42"/>
  </r>
  <r>
    <x v="30"/>
    <x v="10"/>
    <x v="1"/>
    <n v="9431.690000000001"/>
    <n v="0"/>
    <n v="0"/>
    <n v="8914.139999999999"/>
    <n v="9949.25"/>
  </r>
  <r>
    <x v="31"/>
    <x v="0"/>
    <x v="1"/>
    <n v="5312.66"/>
    <n v="0"/>
    <n v="0"/>
    <n v="5021.13"/>
    <n v="5604.19"/>
  </r>
  <r>
    <x v="31"/>
    <x v="1"/>
    <x v="1"/>
    <n v="8471.08"/>
    <n v="0"/>
    <n v="0"/>
    <n v="8006.24"/>
    <n v="8935.93"/>
  </r>
  <r>
    <x v="31"/>
    <x v="2"/>
    <x v="1"/>
    <n v="11016.9"/>
    <n v="0"/>
    <n v="0"/>
    <n v="10412.36"/>
    <n v="11621.44"/>
  </r>
  <r>
    <x v="31"/>
    <x v="3"/>
    <x v="1"/>
    <n v="13949.9"/>
    <n v="0"/>
    <n v="0"/>
    <n v="13184.41"/>
    <n v="14715.39"/>
  </r>
  <r>
    <x v="31"/>
    <x v="4"/>
    <x v="1"/>
    <n v="14892.66"/>
    <n v="0"/>
    <n v="0"/>
    <n v="14075.43"/>
    <n v="15709.88"/>
  </r>
  <r>
    <x v="31"/>
    <x v="5"/>
    <x v="1"/>
    <n v="6102.25"/>
    <n v="0"/>
    <n v="0"/>
    <n v="5767.39"/>
    <n v="6437.1"/>
  </r>
  <r>
    <x v="31"/>
    <x v="6"/>
    <x v="1"/>
    <n v="9995.93"/>
    <n v="0"/>
    <n v="0"/>
    <n v="9447.41"/>
    <n v="10544.45"/>
  </r>
  <r>
    <x v="31"/>
    <x v="7"/>
    <x v="1"/>
    <n v="1492.54"/>
    <n v="0"/>
    <n v="0"/>
    <n v="1410.64"/>
    <n v="1574.44"/>
  </r>
  <r>
    <x v="31"/>
    <x v="8"/>
    <x v="1"/>
    <n v="2362.73"/>
    <n v="0"/>
    <n v="0"/>
    <n v="2233.08"/>
    <n v="2492.38"/>
  </r>
  <r>
    <x v="31"/>
    <x v="9"/>
    <x v="1"/>
    <n v="1918.14"/>
    <n v="0"/>
    <n v="0"/>
    <n v="1812.88"/>
    <n v="2023.4"/>
  </r>
  <r>
    <x v="31"/>
    <x v="10"/>
    <x v="1"/>
    <n v="8958.67"/>
    <n v="0"/>
    <n v="0"/>
    <n v="8467.07"/>
    <n v="9450.27"/>
  </r>
  <r>
    <x v="32"/>
    <x v="0"/>
    <x v="1"/>
    <n v="5763"/>
    <n v="0"/>
    <n v="0"/>
    <n v="5446.76"/>
    <n v="6079.24"/>
  </r>
  <r>
    <x v="32"/>
    <x v="1"/>
    <x v="1"/>
    <n v="8555.83"/>
    <n v="0"/>
    <n v="0"/>
    <n v="8086.33"/>
    <n v="9025.32"/>
  </r>
  <r>
    <x v="32"/>
    <x v="2"/>
    <x v="1"/>
    <n v="10809.21"/>
    <n v="0"/>
    <n v="0"/>
    <n v="10216.06"/>
    <n v="11402.36"/>
  </r>
  <r>
    <x v="32"/>
    <x v="3"/>
    <x v="1"/>
    <n v="14606.79"/>
    <n v="0"/>
    <n v="0"/>
    <n v="13805.26"/>
    <n v="15408.33"/>
  </r>
  <r>
    <x v="32"/>
    <x v="4"/>
    <x v="1"/>
    <n v="15416.38"/>
    <n v="0"/>
    <n v="0"/>
    <n v="14570.42"/>
    <n v="16262.35"/>
  </r>
  <r>
    <x v="32"/>
    <x v="5"/>
    <x v="1"/>
    <n v="5962.94"/>
    <n v="0"/>
    <n v="0"/>
    <n v="5635.72"/>
    <n v="6290.15"/>
  </r>
  <r>
    <x v="32"/>
    <x v="6"/>
    <x v="1"/>
    <n v="10344.51"/>
    <n v="0"/>
    <n v="0"/>
    <n v="9776.860000000001"/>
    <n v="10912.15"/>
  </r>
  <r>
    <x v="32"/>
    <x v="7"/>
    <x v="1"/>
    <n v="1403.93"/>
    <n v="0"/>
    <n v="0"/>
    <n v="1326.89"/>
    <n v="1480.97"/>
  </r>
  <r>
    <x v="32"/>
    <x v="8"/>
    <x v="1"/>
    <n v="2637.75"/>
    <n v="0"/>
    <n v="0"/>
    <n v="2493.01"/>
    <n v="2782.5"/>
  </r>
  <r>
    <x v="32"/>
    <x v="9"/>
    <x v="1"/>
    <n v="1902.27"/>
    <n v="0"/>
    <n v="0"/>
    <n v="1797.89"/>
    <n v="2006.66"/>
  </r>
  <r>
    <x v="32"/>
    <x v="10"/>
    <x v="1"/>
    <n v="9994.809999999999"/>
    <n v="0"/>
    <n v="0"/>
    <n v="9446.35"/>
    <n v="10543.27"/>
  </r>
  <r>
    <x v="33"/>
    <x v="0"/>
    <x v="1"/>
    <n v="5387.79"/>
    <n v="0"/>
    <n v="0"/>
    <n v="5092.14"/>
    <n v="5683.44"/>
  </r>
  <r>
    <x v="33"/>
    <x v="1"/>
    <x v="1"/>
    <n v="8379.610000000001"/>
    <n v="0"/>
    <n v="0"/>
    <n v="7919.78"/>
    <n v="8839.43"/>
  </r>
  <r>
    <x v="33"/>
    <x v="2"/>
    <x v="1"/>
    <n v="11705.88"/>
    <n v="0"/>
    <n v="0"/>
    <n v="11063.52"/>
    <n v="12348.23"/>
  </r>
  <r>
    <x v="33"/>
    <x v="3"/>
    <x v="1"/>
    <n v="13698.81"/>
    <n v="0"/>
    <n v="0"/>
    <n v="12947.09"/>
    <n v="14450.52"/>
  </r>
  <r>
    <x v="33"/>
    <x v="4"/>
    <x v="1"/>
    <n v="15294.15"/>
    <n v="0"/>
    <n v="0"/>
    <n v="14454.9"/>
    <n v="16133.41"/>
  </r>
  <r>
    <x v="33"/>
    <x v="5"/>
    <x v="1"/>
    <n v="5806.53"/>
    <n v="0"/>
    <n v="0"/>
    <n v="5487.9"/>
    <n v="6125.16"/>
  </r>
  <r>
    <x v="33"/>
    <x v="6"/>
    <x v="1"/>
    <n v="9990.959999999999"/>
    <n v="0"/>
    <n v="0"/>
    <n v="9442.709999999999"/>
    <n v="10539.21"/>
  </r>
  <r>
    <x v="33"/>
    <x v="7"/>
    <x v="1"/>
    <n v="1480.77"/>
    <n v="0"/>
    <n v="0"/>
    <n v="1399.51"/>
    <n v="1562.02"/>
  </r>
  <r>
    <x v="33"/>
    <x v="8"/>
    <x v="1"/>
    <n v="2584.02"/>
    <n v="0"/>
    <n v="0"/>
    <n v="2442.23"/>
    <n v="2725.82"/>
  </r>
  <r>
    <x v="33"/>
    <x v="9"/>
    <x v="1"/>
    <n v="1847.97"/>
    <n v="0"/>
    <n v="0"/>
    <n v="1746.56"/>
    <n v="1949.37"/>
  </r>
  <r>
    <x v="33"/>
    <x v="10"/>
    <x v="1"/>
    <n v="9491.76"/>
    <n v="0"/>
    <n v="0"/>
    <n v="8970.91"/>
    <n v="10012.62"/>
  </r>
  <r>
    <x v="34"/>
    <x v="0"/>
    <x v="1"/>
    <n v="5213.71"/>
    <n v="0"/>
    <n v="0"/>
    <n v="4927.61"/>
    <n v="5499.81"/>
  </r>
  <r>
    <x v="34"/>
    <x v="1"/>
    <x v="1"/>
    <n v="8917.219999999999"/>
    <n v="0"/>
    <n v="0"/>
    <n v="8427.889999999999"/>
    <n v="9406.540000000001"/>
  </r>
  <r>
    <x v="34"/>
    <x v="2"/>
    <x v="1"/>
    <n v="12539.62"/>
    <n v="0"/>
    <n v="0"/>
    <n v="11851.52"/>
    <n v="13227.72"/>
  </r>
  <r>
    <x v="34"/>
    <x v="3"/>
    <x v="1"/>
    <n v="13204.64"/>
    <n v="0"/>
    <n v="0"/>
    <n v="12480.04"/>
    <n v="13929.23"/>
  </r>
  <r>
    <x v="34"/>
    <x v="4"/>
    <x v="1"/>
    <n v="14537.69"/>
    <n v="0"/>
    <n v="0"/>
    <n v="13739.95"/>
    <n v="15335.44"/>
  </r>
  <r>
    <x v="34"/>
    <x v="5"/>
    <x v="1"/>
    <n v="5899.86"/>
    <n v="0"/>
    <n v="0"/>
    <n v="5576.11"/>
    <n v="6223.61"/>
  </r>
  <r>
    <x v="34"/>
    <x v="6"/>
    <x v="1"/>
    <n v="9251.68"/>
    <n v="0"/>
    <n v="0"/>
    <n v="8744"/>
    <n v="9759.360000000001"/>
  </r>
  <r>
    <x v="34"/>
    <x v="7"/>
    <x v="1"/>
    <n v="1280.96"/>
    <n v="0"/>
    <n v="0"/>
    <n v="1210.67"/>
    <n v="1351.25"/>
  </r>
  <r>
    <x v="34"/>
    <x v="8"/>
    <x v="1"/>
    <n v="2233.48"/>
    <n v="0"/>
    <n v="0"/>
    <n v="2110.92"/>
    <n v="2356.04"/>
  </r>
  <r>
    <x v="34"/>
    <x v="9"/>
    <x v="1"/>
    <n v="2043.51"/>
    <n v="0"/>
    <n v="0"/>
    <n v="1931.37"/>
    <n v="2155.65"/>
  </r>
  <r>
    <x v="34"/>
    <x v="10"/>
    <x v="1"/>
    <n v="9407.4"/>
    <n v="0"/>
    <n v="0"/>
    <n v="8891.17"/>
    <n v="9923.620000000001"/>
  </r>
  <r>
    <x v="35"/>
    <x v="0"/>
    <x v="1"/>
    <n v="5497.38"/>
    <n v="0"/>
    <n v="0"/>
    <n v="5195.72"/>
    <n v="5799.05"/>
  </r>
  <r>
    <x v="35"/>
    <x v="1"/>
    <x v="1"/>
    <n v="8829.41"/>
    <n v="0"/>
    <n v="0"/>
    <n v="8344.9"/>
    <n v="9313.91"/>
  </r>
  <r>
    <x v="35"/>
    <x v="2"/>
    <x v="1"/>
    <n v="15908.41"/>
    <n v="0"/>
    <n v="0"/>
    <n v="15035.44"/>
    <n v="16781.37"/>
  </r>
  <r>
    <x v="35"/>
    <x v="3"/>
    <x v="1"/>
    <n v="14301.7"/>
    <n v="0"/>
    <n v="0"/>
    <n v="13516.91"/>
    <n v="15086.5"/>
  </r>
  <r>
    <x v="35"/>
    <x v="4"/>
    <x v="1"/>
    <n v="15396.58"/>
    <n v="0"/>
    <n v="0"/>
    <n v="14551.7"/>
    <n v="16241.46"/>
  </r>
  <r>
    <x v="35"/>
    <x v="5"/>
    <x v="1"/>
    <n v="6307.55"/>
    <n v="0"/>
    <n v="0"/>
    <n v="5961.43"/>
    <n v="6653.67"/>
  </r>
  <r>
    <x v="35"/>
    <x v="6"/>
    <x v="1"/>
    <n v="9509.66"/>
    <n v="0"/>
    <n v="0"/>
    <n v="8987.83"/>
    <n v="10031.5"/>
  </r>
  <r>
    <x v="35"/>
    <x v="7"/>
    <x v="1"/>
    <n v="1640.79"/>
    <n v="0"/>
    <n v="0"/>
    <n v="1550.76"/>
    <n v="1730.83"/>
  </r>
  <r>
    <x v="35"/>
    <x v="8"/>
    <x v="1"/>
    <n v="2440.63"/>
    <n v="0"/>
    <n v="0"/>
    <n v="2306.7"/>
    <n v="2574.56"/>
  </r>
  <r>
    <x v="35"/>
    <x v="9"/>
    <x v="1"/>
    <n v="2346.49"/>
    <n v="0"/>
    <n v="0"/>
    <n v="2217.73"/>
    <n v="2475.25"/>
  </r>
  <r>
    <x v="35"/>
    <x v="10"/>
    <x v="1"/>
    <n v="9261.9"/>
    <n v="0"/>
    <n v="0"/>
    <n v="8753.66"/>
    <n v="9770.139999999999"/>
  </r>
</pivotCacheRecords>
</file>

<file path=xl/pivotCache/pivotCacheRecords2.xml><?xml version="1.0" encoding="utf-8"?>
<pivotCacheRecords xmlns="http://schemas.openxmlformats.org/spreadsheetml/2006/main" count="396">
  <r>
    <x v="0"/>
    <x v="0"/>
    <x v="0"/>
    <n v="4628.96"/>
    <n v="1801.46"/>
    <n v="1114"/>
    <n v="0"/>
    <n v="0"/>
  </r>
  <r>
    <x v="0"/>
    <x v="1"/>
    <x v="0"/>
    <n v="10652.12"/>
    <n v="3605.02"/>
    <n v="548"/>
    <n v="0"/>
    <n v="0"/>
  </r>
  <r>
    <x v="0"/>
    <x v="2"/>
    <x v="0"/>
    <n v="13088.05"/>
    <n v="6730.45"/>
    <n v="3185"/>
    <n v="0"/>
    <n v="0"/>
  </r>
  <r>
    <x v="0"/>
    <x v="3"/>
    <x v="0"/>
    <n v="13197.44"/>
    <n v="3696.84"/>
    <n v="2240"/>
    <n v="0"/>
    <n v="0"/>
  </r>
  <r>
    <x v="0"/>
    <x v="4"/>
    <x v="0"/>
    <n v="15020.93"/>
    <n v="7072.43"/>
    <n v="1907"/>
    <n v="0"/>
    <n v="0"/>
  </r>
  <r>
    <x v="0"/>
    <x v="5"/>
    <x v="0"/>
    <n v="5635.53"/>
    <n v="2461.73"/>
    <n v="827"/>
    <n v="0"/>
    <n v="0"/>
  </r>
  <r>
    <x v="0"/>
    <x v="6"/>
    <x v="0"/>
    <n v="7186.21"/>
    <n v="2493.91"/>
    <n v="1179"/>
    <n v="0"/>
    <n v="0"/>
  </r>
  <r>
    <x v="0"/>
    <x v="7"/>
    <x v="0"/>
    <n v="1513.64"/>
    <n v="737.04"/>
    <n v="176"/>
    <n v="0"/>
    <n v="0"/>
  </r>
  <r>
    <x v="0"/>
    <x v="8"/>
    <x v="0"/>
    <n v="2276.19"/>
    <n v="928.29"/>
    <n v="281"/>
    <n v="0"/>
    <n v="0"/>
  </r>
  <r>
    <x v="0"/>
    <x v="9"/>
    <x v="0"/>
    <n v="2136.5"/>
    <n v="929.02"/>
    <n v="1370"/>
    <n v="0"/>
    <n v="0"/>
  </r>
  <r>
    <x v="0"/>
    <x v="10"/>
    <x v="0"/>
    <n v="7992.89"/>
    <n v="3567.99"/>
    <n v="1831"/>
    <n v="0"/>
    <n v="0"/>
  </r>
  <r>
    <x v="1"/>
    <x v="0"/>
    <x v="0"/>
    <n v="5149.7"/>
    <n v="1952"/>
    <n v="1262"/>
    <n v="0"/>
    <n v="0"/>
  </r>
  <r>
    <x v="1"/>
    <x v="1"/>
    <x v="0"/>
    <n v="12593.03"/>
    <n v="4294.63"/>
    <n v="657"/>
    <n v="0"/>
    <n v="0"/>
  </r>
  <r>
    <x v="1"/>
    <x v="2"/>
    <x v="0"/>
    <n v="16376.87"/>
    <n v="8314.32"/>
    <n v="3983"/>
    <n v="0"/>
    <n v="0"/>
  </r>
  <r>
    <x v="1"/>
    <x v="3"/>
    <x v="0"/>
    <n v="14409.25"/>
    <n v="4107.15"/>
    <n v="2445"/>
    <n v="0"/>
    <n v="0"/>
  </r>
  <r>
    <x v="1"/>
    <x v="4"/>
    <x v="0"/>
    <n v="16822.06"/>
    <n v="7748.16"/>
    <n v="2134"/>
    <n v="0"/>
    <n v="0"/>
  </r>
  <r>
    <x v="1"/>
    <x v="5"/>
    <x v="0"/>
    <n v="6151.76"/>
    <n v="2673.76"/>
    <n v="984"/>
    <n v="0"/>
    <n v="0"/>
  </r>
  <r>
    <x v="1"/>
    <x v="6"/>
    <x v="0"/>
    <n v="8132.87"/>
    <n v="2791.77"/>
    <n v="1293"/>
    <n v="0"/>
    <n v="0"/>
  </r>
  <r>
    <x v="1"/>
    <x v="7"/>
    <x v="0"/>
    <n v="1918.87"/>
    <n v="911.47"/>
    <n v="213"/>
    <n v="0"/>
    <n v="0"/>
  </r>
  <r>
    <x v="1"/>
    <x v="8"/>
    <x v="0"/>
    <n v="2285.24"/>
    <n v="931.64"/>
    <n v="276"/>
    <n v="0"/>
    <n v="0"/>
  </r>
  <r>
    <x v="1"/>
    <x v="9"/>
    <x v="0"/>
    <n v="2288.1"/>
    <n v="980.72"/>
    <n v="1460"/>
    <n v="0"/>
    <n v="0"/>
  </r>
  <r>
    <x v="1"/>
    <x v="10"/>
    <x v="0"/>
    <n v="8785.48"/>
    <n v="3892.48"/>
    <n v="2010"/>
    <n v="0"/>
    <n v="0"/>
  </r>
  <r>
    <x v="2"/>
    <x v="0"/>
    <x v="0"/>
    <n v="4114.07"/>
    <n v="1589.47"/>
    <n v="993"/>
    <n v="0"/>
    <n v="0"/>
  </r>
  <r>
    <x v="2"/>
    <x v="1"/>
    <x v="0"/>
    <n v="9969.799999999999"/>
    <n v="3366.9"/>
    <n v="520"/>
    <n v="0"/>
    <n v="0"/>
  </r>
  <r>
    <x v="2"/>
    <x v="2"/>
    <x v="0"/>
    <n v="13971.65"/>
    <n v="7169"/>
    <n v="3451"/>
    <n v="0"/>
    <n v="0"/>
  </r>
  <r>
    <x v="2"/>
    <x v="3"/>
    <x v="0"/>
    <n v="12938.54"/>
    <n v="3582.69"/>
    <n v="2244"/>
    <n v="0"/>
    <n v="0"/>
  </r>
  <r>
    <x v="2"/>
    <x v="4"/>
    <x v="0"/>
    <n v="14701.07"/>
    <n v="6762.17"/>
    <n v="1863"/>
    <n v="0"/>
    <n v="0"/>
  </r>
  <r>
    <x v="2"/>
    <x v="5"/>
    <x v="0"/>
    <n v="5339.68"/>
    <n v="2380.48"/>
    <n v="832"/>
    <n v="0"/>
    <n v="0"/>
  </r>
  <r>
    <x v="2"/>
    <x v="6"/>
    <x v="0"/>
    <n v="6623.55"/>
    <n v="2198.85"/>
    <n v="1065"/>
    <n v="0"/>
    <n v="0"/>
  </r>
  <r>
    <x v="2"/>
    <x v="7"/>
    <x v="0"/>
    <n v="1307.57"/>
    <n v="636.5700000000001"/>
    <n v="143"/>
    <n v="0"/>
    <n v="0"/>
  </r>
  <r>
    <x v="2"/>
    <x v="8"/>
    <x v="0"/>
    <n v="2111.16"/>
    <n v="819.76"/>
    <n v="264"/>
    <n v="0"/>
    <n v="0"/>
  </r>
  <r>
    <x v="2"/>
    <x v="9"/>
    <x v="0"/>
    <n v="2175.88"/>
    <n v="939.26"/>
    <n v="1342"/>
    <n v="0"/>
    <n v="0"/>
  </r>
  <r>
    <x v="2"/>
    <x v="10"/>
    <x v="0"/>
    <n v="7430.67"/>
    <n v="3337.97"/>
    <n v="1683"/>
    <n v="0"/>
    <n v="0"/>
  </r>
  <r>
    <x v="3"/>
    <x v="0"/>
    <x v="0"/>
    <n v="4141.36"/>
    <n v="1542.96"/>
    <n v="1034"/>
    <n v="0"/>
    <n v="0"/>
  </r>
  <r>
    <x v="3"/>
    <x v="1"/>
    <x v="0"/>
    <n v="10315.6"/>
    <n v="3537.1"/>
    <n v="540"/>
    <n v="0"/>
    <n v="0"/>
  </r>
  <r>
    <x v="3"/>
    <x v="2"/>
    <x v="0"/>
    <n v="13738.86"/>
    <n v="6995.66"/>
    <n v="3354"/>
    <n v="0"/>
    <n v="0"/>
  </r>
  <r>
    <x v="3"/>
    <x v="3"/>
    <x v="0"/>
    <n v="12393.48"/>
    <n v="3500.08"/>
    <n v="2152"/>
    <n v="0"/>
    <n v="0"/>
  </r>
  <r>
    <x v="3"/>
    <x v="4"/>
    <x v="0"/>
    <n v="14256.94"/>
    <n v="6683.64"/>
    <n v="1806"/>
    <n v="0"/>
    <n v="0"/>
  </r>
  <r>
    <x v="3"/>
    <x v="5"/>
    <x v="0"/>
    <n v="5209.81"/>
    <n v="2323.51"/>
    <n v="819"/>
    <n v="0"/>
    <n v="0"/>
  </r>
  <r>
    <x v="3"/>
    <x v="6"/>
    <x v="0"/>
    <n v="6934.83"/>
    <n v="2395.83"/>
    <n v="1127"/>
    <n v="0"/>
    <n v="0"/>
  </r>
  <r>
    <x v="3"/>
    <x v="7"/>
    <x v="0"/>
    <n v="1328.9"/>
    <n v="621.3"/>
    <n v="170"/>
    <n v="0"/>
    <n v="0"/>
  </r>
  <r>
    <x v="3"/>
    <x v="8"/>
    <x v="0"/>
    <n v="1911.78"/>
    <n v="782.58"/>
    <n v="222"/>
    <n v="0"/>
    <n v="0"/>
  </r>
  <r>
    <x v="3"/>
    <x v="9"/>
    <x v="0"/>
    <n v="1782.75"/>
    <n v="765.61"/>
    <n v="1231"/>
    <n v="0"/>
    <n v="0"/>
  </r>
  <r>
    <x v="3"/>
    <x v="10"/>
    <x v="0"/>
    <n v="7366.67"/>
    <n v="3301.97"/>
    <n v="1673"/>
    <n v="0"/>
    <n v="0"/>
  </r>
  <r>
    <x v="4"/>
    <x v="0"/>
    <x v="0"/>
    <n v="4770.18"/>
    <n v="1840.28"/>
    <n v="1146"/>
    <n v="0"/>
    <n v="0"/>
  </r>
  <r>
    <x v="4"/>
    <x v="1"/>
    <x v="0"/>
    <n v="11230.18"/>
    <n v="3869.18"/>
    <n v="582"/>
    <n v="0"/>
    <n v="0"/>
  </r>
  <r>
    <x v="4"/>
    <x v="2"/>
    <x v="0"/>
    <n v="14157.03"/>
    <n v="7250.33"/>
    <n v="3487"/>
    <n v="0"/>
    <n v="0"/>
  </r>
  <r>
    <x v="4"/>
    <x v="3"/>
    <x v="0"/>
    <n v="13916.61"/>
    <n v="3959.11"/>
    <n v="2379"/>
    <n v="0"/>
    <n v="0"/>
  </r>
  <r>
    <x v="4"/>
    <x v="4"/>
    <x v="0"/>
    <n v="15513.41"/>
    <n v="7386.41"/>
    <n v="1959"/>
    <n v="0"/>
    <n v="0"/>
  </r>
  <r>
    <x v="4"/>
    <x v="5"/>
    <x v="0"/>
    <n v="6282.37"/>
    <n v="2724.37"/>
    <n v="963"/>
    <n v="0"/>
    <n v="0"/>
  </r>
  <r>
    <x v="4"/>
    <x v="6"/>
    <x v="0"/>
    <n v="7481.14"/>
    <n v="2600.24"/>
    <n v="1266"/>
    <n v="0"/>
    <n v="0"/>
  </r>
  <r>
    <x v="4"/>
    <x v="7"/>
    <x v="0"/>
    <n v="1112.59"/>
    <n v="556.99"/>
    <n v="141"/>
    <n v="0"/>
    <n v="0"/>
  </r>
  <r>
    <x v="4"/>
    <x v="8"/>
    <x v="0"/>
    <n v="2491.08"/>
    <n v="1079.48"/>
    <n v="292"/>
    <n v="0"/>
    <n v="0"/>
  </r>
  <r>
    <x v="4"/>
    <x v="9"/>
    <x v="0"/>
    <n v="2078.01"/>
    <n v="904.33"/>
    <n v="1369"/>
    <n v="0"/>
    <n v="0"/>
  </r>
  <r>
    <x v="4"/>
    <x v="10"/>
    <x v="0"/>
    <n v="7950.45"/>
    <n v="3573.85"/>
    <n v="1815"/>
    <n v="0"/>
    <n v="0"/>
  </r>
  <r>
    <x v="5"/>
    <x v="0"/>
    <x v="0"/>
    <n v="4460.66"/>
    <n v="1729.66"/>
    <n v="1084"/>
    <n v="0"/>
    <n v="0"/>
  </r>
  <r>
    <x v="5"/>
    <x v="1"/>
    <x v="0"/>
    <n v="10121.02"/>
    <n v="3322.42"/>
    <n v="538"/>
    <n v="0"/>
    <n v="0"/>
  </r>
  <r>
    <x v="5"/>
    <x v="2"/>
    <x v="0"/>
    <n v="11682.51"/>
    <n v="5980.31"/>
    <n v="2831"/>
    <n v="0"/>
    <n v="0"/>
  </r>
  <r>
    <x v="5"/>
    <x v="3"/>
    <x v="0"/>
    <n v="13514.58"/>
    <n v="3699.93"/>
    <n v="2358"/>
    <n v="0"/>
    <n v="0"/>
  </r>
  <r>
    <x v="5"/>
    <x v="4"/>
    <x v="0"/>
    <n v="14315.41"/>
    <n v="6843.61"/>
    <n v="1869"/>
    <n v="0"/>
    <n v="0"/>
  </r>
  <r>
    <x v="5"/>
    <x v="5"/>
    <x v="0"/>
    <n v="5419.17"/>
    <n v="2388.57"/>
    <n v="823"/>
    <n v="0"/>
    <n v="0"/>
  </r>
  <r>
    <x v="5"/>
    <x v="6"/>
    <x v="0"/>
    <n v="7559.75"/>
    <n v="2565.05"/>
    <n v="1271"/>
    <n v="0"/>
    <n v="0"/>
  </r>
  <r>
    <x v="5"/>
    <x v="7"/>
    <x v="0"/>
    <n v="1369.14"/>
    <n v="695.34"/>
    <n v="186"/>
    <n v="0"/>
    <n v="0"/>
  </r>
  <r>
    <x v="5"/>
    <x v="8"/>
    <x v="0"/>
    <n v="2308.56"/>
    <n v="877.96"/>
    <n v="284"/>
    <n v="0"/>
    <n v="0"/>
  </r>
  <r>
    <x v="5"/>
    <x v="9"/>
    <x v="0"/>
    <n v="1836.46"/>
    <n v="767.8"/>
    <n v="1338"/>
    <n v="0"/>
    <n v="0"/>
  </r>
  <r>
    <x v="5"/>
    <x v="10"/>
    <x v="0"/>
    <n v="7508.5"/>
    <n v="3360.4"/>
    <n v="1708"/>
    <n v="0"/>
    <n v="0"/>
  </r>
  <r>
    <x v="6"/>
    <x v="0"/>
    <x v="0"/>
    <n v="4996.49"/>
    <n v="1942.09"/>
    <n v="1211"/>
    <n v="0"/>
    <n v="0"/>
  </r>
  <r>
    <x v="6"/>
    <x v="1"/>
    <x v="0"/>
    <n v="9050.33"/>
    <n v="3118.23"/>
    <n v="467"/>
    <n v="0"/>
    <n v="0"/>
  </r>
  <r>
    <x v="6"/>
    <x v="2"/>
    <x v="0"/>
    <n v="11003.69"/>
    <n v="5584.29"/>
    <n v="2699"/>
    <n v="0"/>
    <n v="0"/>
  </r>
  <r>
    <x v="6"/>
    <x v="3"/>
    <x v="0"/>
    <n v="13582.38"/>
    <n v="3834.68"/>
    <n v="2322"/>
    <n v="0"/>
    <n v="0"/>
  </r>
  <r>
    <x v="6"/>
    <x v="4"/>
    <x v="0"/>
    <n v="14428.55"/>
    <n v="6944.05"/>
    <n v="1925"/>
    <n v="0"/>
    <n v="0"/>
  </r>
  <r>
    <x v="6"/>
    <x v="5"/>
    <x v="0"/>
    <n v="5463.39"/>
    <n v="2372.59"/>
    <n v="761"/>
    <n v="0"/>
    <n v="0"/>
  </r>
  <r>
    <x v="6"/>
    <x v="6"/>
    <x v="0"/>
    <n v="9101.58"/>
    <n v="3176.48"/>
    <n v="1502"/>
    <n v="0"/>
    <n v="0"/>
  </r>
  <r>
    <x v="6"/>
    <x v="7"/>
    <x v="0"/>
    <n v="1307.99"/>
    <n v="682.79"/>
    <n v="201"/>
    <n v="0"/>
    <n v="0"/>
  </r>
  <r>
    <x v="6"/>
    <x v="8"/>
    <x v="0"/>
    <n v="2382.11"/>
    <n v="1025.21"/>
    <n v="289"/>
    <n v="0"/>
    <n v="0"/>
  </r>
  <r>
    <x v="6"/>
    <x v="9"/>
    <x v="0"/>
    <n v="1751.2"/>
    <n v="763.1799999999999"/>
    <n v="1260"/>
    <n v="0"/>
    <n v="0"/>
  </r>
  <r>
    <x v="6"/>
    <x v="10"/>
    <x v="0"/>
    <n v="8391.33"/>
    <n v="3705.83"/>
    <n v="1923"/>
    <n v="0"/>
    <n v="0"/>
  </r>
  <r>
    <x v="7"/>
    <x v="0"/>
    <x v="0"/>
    <n v="4341.21"/>
    <n v="1686.91"/>
    <n v="1049"/>
    <n v="0"/>
    <n v="0"/>
  </r>
  <r>
    <x v="7"/>
    <x v="1"/>
    <x v="0"/>
    <n v="8259.74"/>
    <n v="2855.94"/>
    <n v="426"/>
    <n v="0"/>
    <n v="0"/>
  </r>
  <r>
    <x v="7"/>
    <x v="2"/>
    <x v="0"/>
    <n v="9124.41"/>
    <n v="4604.36"/>
    <n v="2273"/>
    <n v="0"/>
    <n v="0"/>
  </r>
  <r>
    <x v="7"/>
    <x v="3"/>
    <x v="0"/>
    <n v="12510.41"/>
    <n v="3473.76"/>
    <n v="2171"/>
    <n v="0"/>
    <n v="0"/>
  </r>
  <r>
    <x v="7"/>
    <x v="4"/>
    <x v="0"/>
    <n v="13194.33"/>
    <n v="6356.53"/>
    <n v="1817"/>
    <n v="0"/>
    <n v="0"/>
  </r>
  <r>
    <x v="7"/>
    <x v="5"/>
    <x v="0"/>
    <n v="5103.21"/>
    <n v="2198.11"/>
    <n v="679"/>
    <n v="0"/>
    <n v="0"/>
  </r>
  <r>
    <x v="7"/>
    <x v="6"/>
    <x v="0"/>
    <n v="8650.57"/>
    <n v="3057.67"/>
    <n v="1483"/>
    <n v="0"/>
    <n v="0"/>
  </r>
  <r>
    <x v="7"/>
    <x v="7"/>
    <x v="0"/>
    <n v="1198.1"/>
    <n v="630.1"/>
    <n v="190"/>
    <n v="0"/>
    <n v="0"/>
  </r>
  <r>
    <x v="7"/>
    <x v="8"/>
    <x v="0"/>
    <n v="2053.54"/>
    <n v="843.14"/>
    <n v="246"/>
    <n v="0"/>
    <n v="0"/>
  </r>
  <r>
    <x v="7"/>
    <x v="9"/>
    <x v="0"/>
    <n v="1479.91"/>
    <n v="635.61"/>
    <n v="1187"/>
    <n v="0"/>
    <n v="0"/>
  </r>
  <r>
    <x v="7"/>
    <x v="10"/>
    <x v="0"/>
    <n v="8006.8"/>
    <n v="3572.5"/>
    <n v="1830"/>
    <n v="0"/>
    <n v="0"/>
  </r>
  <r>
    <x v="8"/>
    <x v="0"/>
    <x v="0"/>
    <n v="4470.86"/>
    <n v="1689.16"/>
    <n v="1094"/>
    <n v="0"/>
    <n v="0"/>
  </r>
  <r>
    <x v="8"/>
    <x v="1"/>
    <x v="0"/>
    <n v="8509.76"/>
    <n v="2912.26"/>
    <n v="444"/>
    <n v="0"/>
    <n v="0"/>
  </r>
  <r>
    <x v="8"/>
    <x v="2"/>
    <x v="0"/>
    <n v="9291.700000000001"/>
    <n v="4750.1"/>
    <n v="2260"/>
    <n v="0"/>
    <n v="0"/>
  </r>
  <r>
    <x v="8"/>
    <x v="3"/>
    <x v="0"/>
    <n v="13719.33"/>
    <n v="3837.43"/>
    <n v="2319"/>
    <n v="0"/>
    <n v="0"/>
  </r>
  <r>
    <x v="8"/>
    <x v="4"/>
    <x v="0"/>
    <n v="14564.1"/>
    <n v="7059.3"/>
    <n v="2030"/>
    <n v="0"/>
    <n v="0"/>
  </r>
  <r>
    <x v="8"/>
    <x v="5"/>
    <x v="0"/>
    <n v="5878.97"/>
    <n v="2524.87"/>
    <n v="783"/>
    <n v="0"/>
    <n v="0"/>
  </r>
  <r>
    <x v="8"/>
    <x v="6"/>
    <x v="0"/>
    <n v="8812.66"/>
    <n v="3130.46"/>
    <n v="1506"/>
    <n v="0"/>
    <n v="0"/>
  </r>
  <r>
    <x v="8"/>
    <x v="7"/>
    <x v="0"/>
    <n v="1280.52"/>
    <n v="663.92"/>
    <n v="208"/>
    <n v="0"/>
    <n v="0"/>
  </r>
  <r>
    <x v="8"/>
    <x v="8"/>
    <x v="0"/>
    <n v="2153.56"/>
    <n v="858.76"/>
    <n v="264"/>
    <n v="0"/>
    <n v="0"/>
  </r>
  <r>
    <x v="8"/>
    <x v="9"/>
    <x v="0"/>
    <n v="1507.27"/>
    <n v="650.39"/>
    <n v="1267"/>
    <n v="0"/>
    <n v="0"/>
  </r>
  <r>
    <x v="8"/>
    <x v="10"/>
    <x v="0"/>
    <n v="8568.469999999999"/>
    <n v="3821.17"/>
    <n v="1943"/>
    <n v="0"/>
    <n v="0"/>
  </r>
  <r>
    <x v="9"/>
    <x v="0"/>
    <x v="0"/>
    <n v="4586.76"/>
    <n v="1762.56"/>
    <n v="1114"/>
    <n v="0"/>
    <n v="0"/>
  </r>
  <r>
    <x v="9"/>
    <x v="1"/>
    <x v="0"/>
    <n v="8531.25"/>
    <n v="2835.05"/>
    <n v="455"/>
    <n v="0"/>
    <n v="0"/>
  </r>
  <r>
    <x v="9"/>
    <x v="2"/>
    <x v="0"/>
    <n v="9254.9"/>
    <n v="4762.3"/>
    <n v="2280"/>
    <n v="0"/>
    <n v="0"/>
  </r>
  <r>
    <x v="9"/>
    <x v="3"/>
    <x v="0"/>
    <n v="13103.3"/>
    <n v="3677.9"/>
    <n v="2270"/>
    <n v="0"/>
    <n v="0"/>
  </r>
  <r>
    <x v="9"/>
    <x v="4"/>
    <x v="0"/>
    <n v="14715.43"/>
    <n v="6966.23"/>
    <n v="2007"/>
    <n v="0"/>
    <n v="0"/>
  </r>
  <r>
    <x v="9"/>
    <x v="5"/>
    <x v="0"/>
    <n v="5416.54"/>
    <n v="2350.74"/>
    <n v="746"/>
    <n v="0"/>
    <n v="0"/>
  </r>
  <r>
    <x v="9"/>
    <x v="6"/>
    <x v="0"/>
    <n v="8159.57"/>
    <n v="2918.07"/>
    <n v="1433"/>
    <n v="0"/>
    <n v="0"/>
  </r>
  <r>
    <x v="9"/>
    <x v="7"/>
    <x v="0"/>
    <n v="1550.96"/>
    <n v="782.36"/>
    <n v="204"/>
    <n v="0"/>
    <n v="0"/>
  </r>
  <r>
    <x v="9"/>
    <x v="8"/>
    <x v="0"/>
    <n v="2446.11"/>
    <n v="1011.81"/>
    <n v="289"/>
    <n v="0"/>
    <n v="0"/>
  </r>
  <r>
    <x v="9"/>
    <x v="9"/>
    <x v="0"/>
    <n v="1580.37"/>
    <n v="690.97"/>
    <n v="1213"/>
    <n v="0"/>
    <n v="0"/>
  </r>
  <r>
    <x v="9"/>
    <x v="10"/>
    <x v="0"/>
    <n v="8496.77"/>
    <n v="3816.97"/>
    <n v="1923"/>
    <n v="0"/>
    <n v="0"/>
  </r>
  <r>
    <x v="10"/>
    <x v="0"/>
    <x v="0"/>
    <n v="4616.95"/>
    <n v="1727.25"/>
    <n v="1147"/>
    <n v="0"/>
    <n v="0"/>
  </r>
  <r>
    <x v="10"/>
    <x v="1"/>
    <x v="0"/>
    <n v="9107.4"/>
    <n v="3059.7"/>
    <n v="480"/>
    <n v="0"/>
    <n v="0"/>
  </r>
  <r>
    <x v="10"/>
    <x v="2"/>
    <x v="0"/>
    <n v="10700.48"/>
    <n v="5448.23"/>
    <n v="2602"/>
    <n v="0"/>
    <n v="0"/>
  </r>
  <r>
    <x v="10"/>
    <x v="3"/>
    <x v="0"/>
    <n v="13854.74"/>
    <n v="3781.69"/>
    <n v="2408"/>
    <n v="0"/>
    <n v="0"/>
  </r>
  <r>
    <x v="10"/>
    <x v="4"/>
    <x v="0"/>
    <n v="14004.94"/>
    <n v="6790.04"/>
    <n v="1856"/>
    <n v="0"/>
    <n v="0"/>
  </r>
  <r>
    <x v="10"/>
    <x v="5"/>
    <x v="0"/>
    <n v="5218.39"/>
    <n v="2279.69"/>
    <n v="761"/>
    <n v="0"/>
    <n v="0"/>
  </r>
  <r>
    <x v="10"/>
    <x v="6"/>
    <x v="0"/>
    <n v="8588.690000000001"/>
    <n v="2980.19"/>
    <n v="1451"/>
    <n v="0"/>
    <n v="0"/>
  </r>
  <r>
    <x v="10"/>
    <x v="7"/>
    <x v="0"/>
    <n v="1343.96"/>
    <n v="674.36"/>
    <n v="204"/>
    <n v="0"/>
    <n v="0"/>
  </r>
  <r>
    <x v="10"/>
    <x v="8"/>
    <x v="0"/>
    <n v="2216.16"/>
    <n v="877.5599999999999"/>
    <n v="264"/>
    <n v="0"/>
    <n v="0"/>
  </r>
  <r>
    <x v="10"/>
    <x v="9"/>
    <x v="0"/>
    <n v="1739"/>
    <n v="758.96"/>
    <n v="1260"/>
    <n v="0"/>
    <n v="0"/>
  </r>
  <r>
    <x v="10"/>
    <x v="10"/>
    <x v="0"/>
    <n v="8579.49"/>
    <n v="3791.39"/>
    <n v="1961"/>
    <n v="0"/>
    <n v="0"/>
  </r>
  <r>
    <x v="11"/>
    <x v="0"/>
    <x v="0"/>
    <n v="4704.28"/>
    <n v="1808.98"/>
    <n v="1142"/>
    <n v="0"/>
    <n v="0"/>
  </r>
  <r>
    <x v="11"/>
    <x v="1"/>
    <x v="0"/>
    <n v="9682.059999999999"/>
    <n v="3326.56"/>
    <n v="494"/>
    <n v="0"/>
    <n v="0"/>
  </r>
  <r>
    <x v="11"/>
    <x v="2"/>
    <x v="0"/>
    <n v="13030.69"/>
    <n v="6686.79"/>
    <n v="3191"/>
    <n v="0"/>
    <n v="0"/>
  </r>
  <r>
    <x v="11"/>
    <x v="3"/>
    <x v="0"/>
    <n v="14508.13"/>
    <n v="4118.58"/>
    <n v="2457"/>
    <n v="0"/>
    <n v="0"/>
  </r>
  <r>
    <x v="11"/>
    <x v="4"/>
    <x v="0"/>
    <n v="14824.54"/>
    <n v="7076.74"/>
    <n v="1946"/>
    <n v="0"/>
    <n v="0"/>
  </r>
  <r>
    <x v="11"/>
    <x v="5"/>
    <x v="0"/>
    <n v="5897.13"/>
    <n v="2549.73"/>
    <n v="867"/>
    <n v="0"/>
    <n v="0"/>
  </r>
  <r>
    <x v="11"/>
    <x v="6"/>
    <x v="0"/>
    <n v="8274.389999999999"/>
    <n v="2828.99"/>
    <n v="1349"/>
    <n v="0"/>
    <n v="0"/>
  </r>
  <r>
    <x v="11"/>
    <x v="7"/>
    <x v="0"/>
    <n v="1609.12"/>
    <n v="801.12"/>
    <n v="208"/>
    <n v="0"/>
    <n v="0"/>
  </r>
  <r>
    <x v="11"/>
    <x v="8"/>
    <x v="0"/>
    <n v="2270.18"/>
    <n v="935.98"/>
    <n v="282"/>
    <n v="0"/>
    <n v="0"/>
  </r>
  <r>
    <x v="11"/>
    <x v="9"/>
    <x v="0"/>
    <n v="1942.15"/>
    <n v="844.6900000000001"/>
    <n v="1275"/>
    <n v="0"/>
    <n v="0"/>
  </r>
  <r>
    <x v="11"/>
    <x v="10"/>
    <x v="0"/>
    <n v="8307.309999999999"/>
    <n v="3724.51"/>
    <n v="1879"/>
    <n v="0"/>
    <n v="0"/>
  </r>
  <r>
    <x v="12"/>
    <x v="0"/>
    <x v="0"/>
    <n v="4642.49"/>
    <n v="1777.89"/>
    <n v="1131"/>
    <n v="0"/>
    <n v="0"/>
  </r>
  <r>
    <x v="12"/>
    <x v="1"/>
    <x v="0"/>
    <n v="11274.42"/>
    <n v="3807.22"/>
    <n v="598"/>
    <n v="0"/>
    <n v="0"/>
  </r>
  <r>
    <x v="12"/>
    <x v="2"/>
    <x v="0"/>
    <n v="13594.21"/>
    <n v="6996.76"/>
    <n v="3349"/>
    <n v="0"/>
    <n v="0"/>
  </r>
  <r>
    <x v="12"/>
    <x v="3"/>
    <x v="0"/>
    <n v="13846.93"/>
    <n v="3893.53"/>
    <n v="2347"/>
    <n v="0"/>
    <n v="0"/>
  </r>
  <r>
    <x v="12"/>
    <x v="4"/>
    <x v="0"/>
    <n v="15472"/>
    <n v="7358.6"/>
    <n v="1950"/>
    <n v="0"/>
    <n v="0"/>
  </r>
  <r>
    <x v="12"/>
    <x v="5"/>
    <x v="0"/>
    <n v="6076.23"/>
    <n v="2643.13"/>
    <n v="917"/>
    <n v="0"/>
    <n v="0"/>
  </r>
  <r>
    <x v="12"/>
    <x v="6"/>
    <x v="0"/>
    <n v="7753.56"/>
    <n v="2594.16"/>
    <n v="1304"/>
    <n v="0"/>
    <n v="0"/>
  </r>
  <r>
    <x v="12"/>
    <x v="7"/>
    <x v="0"/>
    <n v="1448.95"/>
    <n v="717.35"/>
    <n v="185"/>
    <n v="0"/>
    <n v="0"/>
  </r>
  <r>
    <x v="12"/>
    <x v="8"/>
    <x v="0"/>
    <n v="2227.36"/>
    <n v="940.96"/>
    <n v="264"/>
    <n v="0"/>
    <n v="0"/>
  </r>
  <r>
    <x v="12"/>
    <x v="9"/>
    <x v="0"/>
    <n v="2165.95"/>
    <n v="906.29"/>
    <n v="1417"/>
    <n v="0"/>
    <n v="0"/>
  </r>
  <r>
    <x v="12"/>
    <x v="10"/>
    <x v="0"/>
    <n v="8469.799999999999"/>
    <n v="3804.5"/>
    <n v="1930"/>
    <n v="0"/>
    <n v="0"/>
  </r>
  <r>
    <x v="13"/>
    <x v="0"/>
    <x v="0"/>
    <n v="5025.93"/>
    <n v="1929.93"/>
    <n v="1227"/>
    <n v="0"/>
    <n v="0"/>
  </r>
  <r>
    <x v="13"/>
    <x v="1"/>
    <x v="0"/>
    <n v="13565.31"/>
    <n v="4552.31"/>
    <n v="709"/>
    <n v="0"/>
    <n v="0"/>
  </r>
  <r>
    <x v="13"/>
    <x v="2"/>
    <x v="0"/>
    <n v="16929.03"/>
    <n v="8602.93"/>
    <n v="4167"/>
    <n v="0"/>
    <n v="0"/>
  </r>
  <r>
    <x v="13"/>
    <x v="3"/>
    <x v="0"/>
    <n v="15361.49"/>
    <n v="4288.59"/>
    <n v="2613"/>
    <n v="0"/>
    <n v="0"/>
  </r>
  <r>
    <x v="13"/>
    <x v="4"/>
    <x v="0"/>
    <n v="18363.67"/>
    <n v="8606.969999999999"/>
    <n v="2283"/>
    <n v="0"/>
    <n v="0"/>
  </r>
  <r>
    <x v="13"/>
    <x v="5"/>
    <x v="0"/>
    <n v="6499.2"/>
    <n v="2895.5"/>
    <n v="1060"/>
    <n v="0"/>
    <n v="0"/>
  </r>
  <r>
    <x v="13"/>
    <x v="6"/>
    <x v="0"/>
    <n v="7786.44"/>
    <n v="2715.44"/>
    <n v="1306"/>
    <n v="0"/>
    <n v="0"/>
  </r>
  <r>
    <x v="13"/>
    <x v="7"/>
    <x v="0"/>
    <n v="1673.15"/>
    <n v="816.15"/>
    <n v="185"/>
    <n v="0"/>
    <n v="0"/>
  </r>
  <r>
    <x v="13"/>
    <x v="8"/>
    <x v="0"/>
    <n v="2642.04"/>
    <n v="1096.24"/>
    <n v="316"/>
    <n v="0"/>
    <n v="0"/>
  </r>
  <r>
    <x v="13"/>
    <x v="9"/>
    <x v="0"/>
    <n v="2393.69"/>
    <n v="1005.61"/>
    <n v="1583"/>
    <n v="0"/>
    <n v="0"/>
  </r>
  <r>
    <x v="13"/>
    <x v="10"/>
    <x v="0"/>
    <n v="9002.799999999999"/>
    <n v="4013.2"/>
    <n v="2048"/>
    <n v="0"/>
    <n v="0"/>
  </r>
  <r>
    <x v="14"/>
    <x v="0"/>
    <x v="0"/>
    <n v="4098.67"/>
    <n v="1543.97"/>
    <n v="1013"/>
    <n v="0"/>
    <n v="0"/>
  </r>
  <r>
    <x v="14"/>
    <x v="1"/>
    <x v="0"/>
    <n v="10760.47"/>
    <n v="3697.97"/>
    <n v="553"/>
    <n v="0"/>
    <n v="0"/>
  </r>
  <r>
    <x v="14"/>
    <x v="2"/>
    <x v="0"/>
    <n v="14824.87"/>
    <n v="7516.87"/>
    <n v="3689"/>
    <n v="0"/>
    <n v="0"/>
  </r>
  <r>
    <x v="14"/>
    <x v="3"/>
    <x v="0"/>
    <n v="12515.06"/>
    <n v="3472.36"/>
    <n v="2180"/>
    <n v="0"/>
    <n v="0"/>
  </r>
  <r>
    <x v="14"/>
    <x v="4"/>
    <x v="0"/>
    <n v="15473.11"/>
    <n v="7236.41"/>
    <n v="1939"/>
    <n v="0"/>
    <n v="0"/>
  </r>
  <r>
    <x v="14"/>
    <x v="5"/>
    <x v="0"/>
    <n v="5074.22"/>
    <n v="2252.22"/>
    <n v="818"/>
    <n v="0"/>
    <n v="0"/>
  </r>
  <r>
    <x v="14"/>
    <x v="6"/>
    <x v="0"/>
    <n v="7075.73"/>
    <n v="2430.93"/>
    <n v="1117"/>
    <n v="0"/>
    <n v="0"/>
  </r>
  <r>
    <x v="14"/>
    <x v="7"/>
    <x v="0"/>
    <n v="1420.97"/>
    <n v="678.37"/>
    <n v="163"/>
    <n v="0"/>
    <n v="0"/>
  </r>
  <r>
    <x v="14"/>
    <x v="8"/>
    <x v="0"/>
    <n v="2065.55"/>
    <n v="873.25"/>
    <n v="245"/>
    <n v="0"/>
    <n v="0"/>
  </r>
  <r>
    <x v="14"/>
    <x v="9"/>
    <x v="0"/>
    <n v="2019.74"/>
    <n v="879.14"/>
    <n v="1326"/>
    <n v="0"/>
    <n v="0"/>
  </r>
  <r>
    <x v="14"/>
    <x v="10"/>
    <x v="0"/>
    <n v="7368.96"/>
    <n v="3270.86"/>
    <n v="1698"/>
    <n v="0"/>
    <n v="0"/>
  </r>
  <r>
    <x v="15"/>
    <x v="0"/>
    <x v="0"/>
    <n v="4268.34"/>
    <n v="1664.64"/>
    <n v="1026"/>
    <n v="0"/>
    <n v="0"/>
  </r>
  <r>
    <x v="15"/>
    <x v="1"/>
    <x v="0"/>
    <n v="10700.4"/>
    <n v="3579.8"/>
    <n v="560"/>
    <n v="0"/>
    <n v="0"/>
  </r>
  <r>
    <x v="15"/>
    <x v="2"/>
    <x v="0"/>
    <n v="14659.79"/>
    <n v="7467.54"/>
    <n v="3611"/>
    <n v="0"/>
    <n v="0"/>
  </r>
  <r>
    <x v="15"/>
    <x v="3"/>
    <x v="0"/>
    <n v="13747.87"/>
    <n v="3747.77"/>
    <n v="2355"/>
    <n v="0"/>
    <n v="0"/>
  </r>
  <r>
    <x v="15"/>
    <x v="4"/>
    <x v="0"/>
    <n v="15609.97"/>
    <n v="7294.57"/>
    <n v="1963"/>
    <n v="0"/>
    <n v="0"/>
  </r>
  <r>
    <x v="15"/>
    <x v="5"/>
    <x v="0"/>
    <n v="5420.55"/>
    <n v="2395.55"/>
    <n v="845"/>
    <n v="0"/>
    <n v="0"/>
  </r>
  <r>
    <x v="15"/>
    <x v="6"/>
    <x v="0"/>
    <n v="7224.78"/>
    <n v="2448.18"/>
    <n v="1144"/>
    <n v="0"/>
    <n v="0"/>
  </r>
  <r>
    <x v="15"/>
    <x v="7"/>
    <x v="0"/>
    <n v="1574.26"/>
    <n v="767.86"/>
    <n v="174"/>
    <n v="0"/>
    <n v="0"/>
  </r>
  <r>
    <x v="15"/>
    <x v="8"/>
    <x v="0"/>
    <n v="1992.36"/>
    <n v="738.16"/>
    <n v="264"/>
    <n v="0"/>
    <n v="0"/>
  </r>
  <r>
    <x v="15"/>
    <x v="9"/>
    <x v="0"/>
    <n v="2038.82"/>
    <n v="887.54"/>
    <n v="1338"/>
    <n v="0"/>
    <n v="0"/>
  </r>
  <r>
    <x v="15"/>
    <x v="10"/>
    <x v="0"/>
    <n v="7807.55"/>
    <n v="3452.35"/>
    <n v="1795"/>
    <n v="0"/>
    <n v="0"/>
  </r>
  <r>
    <x v="16"/>
    <x v="0"/>
    <x v="0"/>
    <n v="4831.94"/>
    <n v="1871.14"/>
    <n v="1186"/>
    <n v="0"/>
    <n v="0"/>
  </r>
  <r>
    <x v="16"/>
    <x v="1"/>
    <x v="0"/>
    <n v="12516.57"/>
    <n v="4083.87"/>
    <n v="663"/>
    <n v="0"/>
    <n v="0"/>
  </r>
  <r>
    <x v="16"/>
    <x v="2"/>
    <x v="0"/>
    <n v="14989.59"/>
    <n v="7676.29"/>
    <n v="3651"/>
    <n v="0"/>
    <n v="0"/>
  </r>
  <r>
    <x v="16"/>
    <x v="3"/>
    <x v="0"/>
    <n v="14216"/>
    <n v="3924.2"/>
    <n v="2474"/>
    <n v="0"/>
    <n v="0"/>
  </r>
  <r>
    <x v="16"/>
    <x v="4"/>
    <x v="0"/>
    <n v="16295.68"/>
    <n v="7746.38"/>
    <n v="2082"/>
    <n v="0"/>
    <n v="0"/>
  </r>
  <r>
    <x v="16"/>
    <x v="5"/>
    <x v="0"/>
    <n v="5992.15"/>
    <n v="2646.25"/>
    <n v="925"/>
    <n v="0"/>
    <n v="0"/>
  </r>
  <r>
    <x v="16"/>
    <x v="6"/>
    <x v="0"/>
    <n v="8413.92"/>
    <n v="2953.52"/>
    <n v="1418"/>
    <n v="0"/>
    <n v="0"/>
  </r>
  <r>
    <x v="16"/>
    <x v="7"/>
    <x v="0"/>
    <n v="1748.96"/>
    <n v="861.5599999999999"/>
    <n v="204"/>
    <n v="0"/>
    <n v="0"/>
  </r>
  <r>
    <x v="16"/>
    <x v="8"/>
    <x v="0"/>
    <n v="2344.31"/>
    <n v="994.01"/>
    <n v="269"/>
    <n v="0"/>
    <n v="0"/>
  </r>
  <r>
    <x v="16"/>
    <x v="9"/>
    <x v="0"/>
    <n v="2333.76"/>
    <n v="986.08"/>
    <n v="1474"/>
    <n v="0"/>
    <n v="0"/>
  </r>
  <r>
    <x v="16"/>
    <x v="10"/>
    <x v="0"/>
    <n v="8883.92"/>
    <n v="3940.92"/>
    <n v="2048"/>
    <n v="0"/>
    <n v="0"/>
  </r>
  <r>
    <x v="17"/>
    <x v="0"/>
    <x v="0"/>
    <n v="4825.73"/>
    <n v="1849.13"/>
    <n v="1177"/>
    <n v="0"/>
    <n v="0"/>
  </r>
  <r>
    <x v="17"/>
    <x v="1"/>
    <x v="0"/>
    <n v="9610.01"/>
    <n v="3314.91"/>
    <n v="499"/>
    <n v="0"/>
    <n v="0"/>
  </r>
  <r>
    <x v="17"/>
    <x v="2"/>
    <x v="0"/>
    <n v="12898.75"/>
    <n v="6474.5"/>
    <n v="3187"/>
    <n v="0"/>
    <n v="0"/>
  </r>
  <r>
    <x v="17"/>
    <x v="3"/>
    <x v="0"/>
    <n v="13793.26"/>
    <n v="3817.41"/>
    <n v="2396"/>
    <n v="0"/>
    <n v="0"/>
  </r>
  <r>
    <x v="17"/>
    <x v="4"/>
    <x v="0"/>
    <n v="15033.46"/>
    <n v="7149.06"/>
    <n v="1934"/>
    <n v="0"/>
    <n v="0"/>
  </r>
  <r>
    <x v="17"/>
    <x v="5"/>
    <x v="0"/>
    <n v="5376.06"/>
    <n v="2367.06"/>
    <n v="794"/>
    <n v="0"/>
    <n v="0"/>
  </r>
  <r>
    <x v="17"/>
    <x v="6"/>
    <x v="0"/>
    <n v="7765.4"/>
    <n v="2738.8"/>
    <n v="1330"/>
    <n v="0"/>
    <n v="0"/>
  </r>
  <r>
    <x v="17"/>
    <x v="7"/>
    <x v="0"/>
    <n v="1416.16"/>
    <n v="712.5599999999999"/>
    <n v="184"/>
    <n v="0"/>
    <n v="0"/>
  </r>
  <r>
    <x v="17"/>
    <x v="8"/>
    <x v="0"/>
    <n v="2109.44"/>
    <n v="870.84"/>
    <n v="256"/>
    <n v="0"/>
    <n v="0"/>
  </r>
  <r>
    <x v="17"/>
    <x v="9"/>
    <x v="0"/>
    <n v="1955.56"/>
    <n v="829.48"/>
    <n v="1368"/>
    <n v="0"/>
    <n v="0"/>
  </r>
  <r>
    <x v="17"/>
    <x v="10"/>
    <x v="0"/>
    <n v="8237.82"/>
    <n v="3693.92"/>
    <n v="1868"/>
    <n v="0"/>
    <n v="0"/>
  </r>
  <r>
    <x v="18"/>
    <x v="0"/>
    <x v="0"/>
    <n v="5184.84"/>
    <n v="1993.84"/>
    <n v="1256"/>
    <n v="0"/>
    <n v="0"/>
  </r>
  <r>
    <x v="18"/>
    <x v="1"/>
    <x v="0"/>
    <n v="9819.700000000001"/>
    <n v="3328.4"/>
    <n v="510"/>
    <n v="0"/>
    <n v="0"/>
  </r>
  <r>
    <x v="18"/>
    <x v="2"/>
    <x v="0"/>
    <n v="11542.75"/>
    <n v="5835.15"/>
    <n v="2805"/>
    <n v="0"/>
    <n v="0"/>
  </r>
  <r>
    <x v="18"/>
    <x v="3"/>
    <x v="0"/>
    <n v="13797.6"/>
    <n v="3738.7"/>
    <n v="2472"/>
    <n v="0"/>
    <n v="0"/>
  </r>
  <r>
    <x v="18"/>
    <x v="4"/>
    <x v="0"/>
    <n v="14732.18"/>
    <n v="7062.48"/>
    <n v="1982"/>
    <n v="0"/>
    <n v="0"/>
  </r>
  <r>
    <x v="18"/>
    <x v="5"/>
    <x v="0"/>
    <n v="6133.52"/>
    <n v="2652.92"/>
    <n v="848"/>
    <n v="0"/>
    <n v="0"/>
  </r>
  <r>
    <x v="18"/>
    <x v="6"/>
    <x v="0"/>
    <n v="9071.370000000001"/>
    <n v="3095.67"/>
    <n v="1503"/>
    <n v="0"/>
    <n v="0"/>
  </r>
  <r>
    <x v="18"/>
    <x v="7"/>
    <x v="0"/>
    <n v="1287.04"/>
    <n v="663.24"/>
    <n v="196"/>
    <n v="0"/>
    <n v="0"/>
  </r>
  <r>
    <x v="18"/>
    <x v="8"/>
    <x v="0"/>
    <n v="2191.32"/>
    <n v="915.72"/>
    <n v="268"/>
    <n v="0"/>
    <n v="0"/>
  </r>
  <r>
    <x v="18"/>
    <x v="9"/>
    <x v="0"/>
    <n v="1782.97"/>
    <n v="766.9299999999999"/>
    <n v="1263"/>
    <n v="0"/>
    <n v="0"/>
  </r>
  <r>
    <x v="18"/>
    <x v="10"/>
    <x v="0"/>
    <n v="8858.59"/>
    <n v="3908.19"/>
    <n v="2011"/>
    <n v="0"/>
    <n v="0"/>
  </r>
  <r>
    <x v="19"/>
    <x v="0"/>
    <x v="0"/>
    <n v="4885.73"/>
    <n v="1879.43"/>
    <n v="1187"/>
    <n v="0"/>
    <n v="0"/>
  </r>
  <r>
    <x v="19"/>
    <x v="1"/>
    <x v="0"/>
    <n v="8698.49"/>
    <n v="3007.89"/>
    <n v="451"/>
    <n v="0"/>
    <n v="0"/>
  </r>
  <r>
    <x v="19"/>
    <x v="2"/>
    <x v="0"/>
    <n v="9994.23"/>
    <n v="5071.98"/>
    <n v="2457"/>
    <n v="0"/>
    <n v="0"/>
  </r>
  <r>
    <x v="19"/>
    <x v="3"/>
    <x v="0"/>
    <n v="13940.86"/>
    <n v="3925.16"/>
    <n v="2424"/>
    <n v="0"/>
    <n v="0"/>
  </r>
  <r>
    <x v="19"/>
    <x v="4"/>
    <x v="0"/>
    <n v="14600.95"/>
    <n v="6972.45"/>
    <n v="1995"/>
    <n v="0"/>
    <n v="0"/>
  </r>
  <r>
    <x v="19"/>
    <x v="5"/>
    <x v="0"/>
    <n v="5905.01"/>
    <n v="2551.41"/>
    <n v="799"/>
    <n v="0"/>
    <n v="0"/>
  </r>
  <r>
    <x v="19"/>
    <x v="6"/>
    <x v="0"/>
    <n v="9297.379999999999"/>
    <n v="3308.98"/>
    <n v="1562"/>
    <n v="0"/>
    <n v="0"/>
  </r>
  <r>
    <x v="19"/>
    <x v="7"/>
    <x v="0"/>
    <n v="1496.14"/>
    <n v="764.9400000000001"/>
    <n v="226"/>
    <n v="0"/>
    <n v="0"/>
  </r>
  <r>
    <x v="19"/>
    <x v="8"/>
    <x v="0"/>
    <n v="2282.31"/>
    <n v="945.41"/>
    <n v="269"/>
    <n v="0"/>
    <n v="0"/>
  </r>
  <r>
    <x v="19"/>
    <x v="9"/>
    <x v="0"/>
    <n v="1737.44"/>
    <n v="757.84"/>
    <n v="1256"/>
    <n v="0"/>
    <n v="0"/>
  </r>
  <r>
    <x v="19"/>
    <x v="10"/>
    <x v="0"/>
    <n v="8414.309999999999"/>
    <n v="3745.31"/>
    <n v="1909"/>
    <n v="0"/>
    <n v="0"/>
  </r>
  <r>
    <x v="20"/>
    <x v="0"/>
    <x v="0"/>
    <n v="5299.88"/>
    <n v="2016.88"/>
    <n v="1292"/>
    <n v="0"/>
    <n v="0"/>
  </r>
  <r>
    <x v="20"/>
    <x v="1"/>
    <x v="0"/>
    <n v="8785.51"/>
    <n v="3036.11"/>
    <n v="449"/>
    <n v="0"/>
    <n v="0"/>
  </r>
  <r>
    <x v="20"/>
    <x v="2"/>
    <x v="0"/>
    <n v="9805.82"/>
    <n v="5016.82"/>
    <n v="2428"/>
    <n v="0"/>
    <n v="0"/>
  </r>
  <r>
    <x v="20"/>
    <x v="3"/>
    <x v="0"/>
    <n v="14597.33"/>
    <n v="4020.78"/>
    <n v="2521"/>
    <n v="0"/>
    <n v="0"/>
  </r>
  <r>
    <x v="20"/>
    <x v="4"/>
    <x v="0"/>
    <n v="15114.42"/>
    <n v="7396.62"/>
    <n v="2058"/>
    <n v="0"/>
    <n v="0"/>
  </r>
  <r>
    <x v="20"/>
    <x v="5"/>
    <x v="0"/>
    <n v="5770.2"/>
    <n v="2492.4"/>
    <n v="780"/>
    <n v="0"/>
    <n v="0"/>
  </r>
  <r>
    <x v="20"/>
    <x v="6"/>
    <x v="0"/>
    <n v="9621.6"/>
    <n v="3398.6"/>
    <n v="1680"/>
    <n v="0"/>
    <n v="0"/>
  </r>
  <r>
    <x v="20"/>
    <x v="7"/>
    <x v="0"/>
    <n v="1407.32"/>
    <n v="725.72"/>
    <n v="228"/>
    <n v="0"/>
    <n v="0"/>
  </r>
  <r>
    <x v="20"/>
    <x v="8"/>
    <x v="0"/>
    <n v="2547.97"/>
    <n v="1068.67"/>
    <n v="303"/>
    <n v="0"/>
    <n v="0"/>
  </r>
  <r>
    <x v="20"/>
    <x v="9"/>
    <x v="0"/>
    <n v="1723.07"/>
    <n v="742.55"/>
    <n v="1365"/>
    <n v="0"/>
    <n v="0"/>
  </r>
  <r>
    <x v="20"/>
    <x v="10"/>
    <x v="0"/>
    <n v="9387.49"/>
    <n v="4116.89"/>
    <n v="2151"/>
    <n v="0"/>
    <n v="0"/>
  </r>
  <r>
    <x v="21"/>
    <x v="0"/>
    <x v="0"/>
    <n v="4954.82"/>
    <n v="1881.72"/>
    <n v="1208"/>
    <n v="0"/>
    <n v="0"/>
  </r>
  <r>
    <x v="21"/>
    <x v="1"/>
    <x v="0"/>
    <n v="8604.559999999999"/>
    <n v="2975.46"/>
    <n v="444"/>
    <n v="0"/>
    <n v="0"/>
  </r>
  <r>
    <x v="21"/>
    <x v="2"/>
    <x v="0"/>
    <n v="10619.25"/>
    <n v="5367.35"/>
    <n v="2585"/>
    <n v="0"/>
    <n v="0"/>
  </r>
  <r>
    <x v="21"/>
    <x v="3"/>
    <x v="0"/>
    <n v="13689.93"/>
    <n v="3850.33"/>
    <n v="2377"/>
    <n v="0"/>
    <n v="0"/>
  </r>
  <r>
    <x v="21"/>
    <x v="4"/>
    <x v="0"/>
    <n v="14994.58"/>
    <n v="7198.98"/>
    <n v="2062"/>
    <n v="0"/>
    <n v="0"/>
  </r>
  <r>
    <x v="21"/>
    <x v="5"/>
    <x v="0"/>
    <n v="5618.85"/>
    <n v="2444.45"/>
    <n v="795"/>
    <n v="0"/>
    <n v="0"/>
  </r>
  <r>
    <x v="21"/>
    <x v="6"/>
    <x v="0"/>
    <n v="9292.76"/>
    <n v="3284.56"/>
    <n v="1626"/>
    <n v="0"/>
    <n v="0"/>
  </r>
  <r>
    <x v="21"/>
    <x v="7"/>
    <x v="0"/>
    <n v="1484.34"/>
    <n v="739.9400000000001"/>
    <n v="226"/>
    <n v="0"/>
    <n v="0"/>
  </r>
  <r>
    <x v="21"/>
    <x v="8"/>
    <x v="0"/>
    <n v="2496.07"/>
    <n v="1042.37"/>
    <n v="293"/>
    <n v="0"/>
    <n v="0"/>
  </r>
  <r>
    <x v="21"/>
    <x v="9"/>
    <x v="0"/>
    <n v="1673.88"/>
    <n v="730.7"/>
    <n v="1232"/>
    <n v="0"/>
    <n v="0"/>
  </r>
  <r>
    <x v="21"/>
    <x v="10"/>
    <x v="0"/>
    <n v="8915.01"/>
    <n v="4006.01"/>
    <n v="2029"/>
    <n v="0"/>
    <n v="0"/>
  </r>
  <r>
    <x v="22"/>
    <x v="0"/>
    <x v="0"/>
    <n v="4794.73"/>
    <n v="1833.73"/>
    <n v="1167"/>
    <n v="0"/>
    <n v="0"/>
  </r>
  <r>
    <x v="22"/>
    <x v="1"/>
    <x v="0"/>
    <n v="9156.6"/>
    <n v="3099.9"/>
    <n v="480"/>
    <n v="0"/>
    <n v="0"/>
  </r>
  <r>
    <x v="22"/>
    <x v="2"/>
    <x v="0"/>
    <n v="11375.6"/>
    <n v="5758.5"/>
    <n v="2760"/>
    <n v="0"/>
    <n v="0"/>
  </r>
  <r>
    <x v="22"/>
    <x v="3"/>
    <x v="0"/>
    <n v="13196.08"/>
    <n v="3722.03"/>
    <n v="2236"/>
    <n v="0"/>
    <n v="0"/>
  </r>
  <r>
    <x v="22"/>
    <x v="4"/>
    <x v="0"/>
    <n v="14252.94"/>
    <n v="6928.84"/>
    <n v="1916"/>
    <n v="0"/>
    <n v="0"/>
  </r>
  <r>
    <x v="22"/>
    <x v="5"/>
    <x v="0"/>
    <n v="5709.16"/>
    <n v="2453.56"/>
    <n v="804"/>
    <n v="0"/>
    <n v="0"/>
  </r>
  <r>
    <x v="22"/>
    <x v="6"/>
    <x v="0"/>
    <n v="8605.139999999999"/>
    <n v="3003.94"/>
    <n v="1472"/>
    <n v="0"/>
    <n v="0"/>
  </r>
  <r>
    <x v="22"/>
    <x v="7"/>
    <x v="0"/>
    <n v="1284.05"/>
    <n v="668.45"/>
    <n v="195"/>
    <n v="0"/>
    <n v="0"/>
  </r>
  <r>
    <x v="22"/>
    <x v="8"/>
    <x v="0"/>
    <n v="2157.46"/>
    <n v="856.26"/>
    <n v="254"/>
    <n v="0"/>
    <n v="0"/>
  </r>
  <r>
    <x v="22"/>
    <x v="9"/>
    <x v="0"/>
    <n v="1851"/>
    <n v="806.8"/>
    <n v="1300"/>
    <n v="0"/>
    <n v="0"/>
  </r>
  <r>
    <x v="22"/>
    <x v="10"/>
    <x v="0"/>
    <n v="8835.77"/>
    <n v="3926.37"/>
    <n v="2013"/>
    <n v="0"/>
    <n v="0"/>
  </r>
  <r>
    <x v="23"/>
    <x v="0"/>
    <x v="2"/>
    <n v="5055.61"/>
    <n v="1936.3"/>
    <n v="0"/>
    <n v="4778.19"/>
    <n v="5333.03"/>
  </r>
  <r>
    <x v="23"/>
    <x v="1"/>
    <x v="2"/>
    <n v="9066.43"/>
    <n v="3073.52"/>
    <n v="0"/>
    <n v="8568.92"/>
    <n v="9563.950000000001"/>
  </r>
  <r>
    <x v="23"/>
    <x v="2"/>
    <x v="2"/>
    <n v="14431.67"/>
    <n v="7345.72"/>
    <n v="0"/>
    <n v="13639.74"/>
    <n v="15223.6"/>
  </r>
  <r>
    <x v="23"/>
    <x v="3"/>
    <x v="2"/>
    <n v="14292.44"/>
    <n v="3973.3"/>
    <n v="0"/>
    <n v="13508.15"/>
    <n v="15076.72"/>
  </r>
  <r>
    <x v="23"/>
    <x v="4"/>
    <x v="2"/>
    <n v="15095"/>
    <n v="7185.22"/>
    <n v="0"/>
    <n v="14266.68"/>
    <n v="15923.33"/>
  </r>
  <r>
    <x v="23"/>
    <x v="5"/>
    <x v="2"/>
    <n v="6103.68"/>
    <n v="2667.31"/>
    <n v="0"/>
    <n v="5768.74"/>
    <n v="6438.61"/>
  </r>
  <r>
    <x v="23"/>
    <x v="6"/>
    <x v="2"/>
    <n v="8845.1"/>
    <n v="3069.25"/>
    <n v="0"/>
    <n v="8359.73"/>
    <n v="9330.459999999999"/>
  </r>
  <r>
    <x v="23"/>
    <x v="7"/>
    <x v="2"/>
    <n v="1644.75"/>
    <n v="822.37"/>
    <n v="0"/>
    <n v="1554.5"/>
    <n v="1735"/>
  </r>
  <r>
    <x v="23"/>
    <x v="8"/>
    <x v="2"/>
    <n v="2357.56"/>
    <n v="973.67"/>
    <n v="0"/>
    <n v="2228.19"/>
    <n v="2486.92"/>
  </r>
  <r>
    <x v="23"/>
    <x v="9"/>
    <x v="2"/>
    <n v="2125.44"/>
    <n v="911.8099999999999"/>
    <n v="0"/>
    <n v="2008.8"/>
    <n v="2242.07"/>
  </r>
  <r>
    <x v="23"/>
    <x v="10"/>
    <x v="2"/>
    <n v="8699.110000000001"/>
    <n v="3871.1"/>
    <n v="0"/>
    <n v="8221.75"/>
    <n v="9176.469999999999"/>
  </r>
  <r>
    <x v="24"/>
    <x v="0"/>
    <x v="1"/>
    <n v="5048.16"/>
    <n v="0"/>
    <n v="0"/>
    <n v="4771.15"/>
    <n v="5325.18"/>
  </r>
  <r>
    <x v="24"/>
    <x v="1"/>
    <x v="1"/>
    <n v="10979.67"/>
    <n v="0"/>
    <n v="0"/>
    <n v="10377.17"/>
    <n v="11582.17"/>
  </r>
  <r>
    <x v="24"/>
    <x v="2"/>
    <x v="1"/>
    <n v="14985.25"/>
    <n v="0"/>
    <n v="0"/>
    <n v="14162.95"/>
    <n v="15807.56"/>
  </r>
  <r>
    <x v="24"/>
    <x v="3"/>
    <x v="1"/>
    <n v="13855.91"/>
    <n v="0"/>
    <n v="0"/>
    <n v="13095.58"/>
    <n v="14616.24"/>
  </r>
  <r>
    <x v="24"/>
    <x v="4"/>
    <x v="1"/>
    <n v="15781.11"/>
    <n v="0"/>
    <n v="0"/>
    <n v="14915.13"/>
    <n v="16647.09"/>
  </r>
  <r>
    <x v="24"/>
    <x v="5"/>
    <x v="1"/>
    <n v="6279.19"/>
    <n v="0"/>
    <n v="0"/>
    <n v="5934.62"/>
    <n v="6623.75"/>
  </r>
  <r>
    <x v="24"/>
    <x v="6"/>
    <x v="1"/>
    <n v="8336.110000000001"/>
    <n v="0"/>
    <n v="0"/>
    <n v="7878.68"/>
    <n v="8793.549999999999"/>
  </r>
  <r>
    <x v="24"/>
    <x v="7"/>
    <x v="1"/>
    <n v="1445.46"/>
    <n v="0"/>
    <n v="0"/>
    <n v="1366.15"/>
    <n v="1524.78"/>
  </r>
  <r>
    <x v="24"/>
    <x v="8"/>
    <x v="1"/>
    <n v="2305.84"/>
    <n v="0"/>
    <n v="0"/>
    <n v="2179.31"/>
    <n v="2432.38"/>
  </r>
  <r>
    <x v="24"/>
    <x v="9"/>
    <x v="1"/>
    <n v="2391.21"/>
    <n v="0"/>
    <n v="0"/>
    <n v="2260"/>
    <n v="2522.43"/>
  </r>
  <r>
    <x v="24"/>
    <x v="10"/>
    <x v="1"/>
    <n v="9017.75"/>
    <n v="0"/>
    <n v="0"/>
    <n v="8522.91"/>
    <n v="9512.59"/>
  </r>
  <r>
    <x v="25"/>
    <x v="0"/>
    <x v="1"/>
    <n v="5465.11"/>
    <n v="0"/>
    <n v="0"/>
    <n v="5165.22"/>
    <n v="5765"/>
  </r>
  <r>
    <x v="25"/>
    <x v="1"/>
    <x v="1"/>
    <n v="13210.67"/>
    <n v="0"/>
    <n v="0"/>
    <n v="12485.74"/>
    <n v="13935.59"/>
  </r>
  <r>
    <x v="25"/>
    <x v="2"/>
    <x v="1"/>
    <n v="18661.31"/>
    <n v="0"/>
    <n v="0"/>
    <n v="17637.29"/>
    <n v="19685.34"/>
  </r>
  <r>
    <x v="25"/>
    <x v="3"/>
    <x v="1"/>
    <n v="15371.45"/>
    <n v="0"/>
    <n v="0"/>
    <n v="14527.95"/>
    <n v="16214.95"/>
  </r>
  <r>
    <x v="25"/>
    <x v="4"/>
    <x v="1"/>
    <n v="18730.55"/>
    <n v="0"/>
    <n v="0"/>
    <n v="17702.72"/>
    <n v="19758.37"/>
  </r>
  <r>
    <x v="25"/>
    <x v="5"/>
    <x v="1"/>
    <n v="6716.29"/>
    <n v="0"/>
    <n v="0"/>
    <n v="6347.73"/>
    <n v="7084.84"/>
  </r>
  <r>
    <x v="25"/>
    <x v="6"/>
    <x v="1"/>
    <n v="8371.459999999999"/>
    <n v="0"/>
    <n v="0"/>
    <n v="7912.09"/>
    <n v="8830.84"/>
  </r>
  <r>
    <x v="25"/>
    <x v="7"/>
    <x v="1"/>
    <n v="1669.12"/>
    <n v="0"/>
    <n v="0"/>
    <n v="1577.53"/>
    <n v="1760.72"/>
  </r>
  <r>
    <x v="25"/>
    <x v="8"/>
    <x v="1"/>
    <n v="2735.14"/>
    <n v="0"/>
    <n v="0"/>
    <n v="2585.05"/>
    <n v="2885.23"/>
  </r>
  <r>
    <x v="25"/>
    <x v="9"/>
    <x v="1"/>
    <n v="2642.64"/>
    <n v="0"/>
    <n v="0"/>
    <n v="2497.63"/>
    <n v="2787.65"/>
  </r>
  <r>
    <x v="25"/>
    <x v="10"/>
    <x v="1"/>
    <n v="9585.23"/>
    <n v="0"/>
    <n v="0"/>
    <n v="9059.25"/>
    <n v="10111.22"/>
  </r>
  <r>
    <x v="26"/>
    <x v="0"/>
    <x v="1"/>
    <n v="4456.82"/>
    <n v="0"/>
    <n v="0"/>
    <n v="4212.26"/>
    <n v="4701.39"/>
  </r>
  <r>
    <x v="26"/>
    <x v="1"/>
    <x v="1"/>
    <n v="10479.16"/>
    <n v="0"/>
    <n v="0"/>
    <n v="9904.120000000001"/>
    <n v="11054.19"/>
  </r>
  <r>
    <x v="26"/>
    <x v="2"/>
    <x v="1"/>
    <n v="16341.84"/>
    <n v="0"/>
    <n v="0"/>
    <n v="15445.09"/>
    <n v="17238.59"/>
  </r>
  <r>
    <x v="26"/>
    <x v="3"/>
    <x v="1"/>
    <n v="12523.17"/>
    <n v="0"/>
    <n v="0"/>
    <n v="11835.97"/>
    <n v="13210.37"/>
  </r>
  <r>
    <x v="26"/>
    <x v="4"/>
    <x v="1"/>
    <n v="15782.24"/>
    <n v="0"/>
    <n v="0"/>
    <n v="14916.2"/>
    <n v="16648.28"/>
  </r>
  <r>
    <x v="26"/>
    <x v="5"/>
    <x v="1"/>
    <n v="5243.71"/>
    <n v="0"/>
    <n v="0"/>
    <n v="4955.96"/>
    <n v="5531.45"/>
  </r>
  <r>
    <x v="26"/>
    <x v="6"/>
    <x v="1"/>
    <n v="7607.36"/>
    <n v="0"/>
    <n v="0"/>
    <n v="7189.91"/>
    <n v="8024.8"/>
  </r>
  <r>
    <x v="26"/>
    <x v="7"/>
    <x v="1"/>
    <n v="1417.55"/>
    <n v="0"/>
    <n v="0"/>
    <n v="1339.76"/>
    <n v="1495.34"/>
  </r>
  <r>
    <x v="26"/>
    <x v="8"/>
    <x v="1"/>
    <n v="2138.33"/>
    <n v="0"/>
    <n v="0"/>
    <n v="2020.99"/>
    <n v="2255.67"/>
  </r>
  <r>
    <x v="26"/>
    <x v="9"/>
    <x v="1"/>
    <n v="2229.8"/>
    <n v="0"/>
    <n v="0"/>
    <n v="2107.44"/>
    <n v="2352.16"/>
  </r>
  <r>
    <x v="26"/>
    <x v="10"/>
    <x v="1"/>
    <n v="7845.69"/>
    <n v="0"/>
    <n v="0"/>
    <n v="7415.17"/>
    <n v="8276.219999999999"/>
  </r>
  <r>
    <x v="27"/>
    <x v="0"/>
    <x v="1"/>
    <n v="4641.32"/>
    <n v="0"/>
    <n v="0"/>
    <n v="4386.63"/>
    <n v="4896.01"/>
  </r>
  <r>
    <x v="27"/>
    <x v="1"/>
    <x v="1"/>
    <n v="10420.66"/>
    <n v="0"/>
    <n v="0"/>
    <n v="9848.83"/>
    <n v="10992.48"/>
  </r>
  <r>
    <x v="27"/>
    <x v="2"/>
    <x v="1"/>
    <n v="16159.87"/>
    <n v="0"/>
    <n v="0"/>
    <n v="15273.11"/>
    <n v="17046.63"/>
  </r>
  <r>
    <x v="27"/>
    <x v="3"/>
    <x v="1"/>
    <n v="13756.78"/>
    <n v="0"/>
    <n v="0"/>
    <n v="13001.89"/>
    <n v="14511.68"/>
  </r>
  <r>
    <x v="27"/>
    <x v="4"/>
    <x v="1"/>
    <n v="15921.83"/>
    <n v="0"/>
    <n v="0"/>
    <n v="15048.14"/>
    <n v="16795.53"/>
  </r>
  <r>
    <x v="27"/>
    <x v="5"/>
    <x v="1"/>
    <n v="5601.61"/>
    <n v="0"/>
    <n v="0"/>
    <n v="5294.22"/>
    <n v="5908.99"/>
  </r>
  <r>
    <x v="27"/>
    <x v="6"/>
    <x v="1"/>
    <n v="7767.61"/>
    <n v="0"/>
    <n v="0"/>
    <n v="7341.36"/>
    <n v="8193.85"/>
  </r>
  <r>
    <x v="27"/>
    <x v="7"/>
    <x v="1"/>
    <n v="1570.47"/>
    <n v="0"/>
    <n v="0"/>
    <n v="1484.29"/>
    <n v="1656.65"/>
  </r>
  <r>
    <x v="27"/>
    <x v="8"/>
    <x v="1"/>
    <n v="2062.56"/>
    <n v="0"/>
    <n v="0"/>
    <n v="1949.38"/>
    <n v="2175.75"/>
  </r>
  <r>
    <x v="27"/>
    <x v="9"/>
    <x v="1"/>
    <n v="2250.86"/>
    <n v="0"/>
    <n v="0"/>
    <n v="2127.35"/>
    <n v="2374.38"/>
  </r>
  <r>
    <x v="27"/>
    <x v="10"/>
    <x v="1"/>
    <n v="8312.66"/>
    <n v="0"/>
    <n v="0"/>
    <n v="7856.51"/>
    <n v="8768.809999999999"/>
  </r>
  <r>
    <x v="28"/>
    <x v="0"/>
    <x v="1"/>
    <n v="5254.17"/>
    <n v="0"/>
    <n v="0"/>
    <n v="4965.85"/>
    <n v="5542.49"/>
  </r>
  <r>
    <x v="28"/>
    <x v="1"/>
    <x v="1"/>
    <n v="12189.35"/>
    <n v="0"/>
    <n v="0"/>
    <n v="11520.46"/>
    <n v="12858.23"/>
  </r>
  <r>
    <x v="28"/>
    <x v="2"/>
    <x v="1"/>
    <n v="16523.42"/>
    <n v="0"/>
    <n v="0"/>
    <n v="15616.71"/>
    <n v="17430.13"/>
  </r>
  <r>
    <x v="28"/>
    <x v="3"/>
    <x v="1"/>
    <n v="14225.22"/>
    <n v="0"/>
    <n v="0"/>
    <n v="13444.62"/>
    <n v="15005.82"/>
  </r>
  <r>
    <x v="28"/>
    <x v="4"/>
    <x v="1"/>
    <n v="16621.24"/>
    <n v="0"/>
    <n v="0"/>
    <n v="15709.17"/>
    <n v="17533.32"/>
  </r>
  <r>
    <x v="28"/>
    <x v="5"/>
    <x v="1"/>
    <n v="6192.3"/>
    <n v="0"/>
    <n v="0"/>
    <n v="5852.5"/>
    <n v="6532.1"/>
  </r>
  <r>
    <x v="28"/>
    <x v="6"/>
    <x v="1"/>
    <n v="9046.09"/>
    <n v="0"/>
    <n v="0"/>
    <n v="8549.690000000001"/>
    <n v="9542.49"/>
  </r>
  <r>
    <x v="28"/>
    <x v="7"/>
    <x v="1"/>
    <n v="1744.75"/>
    <n v="0"/>
    <n v="0"/>
    <n v="1649.01"/>
    <n v="1840.49"/>
  </r>
  <r>
    <x v="28"/>
    <x v="8"/>
    <x v="1"/>
    <n v="2426.92"/>
    <n v="0"/>
    <n v="0"/>
    <n v="2293.74"/>
    <n v="2560.09"/>
  </r>
  <r>
    <x v="28"/>
    <x v="9"/>
    <x v="1"/>
    <n v="2576.48"/>
    <n v="0"/>
    <n v="0"/>
    <n v="2435.1"/>
    <n v="2717.86"/>
  </r>
  <r>
    <x v="28"/>
    <x v="10"/>
    <x v="1"/>
    <n v="9458.66"/>
    <n v="0"/>
    <n v="0"/>
    <n v="8939.629999999999"/>
    <n v="9977.700000000001"/>
  </r>
  <r>
    <x v="29"/>
    <x v="0"/>
    <x v="1"/>
    <n v="5247.42"/>
    <n v="0"/>
    <n v="0"/>
    <n v="4959.47"/>
    <n v="5535.36"/>
  </r>
  <r>
    <x v="29"/>
    <x v="1"/>
    <x v="1"/>
    <n v="9358.77"/>
    <n v="0"/>
    <n v="0"/>
    <n v="8845.219999999999"/>
    <n v="9872.33"/>
  </r>
  <r>
    <x v="29"/>
    <x v="2"/>
    <x v="1"/>
    <n v="14218.63"/>
    <n v="0"/>
    <n v="0"/>
    <n v="13438.39"/>
    <n v="14998.86"/>
  </r>
  <r>
    <x v="29"/>
    <x v="3"/>
    <x v="1"/>
    <n v="13802.2"/>
    <n v="0"/>
    <n v="0"/>
    <n v="13044.82"/>
    <n v="14559.59"/>
  </r>
  <r>
    <x v="29"/>
    <x v="4"/>
    <x v="1"/>
    <n v="15333.81"/>
    <n v="0"/>
    <n v="0"/>
    <n v="14492.38"/>
    <n v="16175.24"/>
  </r>
  <r>
    <x v="29"/>
    <x v="5"/>
    <x v="1"/>
    <n v="5555.63"/>
    <n v="0"/>
    <n v="0"/>
    <n v="5250.77"/>
    <n v="5860.49"/>
  </r>
  <r>
    <x v="29"/>
    <x v="6"/>
    <x v="1"/>
    <n v="8348.84"/>
    <n v="0"/>
    <n v="0"/>
    <n v="7890.71"/>
    <n v="8806.98"/>
  </r>
  <r>
    <x v="29"/>
    <x v="7"/>
    <x v="1"/>
    <n v="1412.75"/>
    <n v="0"/>
    <n v="0"/>
    <n v="1335.23"/>
    <n v="1490.28"/>
  </r>
  <r>
    <x v="29"/>
    <x v="8"/>
    <x v="1"/>
    <n v="2183.77"/>
    <n v="0"/>
    <n v="0"/>
    <n v="2063.94"/>
    <n v="2303.6"/>
  </r>
  <r>
    <x v="29"/>
    <x v="9"/>
    <x v="1"/>
    <n v="2158.94"/>
    <n v="0"/>
    <n v="0"/>
    <n v="2040.47"/>
    <n v="2277.41"/>
  </r>
  <r>
    <x v="29"/>
    <x v="10"/>
    <x v="1"/>
    <n v="8770.76"/>
    <n v="0"/>
    <n v="0"/>
    <n v="8289.469999999999"/>
    <n v="9252.049999999999"/>
  </r>
  <r>
    <x v="30"/>
    <x v="0"/>
    <x v="1"/>
    <n v="5637.91"/>
    <n v="0"/>
    <n v="0"/>
    <n v="5328.53"/>
    <n v="5947.28"/>
  </r>
  <r>
    <x v="30"/>
    <x v="1"/>
    <x v="1"/>
    <n v="9562.98"/>
    <n v="0"/>
    <n v="0"/>
    <n v="9038.219999999999"/>
    <n v="10087.74"/>
  </r>
  <r>
    <x v="30"/>
    <x v="2"/>
    <x v="1"/>
    <n v="12723.87"/>
    <n v="0"/>
    <n v="0"/>
    <n v="12025.66"/>
    <n v="13422.09"/>
  </r>
  <r>
    <x v="30"/>
    <x v="3"/>
    <x v="1"/>
    <n v="13806.55"/>
    <n v="0"/>
    <n v="0"/>
    <n v="13048.92"/>
    <n v="14564.17"/>
  </r>
  <r>
    <x v="30"/>
    <x v="4"/>
    <x v="1"/>
    <n v="15026.51"/>
    <n v="0"/>
    <n v="0"/>
    <n v="14201.94"/>
    <n v="15851.08"/>
  </r>
  <r>
    <x v="30"/>
    <x v="5"/>
    <x v="1"/>
    <n v="6338.39"/>
    <n v="0"/>
    <n v="0"/>
    <n v="5990.58"/>
    <n v="6686.21"/>
  </r>
  <r>
    <x v="30"/>
    <x v="6"/>
    <x v="1"/>
    <n v="9752.940000000001"/>
    <n v="0"/>
    <n v="0"/>
    <n v="9217.75"/>
    <n v="10288.12"/>
  </r>
  <r>
    <x v="30"/>
    <x v="7"/>
    <x v="1"/>
    <n v="1283.94"/>
    <n v="0"/>
    <n v="0"/>
    <n v="1213.49"/>
    <n v="1354.4"/>
  </r>
  <r>
    <x v="30"/>
    <x v="8"/>
    <x v="1"/>
    <n v="2268.53"/>
    <n v="0"/>
    <n v="0"/>
    <n v="2144.05"/>
    <n v="2393.02"/>
  </r>
  <r>
    <x v="30"/>
    <x v="9"/>
    <x v="1"/>
    <n v="1968.4"/>
    <n v="0"/>
    <n v="0"/>
    <n v="1860.39"/>
    <n v="2076.42"/>
  </r>
  <r>
    <x v="30"/>
    <x v="10"/>
    <x v="1"/>
    <n v="9431.690000000001"/>
    <n v="0"/>
    <n v="0"/>
    <n v="8914.139999999999"/>
    <n v="9949.25"/>
  </r>
  <r>
    <x v="31"/>
    <x v="0"/>
    <x v="1"/>
    <n v="5312.66"/>
    <n v="0"/>
    <n v="0"/>
    <n v="5021.13"/>
    <n v="5604.19"/>
  </r>
  <r>
    <x v="31"/>
    <x v="1"/>
    <x v="1"/>
    <n v="8471.08"/>
    <n v="0"/>
    <n v="0"/>
    <n v="8006.24"/>
    <n v="8935.93"/>
  </r>
  <r>
    <x v="31"/>
    <x v="2"/>
    <x v="1"/>
    <n v="11016.9"/>
    <n v="0"/>
    <n v="0"/>
    <n v="10412.36"/>
    <n v="11621.44"/>
  </r>
  <r>
    <x v="31"/>
    <x v="3"/>
    <x v="1"/>
    <n v="13949.9"/>
    <n v="0"/>
    <n v="0"/>
    <n v="13184.41"/>
    <n v="14715.39"/>
  </r>
  <r>
    <x v="31"/>
    <x v="4"/>
    <x v="1"/>
    <n v="14892.66"/>
    <n v="0"/>
    <n v="0"/>
    <n v="14075.43"/>
    <n v="15709.88"/>
  </r>
  <r>
    <x v="31"/>
    <x v="5"/>
    <x v="1"/>
    <n v="6102.25"/>
    <n v="0"/>
    <n v="0"/>
    <n v="5767.39"/>
    <n v="6437.1"/>
  </r>
  <r>
    <x v="31"/>
    <x v="6"/>
    <x v="1"/>
    <n v="9995.93"/>
    <n v="0"/>
    <n v="0"/>
    <n v="9447.41"/>
    <n v="10544.45"/>
  </r>
  <r>
    <x v="31"/>
    <x v="7"/>
    <x v="1"/>
    <n v="1492.54"/>
    <n v="0"/>
    <n v="0"/>
    <n v="1410.64"/>
    <n v="1574.44"/>
  </r>
  <r>
    <x v="31"/>
    <x v="8"/>
    <x v="1"/>
    <n v="2362.73"/>
    <n v="0"/>
    <n v="0"/>
    <n v="2233.08"/>
    <n v="2492.38"/>
  </r>
  <r>
    <x v="31"/>
    <x v="9"/>
    <x v="1"/>
    <n v="1918.14"/>
    <n v="0"/>
    <n v="0"/>
    <n v="1812.88"/>
    <n v="2023.4"/>
  </r>
  <r>
    <x v="31"/>
    <x v="10"/>
    <x v="1"/>
    <n v="8958.67"/>
    <n v="0"/>
    <n v="0"/>
    <n v="8467.07"/>
    <n v="9450.27"/>
  </r>
  <r>
    <x v="32"/>
    <x v="0"/>
    <x v="1"/>
    <n v="5763"/>
    <n v="0"/>
    <n v="0"/>
    <n v="5446.76"/>
    <n v="6079.24"/>
  </r>
  <r>
    <x v="32"/>
    <x v="1"/>
    <x v="1"/>
    <n v="8555.83"/>
    <n v="0"/>
    <n v="0"/>
    <n v="8086.33"/>
    <n v="9025.32"/>
  </r>
  <r>
    <x v="32"/>
    <x v="2"/>
    <x v="1"/>
    <n v="10809.21"/>
    <n v="0"/>
    <n v="0"/>
    <n v="10216.06"/>
    <n v="11402.36"/>
  </r>
  <r>
    <x v="32"/>
    <x v="3"/>
    <x v="1"/>
    <n v="14606.79"/>
    <n v="0"/>
    <n v="0"/>
    <n v="13805.26"/>
    <n v="15408.33"/>
  </r>
  <r>
    <x v="32"/>
    <x v="4"/>
    <x v="1"/>
    <n v="15416.38"/>
    <n v="0"/>
    <n v="0"/>
    <n v="14570.42"/>
    <n v="16262.35"/>
  </r>
  <r>
    <x v="32"/>
    <x v="5"/>
    <x v="1"/>
    <n v="5962.94"/>
    <n v="0"/>
    <n v="0"/>
    <n v="5635.72"/>
    <n v="6290.15"/>
  </r>
  <r>
    <x v="32"/>
    <x v="6"/>
    <x v="1"/>
    <n v="10344.51"/>
    <n v="0"/>
    <n v="0"/>
    <n v="9776.860000000001"/>
    <n v="10912.15"/>
  </r>
  <r>
    <x v="32"/>
    <x v="7"/>
    <x v="1"/>
    <n v="1403.93"/>
    <n v="0"/>
    <n v="0"/>
    <n v="1326.89"/>
    <n v="1480.97"/>
  </r>
  <r>
    <x v="32"/>
    <x v="8"/>
    <x v="1"/>
    <n v="2637.75"/>
    <n v="0"/>
    <n v="0"/>
    <n v="2493.01"/>
    <n v="2782.5"/>
  </r>
  <r>
    <x v="32"/>
    <x v="9"/>
    <x v="1"/>
    <n v="1902.27"/>
    <n v="0"/>
    <n v="0"/>
    <n v="1797.89"/>
    <n v="2006.66"/>
  </r>
  <r>
    <x v="32"/>
    <x v="10"/>
    <x v="1"/>
    <n v="9994.809999999999"/>
    <n v="0"/>
    <n v="0"/>
    <n v="9446.35"/>
    <n v="10543.27"/>
  </r>
  <r>
    <x v="33"/>
    <x v="0"/>
    <x v="1"/>
    <n v="5387.79"/>
    <n v="0"/>
    <n v="0"/>
    <n v="5092.14"/>
    <n v="5683.44"/>
  </r>
  <r>
    <x v="33"/>
    <x v="1"/>
    <x v="1"/>
    <n v="8379.610000000001"/>
    <n v="0"/>
    <n v="0"/>
    <n v="7919.78"/>
    <n v="8839.43"/>
  </r>
  <r>
    <x v="33"/>
    <x v="2"/>
    <x v="1"/>
    <n v="11705.88"/>
    <n v="0"/>
    <n v="0"/>
    <n v="11063.52"/>
    <n v="12348.23"/>
  </r>
  <r>
    <x v="33"/>
    <x v="3"/>
    <x v="1"/>
    <n v="13698.81"/>
    <n v="0"/>
    <n v="0"/>
    <n v="12947.09"/>
    <n v="14450.52"/>
  </r>
  <r>
    <x v="33"/>
    <x v="4"/>
    <x v="1"/>
    <n v="15294.15"/>
    <n v="0"/>
    <n v="0"/>
    <n v="14454.9"/>
    <n v="16133.41"/>
  </r>
  <r>
    <x v="33"/>
    <x v="5"/>
    <x v="1"/>
    <n v="5806.53"/>
    <n v="0"/>
    <n v="0"/>
    <n v="5487.9"/>
    <n v="6125.16"/>
  </r>
  <r>
    <x v="33"/>
    <x v="6"/>
    <x v="1"/>
    <n v="9990.959999999999"/>
    <n v="0"/>
    <n v="0"/>
    <n v="9442.709999999999"/>
    <n v="10539.21"/>
  </r>
  <r>
    <x v="33"/>
    <x v="7"/>
    <x v="1"/>
    <n v="1480.77"/>
    <n v="0"/>
    <n v="0"/>
    <n v="1399.51"/>
    <n v="1562.02"/>
  </r>
  <r>
    <x v="33"/>
    <x v="8"/>
    <x v="1"/>
    <n v="2584.02"/>
    <n v="0"/>
    <n v="0"/>
    <n v="2442.23"/>
    <n v="2725.82"/>
  </r>
  <r>
    <x v="33"/>
    <x v="9"/>
    <x v="1"/>
    <n v="1847.97"/>
    <n v="0"/>
    <n v="0"/>
    <n v="1746.56"/>
    <n v="1949.37"/>
  </r>
  <r>
    <x v="33"/>
    <x v="10"/>
    <x v="1"/>
    <n v="9491.76"/>
    <n v="0"/>
    <n v="0"/>
    <n v="8970.91"/>
    <n v="10012.62"/>
  </r>
  <r>
    <x v="34"/>
    <x v="0"/>
    <x v="1"/>
    <n v="5213.71"/>
    <n v="0"/>
    <n v="0"/>
    <n v="4927.61"/>
    <n v="5499.81"/>
  </r>
  <r>
    <x v="34"/>
    <x v="1"/>
    <x v="1"/>
    <n v="8917.219999999999"/>
    <n v="0"/>
    <n v="0"/>
    <n v="8427.889999999999"/>
    <n v="9406.540000000001"/>
  </r>
  <r>
    <x v="34"/>
    <x v="2"/>
    <x v="1"/>
    <n v="12539.62"/>
    <n v="0"/>
    <n v="0"/>
    <n v="11851.52"/>
    <n v="13227.72"/>
  </r>
  <r>
    <x v="34"/>
    <x v="3"/>
    <x v="1"/>
    <n v="13204.64"/>
    <n v="0"/>
    <n v="0"/>
    <n v="12480.04"/>
    <n v="13929.23"/>
  </r>
  <r>
    <x v="34"/>
    <x v="4"/>
    <x v="1"/>
    <n v="14537.69"/>
    <n v="0"/>
    <n v="0"/>
    <n v="13739.95"/>
    <n v="15335.44"/>
  </r>
  <r>
    <x v="34"/>
    <x v="5"/>
    <x v="1"/>
    <n v="5899.86"/>
    <n v="0"/>
    <n v="0"/>
    <n v="5576.11"/>
    <n v="6223.61"/>
  </r>
  <r>
    <x v="34"/>
    <x v="6"/>
    <x v="1"/>
    <n v="9251.68"/>
    <n v="0"/>
    <n v="0"/>
    <n v="8744"/>
    <n v="9759.360000000001"/>
  </r>
  <r>
    <x v="34"/>
    <x v="7"/>
    <x v="1"/>
    <n v="1280.96"/>
    <n v="0"/>
    <n v="0"/>
    <n v="1210.67"/>
    <n v="1351.25"/>
  </r>
  <r>
    <x v="34"/>
    <x v="8"/>
    <x v="1"/>
    <n v="2233.48"/>
    <n v="0"/>
    <n v="0"/>
    <n v="2110.92"/>
    <n v="2356.04"/>
  </r>
  <r>
    <x v="34"/>
    <x v="9"/>
    <x v="1"/>
    <n v="2043.51"/>
    <n v="0"/>
    <n v="0"/>
    <n v="1931.37"/>
    <n v="2155.65"/>
  </r>
  <r>
    <x v="34"/>
    <x v="10"/>
    <x v="1"/>
    <n v="9407.4"/>
    <n v="0"/>
    <n v="0"/>
    <n v="8891.17"/>
    <n v="9923.620000000001"/>
  </r>
  <r>
    <x v="35"/>
    <x v="0"/>
    <x v="1"/>
    <n v="5497.38"/>
    <n v="0"/>
    <n v="0"/>
    <n v="5195.72"/>
    <n v="5799.05"/>
  </r>
  <r>
    <x v="35"/>
    <x v="1"/>
    <x v="1"/>
    <n v="8829.41"/>
    <n v="0"/>
    <n v="0"/>
    <n v="8344.9"/>
    <n v="9313.91"/>
  </r>
  <r>
    <x v="35"/>
    <x v="2"/>
    <x v="1"/>
    <n v="15908.41"/>
    <n v="0"/>
    <n v="0"/>
    <n v="15035.44"/>
    <n v="16781.37"/>
  </r>
  <r>
    <x v="35"/>
    <x v="3"/>
    <x v="1"/>
    <n v="14301.7"/>
    <n v="0"/>
    <n v="0"/>
    <n v="13516.91"/>
    <n v="15086.5"/>
  </r>
  <r>
    <x v="35"/>
    <x v="4"/>
    <x v="1"/>
    <n v="15396.58"/>
    <n v="0"/>
    <n v="0"/>
    <n v="14551.7"/>
    <n v="16241.46"/>
  </r>
  <r>
    <x v="35"/>
    <x v="5"/>
    <x v="1"/>
    <n v="6307.55"/>
    <n v="0"/>
    <n v="0"/>
    <n v="5961.43"/>
    <n v="6653.67"/>
  </r>
  <r>
    <x v="35"/>
    <x v="6"/>
    <x v="1"/>
    <n v="9509.66"/>
    <n v="0"/>
    <n v="0"/>
    <n v="8987.83"/>
    <n v="10031.5"/>
  </r>
  <r>
    <x v="35"/>
    <x v="7"/>
    <x v="1"/>
    <n v="1640.79"/>
    <n v="0"/>
    <n v="0"/>
    <n v="1550.76"/>
    <n v="1730.83"/>
  </r>
  <r>
    <x v="35"/>
    <x v="8"/>
    <x v="1"/>
    <n v="2440.63"/>
    <n v="0"/>
    <n v="0"/>
    <n v="2306.7"/>
    <n v="2574.56"/>
  </r>
  <r>
    <x v="35"/>
    <x v="9"/>
    <x v="1"/>
    <n v="2346.49"/>
    <n v="0"/>
    <n v="0"/>
    <n v="2217.73"/>
    <n v="2475.25"/>
  </r>
  <r>
    <x v="35"/>
    <x v="10"/>
    <x v="1"/>
    <n v="9261.9"/>
    <n v="0"/>
    <n v="0"/>
    <n v="8753.66"/>
    <n v="9770.13999999999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E63" firstHeaderRow="1" firstDataRow="2" firstDataCol="1"/>
  <pivotFields count="8">
    <pivotField axis="axisRow" showDropDowns="1" compact="1" outline="1" subtotalTop="1" dragToRow="1" dragToCol="1" dragToPage="1" dragToData="1" dragOff="1" showAll="0" topAutoShow="1" itemPageCount="10" sortType="manual" defaultSubtotal="1">
      <items count="3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1">
    <field x="2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H397" headerRowCount="1">
  <autoFilter ref="A1:H397"/>
  <tableColumns count="8">
    <tableColumn id="1" name="Month"/>
    <tableColumn id="2" name="Category"/>
    <tableColumn id="3" name="Type"/>
    <tableColumn id="4" name="Sales"/>
    <tableColumn id="5" name="Gross margin"/>
    <tableColumn id="6" name="Units"/>
    <tableColumn id="7" name="Low"/>
    <tableColumn id="8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Budget &amp; forecast plan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12 months from Nov 2026 · data to 04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BUDGET (PLAN WINDOW)</t>
        </is>
      </c>
      <c r="D9" s="9" t="n"/>
      <c r="E9" s="8" t="inlineStr">
        <is>
          <t>FORECAST</t>
        </is>
      </c>
      <c r="G9" s="9" t="n"/>
      <c r="H9" s="8" t="inlineStr">
        <is>
          <t>GAP TO BUDGET</t>
        </is>
      </c>
      <c r="J9" s="9" t="n"/>
      <c r="K9" s="8" t="inlineStr">
        <is>
          <t>GAP %</t>
        </is>
      </c>
      <c r="M9" s="9" t="n"/>
    </row>
    <row r="10">
      <c r="B10" s="10">
        <f>SUMIFS(Model!$D$8:$D$19,Model!$L$8:$L$19,1)</f>
        <v>279668.48</v>
      </c>
      <c r="D10" s="9" t="n"/>
      <c r="E10" s="10">
        <f>SUMIFS(Model!$E$8:$E$19,Model!$L$8:$L$19,1)</f>
        <v>279650.3</v>
      </c>
      <c r="G10" s="9" t="n"/>
      <c r="H10" s="10">
        <f>SUMIFS(Model!$H$8:$H$19,Model!$L$8:$L$19,1)</f>
        <v>-18.1800000000076</v>
      </c>
      <c r="J10" s="9" t="n"/>
      <c r="K10" s="11">
        <f>IFERROR(SUMIFS(Model!$H$8:$H$19,Model!$L$8:$L$19,1)/SUMIFS(Model!$D$8:$D$19,Model!$L$8:$L$19,1),0)</f>
        <v>-6.50055379855734e-05</v>
      </c>
      <c r="M10" s="9" t="n"/>
    </row>
    <row r="11">
      <c r="B11" s="9" t="n"/>
      <c r="D11" s="9" t="n"/>
      <c r="E11" s="9" t="n"/>
      <c r="G11" s="9" t="n"/>
      <c r="H11" s="12" t="inlineStr">
        <is>
          <t>Forecast − budget</t>
        </is>
      </c>
      <c r="J11" s="9" t="n"/>
      <c r="K11" s="9" t="n"/>
      <c r="M11" s="9" t="n"/>
    </row>
    <row r="13">
      <c r="B13" s="8" t="inlineStr">
        <is>
          <t>LAST YEAR</t>
        </is>
      </c>
      <c r="D13" s="9" t="n"/>
      <c r="E13" s="8" t="inlineStr">
        <is>
          <t>BUDGET GM %</t>
        </is>
      </c>
      <c r="G13" s="9" t="n"/>
      <c r="H13" s="8" t="inlineStr">
        <is>
          <t>FORECAST LOW</t>
        </is>
      </c>
      <c r="J13" s="9" t="n"/>
      <c r="K13" s="8" t="inlineStr">
        <is>
          <t>FORECAST HIGH</t>
        </is>
      </c>
      <c r="M13" s="9" t="n"/>
    </row>
    <row r="14">
      <c r="B14" s="10">
        <f>SUMIFS(Model!$C$8:$C$19,Model!$L$8:$L$19,1)</f>
        <v>268912</v>
      </c>
      <c r="D14" s="9" t="n"/>
      <c r="E14" s="11">
        <f>IFERROR(SUMIFS(Model!$K$8:$K$19,Model!$L$8:$L$19,1)/SUMIFS(Model!$D$8:$D$19,Model!$L$8:$L$19,1),0)</f>
        <v>0.408370061581484</v>
      </c>
      <c r="G14" s="9" t="n"/>
      <c r="H14" s="10">
        <f>SUMIFS(Model!$F$8:$F$19,Model!$L$8:$L$19,1)</f>
        <v>264304.72</v>
      </c>
      <c r="J14" s="9" t="n"/>
      <c r="K14" s="10">
        <f>SUMIFS(Model!$G$8:$G$19,Model!$L$8:$L$19,1)</f>
        <v>294995.93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14" customWidth="1" min="12" max="12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Monthly plan (next 12 months)</t>
        </is>
      </c>
    </row>
    <row r="6">
      <c r="B6" s="7" t="inlineStr">
        <is>
          <t>Rows inside the plan window (Assumptions: start month + months in plan) are counted in the KPIs.</t>
        </is>
      </c>
    </row>
    <row r="7" ht="28" customHeight="1">
      <c r="B7" s="14" t="inlineStr">
        <is>
          <t>Month</t>
        </is>
      </c>
      <c r="C7" s="14" t="inlineStr">
        <is>
          <t>Last year</t>
        </is>
      </c>
      <c r="D7" s="14" t="inlineStr">
        <is>
          <t>Budget</t>
        </is>
      </c>
      <c r="E7" s="14" t="inlineStr">
        <is>
          <t>Forecast</t>
        </is>
      </c>
      <c r="F7" s="14" t="inlineStr">
        <is>
          <t>Low</t>
        </is>
      </c>
      <c r="G7" s="14" t="inlineStr">
        <is>
          <t>High</t>
        </is>
      </c>
      <c r="H7" s="14" t="inlineStr">
        <is>
          <t>Gap</t>
        </is>
      </c>
      <c r="I7" s="14" t="inlineStr">
        <is>
          <t>Gap %</t>
        </is>
      </c>
      <c r="J7" s="14" t="inlineStr">
        <is>
          <t>LY GM</t>
        </is>
      </c>
      <c r="K7" s="14" t="inlineStr">
        <is>
          <t>Budget GM</t>
        </is>
      </c>
      <c r="L7" s="14" t="inlineStr">
        <is>
          <t>In plan</t>
        </is>
      </c>
    </row>
    <row r="8">
      <c r="B8" s="15" t="n">
        <v>46327</v>
      </c>
      <c r="C8" s="16">
        <f>SUMIFS(Raw!$D$2:$D$397,Raw!$C$2:$C$397,"Actual",Raw!$B$2:$B$397,CatCrit,Raw!$A$2:$A$397,EDATE($B8,-12))+SUMIFS(Raw!$D$2:$D$397,Raw!$C$2:$C$397,"Outlook",Raw!$B$2:$B$397,CatCrit,Raw!$A$2:$A$397,EDATE($B8,-12))</f>
        <v>86971.9</v>
      </c>
      <c r="D8" s="16">
        <f>C8*(1+Assumptions!$C$6)</f>
        <v>90450.776</v>
      </c>
      <c r="E8" s="16">
        <f>SUMIFS(Raw!$D$2:$D$397,Raw!$C$2:$C$397,"Forecast",Raw!$B$2:$B$397,CatCrit,Raw!$A$2:$A$397,$B8)</f>
        <v>90425.66</v>
      </c>
      <c r="F8" s="16">
        <f>SUMIFS(Raw!$G$2:$G$397,Raw!$C$2:$C$397,"Forecast",Raw!$B$2:$B$397,CatCrit,Raw!$A$2:$A$397,$B8)</f>
        <v>85463.65</v>
      </c>
      <c r="G8" s="16">
        <f>SUMIFS(Raw!$H$2:$H$397,Raw!$C$2:$C$397,"Forecast",Raw!$B$2:$B$397,CatCrit,Raw!$A$2:$A$397,$B8)</f>
        <v>95387.72</v>
      </c>
      <c r="H8" s="16">
        <f>E8-D8</f>
        <v>-25.1159999999945</v>
      </c>
      <c r="I8" s="17">
        <f>IFERROR(H8/D8,0)</f>
        <v>-0.000277675893018259</v>
      </c>
      <c r="J8" s="16">
        <f>SUMIFS(Raw!$E$2:$E$397,Raw!$C$2:$C$397,"Actual",Raw!$B$2:$B$397,CatCrit,Raw!$A$2:$A$397,EDATE($B8,-12))+SUMIFS(Raw!$E$2:$E$397,Raw!$C$2:$C$397,"Outlook",Raw!$B$2:$B$397,CatCrit,Raw!$A$2:$A$397,EDATE($B8,-12))</f>
        <v>35440.39</v>
      </c>
      <c r="K8" s="16">
        <f>IFERROR(D8*J8/C8,0)</f>
        <v>36858.0056</v>
      </c>
      <c r="L8" s="18">
        <f>IF(AND($B8&gt;=Assumptions!$C$7,$B8&lt;=EDATE(Assumptions!$C$7,Assumptions!$C$8-1)),1,0)</f>
        <v>1</v>
      </c>
    </row>
    <row r="9">
      <c r="B9" s="15" t="n">
        <v>46357</v>
      </c>
      <c r="C9" s="16">
        <f>SUMIFS(Raw!$D$2:$D$397,Raw!$C$2:$C$397,"Actual",Raw!$B$2:$B$397,CatCrit,Raw!$A$2:$A$397,EDATE($B9,-12))+SUMIFS(Raw!$D$2:$D$397,Raw!$C$2:$C$397,"Outlook",Raw!$B$2:$B$397,CatCrit,Raw!$A$2:$A$397,EDATE($B9,-12))</f>
        <v>99242.75</v>
      </c>
      <c r="D9" s="16">
        <f>C9*(1+Assumptions!$C$6)</f>
        <v>103212.46</v>
      </c>
      <c r="E9" s="16">
        <f>SUMIFS(Raw!$D$2:$D$397,Raw!$C$2:$C$397,"Forecast",Raw!$B$2:$B$397,CatCrit,Raw!$A$2:$A$397,$B9)</f>
        <v>103158.97</v>
      </c>
      <c r="F9" s="16">
        <f>SUMIFS(Raw!$G$2:$G$397,Raw!$C$2:$C$397,"Forecast",Raw!$B$2:$B$397,CatCrit,Raw!$A$2:$A$397,$B9)</f>
        <v>97498.2</v>
      </c>
      <c r="G9" s="16">
        <f>SUMIFS(Raw!$H$2:$H$397,Raw!$C$2:$C$397,"Forecast",Raw!$B$2:$B$397,CatCrit,Raw!$A$2:$A$397,$B9)</f>
        <v>108819.75</v>
      </c>
      <c r="H9" s="16">
        <f>E9-D9</f>
        <v>-53.4900000000052</v>
      </c>
      <c r="I9" s="17">
        <f>IFERROR(H9/D9,0)</f>
        <v>-0.000518251381664629</v>
      </c>
      <c r="J9" s="16">
        <f>SUMIFS(Raw!$E$2:$E$397,Raw!$C$2:$C$397,"Actual",Raw!$B$2:$B$397,CatCrit,Raw!$A$2:$A$397,EDATE($B9,-12))+SUMIFS(Raw!$E$2:$E$397,Raw!$C$2:$C$397,"Outlook",Raw!$B$2:$B$397,CatCrit,Raw!$A$2:$A$397,EDATE($B9,-12))</f>
        <v>40522.87</v>
      </c>
      <c r="K9" s="16">
        <f>IFERROR(D9*J9/C9,0)</f>
        <v>42143.7848</v>
      </c>
      <c r="L9" s="18">
        <f>IF(AND($B9&gt;=Assumptions!$C$7,$B9&lt;=EDATE(Assumptions!$C$7,Assumptions!$C$8-1)),1,0)</f>
        <v>1</v>
      </c>
    </row>
    <row r="10">
      <c r="B10" s="15" t="n">
        <v>46388</v>
      </c>
      <c r="C10" s="16">
        <f>SUMIFS(Raw!$D$2:$D$397,Raw!$C$2:$C$397,"Actual",Raw!$B$2:$B$397,CatCrit,Raw!$A$2:$A$397,EDATE($B10,-12))+SUMIFS(Raw!$D$2:$D$397,Raw!$C$2:$C$397,"Outlook",Raw!$B$2:$B$397,CatCrit,Raw!$A$2:$A$397,EDATE($B10,-12))</f>
        <v>82697.35</v>
      </c>
      <c r="D10" s="16">
        <f>C10*(1+Assumptions!$C$6)</f>
        <v>86005.244</v>
      </c>
      <c r="E10" s="16">
        <f>SUMIFS(Raw!$D$2:$D$397,Raw!$C$2:$C$397,"Forecast",Raw!$B$2:$B$397,CatCrit,Raw!$A$2:$A$397,$B10)</f>
        <v>86065.67</v>
      </c>
      <c r="F10" s="16">
        <f>SUMIFS(Raw!$G$2:$G$397,Raw!$C$2:$C$397,"Forecast",Raw!$B$2:$B$397,CatCrit,Raw!$A$2:$A$397,$B10)</f>
        <v>81342.87</v>
      </c>
      <c r="G10" s="16">
        <f>SUMIFS(Raw!$H$2:$H$397,Raw!$C$2:$C$397,"Forecast",Raw!$B$2:$B$397,CatCrit,Raw!$A$2:$A$397,$B10)</f>
        <v>90788.46</v>
      </c>
      <c r="H10" s="16">
        <f>E10-D10</f>
        <v>60.4259999999922</v>
      </c>
      <c r="I10" s="17">
        <f>IFERROR(H10/D10,0)</f>
        <v>0.000702585065626838</v>
      </c>
      <c r="J10" s="16">
        <f>SUMIFS(Raw!$E$2:$E$397,Raw!$C$2:$C$397,"Actual",Raw!$B$2:$B$397,CatCrit,Raw!$A$2:$A$397,EDATE($B10,-12))+SUMIFS(Raw!$E$2:$E$397,Raw!$C$2:$C$397,"Outlook",Raw!$B$2:$B$397,CatCrit,Raw!$A$2:$A$397,EDATE($B10,-12))</f>
        <v>33852.35</v>
      </c>
      <c r="K10" s="16">
        <f>IFERROR(D10*J10/C10,0)</f>
        <v>35206.444</v>
      </c>
      <c r="L10" s="18">
        <f>IF(AND($B10&gt;=Assumptions!$C$7,$B10&lt;=EDATE(Assumptions!$C$7,Assumptions!$C$8-1)),1,0)</f>
        <v>1</v>
      </c>
    </row>
    <row r="11">
      <c r="B11" s="15" t="n">
        <v>46419</v>
      </c>
      <c r="C11" s="16">
        <f>SUMIFS(Raw!$D$2:$D$397,Raw!$C$2:$C$397,"Actual",Raw!$B$2:$B$397,CatCrit,Raw!$A$2:$A$397,EDATE($B11,-12))+SUMIFS(Raw!$D$2:$D$397,Raw!$C$2:$C$397,"Outlook",Raw!$B$2:$B$397,CatCrit,Raw!$A$2:$A$397,EDATE($B11,-12))</f>
        <v>85044.69</v>
      </c>
      <c r="D11" s="16">
        <f>C11*(1+Assumptions!$C$6)</f>
        <v>88446.4776</v>
      </c>
      <c r="E11" s="16">
        <f>SUMIFS(Raw!$D$2:$D$397,Raw!$C$2:$C$397,"Forecast",Raw!$B$2:$B$397,CatCrit,Raw!$A$2:$A$397,$B11)</f>
        <v>88466.23</v>
      </c>
      <c r="F11" s="16">
        <f>SUMIFS(Raw!$G$2:$G$397,Raw!$C$2:$C$397,"Forecast",Raw!$B$2:$B$397,CatCrit,Raw!$A$2:$A$397,$B11)</f>
        <v>83611.71</v>
      </c>
      <c r="G11" s="16">
        <f>SUMIFS(Raw!$H$2:$H$397,Raw!$C$2:$C$397,"Forecast",Raw!$B$2:$B$397,CatCrit,Raw!$A$2:$A$397,$B11)</f>
        <v>93320.76</v>
      </c>
      <c r="H11" s="16">
        <f>E11-D11</f>
        <v>19.7523999999976</v>
      </c>
      <c r="I11" s="17">
        <f>IFERROR(H11/D11,0)</f>
        <v>0.000223326021973741</v>
      </c>
      <c r="J11" s="16">
        <f>SUMIFS(Raw!$E$2:$E$397,Raw!$C$2:$C$397,"Actual",Raw!$B$2:$B$397,CatCrit,Raw!$A$2:$A$397,EDATE($B11,-12))+SUMIFS(Raw!$E$2:$E$397,Raw!$C$2:$C$397,"Outlook",Raw!$B$2:$B$397,CatCrit,Raw!$A$2:$A$397,EDATE($B11,-12))</f>
        <v>34443.96</v>
      </c>
      <c r="K11" s="16">
        <f>IFERROR(D11*J11/C11,0)</f>
        <v>35821.7184</v>
      </c>
      <c r="L11" s="18">
        <f>IF(AND($B11&gt;=Assumptions!$C$7,$B11&lt;=EDATE(Assumptions!$C$7,Assumptions!$C$8-1)),1,0)</f>
        <v>0</v>
      </c>
    </row>
    <row r="12">
      <c r="B12" s="15" t="n">
        <v>46447</v>
      </c>
      <c r="C12" s="16">
        <f>SUMIFS(Raw!$D$2:$D$397,Raw!$C$2:$C$397,"Actual",Raw!$B$2:$B$397,CatCrit,Raw!$A$2:$A$397,EDATE($B12,-12))+SUMIFS(Raw!$D$2:$D$397,Raw!$C$2:$C$397,"Outlook",Raw!$B$2:$B$397,CatCrit,Raw!$A$2:$A$397,EDATE($B12,-12))</f>
        <v>92566.8</v>
      </c>
      <c r="D12" s="16">
        <f>C12*(1+Assumptions!$C$6)</f>
        <v>96269.472</v>
      </c>
      <c r="E12" s="16">
        <f>SUMIFS(Raw!$D$2:$D$397,Raw!$C$2:$C$397,"Forecast",Raw!$B$2:$B$397,CatCrit,Raw!$A$2:$A$397,$B12)</f>
        <v>96258.6</v>
      </c>
      <c r="F12" s="16">
        <f>SUMIFS(Raw!$G$2:$G$397,Raw!$C$2:$C$397,"Forecast",Raw!$B$2:$B$397,CatCrit,Raw!$A$2:$A$397,$B12)</f>
        <v>90976.48</v>
      </c>
      <c r="G12" s="16">
        <f>SUMIFS(Raw!$H$2:$H$397,Raw!$C$2:$C$397,"Forecast",Raw!$B$2:$B$397,CatCrit,Raw!$A$2:$A$397,$B12)</f>
        <v>101540.72</v>
      </c>
      <c r="H12" s="16">
        <f>E12-D12</f>
        <v>-10.872000000003</v>
      </c>
      <c r="I12" s="17">
        <f>IFERROR(H12/D12,0)</f>
        <v>-0.000112932997077236</v>
      </c>
      <c r="J12" s="16">
        <f>SUMIFS(Raw!$E$2:$E$397,Raw!$C$2:$C$397,"Actual",Raw!$B$2:$B$397,CatCrit,Raw!$A$2:$A$397,EDATE($B12,-12))+SUMIFS(Raw!$E$2:$E$397,Raw!$C$2:$C$397,"Outlook",Raw!$B$2:$B$397,CatCrit,Raw!$A$2:$A$397,EDATE($B12,-12))</f>
        <v>37684.22</v>
      </c>
      <c r="K12" s="16">
        <f>IFERROR(D12*J12/C12,0)</f>
        <v>39191.5888</v>
      </c>
      <c r="L12" s="18">
        <f>IF(AND($B12&gt;=Assumptions!$C$7,$B12&lt;=EDATE(Assumptions!$C$7,Assumptions!$C$8-1)),1,0)</f>
        <v>0</v>
      </c>
    </row>
    <row r="13">
      <c r="B13" s="15" t="n">
        <v>46478</v>
      </c>
      <c r="C13" s="16">
        <f>SUMIFS(Raw!$D$2:$D$397,Raw!$C$2:$C$397,"Actual",Raw!$B$2:$B$397,CatCrit,Raw!$A$2:$A$397,EDATE($B13,-12))+SUMIFS(Raw!$D$2:$D$397,Raw!$C$2:$C$397,"Outlook",Raw!$B$2:$B$397,CatCrit,Raw!$A$2:$A$397,EDATE($B13,-12))</f>
        <v>83021.65</v>
      </c>
      <c r="D13" s="16">
        <f>C13*(1+Assumptions!$C$6)</f>
        <v>86342.516</v>
      </c>
      <c r="E13" s="16">
        <f>SUMIFS(Raw!$D$2:$D$397,Raw!$C$2:$C$397,"Forecast",Raw!$B$2:$B$397,CatCrit,Raw!$A$2:$A$397,$B13)</f>
        <v>86391.52</v>
      </c>
      <c r="F13" s="16">
        <f>SUMIFS(Raw!$G$2:$G$397,Raw!$C$2:$C$397,"Forecast",Raw!$B$2:$B$397,CatCrit,Raw!$A$2:$A$397,$B13)</f>
        <v>81650.87</v>
      </c>
      <c r="G13" s="16">
        <f>SUMIFS(Raw!$H$2:$H$397,Raw!$C$2:$C$397,"Forecast",Raw!$B$2:$B$397,CatCrit,Raw!$A$2:$A$397,$B13)</f>
        <v>91132.19</v>
      </c>
      <c r="H13" s="16">
        <f>E13-D13</f>
        <v>49.0040000000008</v>
      </c>
      <c r="I13" s="17">
        <f>IFERROR(H13/D13,0)</f>
        <v>0.000567553532954736</v>
      </c>
      <c r="J13" s="16">
        <f>SUMIFS(Raw!$E$2:$E$397,Raw!$C$2:$C$397,"Actual",Raw!$B$2:$B$397,CatCrit,Raw!$A$2:$A$397,EDATE($B13,-12))+SUMIFS(Raw!$E$2:$E$397,Raw!$C$2:$C$397,"Outlook",Raw!$B$2:$B$397,CatCrit,Raw!$A$2:$A$397,EDATE($B13,-12))</f>
        <v>33817.67</v>
      </c>
      <c r="K13" s="16">
        <f>IFERROR(D13*J13/C13,0)</f>
        <v>35170.3768</v>
      </c>
      <c r="L13" s="18">
        <f>IF(AND($B13&gt;=Assumptions!$C$7,$B13&lt;=EDATE(Assumptions!$C$7,Assumptions!$C$8-1)),1,0)</f>
        <v>0</v>
      </c>
    </row>
    <row r="14">
      <c r="B14" s="15" t="n">
        <v>46508</v>
      </c>
      <c r="C14" s="16">
        <f>SUMIFS(Raw!$D$2:$D$397,Raw!$C$2:$C$397,"Actual",Raw!$B$2:$B$397,CatCrit,Raw!$A$2:$A$397,EDATE($B14,-12))+SUMIFS(Raw!$D$2:$D$397,Raw!$C$2:$C$397,"Outlook",Raw!$B$2:$B$397,CatCrit,Raw!$A$2:$A$397,EDATE($B14,-12))</f>
        <v>84401.88</v>
      </c>
      <c r="D14" s="16">
        <f>C14*(1+Assumptions!$C$6)</f>
        <v>87777.9552</v>
      </c>
      <c r="E14" s="16">
        <f>SUMIFS(Raw!$D$2:$D$397,Raw!$C$2:$C$397,"Forecast",Raw!$B$2:$B$397,CatCrit,Raw!$A$2:$A$397,$B14)</f>
        <v>87801.71</v>
      </c>
      <c r="F14" s="16">
        <f>SUMIFS(Raw!$G$2:$G$397,Raw!$C$2:$C$397,"Forecast",Raw!$B$2:$B$397,CatCrit,Raw!$A$2:$A$397,$B14)</f>
        <v>82983.67</v>
      </c>
      <c r="G14" s="16">
        <f>SUMIFS(Raw!$H$2:$H$397,Raw!$C$2:$C$397,"Forecast",Raw!$B$2:$B$397,CatCrit,Raw!$A$2:$A$397,$B14)</f>
        <v>92619.78</v>
      </c>
      <c r="H14" s="16">
        <f>E14-D14</f>
        <v>23.7547999999952</v>
      </c>
      <c r="I14" s="17">
        <f>IFERROR(H14/D14,0)</f>
        <v>0.000270623756794863</v>
      </c>
      <c r="J14" s="16">
        <f>SUMIFS(Raw!$E$2:$E$397,Raw!$C$2:$C$397,"Actual",Raw!$B$2:$B$397,CatCrit,Raw!$A$2:$A$397,EDATE($B14,-12))+SUMIFS(Raw!$E$2:$E$397,Raw!$C$2:$C$397,"Outlook",Raw!$B$2:$B$397,CatCrit,Raw!$A$2:$A$397,EDATE($B14,-12))</f>
        <v>33961.24</v>
      </c>
      <c r="K14" s="16">
        <f>IFERROR(D14*J14/C14,0)</f>
        <v>35319.6896</v>
      </c>
      <c r="L14" s="18">
        <f>IF(AND($B14&gt;=Assumptions!$C$7,$B14&lt;=EDATE(Assumptions!$C$7,Assumptions!$C$8-1)),1,0)</f>
        <v>0</v>
      </c>
    </row>
    <row r="15">
      <c r="B15" s="15" t="n">
        <v>46539</v>
      </c>
      <c r="C15" s="16">
        <f>SUMIFS(Raw!$D$2:$D$397,Raw!$C$2:$C$397,"Actual",Raw!$B$2:$B$397,CatCrit,Raw!$A$2:$A$397,EDATE($B15,-12))+SUMIFS(Raw!$D$2:$D$397,Raw!$C$2:$C$397,"Outlook",Raw!$B$2:$B$397,CatCrit,Raw!$A$2:$A$397,EDATE($B15,-12))</f>
        <v>81252.85</v>
      </c>
      <c r="D15" s="16">
        <f>C15*(1+Assumptions!$C$6)</f>
        <v>84502.964</v>
      </c>
      <c r="E15" s="16">
        <f>SUMIFS(Raw!$D$2:$D$397,Raw!$C$2:$C$397,"Forecast",Raw!$B$2:$B$397,CatCrit,Raw!$A$2:$A$397,$B15)</f>
        <v>84473.46</v>
      </c>
      <c r="F15" s="16">
        <f>SUMIFS(Raw!$G$2:$G$397,Raw!$C$2:$C$397,"Forecast",Raw!$B$2:$B$397,CatCrit,Raw!$A$2:$A$397,$B15)</f>
        <v>79838.04</v>
      </c>
      <c r="G15" s="16">
        <f>SUMIFS(Raw!$H$2:$H$397,Raw!$C$2:$C$397,"Forecast",Raw!$B$2:$B$397,CatCrit,Raw!$A$2:$A$397,$B15)</f>
        <v>89108.87</v>
      </c>
      <c r="H15" s="16">
        <f>E15-D15</f>
        <v>-29.5040000000008</v>
      </c>
      <c r="I15" s="17">
        <f>IFERROR(H15/D15,0)</f>
        <v>-0.000349147516293048</v>
      </c>
      <c r="J15" s="16">
        <f>SUMIFS(Raw!$E$2:$E$397,Raw!$C$2:$C$397,"Actual",Raw!$B$2:$B$397,CatCrit,Raw!$A$2:$A$397,EDATE($B15,-12))+SUMIFS(Raw!$E$2:$E$397,Raw!$C$2:$C$397,"Outlook",Raw!$B$2:$B$397,CatCrit,Raw!$A$2:$A$397,EDATE($B15,-12))</f>
        <v>32930.8</v>
      </c>
      <c r="K15" s="16">
        <f>IFERROR(D15*J15/C15,0)</f>
        <v>34248.032</v>
      </c>
      <c r="L15" s="18">
        <f>IF(AND($B15&gt;=Assumptions!$C$7,$B15&lt;=EDATE(Assumptions!$C$7,Assumptions!$C$8-1)),1,0)</f>
        <v>0</v>
      </c>
    </row>
    <row r="16">
      <c r="B16" s="15" t="n">
        <v>46569</v>
      </c>
      <c r="C16" s="16">
        <f>SUMIFS(Raw!$D$2:$D$397,Raw!$C$2:$C$397,"Actual",Raw!$B$2:$B$397,CatCrit,Raw!$A$2:$A$397,EDATE($B16,-12))+SUMIFS(Raw!$D$2:$D$397,Raw!$C$2:$C$397,"Outlook",Raw!$B$2:$B$397,CatCrit,Raw!$A$2:$A$397,EDATE($B16,-12))</f>
        <v>84060.61</v>
      </c>
      <c r="D16" s="16">
        <f>C16*(1+Assumptions!$C$6)</f>
        <v>87423.0344</v>
      </c>
      <c r="E16" s="16">
        <f>SUMIFS(Raw!$D$2:$D$397,Raw!$C$2:$C$397,"Forecast",Raw!$B$2:$B$397,CatCrit,Raw!$A$2:$A$397,$B16)</f>
        <v>87397.42</v>
      </c>
      <c r="F16" s="16">
        <f>SUMIFS(Raw!$G$2:$G$397,Raw!$C$2:$C$397,"Forecast",Raw!$B$2:$B$397,CatCrit,Raw!$A$2:$A$397,$B16)</f>
        <v>82601.55</v>
      </c>
      <c r="G16" s="16">
        <f>SUMIFS(Raw!$H$2:$H$397,Raw!$C$2:$C$397,"Forecast",Raw!$B$2:$B$397,CatCrit,Raw!$A$2:$A$397,$B16)</f>
        <v>92193.3</v>
      </c>
      <c r="H16" s="16">
        <f>E16-D16</f>
        <v>-25.6144000000058</v>
      </c>
      <c r="I16" s="17">
        <f>IFERROR(H16/D16,0)</f>
        <v>-0.000292993719284649</v>
      </c>
      <c r="J16" s="16">
        <f>SUMIFS(Raw!$E$2:$E$397,Raw!$C$2:$C$397,"Actual",Raw!$B$2:$B$397,CatCrit,Raw!$A$2:$A$397,EDATE($B16,-12))+SUMIFS(Raw!$E$2:$E$397,Raw!$C$2:$C$397,"Outlook",Raw!$B$2:$B$397,CatCrit,Raw!$A$2:$A$397,EDATE($B16,-12))</f>
        <v>34032.04</v>
      </c>
      <c r="K16" s="16">
        <f>IFERROR(D16*J16/C16,0)</f>
        <v>35393.3216</v>
      </c>
      <c r="L16" s="18">
        <f>IF(AND($B16&gt;=Assumptions!$C$7,$B16&lt;=EDATE(Assumptions!$C$7,Assumptions!$C$8-1)),1,0)</f>
        <v>0</v>
      </c>
    </row>
    <row r="17">
      <c r="B17" s="15" t="n">
        <v>46600</v>
      </c>
      <c r="C17" s="16">
        <f>SUMIFS(Raw!$D$2:$D$397,Raw!$C$2:$C$397,"Actual",Raw!$B$2:$B$397,CatCrit,Raw!$A$2:$A$397,EDATE($B17,-12))+SUMIFS(Raw!$D$2:$D$397,Raw!$C$2:$C$397,"Outlook",Raw!$B$2:$B$397,CatCrit,Raw!$A$2:$A$397,EDATE($B17,-12))</f>
        <v>82344.05</v>
      </c>
      <c r="D17" s="16">
        <f>C17*(1+Assumptions!$C$6)</f>
        <v>85637.812</v>
      </c>
      <c r="E17" s="16">
        <f>SUMIFS(Raw!$D$2:$D$397,Raw!$C$2:$C$397,"Forecast",Raw!$B$2:$B$397,CatCrit,Raw!$A$2:$A$397,$B17)</f>
        <v>85668.25</v>
      </c>
      <c r="F17" s="16">
        <f>SUMIFS(Raw!$G$2:$G$397,Raw!$C$2:$C$397,"Forecast",Raw!$B$2:$B$397,CatCrit,Raw!$A$2:$A$397,$B17)</f>
        <v>80967.25</v>
      </c>
      <c r="G17" s="16">
        <f>SUMIFS(Raw!$H$2:$H$397,Raw!$C$2:$C$397,"Forecast",Raw!$B$2:$B$397,CatCrit,Raw!$A$2:$A$397,$B17)</f>
        <v>90369.23</v>
      </c>
      <c r="H17" s="16">
        <f>E17-D17</f>
        <v>30.4379999999946</v>
      </c>
      <c r="I17" s="17">
        <f>IFERROR(H17/D17,0)</f>
        <v>0.000355427109697696</v>
      </c>
      <c r="J17" s="16">
        <f>SUMIFS(Raw!$E$2:$E$397,Raw!$C$2:$C$397,"Actual",Raw!$B$2:$B$397,CatCrit,Raw!$A$2:$A$397,EDATE($B17,-12))+SUMIFS(Raw!$E$2:$E$397,Raw!$C$2:$C$397,"Outlook",Raw!$B$2:$B$397,CatCrit,Raw!$A$2:$A$397,EDATE($B17,-12))</f>
        <v>33521.87</v>
      </c>
      <c r="K17" s="16">
        <f>IFERROR(D17*J17/C17,0)</f>
        <v>34862.7448</v>
      </c>
      <c r="L17" s="18">
        <f>IF(AND($B17&gt;=Assumptions!$C$7,$B17&lt;=EDATE(Assumptions!$C$7,Assumptions!$C$8-1)),1,0)</f>
        <v>0</v>
      </c>
    </row>
    <row r="18">
      <c r="B18" s="15" t="n">
        <v>46631</v>
      </c>
      <c r="C18" s="16">
        <f>SUMIFS(Raw!$D$2:$D$397,Raw!$C$2:$C$397,"Actual",Raw!$B$2:$B$397,CatCrit,Raw!$A$2:$A$397,EDATE($B18,-12))+SUMIFS(Raw!$D$2:$D$397,Raw!$C$2:$C$397,"Outlook",Raw!$B$2:$B$397,CatCrit,Raw!$A$2:$A$397,EDATE($B18,-12))</f>
        <v>81218.53</v>
      </c>
      <c r="D18" s="16">
        <f>C18*(1+Assumptions!$C$6)</f>
        <v>84467.2712</v>
      </c>
      <c r="E18" s="16">
        <f>SUMIFS(Raw!$D$2:$D$397,Raw!$C$2:$C$397,"Forecast",Raw!$B$2:$B$397,CatCrit,Raw!$A$2:$A$397,$B18)</f>
        <v>84529.77</v>
      </c>
      <c r="F18" s="16">
        <f>SUMIFS(Raw!$G$2:$G$397,Raw!$C$2:$C$397,"Forecast",Raw!$B$2:$B$397,CatCrit,Raw!$A$2:$A$397,$B18)</f>
        <v>79891.25</v>
      </c>
      <c r="G18" s="16">
        <f>SUMIFS(Raw!$H$2:$H$397,Raw!$C$2:$C$397,"Forecast",Raw!$B$2:$B$397,CatCrit,Raw!$A$2:$A$397,$B18)</f>
        <v>89168.27</v>
      </c>
      <c r="H18" s="16">
        <f>E18-D18</f>
        <v>62.4988000000012</v>
      </c>
      <c r="I18" s="17">
        <f>IFERROR(H18/D18,0)</f>
        <v>0.000739917356297894</v>
      </c>
      <c r="J18" s="16">
        <f>SUMIFS(Raw!$E$2:$E$397,Raw!$C$2:$C$397,"Actual",Raw!$B$2:$B$397,CatCrit,Raw!$A$2:$A$397,EDATE($B18,-12))+SUMIFS(Raw!$E$2:$E$397,Raw!$C$2:$C$397,"Outlook",Raw!$B$2:$B$397,CatCrit,Raw!$A$2:$A$397,EDATE($B18,-12))</f>
        <v>33058.38</v>
      </c>
      <c r="K18" s="16">
        <f>IFERROR(D18*J18/C18,0)</f>
        <v>34380.7152</v>
      </c>
      <c r="L18" s="18">
        <f>IF(AND($B18&gt;=Assumptions!$C$7,$B18&lt;=EDATE(Assumptions!$C$7,Assumptions!$C$8-1)),1,0)</f>
        <v>0</v>
      </c>
    </row>
    <row r="19">
      <c r="B19" s="15" t="n">
        <v>46661</v>
      </c>
      <c r="C19" s="16">
        <f>SUMIFS(Raw!$D$2:$D$397,Raw!$C$2:$C$397,"Actual",Raw!$B$2:$B$397,CatCrit,Raw!$A$2:$A$397,EDATE($B19,-12))+SUMIFS(Raw!$D$2:$D$397,Raw!$C$2:$C$397,"Outlook",Raw!$B$2:$B$397,CatCrit,Raw!$A$2:$A$397,EDATE($B19,-12))</f>
        <v>87716.79</v>
      </c>
      <c r="D19" s="16">
        <f>C19*(1+Assumptions!$C$6)</f>
        <v>91225.4616</v>
      </c>
      <c r="E19" s="16">
        <f>SUMIFS(Raw!$D$2:$D$397,Raw!$C$2:$C$397,"Forecast",Raw!$B$2:$B$397,CatCrit,Raw!$A$2:$A$397,$B19)</f>
        <v>91440.5</v>
      </c>
      <c r="F19" s="16">
        <f>SUMIFS(Raw!$G$2:$G$397,Raw!$C$2:$C$397,"Forecast",Raw!$B$2:$B$397,CatCrit,Raw!$A$2:$A$397,$B19)</f>
        <v>86422.78</v>
      </c>
      <c r="G19" s="16">
        <f>SUMIFS(Raw!$H$2:$H$397,Raw!$C$2:$C$397,"Forecast",Raw!$B$2:$B$397,CatCrit,Raw!$A$2:$A$397,$B19)</f>
        <v>96458.24</v>
      </c>
      <c r="H19" s="16">
        <f>E19-D19</f>
        <v>215.03839999999</v>
      </c>
      <c r="I19" s="17">
        <f>IFERROR(H19/D19,0)</f>
        <v>0.00235721909463038</v>
      </c>
      <c r="J19" s="16">
        <f>SUMIFS(Raw!$E$2:$E$397,Raw!$C$2:$C$397,"Actual",Raw!$B$2:$B$397,CatCrit,Raw!$A$2:$A$397,EDATE($B19,-12))+SUMIFS(Raw!$E$2:$E$397,Raw!$C$2:$C$397,"Outlook",Raw!$B$2:$B$397,CatCrit,Raw!$A$2:$A$397,EDATE($B19,-12))</f>
        <v>35829.57</v>
      </c>
      <c r="K19" s="16">
        <f>IFERROR(D19*J19/C19,0)</f>
        <v>37262.7528</v>
      </c>
      <c r="L19" s="18">
        <f>IF(AND($B19&gt;=Assumptions!$C$7,$B19&lt;=EDATE(Assumptions!$C$7,Assumptions!$C$8-1)),1,0)</f>
        <v>0</v>
      </c>
    </row>
    <row r="20">
      <c r="B20" s="19" t="inlineStr">
        <is>
          <t>Total</t>
        </is>
      </c>
      <c r="C20" s="20">
        <f>SUM(C8:C19)</f>
        <v>1030539.85</v>
      </c>
      <c r="D20" s="20">
        <f>SUM(D8:D19)</f>
        <v>1071761.444</v>
      </c>
      <c r="E20" s="20">
        <f>SUM(E8:E19)</f>
        <v>1072077.76</v>
      </c>
      <c r="F20" s="20">
        <f>SUM(F8:F19)</f>
        <v>1013248.32</v>
      </c>
      <c r="G20" s="20">
        <f>SUM(G8:G19)</f>
        <v>1130907.29</v>
      </c>
      <c r="H20" s="20">
        <f>SUM(H8:H19)</f>
        <v>316.315999999963</v>
      </c>
      <c r="I20" s="21">
        <f>IFERROR(H20/D20,0)</f>
        <v>0.00029513657332122</v>
      </c>
      <c r="J20" s="20">
        <f>SUM(J8:J19)</f>
        <v>419095.36</v>
      </c>
      <c r="K20" s="20">
        <f>SUM(K8:K19)</f>
        <v>435859.1744</v>
      </c>
      <c r="L20" s="22">
        <f>SUM(L8:L19)</f>
        <v>3</v>
      </c>
    </row>
    <row r="23">
      <c r="B23" s="13" t="inlineStr">
        <is>
          <t>Category plan (plan window)</t>
        </is>
      </c>
    </row>
    <row r="24">
      <c r="B24" s="7" t="inlineStr">
        <is>
          <t>Every category for the plan window, whatever the Category selector says. Targets and owners come from Lookup via INDEX-MATCH.</t>
        </is>
      </c>
    </row>
    <row r="25" ht="28" customHeight="1">
      <c r="B25" s="14" t="inlineStr">
        <is>
          <t>Category</t>
        </is>
      </c>
      <c r="C25" s="14" t="inlineStr">
        <is>
          <t>Last year</t>
        </is>
      </c>
      <c r="D25" s="14" t="inlineStr">
        <is>
          <t>Budget</t>
        </is>
      </c>
      <c r="E25" s="14" t="inlineStr">
        <is>
          <t>Forecast</t>
        </is>
      </c>
      <c r="F25" s="14" t="inlineStr">
        <is>
          <t>Gap</t>
        </is>
      </c>
      <c r="G25" s="14" t="inlineStr">
        <is>
          <t>Gap %</t>
        </is>
      </c>
      <c r="H25" s="14" t="inlineStr">
        <is>
          <t>LY GM %</t>
        </is>
      </c>
      <c r="I25" s="14" t="inlineStr">
        <is>
          <t>GM target</t>
        </is>
      </c>
      <c r="J25" s="14" t="inlineStr">
        <is>
          <t>Owner</t>
        </is>
      </c>
    </row>
    <row r="26">
      <c r="B26" s="23" t="inlineStr">
        <is>
          <t>Bakery</t>
        </is>
      </c>
      <c r="C26" s="16">
        <f>SUMIFS(Raw!$D$2:$D$397,Raw!$C$2:$C$397,"Actual",Raw!$B$2:$B$397,$B26,Raw!$A$2:$A$397,"&gt;="&amp;EDATE(Assumptions!$C$7,-12),Raw!$A$2:$A$397,"&lt;="&amp;EDATE(Assumptions!$C$7,Assumptions!$C$8-13))+SUMIFS(Raw!$D$2:$D$397,Raw!$C$2:$C$397,"Outlook",Raw!$B$2:$B$397,$B26,Raw!$A$2:$A$397,"&gt;="&amp;EDATE(Assumptions!$C$7,-12),Raw!$A$2:$A$397,"&lt;="&amp;EDATE(Assumptions!$C$7,Assumptions!$C$8-13))</f>
        <v>13767.09</v>
      </c>
      <c r="D26" s="16">
        <f>C26*(1+Assumptions!$C$6)</f>
        <v>14317.7736</v>
      </c>
      <c r="E26" s="16">
        <f>SUMIFS(Raw!$D$2:$D$397,Raw!$C$2:$C$397,"Forecast",Raw!$B$2:$B$397,$B26,Raw!$A$2:$A$397,"&gt;="&amp;Assumptions!$C$7,Raw!$A$2:$A$397,"&lt;="&amp;EDATE(Assumptions!$C$7,Assumptions!$C$8-1))</f>
        <v>14970.09</v>
      </c>
      <c r="F26" s="16">
        <f>E26-D26</f>
        <v>652.3164</v>
      </c>
      <c r="G26" s="17">
        <f>IFERROR(F26/D26,0)</f>
        <v>0.0455599046488624</v>
      </c>
      <c r="H26" s="17">
        <f>IFERROR((SUMIFS(Raw!$E$2:$E$397,Raw!$C$2:$C$397,"Actual",Raw!$B$2:$B$397,$B26,Raw!$A$2:$A$397,"&gt;="&amp;EDATE(Assumptions!$C$7,-12),Raw!$A$2:$A$397,"&lt;="&amp;EDATE(Assumptions!$C$7,Assumptions!$C$8-13))+SUMIFS(Raw!$E$2:$E$397,Raw!$C$2:$C$397,"Outlook",Raw!$B$2:$B$397,$B26,Raw!$A$2:$A$397,"&gt;="&amp;EDATE(Assumptions!$C$7,-12),Raw!$A$2:$A$397,"&lt;="&amp;EDATE(Assumptions!$C$7,Assumptions!$C$8-13)))/C26,0)</f>
        <v>0.381474225853103</v>
      </c>
      <c r="I26" s="17">
        <f>IFERROR(INDEX(Lookup!$C$7:$C$17,MATCH($B26,Lookup!$B$7:$B$17,0)),0)</f>
        <v>0.383</v>
      </c>
      <c r="J26" s="23" t="str">
        <f>IFERROR(INDEX(Lookup!$D$7:$D$17,MATCH($B26,Lookup!$B$7:$B$17,0)),"")</f>
        <v>Store Manager</v>
      </c>
    </row>
    <row r="27">
      <c r="B27" s="23" t="inlineStr">
        <is>
          <t>Beer &amp; Wine</t>
        </is>
      </c>
      <c r="C27" s="16">
        <f>SUMIFS(Raw!$D$2:$D$397,Raw!$C$2:$C$397,"Actual",Raw!$B$2:$B$397,$B27,Raw!$A$2:$A$397,"&gt;="&amp;EDATE(Assumptions!$C$7,-12),Raw!$A$2:$A$397,"&lt;="&amp;EDATE(Assumptions!$C$7,Assumptions!$C$8-13))+SUMIFS(Raw!$D$2:$D$397,Raw!$C$2:$C$397,"Outlook",Raw!$B$2:$B$397,$B27,Raw!$A$2:$A$397,"&gt;="&amp;EDATE(Assumptions!$C$7,-12),Raw!$A$2:$A$397,"&lt;="&amp;EDATE(Assumptions!$C$7,Assumptions!$C$8-13))</f>
        <v>35600.2</v>
      </c>
      <c r="D27" s="16">
        <f>C27*(1+Assumptions!$C$6)</f>
        <v>37024.208</v>
      </c>
      <c r="E27" s="16">
        <f>SUMIFS(Raw!$D$2:$D$397,Raw!$C$2:$C$397,"Forecast",Raw!$B$2:$B$397,$B27,Raw!$A$2:$A$397,"&gt;="&amp;Assumptions!$C$7,Raw!$A$2:$A$397,"&lt;="&amp;EDATE(Assumptions!$C$7,Assumptions!$C$8-1))</f>
        <v>34669.5</v>
      </c>
      <c r="F27" s="16">
        <f>E27-D27</f>
        <v>-2354.708</v>
      </c>
      <c r="G27" s="17">
        <f>IFERROR(F27/D27,0)</f>
        <v>-0.0635991457264933</v>
      </c>
      <c r="H27" s="17">
        <f>IFERROR((SUMIFS(Raw!$E$2:$E$397,Raw!$C$2:$C$397,"Actual",Raw!$B$2:$B$397,$B27,Raw!$A$2:$A$397,"&gt;="&amp;EDATE(Assumptions!$C$7,-12),Raw!$A$2:$A$397,"&lt;="&amp;EDATE(Assumptions!$C$7,Assumptions!$C$8-13))+SUMIFS(Raw!$E$2:$E$397,Raw!$C$2:$C$397,"Outlook",Raw!$B$2:$B$397,$B27,Raw!$A$2:$A$397,"&gt;="&amp;EDATE(Assumptions!$C$7,-12),Raw!$A$2:$A$397,"&lt;="&amp;EDATE(Assumptions!$C$7,Assumptions!$C$8-13)))/C27,0)</f>
        <v>0.338691917461138</v>
      </c>
      <c r="I27" s="17">
        <f>IFERROR(INDEX(Lookup!$C$7:$C$17,MATCH($B27,Lookup!$B$7:$B$17,0)),0)</f>
        <v>0.339</v>
      </c>
      <c r="J27" s="23" t="str">
        <f>IFERROR(INDEX(Lookup!$D$7:$D$17,MATCH($B27,Lookup!$B$7:$B$17,0)),"")</f>
        <v>Licence Manager</v>
      </c>
    </row>
    <row r="28">
      <c r="B28" s="23" t="inlineStr">
        <is>
          <t>Beverages</t>
        </is>
      </c>
      <c r="C28" s="16">
        <f>SUMIFS(Raw!$D$2:$D$397,Raw!$C$2:$C$397,"Actual",Raw!$B$2:$B$397,$B28,Raw!$A$2:$A$397,"&gt;="&amp;EDATE(Assumptions!$C$7,-12),Raw!$A$2:$A$397,"&lt;="&amp;EDATE(Assumptions!$C$7,Assumptions!$C$8-13))+SUMIFS(Raw!$D$2:$D$397,Raw!$C$2:$C$397,"Outlook",Raw!$B$2:$B$397,$B28,Raw!$A$2:$A$397,"&gt;="&amp;EDATE(Assumptions!$C$7,-12),Raw!$A$2:$A$397,"&lt;="&amp;EDATE(Assumptions!$C$7,Assumptions!$C$8-13))</f>
        <v>45348.11</v>
      </c>
      <c r="D28" s="16">
        <f>C28*(1+Assumptions!$C$6)</f>
        <v>47162.0344</v>
      </c>
      <c r="E28" s="16">
        <f>SUMIFS(Raw!$D$2:$D$397,Raw!$C$2:$C$397,"Forecast",Raw!$B$2:$B$397,$B28,Raw!$A$2:$A$397,"&gt;="&amp;Assumptions!$C$7,Raw!$A$2:$A$397,"&lt;="&amp;EDATE(Assumptions!$C$7,Assumptions!$C$8-1))</f>
        <v>49988.4</v>
      </c>
      <c r="F28" s="16">
        <f>E28-D28</f>
        <v>2826.3656</v>
      </c>
      <c r="G28" s="17">
        <f>IFERROR(F28/D28,0)</f>
        <v>0.0599288312295535</v>
      </c>
      <c r="H28" s="17">
        <f>IFERROR((SUMIFS(Raw!$E$2:$E$397,Raw!$C$2:$C$397,"Actual",Raw!$B$2:$B$397,$B28,Raw!$A$2:$A$397,"&gt;="&amp;EDATE(Assumptions!$C$7,-12),Raw!$A$2:$A$397,"&lt;="&amp;EDATE(Assumptions!$C$7,Assumptions!$C$8-13))+SUMIFS(Raw!$E$2:$E$397,Raw!$C$2:$C$397,"Outlook",Raw!$B$2:$B$397,$B28,Raw!$A$2:$A$397,"&gt;="&amp;EDATE(Assumptions!$C$7,-12),Raw!$A$2:$A$397,"&lt;="&amp;EDATE(Assumptions!$C$7,Assumptions!$C$8-13)))/C28,0)</f>
        <v>0.509757959041733</v>
      </c>
      <c r="I28" s="17">
        <f>IFERROR(INDEX(Lookup!$C$7:$C$17,MATCH($B28,Lookup!$B$7:$B$17,0)),0)</f>
        <v>0.509</v>
      </c>
      <c r="J28" s="23" t="str">
        <f>IFERROR(INDEX(Lookup!$D$7:$D$17,MATCH($B28,Lookup!$B$7:$B$17,0)),"")</f>
        <v>Duty Manager</v>
      </c>
    </row>
    <row r="29">
      <c r="B29" s="23" t="inlineStr">
        <is>
          <t>Dairy</t>
        </is>
      </c>
      <c r="C29" s="16">
        <f>SUMIFS(Raw!$D$2:$D$397,Raw!$C$2:$C$397,"Actual",Raw!$B$2:$B$397,$B29,Raw!$A$2:$A$397,"&gt;="&amp;EDATE(Assumptions!$C$7,-12),Raw!$A$2:$A$397,"&lt;="&amp;EDATE(Assumptions!$C$7,Assumptions!$C$8-13))+SUMIFS(Raw!$D$2:$D$397,Raw!$C$2:$C$397,"Outlook",Raw!$B$2:$B$397,$B29,Raw!$A$2:$A$397,"&gt;="&amp;EDATE(Assumptions!$C$7,-12),Raw!$A$2:$A$397,"&lt;="&amp;EDATE(Assumptions!$C$7,Assumptions!$C$8-13))</f>
        <v>41723.48</v>
      </c>
      <c r="D29" s="16">
        <f>C29*(1+Assumptions!$C$6)</f>
        <v>43392.4192</v>
      </c>
      <c r="E29" s="16">
        <f>SUMIFS(Raw!$D$2:$D$397,Raw!$C$2:$C$397,"Forecast",Raw!$B$2:$B$397,$B29,Raw!$A$2:$A$397,"&gt;="&amp;Assumptions!$C$7,Raw!$A$2:$A$397,"&lt;="&amp;EDATE(Assumptions!$C$7,Assumptions!$C$8-1))</f>
        <v>41750.53</v>
      </c>
      <c r="F29" s="16">
        <f>E29-D29</f>
        <v>-1641.8892</v>
      </c>
      <c r="G29" s="17">
        <f>IFERROR(F29/D29,0)</f>
        <v>-0.0378381576844648</v>
      </c>
      <c r="H29" s="17">
        <f>IFERROR((SUMIFS(Raw!$E$2:$E$397,Raw!$C$2:$C$397,"Actual",Raw!$B$2:$B$397,$B29,Raw!$A$2:$A$397,"&gt;="&amp;EDATE(Assumptions!$C$7,-12),Raw!$A$2:$A$397,"&lt;="&amp;EDATE(Assumptions!$C$7,Assumptions!$C$8-13))+SUMIFS(Raw!$E$2:$E$397,Raw!$C$2:$C$397,"Outlook",Raw!$B$2:$B$397,$B29,Raw!$A$2:$A$397,"&gt;="&amp;EDATE(Assumptions!$C$7,-12),Raw!$A$2:$A$397,"&lt;="&amp;EDATE(Assumptions!$C$7,Assumptions!$C$8-13)))/C29,0)</f>
        <v>0.279326652522752</v>
      </c>
      <c r="I29" s="17">
        <f>IFERROR(INDEX(Lookup!$C$7:$C$17,MATCH($B29,Lookup!$B$7:$B$17,0)),0)</f>
        <v>0.278</v>
      </c>
      <c r="J29" s="23" t="str">
        <f>IFERROR(INDEX(Lookup!$D$7:$D$17,MATCH($B29,Lookup!$B$7:$B$17,0)),"")</f>
        <v>Duty Manager</v>
      </c>
    </row>
    <row r="30">
      <c r="B30" s="23" t="inlineStr">
        <is>
          <t>Food To Go</t>
        </is>
      </c>
      <c r="C30" s="16">
        <f>SUMIFS(Raw!$D$2:$D$397,Raw!$C$2:$C$397,"Actual",Raw!$B$2:$B$397,$B30,Raw!$A$2:$A$397,"&gt;="&amp;EDATE(Assumptions!$C$7,-12),Raw!$A$2:$A$397,"&lt;="&amp;EDATE(Assumptions!$C$7,Assumptions!$C$8-13))+SUMIFS(Raw!$D$2:$D$397,Raw!$C$2:$C$397,"Outlook",Raw!$B$2:$B$397,$B30,Raw!$A$2:$A$397,"&gt;="&amp;EDATE(Assumptions!$C$7,-12),Raw!$A$2:$A$397,"&lt;="&amp;EDATE(Assumptions!$C$7,Assumptions!$C$8-13))</f>
        <v>49308.78</v>
      </c>
      <c r="D30" s="16">
        <f>C30*(1+Assumptions!$C$6)</f>
        <v>51281.1312</v>
      </c>
      <c r="E30" s="16">
        <f>SUMIFS(Raw!$D$2:$D$397,Raw!$C$2:$C$397,"Forecast",Raw!$B$2:$B$397,$B30,Raw!$A$2:$A$397,"&gt;="&amp;Assumptions!$C$7,Raw!$A$2:$A$397,"&lt;="&amp;EDATE(Assumptions!$C$7,Assumptions!$C$8-1))</f>
        <v>50293.9</v>
      </c>
      <c r="F30" s="16">
        <f>E30-D30</f>
        <v>-987.231200000002</v>
      </c>
      <c r="G30" s="17">
        <f>IFERROR(F30/D30,0)</f>
        <v>-0.0192513538000894</v>
      </c>
      <c r="H30" s="17">
        <f>IFERROR((SUMIFS(Raw!$E$2:$E$397,Raw!$C$2:$C$397,"Actual",Raw!$B$2:$B$397,$B30,Raw!$A$2:$A$397,"&gt;="&amp;EDATE(Assumptions!$C$7,-12),Raw!$A$2:$A$397,"&lt;="&amp;EDATE(Assumptions!$C$7,Assumptions!$C$8-13))+SUMIFS(Raw!$E$2:$E$397,Raw!$C$2:$C$397,"Outlook",Raw!$B$2:$B$397,$B30,Raw!$A$2:$A$397,"&gt;="&amp;EDATE(Assumptions!$C$7,-12),Raw!$A$2:$A$397,"&lt;="&amp;EDATE(Assumptions!$C$7,Assumptions!$C$8-13)))/C30,0)</f>
        <v>0.470544596722937</v>
      </c>
      <c r="I30" s="17">
        <f>IFERROR(INDEX(Lookup!$C$7:$C$17,MATCH($B30,Lookup!$B$7:$B$17,0)),0)</f>
        <v>0.476</v>
      </c>
      <c r="J30" s="23" t="str">
        <f>IFERROR(INDEX(Lookup!$D$7:$D$17,MATCH($B30,Lookup!$B$7:$B$17,0)),"")</f>
        <v>Store Manager</v>
      </c>
    </row>
    <row r="31">
      <c r="B31" s="23" t="inlineStr">
        <is>
          <t>Frozen</t>
        </is>
      </c>
      <c r="C31" s="16">
        <f>SUMIFS(Raw!$D$2:$D$397,Raw!$C$2:$C$397,"Actual",Raw!$B$2:$B$397,$B31,Raw!$A$2:$A$397,"&gt;="&amp;EDATE(Assumptions!$C$7,-12),Raw!$A$2:$A$397,"&lt;="&amp;EDATE(Assumptions!$C$7,Assumptions!$C$8-13))+SUMIFS(Raw!$D$2:$D$397,Raw!$C$2:$C$397,"Outlook",Raw!$B$2:$B$397,$B31,Raw!$A$2:$A$397,"&gt;="&amp;EDATE(Assumptions!$C$7,-12),Raw!$A$2:$A$397,"&lt;="&amp;EDATE(Assumptions!$C$7,Assumptions!$C$8-13))</f>
        <v>17649.65</v>
      </c>
      <c r="D31" s="16">
        <f>C31*(1+Assumptions!$C$6)</f>
        <v>18355.636</v>
      </c>
      <c r="E31" s="16">
        <f>SUMIFS(Raw!$D$2:$D$397,Raw!$C$2:$C$397,"Forecast",Raw!$B$2:$B$397,$B31,Raw!$A$2:$A$397,"&gt;="&amp;Assumptions!$C$7,Raw!$A$2:$A$397,"&lt;="&amp;EDATE(Assumptions!$C$7,Assumptions!$C$8-1))</f>
        <v>18239.19</v>
      </c>
      <c r="F31" s="16">
        <f>E31-D31</f>
        <v>-116.446000000004</v>
      </c>
      <c r="G31" s="17">
        <f>IFERROR(F31/D31,0)</f>
        <v>-0.00634388260913452</v>
      </c>
      <c r="H31" s="17">
        <f>IFERROR((SUMIFS(Raw!$E$2:$E$397,Raw!$C$2:$C$397,"Actual",Raw!$B$2:$B$397,$B31,Raw!$A$2:$A$397,"&gt;="&amp;EDATE(Assumptions!$C$7,-12),Raw!$A$2:$A$397,"&lt;="&amp;EDATE(Assumptions!$C$7,Assumptions!$C$8-13))+SUMIFS(Raw!$E$2:$E$397,Raw!$C$2:$C$397,"Outlook",Raw!$B$2:$B$397,$B31,Raw!$A$2:$A$397,"&gt;="&amp;EDATE(Assumptions!$C$7,-12),Raw!$A$2:$A$397,"&lt;="&amp;EDATE(Assumptions!$C$7,Assumptions!$C$8-13)))/C31,0)</f>
        <v>0.441416685316706</v>
      </c>
      <c r="I31" s="17">
        <f>IFERROR(INDEX(Lookup!$C$7:$C$17,MATCH($B31,Lookup!$B$7:$B$17,0)),0)</f>
        <v>0.437</v>
      </c>
      <c r="J31" s="23" t="str">
        <f>IFERROR(INDEX(Lookup!$D$7:$D$17,MATCH($B31,Lookup!$B$7:$B$17,0)),"")</f>
        <v>Duty Manager</v>
      </c>
    </row>
    <row r="32">
      <c r="B32" s="23" t="inlineStr">
        <is>
          <t>Grocery</t>
        </is>
      </c>
      <c r="C32" s="16">
        <f>SUMIFS(Raw!$D$2:$D$397,Raw!$C$2:$C$397,"Actual",Raw!$B$2:$B$397,$B32,Raw!$A$2:$A$397,"&gt;="&amp;EDATE(Assumptions!$C$7,-12),Raw!$A$2:$A$397,"&lt;="&amp;EDATE(Assumptions!$C$7,Assumptions!$C$8-13))+SUMIFS(Raw!$D$2:$D$397,Raw!$C$2:$C$397,"Outlook",Raw!$B$2:$B$397,$B32,Raw!$A$2:$A$397,"&gt;="&amp;EDATE(Assumptions!$C$7,-12),Raw!$A$2:$A$397,"&lt;="&amp;EDATE(Assumptions!$C$7,Assumptions!$C$8-13))</f>
        <v>22615.73</v>
      </c>
      <c r="D32" s="16">
        <f>C32*(1+Assumptions!$C$6)</f>
        <v>23520.3592</v>
      </c>
      <c r="E32" s="16">
        <f>SUMIFS(Raw!$D$2:$D$397,Raw!$C$2:$C$397,"Forecast",Raw!$B$2:$B$397,$B32,Raw!$A$2:$A$397,"&gt;="&amp;Assumptions!$C$7,Raw!$A$2:$A$397,"&lt;="&amp;EDATE(Assumptions!$C$7,Assumptions!$C$8-1))</f>
        <v>24314.93</v>
      </c>
      <c r="F32" s="16">
        <f>E32-D32</f>
        <v>794.570800000001</v>
      </c>
      <c r="G32" s="17">
        <f>IFERROR(F32/D32,0)</f>
        <v>0.0337822561825502</v>
      </c>
      <c r="H32" s="17">
        <f>IFERROR((SUMIFS(Raw!$E$2:$E$397,Raw!$C$2:$C$397,"Actual",Raw!$B$2:$B$397,$B32,Raw!$A$2:$A$397,"&gt;="&amp;EDATE(Assumptions!$C$7,-12),Raw!$A$2:$A$397,"&lt;="&amp;EDATE(Assumptions!$C$7,Assumptions!$C$8-13))+SUMIFS(Raw!$E$2:$E$397,Raw!$C$2:$C$397,"Outlook",Raw!$B$2:$B$397,$B32,Raw!$A$2:$A$397,"&gt;="&amp;EDATE(Assumptions!$C$7,-12),Raw!$A$2:$A$397,"&lt;="&amp;EDATE(Assumptions!$C$7,Assumptions!$C$8-13)))/C32,0)</f>
        <v>0.342263106253922</v>
      </c>
      <c r="I32" s="17">
        <f>IFERROR(INDEX(Lookup!$C$7:$C$17,MATCH($B32,Lookup!$B$7:$B$17,0)),0)</f>
        <v>0.347</v>
      </c>
      <c r="J32" s="23" t="str">
        <f>IFERROR(INDEX(Lookup!$D$7:$D$17,MATCH($B32,Lookup!$B$7:$B$17,0)),"")</f>
        <v>Duty Manager</v>
      </c>
    </row>
    <row r="33">
      <c r="B33" s="23" t="inlineStr">
        <is>
          <t>Health &amp; Beauty</t>
        </is>
      </c>
      <c r="C33" s="16">
        <f>SUMIFS(Raw!$D$2:$D$397,Raw!$C$2:$C$397,"Actual",Raw!$B$2:$B$397,$B33,Raw!$A$2:$A$397,"&gt;="&amp;EDATE(Assumptions!$C$7,-12),Raw!$A$2:$A$397,"&lt;="&amp;EDATE(Assumptions!$C$7,Assumptions!$C$8-13))+SUMIFS(Raw!$D$2:$D$397,Raw!$C$2:$C$397,"Outlook",Raw!$B$2:$B$397,$B33,Raw!$A$2:$A$397,"&gt;="&amp;EDATE(Assumptions!$C$7,-12),Raw!$A$2:$A$397,"&lt;="&amp;EDATE(Assumptions!$C$7,Assumptions!$C$8-13))</f>
        <v>4543.07</v>
      </c>
      <c r="D33" s="16">
        <f>C33*(1+Assumptions!$C$6)</f>
        <v>4724.7928</v>
      </c>
      <c r="E33" s="16">
        <f>SUMIFS(Raw!$D$2:$D$397,Raw!$C$2:$C$397,"Forecast",Raw!$B$2:$B$397,$B33,Raw!$A$2:$A$397,"&gt;="&amp;Assumptions!$C$7,Raw!$A$2:$A$397,"&lt;="&amp;EDATE(Assumptions!$C$7,Assumptions!$C$8-1))</f>
        <v>4532.13</v>
      </c>
      <c r="F33" s="16">
        <f>E33-D33</f>
        <v>-192.6628</v>
      </c>
      <c r="G33" s="17">
        <f>IFERROR(F33/D33,0)</f>
        <v>-0.0407769839134533</v>
      </c>
      <c r="H33" s="17">
        <f>IFERROR((SUMIFS(Raw!$E$2:$E$397,Raw!$C$2:$C$397,"Actual",Raw!$B$2:$B$397,$B33,Raw!$A$2:$A$397,"&gt;="&amp;EDATE(Assumptions!$C$7,-12),Raw!$A$2:$A$397,"&lt;="&amp;EDATE(Assumptions!$C$7,Assumptions!$C$8-13))+SUMIFS(Raw!$E$2:$E$397,Raw!$C$2:$C$397,"Outlook",Raw!$B$2:$B$397,$B33,Raw!$A$2:$A$397,"&gt;="&amp;EDATE(Assumptions!$C$7,-12),Raw!$A$2:$A$397,"&lt;="&amp;EDATE(Assumptions!$C$7,Assumptions!$C$8-13)))/C33,0)</f>
        <v>0.486866810328698</v>
      </c>
      <c r="I33" s="17">
        <f>IFERROR(INDEX(Lookup!$C$7:$C$17,MATCH($B33,Lookup!$B$7:$B$17,0)),0)</f>
        <v>0.5</v>
      </c>
      <c r="J33" s="23" t="str">
        <f>IFERROR(INDEX(Lookup!$D$7:$D$17,MATCH($B33,Lookup!$B$7:$B$17,0)),"")</f>
        <v>Store Manager</v>
      </c>
    </row>
    <row r="34">
      <c r="B34" s="23" t="inlineStr">
        <is>
          <t>Household</t>
        </is>
      </c>
      <c r="C34" s="16">
        <f>SUMIFS(Raw!$D$2:$D$397,Raw!$C$2:$C$397,"Actual",Raw!$B$2:$B$397,$B34,Raw!$A$2:$A$397,"&gt;="&amp;EDATE(Assumptions!$C$7,-12),Raw!$A$2:$A$397,"&lt;="&amp;EDATE(Assumptions!$C$7,Assumptions!$C$8-13))+SUMIFS(Raw!$D$2:$D$397,Raw!$C$2:$C$397,"Outlook",Raw!$B$2:$B$397,$B34,Raw!$A$2:$A$397,"&gt;="&amp;EDATE(Assumptions!$C$7,-12),Raw!$A$2:$A$397,"&lt;="&amp;EDATE(Assumptions!$C$7,Assumptions!$C$8-13))</f>
        <v>6934.95</v>
      </c>
      <c r="D34" s="16">
        <f>C34*(1+Assumptions!$C$6)</f>
        <v>7212.348</v>
      </c>
      <c r="E34" s="16">
        <f>SUMIFS(Raw!$D$2:$D$397,Raw!$C$2:$C$397,"Forecast",Raw!$B$2:$B$397,$B34,Raw!$A$2:$A$397,"&gt;="&amp;Assumptions!$C$7,Raw!$A$2:$A$397,"&lt;="&amp;EDATE(Assumptions!$C$7,Assumptions!$C$8-1))</f>
        <v>7179.31</v>
      </c>
      <c r="F34" s="16">
        <f>E34-D34</f>
        <v>-33.0380000000014</v>
      </c>
      <c r="G34" s="17">
        <f>IFERROR(F34/D34,0)</f>
        <v>-0.00458075511608721</v>
      </c>
      <c r="H34" s="17">
        <f>IFERROR((SUMIFS(Raw!$E$2:$E$397,Raw!$C$2:$C$397,"Actual",Raw!$B$2:$B$397,$B34,Raw!$A$2:$A$397,"&gt;="&amp;EDATE(Assumptions!$C$7,-12),Raw!$A$2:$A$397,"&lt;="&amp;EDATE(Assumptions!$C$7,Assumptions!$C$8-13))+SUMIFS(Raw!$E$2:$E$397,Raw!$C$2:$C$397,"Outlook",Raw!$B$2:$B$397,$B34,Raw!$A$2:$A$397,"&gt;="&amp;EDATE(Assumptions!$C$7,-12),Raw!$A$2:$A$397,"&lt;="&amp;EDATE(Assumptions!$C$7,Assumptions!$C$8-13)))/C34,0)</f>
        <v>0.419678584560812</v>
      </c>
      <c r="I34" s="17">
        <f>IFERROR(INDEX(Lookup!$C$7:$C$17,MATCH($B34,Lookup!$B$7:$B$17,0)),0)</f>
        <v>0.413</v>
      </c>
      <c r="J34" s="23" t="str">
        <f>IFERROR(INDEX(Lookup!$D$7:$D$17,MATCH($B34,Lookup!$B$7:$B$17,0)),"")</f>
        <v>Duty Manager</v>
      </c>
    </row>
    <row r="35">
      <c r="B35" s="23" t="inlineStr">
        <is>
          <t>Produce</t>
        </is>
      </c>
      <c r="C35" s="16">
        <f>SUMIFS(Raw!$D$2:$D$397,Raw!$C$2:$C$397,"Actual",Raw!$B$2:$B$397,$B35,Raw!$A$2:$A$397,"&gt;="&amp;EDATE(Assumptions!$C$7,-12),Raw!$A$2:$A$397,"&lt;="&amp;EDATE(Assumptions!$C$7,Assumptions!$C$8-13))+SUMIFS(Raw!$D$2:$D$397,Raw!$C$2:$C$397,"Outlook",Raw!$B$2:$B$397,$B35,Raw!$A$2:$A$397,"&gt;="&amp;EDATE(Assumptions!$C$7,-12),Raw!$A$2:$A$397,"&lt;="&amp;EDATE(Assumptions!$C$7,Assumptions!$C$8-13))</f>
        <v>6579.38</v>
      </c>
      <c r="D35" s="16">
        <f>C35*(1+Assumptions!$C$6)</f>
        <v>6842.5552</v>
      </c>
      <c r="E35" s="16">
        <f>SUMIFS(Raw!$D$2:$D$397,Raw!$C$2:$C$397,"Forecast",Raw!$B$2:$B$397,$B35,Raw!$A$2:$A$397,"&gt;="&amp;Assumptions!$C$7,Raw!$A$2:$A$397,"&lt;="&amp;EDATE(Assumptions!$C$7,Assumptions!$C$8-1))</f>
        <v>7263.65</v>
      </c>
      <c r="F35" s="16">
        <f>E35-D35</f>
        <v>421.094799999999</v>
      </c>
      <c r="G35" s="17">
        <f>IFERROR(F35/D35,0)</f>
        <v>0.0615405777069944</v>
      </c>
      <c r="H35" s="17">
        <f>IFERROR((SUMIFS(Raw!$E$2:$E$397,Raw!$C$2:$C$397,"Actual",Raw!$B$2:$B$397,$B35,Raw!$A$2:$A$397,"&gt;="&amp;EDATE(Assumptions!$C$7,-12),Raw!$A$2:$A$397,"&lt;="&amp;EDATE(Assumptions!$C$7,Assumptions!$C$8-13))+SUMIFS(Raw!$E$2:$E$397,Raw!$C$2:$C$397,"Outlook",Raw!$B$2:$B$397,$B35,Raw!$A$2:$A$397,"&gt;="&amp;EDATE(Assumptions!$C$7,-12),Raw!$A$2:$A$397,"&lt;="&amp;EDATE(Assumptions!$C$7,Assumptions!$C$8-13)))/C35,0)</f>
        <v>0.424210183938304</v>
      </c>
      <c r="I35" s="17">
        <f>IFERROR(INDEX(Lookup!$C$7:$C$17,MATCH($B35,Lookup!$B$7:$B$17,0)),0)</f>
        <v>0.429</v>
      </c>
      <c r="J35" s="23" t="str">
        <f>IFERROR(INDEX(Lookup!$D$7:$D$17,MATCH($B35,Lookup!$B$7:$B$17,0)),"")</f>
        <v>Duty Manager</v>
      </c>
    </row>
    <row r="36">
      <c r="B36" s="23" t="inlineStr">
        <is>
          <t>Snacks &amp; Confectionery</t>
        </is>
      </c>
      <c r="C36" s="16">
        <f>SUMIFS(Raw!$D$2:$D$397,Raw!$C$2:$C$397,"Actual",Raw!$B$2:$B$397,$B36,Raw!$A$2:$A$397,"&gt;="&amp;EDATE(Assumptions!$C$7,-12),Raw!$A$2:$A$397,"&lt;="&amp;EDATE(Assumptions!$C$7,Assumptions!$C$8-13))+SUMIFS(Raw!$D$2:$D$397,Raw!$C$2:$C$397,"Outlook",Raw!$B$2:$B$397,$B36,Raw!$A$2:$A$397,"&gt;="&amp;EDATE(Assumptions!$C$7,-12),Raw!$A$2:$A$397,"&lt;="&amp;EDATE(Assumptions!$C$7,Assumptions!$C$8-13))</f>
        <v>24841.56</v>
      </c>
      <c r="D36" s="16">
        <f>C36*(1+Assumptions!$C$6)</f>
        <v>25835.2224</v>
      </c>
      <c r="E36" s="16">
        <f>SUMIFS(Raw!$D$2:$D$397,Raw!$C$2:$C$397,"Forecast",Raw!$B$2:$B$397,$B36,Raw!$A$2:$A$397,"&gt;="&amp;Assumptions!$C$7,Raw!$A$2:$A$397,"&lt;="&amp;EDATE(Assumptions!$C$7,Assumptions!$C$8-1))</f>
        <v>26448.67</v>
      </c>
      <c r="F36" s="16">
        <f>E36-D36</f>
        <v>613.4476</v>
      </c>
      <c r="G36" s="17">
        <f>IFERROR(F36/D36,0)</f>
        <v>0.0237446223803361</v>
      </c>
      <c r="H36" s="17">
        <f>IFERROR((SUMIFS(Raw!$E$2:$E$397,Raw!$C$2:$C$397,"Actual",Raw!$B$2:$B$397,$B36,Raw!$A$2:$A$397,"&gt;="&amp;EDATE(Assumptions!$C$7,-12),Raw!$A$2:$A$397,"&lt;="&amp;EDATE(Assumptions!$C$7,Assumptions!$C$8-13))+SUMIFS(Raw!$E$2:$E$397,Raw!$C$2:$C$397,"Outlook",Raw!$B$2:$B$397,$B36,Raw!$A$2:$A$397,"&gt;="&amp;EDATE(Assumptions!$C$7,-12),Raw!$A$2:$A$397,"&lt;="&amp;EDATE(Assumptions!$C$7,Assumptions!$C$8-13)))/C36,0)</f>
        <v>0.446371322895986</v>
      </c>
      <c r="I36" s="17">
        <f>IFERROR(INDEX(Lookup!$C$7:$C$17,MATCH($B36,Lookup!$B$7:$B$17,0)),0)</f>
        <v>0.445</v>
      </c>
      <c r="J36" s="23" t="str">
        <f>IFERROR(INDEX(Lookup!$D$7:$D$17,MATCH($B36,Lookup!$B$7:$B$17,0)),"")</f>
        <v>Duty Manager</v>
      </c>
    </row>
    <row r="37">
      <c r="B37" s="19" t="inlineStr">
        <is>
          <t>Total</t>
        </is>
      </c>
      <c r="C37" s="20">
        <f>SUM(C26:C36)</f>
        <v>268912</v>
      </c>
      <c r="D37" s="20">
        <f>SUM(D26:D36)</f>
        <v>279668.48</v>
      </c>
      <c r="E37" s="20">
        <f>SUM(E26:E36)</f>
        <v>279650.3</v>
      </c>
      <c r="F37" s="20">
        <f>SUM(F26:F36)</f>
        <v>-18.1800000000067</v>
      </c>
      <c r="G37" s="21">
        <f>IFERROR(F37/D37,0)</f>
        <v>-6.50055379855701e-05</v>
      </c>
      <c r="H37" s="21" t="n"/>
      <c r="I37" s="21" t="n"/>
      <c r="J37" s="24" t="n"/>
    </row>
  </sheetData>
  <conditionalFormatting sqref="H8:H19">
    <cfRule type="cellIs" priority="1" operator="lessThan" dxfId="0">
      <formula>0</formula>
    </cfRule>
  </conditionalFormatting>
  <conditionalFormatting sqref="F26:F36">
    <cfRule type="cellIs" priority="2" operator="lessThan" dxfId="0">
      <formula>0</formula>
    </cfRule>
  </conditionalFormatting>
  <conditionalFormatting sqref="E26:E36">
    <cfRule type="dataBar" priority="3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category and month (filter Type: Actual / Forecast)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5" t="n">
        <v>175775.64</v>
      </c>
    </row>
    <row r="10">
      <c r="A10" t="inlineStr">
        <is>
          <t>Beer &amp; Wine</t>
        </is>
      </c>
      <c r="B10" s="25" t="n">
        <v>359935.17</v>
      </c>
    </row>
    <row r="11">
      <c r="A11" t="inlineStr">
        <is>
          <t>Beverages</t>
        </is>
      </c>
      <c r="B11" s="25" t="n">
        <v>472680.61</v>
      </c>
    </row>
    <row r="12">
      <c r="A12" t="inlineStr">
        <is>
          <t>Dairy</t>
        </is>
      </c>
      <c r="B12" s="25" t="n">
        <v>495746.16</v>
      </c>
    </row>
    <row r="13">
      <c r="A13" t="inlineStr">
        <is>
          <t>Food To Go</t>
        </is>
      </c>
      <c r="B13" s="25" t="n">
        <v>550134.42</v>
      </c>
    </row>
    <row r="14">
      <c r="A14" t="inlineStr">
        <is>
          <t>Frozen</t>
        </is>
      </c>
      <c r="B14" s="25" t="n">
        <v>208701.03</v>
      </c>
    </row>
    <row r="15">
      <c r="A15" t="inlineStr">
        <is>
          <t>Grocery</t>
        </is>
      </c>
      <c r="B15" s="25" t="n">
        <v>304582.14</v>
      </c>
    </row>
    <row r="16">
      <c r="A16" t="inlineStr">
        <is>
          <t>Health &amp; Beauty</t>
        </is>
      </c>
      <c r="B16" s="25" t="n">
        <v>52570.48</v>
      </c>
    </row>
    <row r="17">
      <c r="A17" t="inlineStr">
        <is>
          <t>Household</t>
        </is>
      </c>
      <c r="B17" s="25" t="n">
        <v>82699.12</v>
      </c>
    </row>
    <row r="18">
      <c r="A18" t="inlineStr">
        <is>
          <t>Produce</t>
        </is>
      </c>
      <c r="B18" s="25" t="n">
        <v>72375.63</v>
      </c>
    </row>
    <row r="19">
      <c r="A19" t="inlineStr">
        <is>
          <t>Snacks &amp; Confectionery</t>
        </is>
      </c>
      <c r="B19" s="25" t="n">
        <v>309802.94</v>
      </c>
    </row>
    <row r="20">
      <c r="A20" t="inlineStr">
        <is>
          <t>Grand Total</t>
        </is>
      </c>
      <c r="B20" s="25" t="n">
        <v>3085003.34</v>
      </c>
    </row>
    <row r="24">
      <c r="A24" s="13" t="inlineStr">
        <is>
          <t>Sales by month and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Outlook</t>
        </is>
      </c>
      <c r="E26" t="inlineStr">
        <is>
          <t>Grand Total</t>
        </is>
      </c>
    </row>
    <row r="27">
      <c r="A27" t="inlineStr">
        <is>
          <t>2024-11-01</t>
        </is>
      </c>
      <c r="B27" s="25" t="n">
        <v>83328.46000000001</v>
      </c>
      <c r="C27" s="25" t="n">
        <v>0</v>
      </c>
      <c r="D27" s="25" t="n">
        <v>0</v>
      </c>
      <c r="E27" s="25" t="n">
        <v>83328.46000000001</v>
      </c>
    </row>
    <row r="28">
      <c r="A28" t="inlineStr">
        <is>
          <t>2024-12-01</t>
        </is>
      </c>
      <c r="B28" s="25" t="n">
        <v>94913.23000000001</v>
      </c>
      <c r="C28" s="25" t="n">
        <v>0</v>
      </c>
      <c r="D28" s="25" t="n">
        <v>0</v>
      </c>
      <c r="E28" s="25" t="n">
        <v>94913.23000000001</v>
      </c>
    </row>
    <row r="29">
      <c r="A29" t="inlineStr">
        <is>
          <t>2025-01-01</t>
        </is>
      </c>
      <c r="B29" s="25" t="n">
        <v>80683.64</v>
      </c>
      <c r="C29" s="25" t="n">
        <v>0</v>
      </c>
      <c r="D29" s="25" t="n">
        <v>0</v>
      </c>
      <c r="E29" s="25" t="n">
        <v>80683.64</v>
      </c>
    </row>
    <row r="30">
      <c r="A30" t="inlineStr">
        <is>
          <t>2025-02-01</t>
        </is>
      </c>
      <c r="B30" s="25" t="n">
        <v>79380.98</v>
      </c>
      <c r="C30" s="25" t="n">
        <v>0</v>
      </c>
      <c r="D30" s="25" t="n">
        <v>0</v>
      </c>
      <c r="E30" s="25" t="n">
        <v>79380.98</v>
      </c>
    </row>
    <row r="31">
      <c r="A31" t="inlineStr">
        <is>
          <t>2025-03-01</t>
        </is>
      </c>
      <c r="B31" s="25" t="n">
        <v>86983.05</v>
      </c>
      <c r="C31" s="25" t="n">
        <v>0</v>
      </c>
      <c r="D31" s="25" t="n">
        <v>0</v>
      </c>
      <c r="E31" s="25" t="n">
        <v>86983.05</v>
      </c>
    </row>
    <row r="32">
      <c r="A32" t="inlineStr">
        <is>
          <t>2025-04-01</t>
        </is>
      </c>
      <c r="B32" s="25" t="n">
        <v>80095.75999999999</v>
      </c>
      <c r="C32" s="25" t="n">
        <v>0</v>
      </c>
      <c r="D32" s="25" t="n">
        <v>0</v>
      </c>
      <c r="E32" s="25" t="n">
        <v>80095.75999999999</v>
      </c>
    </row>
    <row r="33">
      <c r="A33" t="inlineStr">
        <is>
          <t>2025-05-01</t>
        </is>
      </c>
      <c r="B33" s="25" t="n">
        <v>81459.04000000001</v>
      </c>
      <c r="C33" s="25" t="n">
        <v>0</v>
      </c>
      <c r="D33" s="25" t="n">
        <v>0</v>
      </c>
      <c r="E33" s="25" t="n">
        <v>81459.04000000001</v>
      </c>
    </row>
    <row r="34">
      <c r="A34" t="inlineStr">
        <is>
          <t>2025-06-01</t>
        </is>
      </c>
      <c r="B34" s="25" t="n">
        <v>73922.23</v>
      </c>
      <c r="C34" s="25" t="n">
        <v>0</v>
      </c>
      <c r="D34" s="25" t="n">
        <v>0</v>
      </c>
      <c r="E34" s="25" t="n">
        <v>73922.23</v>
      </c>
    </row>
    <row r="35">
      <c r="A35" t="inlineStr">
        <is>
          <t>2025-07-01</t>
        </is>
      </c>
      <c r="B35" s="25" t="n">
        <v>78757.2</v>
      </c>
      <c r="C35" s="25" t="n">
        <v>0</v>
      </c>
      <c r="D35" s="25" t="n">
        <v>0</v>
      </c>
      <c r="E35" s="25" t="n">
        <v>78757.2</v>
      </c>
    </row>
    <row r="36">
      <c r="A36" t="inlineStr">
        <is>
          <t>2025-08-01</t>
        </is>
      </c>
      <c r="B36" s="25" t="n">
        <v>77841.95999999999</v>
      </c>
      <c r="C36" s="25" t="n">
        <v>0</v>
      </c>
      <c r="D36" s="25" t="n">
        <v>0</v>
      </c>
      <c r="E36" s="25" t="n">
        <v>77841.95999999999</v>
      </c>
    </row>
    <row r="37">
      <c r="A37" t="inlineStr">
        <is>
          <t>2025-09-01</t>
        </is>
      </c>
      <c r="B37" s="25" t="n">
        <v>79970.2</v>
      </c>
      <c r="C37" s="25" t="n">
        <v>0</v>
      </c>
      <c r="D37" s="25" t="n">
        <v>0</v>
      </c>
      <c r="E37" s="25" t="n">
        <v>79970.2</v>
      </c>
    </row>
    <row r="38">
      <c r="A38" t="inlineStr">
        <is>
          <t>2025-10-01</t>
        </is>
      </c>
      <c r="B38" s="25" t="n">
        <v>85049.98</v>
      </c>
      <c r="C38" s="25" t="n">
        <v>0</v>
      </c>
      <c r="D38" s="25" t="n">
        <v>0</v>
      </c>
      <c r="E38" s="25" t="n">
        <v>85049.98</v>
      </c>
    </row>
    <row r="39">
      <c r="A39" t="inlineStr">
        <is>
          <t>2025-11-01</t>
        </is>
      </c>
      <c r="B39" s="25" t="n">
        <v>86971.89999999999</v>
      </c>
      <c r="C39" s="25" t="n">
        <v>0</v>
      </c>
      <c r="D39" s="25" t="n">
        <v>0</v>
      </c>
      <c r="E39" s="25" t="n">
        <v>86971.89999999999</v>
      </c>
    </row>
    <row r="40">
      <c r="A40" t="inlineStr">
        <is>
          <t>2025-12-01</t>
        </is>
      </c>
      <c r="B40" s="25" t="n">
        <v>99242.75</v>
      </c>
      <c r="C40" s="25" t="n">
        <v>0</v>
      </c>
      <c r="D40" s="25" t="n">
        <v>0</v>
      </c>
      <c r="E40" s="25" t="n">
        <v>99242.75</v>
      </c>
    </row>
    <row r="41">
      <c r="A41" t="inlineStr">
        <is>
          <t>2026-01-01</t>
        </is>
      </c>
      <c r="B41" s="25" t="n">
        <v>82697.35000000001</v>
      </c>
      <c r="C41" s="25" t="n">
        <v>0</v>
      </c>
      <c r="D41" s="25" t="n">
        <v>0</v>
      </c>
      <c r="E41" s="25" t="n">
        <v>82697.35000000001</v>
      </c>
    </row>
    <row r="42">
      <c r="A42" t="inlineStr">
        <is>
          <t>2026-02-01</t>
        </is>
      </c>
      <c r="B42" s="25" t="n">
        <v>85044.69</v>
      </c>
      <c r="C42" s="25" t="n">
        <v>0</v>
      </c>
      <c r="D42" s="25" t="n">
        <v>0</v>
      </c>
      <c r="E42" s="25" t="n">
        <v>85044.69</v>
      </c>
    </row>
    <row r="43">
      <c r="A43" t="inlineStr">
        <is>
          <t>2026-03-01</t>
        </is>
      </c>
      <c r="B43" s="25" t="n">
        <v>92566.8</v>
      </c>
      <c r="C43" s="25" t="n">
        <v>0</v>
      </c>
      <c r="D43" s="25" t="n">
        <v>0</v>
      </c>
      <c r="E43" s="25" t="n">
        <v>92566.8</v>
      </c>
    </row>
    <row r="44">
      <c r="A44" t="inlineStr">
        <is>
          <t>2026-04-01</t>
        </is>
      </c>
      <c r="B44" s="25" t="n">
        <v>83021.64999999999</v>
      </c>
      <c r="C44" s="25" t="n">
        <v>0</v>
      </c>
      <c r="D44" s="25" t="n">
        <v>0</v>
      </c>
      <c r="E44" s="25" t="n">
        <v>83021.64999999999</v>
      </c>
    </row>
    <row r="45">
      <c r="A45" t="inlineStr">
        <is>
          <t>2026-05-01</t>
        </is>
      </c>
      <c r="B45" s="25" t="n">
        <v>84401.88</v>
      </c>
      <c r="C45" s="25" t="n">
        <v>0</v>
      </c>
      <c r="D45" s="25" t="n">
        <v>0</v>
      </c>
      <c r="E45" s="25" t="n">
        <v>84401.88</v>
      </c>
    </row>
    <row r="46">
      <c r="A46" t="inlineStr">
        <is>
          <t>2026-06-01</t>
        </is>
      </c>
      <c r="B46" s="25" t="n">
        <v>81252.85000000001</v>
      </c>
      <c r="C46" s="25" t="n">
        <v>0</v>
      </c>
      <c r="D46" s="25" t="n">
        <v>0</v>
      </c>
      <c r="E46" s="25" t="n">
        <v>81252.85000000001</v>
      </c>
    </row>
    <row r="47">
      <c r="A47" t="inlineStr">
        <is>
          <t>2026-07-01</t>
        </is>
      </c>
      <c r="B47" s="25" t="n">
        <v>84060.61</v>
      </c>
      <c r="C47" s="25" t="n">
        <v>0</v>
      </c>
      <c r="D47" s="25" t="n">
        <v>0</v>
      </c>
      <c r="E47" s="25" t="n">
        <v>84060.61</v>
      </c>
    </row>
    <row r="48">
      <c r="A48" t="inlineStr">
        <is>
          <t>2026-08-01</t>
        </is>
      </c>
      <c r="B48" s="25" t="n">
        <v>82344.05</v>
      </c>
      <c r="C48" s="25" t="n">
        <v>0</v>
      </c>
      <c r="D48" s="25" t="n">
        <v>0</v>
      </c>
      <c r="E48" s="25" t="n">
        <v>82344.05</v>
      </c>
    </row>
    <row r="49">
      <c r="A49" t="inlineStr">
        <is>
          <t>2026-09-01</t>
        </is>
      </c>
      <c r="B49" s="25" t="n">
        <v>81218.53</v>
      </c>
      <c r="C49" s="25" t="n">
        <v>0</v>
      </c>
      <c r="D49" s="25" t="n">
        <v>0</v>
      </c>
      <c r="E49" s="25" t="n">
        <v>81218.53</v>
      </c>
    </row>
    <row r="50">
      <c r="A50" t="inlineStr">
        <is>
          <t>2026-10-01</t>
        </is>
      </c>
      <c r="B50" s="25" t="n">
        <v>0</v>
      </c>
      <c r="C50" s="25" t="n">
        <v>0</v>
      </c>
      <c r="D50" s="25" t="n">
        <v>87716.79000000001</v>
      </c>
      <c r="E50" s="25" t="n">
        <v>87716.79000000001</v>
      </c>
    </row>
    <row r="51">
      <c r="A51" t="inlineStr">
        <is>
          <t>2026-11-01</t>
        </is>
      </c>
      <c r="B51" s="25" t="n">
        <v>0</v>
      </c>
      <c r="C51" s="25" t="n">
        <v>90425.66</v>
      </c>
      <c r="D51" s="25" t="n">
        <v>0</v>
      </c>
      <c r="E51" s="25" t="n">
        <v>90425.66</v>
      </c>
    </row>
    <row r="52">
      <c r="A52" t="inlineStr">
        <is>
          <t>2026-12-01</t>
        </is>
      </c>
      <c r="B52" s="25" t="n">
        <v>0</v>
      </c>
      <c r="C52" s="25" t="n">
        <v>103158.97</v>
      </c>
      <c r="D52" s="25" t="n">
        <v>0</v>
      </c>
      <c r="E52" s="25" t="n">
        <v>103158.97</v>
      </c>
    </row>
    <row r="53">
      <c r="A53" t="inlineStr">
        <is>
          <t>2027-01-01</t>
        </is>
      </c>
      <c r="B53" s="25" t="n">
        <v>0</v>
      </c>
      <c r="C53" s="25" t="n">
        <v>86065.67</v>
      </c>
      <c r="D53" s="25" t="n">
        <v>0</v>
      </c>
      <c r="E53" s="25" t="n">
        <v>86065.67</v>
      </c>
    </row>
    <row r="54">
      <c r="A54" t="inlineStr">
        <is>
          <t>2027-02-01</t>
        </is>
      </c>
      <c r="B54" s="25" t="n">
        <v>0</v>
      </c>
      <c r="C54" s="25" t="n">
        <v>88466.23</v>
      </c>
      <c r="D54" s="25" t="n">
        <v>0</v>
      </c>
      <c r="E54" s="25" t="n">
        <v>88466.23</v>
      </c>
    </row>
    <row r="55">
      <c r="A55" t="inlineStr">
        <is>
          <t>2027-03-01</t>
        </is>
      </c>
      <c r="B55" s="25" t="n">
        <v>0</v>
      </c>
      <c r="C55" s="25" t="n">
        <v>96258.60000000001</v>
      </c>
      <c r="D55" s="25" t="n">
        <v>0</v>
      </c>
      <c r="E55" s="25" t="n">
        <v>96258.60000000001</v>
      </c>
    </row>
    <row r="56">
      <c r="A56" t="inlineStr">
        <is>
          <t>2027-04-01</t>
        </is>
      </c>
      <c r="B56" s="25" t="n">
        <v>0</v>
      </c>
      <c r="C56" s="25" t="n">
        <v>86391.52</v>
      </c>
      <c r="D56" s="25" t="n">
        <v>0</v>
      </c>
      <c r="E56" s="25" t="n">
        <v>86391.52</v>
      </c>
    </row>
    <row r="57">
      <c r="A57" t="inlineStr">
        <is>
          <t>2027-05-01</t>
        </is>
      </c>
      <c r="B57" s="25" t="n">
        <v>0</v>
      </c>
      <c r="C57" s="25" t="n">
        <v>87801.71000000001</v>
      </c>
      <c r="D57" s="25" t="n">
        <v>0</v>
      </c>
      <c r="E57" s="25" t="n">
        <v>87801.71000000001</v>
      </c>
    </row>
    <row r="58">
      <c r="A58" t="inlineStr">
        <is>
          <t>2027-06-01</t>
        </is>
      </c>
      <c r="B58" s="25" t="n">
        <v>0</v>
      </c>
      <c r="C58" s="25" t="n">
        <v>84473.45999999999</v>
      </c>
      <c r="D58" s="25" t="n">
        <v>0</v>
      </c>
      <c r="E58" s="25" t="n">
        <v>84473.45999999999</v>
      </c>
    </row>
    <row r="59">
      <c r="A59" t="inlineStr">
        <is>
          <t>2027-07-01</t>
        </is>
      </c>
      <c r="B59" s="25" t="n">
        <v>0</v>
      </c>
      <c r="C59" s="25" t="n">
        <v>87397.42</v>
      </c>
      <c r="D59" s="25" t="n">
        <v>0</v>
      </c>
      <c r="E59" s="25" t="n">
        <v>87397.42</v>
      </c>
    </row>
    <row r="60">
      <c r="A60" t="inlineStr">
        <is>
          <t>2027-08-01</t>
        </is>
      </c>
      <c r="B60" s="25" t="n">
        <v>0</v>
      </c>
      <c r="C60" s="25" t="n">
        <v>85668.25</v>
      </c>
      <c r="D60" s="25" t="n">
        <v>0</v>
      </c>
      <c r="E60" s="25" t="n">
        <v>85668.25</v>
      </c>
    </row>
    <row r="61">
      <c r="A61" t="inlineStr">
        <is>
          <t>2027-09-01</t>
        </is>
      </c>
      <c r="B61" s="25" t="n">
        <v>0</v>
      </c>
      <c r="C61" s="25" t="n">
        <v>84529.77</v>
      </c>
      <c r="D61" s="25" t="n">
        <v>0</v>
      </c>
      <c r="E61" s="25" t="n">
        <v>84529.77</v>
      </c>
    </row>
    <row r="62">
      <c r="A62" t="inlineStr">
        <is>
          <t>2027-10-01</t>
        </is>
      </c>
      <c r="B62" s="25" t="n">
        <v>0</v>
      </c>
      <c r="C62" s="25" t="n">
        <v>91440.5</v>
      </c>
      <c r="D62" s="25" t="n">
        <v>0</v>
      </c>
      <c r="E62" s="25" t="n">
        <v>91440.5</v>
      </c>
    </row>
    <row r="63">
      <c r="A63" t="inlineStr">
        <is>
          <t>Grand Total</t>
        </is>
      </c>
      <c r="B63" s="25" t="n">
        <v>1925208.79</v>
      </c>
      <c r="C63" s="25" t="n">
        <v>1072077.76</v>
      </c>
      <c r="D63" s="25" t="n">
        <v>87716.79000000001</v>
      </c>
      <c r="E63" s="25" t="n">
        <v>3085003.34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H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26" t="inlineStr">
        <is>
          <t>Month</t>
        </is>
      </c>
      <c r="B1" s="26" t="inlineStr">
        <is>
          <t>Category</t>
        </is>
      </c>
      <c r="C1" s="26" t="inlineStr">
        <is>
          <t>Type</t>
        </is>
      </c>
      <c r="D1" s="26" t="inlineStr">
        <is>
          <t>Sales</t>
        </is>
      </c>
      <c r="E1" s="26" t="inlineStr">
        <is>
          <t>Gross margin</t>
        </is>
      </c>
      <c r="F1" s="26" t="inlineStr">
        <is>
          <t>Units</t>
        </is>
      </c>
      <c r="G1" s="26" t="inlineStr">
        <is>
          <t>Low</t>
        </is>
      </c>
      <c r="H1" s="26" t="inlineStr">
        <is>
          <t>High</t>
        </is>
      </c>
    </row>
    <row r="2">
      <c r="A2" s="27" t="n">
        <v>45597</v>
      </c>
      <c r="B2" s="28" t="inlineStr">
        <is>
          <t>Bakery</t>
        </is>
      </c>
      <c r="C2" s="28" t="inlineStr">
        <is>
          <t>Actual</t>
        </is>
      </c>
      <c r="D2" s="29" t="n">
        <v>4628.96</v>
      </c>
      <c r="E2" s="29" t="n">
        <v>1801.46</v>
      </c>
      <c r="F2" s="30" t="n">
        <v>1114</v>
      </c>
      <c r="G2" s="29" t="n"/>
      <c r="H2" s="29" t="n"/>
    </row>
    <row r="3">
      <c r="A3" s="27" t="n">
        <v>45597</v>
      </c>
      <c r="B3" s="28" t="inlineStr">
        <is>
          <t>Beer &amp; Wine</t>
        </is>
      </c>
      <c r="C3" s="28" t="inlineStr">
        <is>
          <t>Actual</t>
        </is>
      </c>
      <c r="D3" s="29" t="n">
        <v>10652.12</v>
      </c>
      <c r="E3" s="29" t="n">
        <v>3605.02</v>
      </c>
      <c r="F3" s="30" t="n">
        <v>548</v>
      </c>
      <c r="G3" s="29" t="n"/>
      <c r="H3" s="29" t="n"/>
    </row>
    <row r="4">
      <c r="A4" s="27" t="n">
        <v>45597</v>
      </c>
      <c r="B4" s="28" t="inlineStr">
        <is>
          <t>Beverages</t>
        </is>
      </c>
      <c r="C4" s="28" t="inlineStr">
        <is>
          <t>Actual</t>
        </is>
      </c>
      <c r="D4" s="29" t="n">
        <v>13088.05</v>
      </c>
      <c r="E4" s="29" t="n">
        <v>6730.45</v>
      </c>
      <c r="F4" s="30" t="n">
        <v>3185</v>
      </c>
      <c r="G4" s="29" t="n"/>
      <c r="H4" s="29" t="n"/>
    </row>
    <row r="5">
      <c r="A5" s="27" t="n">
        <v>45597</v>
      </c>
      <c r="B5" s="28" t="inlineStr">
        <is>
          <t>Dairy</t>
        </is>
      </c>
      <c r="C5" s="28" t="inlineStr">
        <is>
          <t>Actual</t>
        </is>
      </c>
      <c r="D5" s="29" t="n">
        <v>13197.44</v>
      </c>
      <c r="E5" s="29" t="n">
        <v>3696.84</v>
      </c>
      <c r="F5" s="30" t="n">
        <v>2240</v>
      </c>
      <c r="G5" s="29" t="n"/>
      <c r="H5" s="29" t="n"/>
    </row>
    <row r="6">
      <c r="A6" s="27" t="n">
        <v>45597</v>
      </c>
      <c r="B6" s="28" t="inlineStr">
        <is>
          <t>Food To Go</t>
        </is>
      </c>
      <c r="C6" s="28" t="inlineStr">
        <is>
          <t>Actual</t>
        </is>
      </c>
      <c r="D6" s="29" t="n">
        <v>15020.93</v>
      </c>
      <c r="E6" s="29" t="n">
        <v>7072.43</v>
      </c>
      <c r="F6" s="30" t="n">
        <v>1907</v>
      </c>
      <c r="G6" s="29" t="n"/>
      <c r="H6" s="29" t="n"/>
    </row>
    <row r="7">
      <c r="A7" s="27" t="n">
        <v>45597</v>
      </c>
      <c r="B7" s="28" t="inlineStr">
        <is>
          <t>Frozen</t>
        </is>
      </c>
      <c r="C7" s="28" t="inlineStr">
        <is>
          <t>Actual</t>
        </is>
      </c>
      <c r="D7" s="29" t="n">
        <v>5635.53</v>
      </c>
      <c r="E7" s="29" t="n">
        <v>2461.73</v>
      </c>
      <c r="F7" s="30" t="n">
        <v>827</v>
      </c>
      <c r="G7" s="29" t="n"/>
      <c r="H7" s="29" t="n"/>
    </row>
    <row r="8">
      <c r="A8" s="27" t="n">
        <v>45597</v>
      </c>
      <c r="B8" s="28" t="inlineStr">
        <is>
          <t>Grocery</t>
        </is>
      </c>
      <c r="C8" s="28" t="inlineStr">
        <is>
          <t>Actual</t>
        </is>
      </c>
      <c r="D8" s="29" t="n">
        <v>7186.21</v>
      </c>
      <c r="E8" s="29" t="n">
        <v>2493.91</v>
      </c>
      <c r="F8" s="30" t="n">
        <v>1179</v>
      </c>
      <c r="G8" s="29" t="n"/>
      <c r="H8" s="29" t="n"/>
    </row>
    <row r="9">
      <c r="A9" s="27" t="n">
        <v>45597</v>
      </c>
      <c r="B9" s="28" t="inlineStr">
        <is>
          <t>Health &amp; Beauty</t>
        </is>
      </c>
      <c r="C9" s="28" t="inlineStr">
        <is>
          <t>Actual</t>
        </is>
      </c>
      <c r="D9" s="29" t="n">
        <v>1513.64</v>
      </c>
      <c r="E9" s="29" t="n">
        <v>737.04</v>
      </c>
      <c r="F9" s="30" t="n">
        <v>176</v>
      </c>
      <c r="G9" s="29" t="n"/>
      <c r="H9" s="29" t="n"/>
    </row>
    <row r="10">
      <c r="A10" s="27" t="n">
        <v>45597</v>
      </c>
      <c r="B10" s="28" t="inlineStr">
        <is>
          <t>Household</t>
        </is>
      </c>
      <c r="C10" s="28" t="inlineStr">
        <is>
          <t>Actual</t>
        </is>
      </c>
      <c r="D10" s="29" t="n">
        <v>2276.19</v>
      </c>
      <c r="E10" s="29" t="n">
        <v>928.29</v>
      </c>
      <c r="F10" s="30" t="n">
        <v>281</v>
      </c>
      <c r="G10" s="29" t="n"/>
      <c r="H10" s="29" t="n"/>
    </row>
    <row r="11">
      <c r="A11" s="27" t="n">
        <v>45597</v>
      </c>
      <c r="B11" s="28" t="inlineStr">
        <is>
          <t>Produce</t>
        </is>
      </c>
      <c r="C11" s="28" t="inlineStr">
        <is>
          <t>Actual</t>
        </is>
      </c>
      <c r="D11" s="29" t="n">
        <v>2136.5</v>
      </c>
      <c r="E11" s="29" t="n">
        <v>929.02</v>
      </c>
      <c r="F11" s="30" t="n">
        <v>1370</v>
      </c>
      <c r="G11" s="29" t="n"/>
      <c r="H11" s="29" t="n"/>
    </row>
    <row r="12">
      <c r="A12" s="27" t="n">
        <v>45597</v>
      </c>
      <c r="B12" s="28" t="inlineStr">
        <is>
          <t>Snacks &amp; Confectionery</t>
        </is>
      </c>
      <c r="C12" s="28" t="inlineStr">
        <is>
          <t>Actual</t>
        </is>
      </c>
      <c r="D12" s="29" t="n">
        <v>7992.89</v>
      </c>
      <c r="E12" s="29" t="n">
        <v>3567.99</v>
      </c>
      <c r="F12" s="30" t="n">
        <v>1831</v>
      </c>
      <c r="G12" s="29" t="n"/>
      <c r="H12" s="29" t="n"/>
    </row>
    <row r="13">
      <c r="A13" s="27" t="n">
        <v>45627</v>
      </c>
      <c r="B13" s="28" t="inlineStr">
        <is>
          <t>Bakery</t>
        </is>
      </c>
      <c r="C13" s="28" t="inlineStr">
        <is>
          <t>Actual</t>
        </is>
      </c>
      <c r="D13" s="29" t="n">
        <v>5149.7</v>
      </c>
      <c r="E13" s="29" t="n">
        <v>1952</v>
      </c>
      <c r="F13" s="30" t="n">
        <v>1262</v>
      </c>
      <c r="G13" s="29" t="n"/>
      <c r="H13" s="29" t="n"/>
    </row>
    <row r="14">
      <c r="A14" s="27" t="n">
        <v>45627</v>
      </c>
      <c r="B14" s="28" t="inlineStr">
        <is>
          <t>Beer &amp; Wine</t>
        </is>
      </c>
      <c r="C14" s="28" t="inlineStr">
        <is>
          <t>Actual</t>
        </is>
      </c>
      <c r="D14" s="29" t="n">
        <v>12593.03</v>
      </c>
      <c r="E14" s="29" t="n">
        <v>4294.63</v>
      </c>
      <c r="F14" s="30" t="n">
        <v>657</v>
      </c>
      <c r="G14" s="29" t="n"/>
      <c r="H14" s="29" t="n"/>
    </row>
    <row r="15">
      <c r="A15" s="27" t="n">
        <v>45627</v>
      </c>
      <c r="B15" s="28" t="inlineStr">
        <is>
          <t>Beverages</t>
        </is>
      </c>
      <c r="C15" s="28" t="inlineStr">
        <is>
          <t>Actual</t>
        </is>
      </c>
      <c r="D15" s="29" t="n">
        <v>16376.87</v>
      </c>
      <c r="E15" s="29" t="n">
        <v>8314.32</v>
      </c>
      <c r="F15" s="30" t="n">
        <v>3983</v>
      </c>
      <c r="G15" s="29" t="n"/>
      <c r="H15" s="29" t="n"/>
    </row>
    <row r="16">
      <c r="A16" s="27" t="n">
        <v>45627</v>
      </c>
      <c r="B16" s="28" t="inlineStr">
        <is>
          <t>Dairy</t>
        </is>
      </c>
      <c r="C16" s="28" t="inlineStr">
        <is>
          <t>Actual</t>
        </is>
      </c>
      <c r="D16" s="29" t="n">
        <v>14409.25</v>
      </c>
      <c r="E16" s="29" t="n">
        <v>4107.15</v>
      </c>
      <c r="F16" s="30" t="n">
        <v>2445</v>
      </c>
      <c r="G16" s="29" t="n"/>
      <c r="H16" s="29" t="n"/>
    </row>
    <row r="17">
      <c r="A17" s="27" t="n">
        <v>45627</v>
      </c>
      <c r="B17" s="28" t="inlineStr">
        <is>
          <t>Food To Go</t>
        </is>
      </c>
      <c r="C17" s="28" t="inlineStr">
        <is>
          <t>Actual</t>
        </is>
      </c>
      <c r="D17" s="29" t="n">
        <v>16822.06</v>
      </c>
      <c r="E17" s="29" t="n">
        <v>7748.16</v>
      </c>
      <c r="F17" s="30" t="n">
        <v>2134</v>
      </c>
      <c r="G17" s="29" t="n"/>
      <c r="H17" s="29" t="n"/>
    </row>
    <row r="18">
      <c r="A18" s="27" t="n">
        <v>45627</v>
      </c>
      <c r="B18" s="28" t="inlineStr">
        <is>
          <t>Frozen</t>
        </is>
      </c>
      <c r="C18" s="28" t="inlineStr">
        <is>
          <t>Actual</t>
        </is>
      </c>
      <c r="D18" s="29" t="n">
        <v>6151.76</v>
      </c>
      <c r="E18" s="29" t="n">
        <v>2673.76</v>
      </c>
      <c r="F18" s="30" t="n">
        <v>984</v>
      </c>
      <c r="G18" s="29" t="n"/>
      <c r="H18" s="29" t="n"/>
    </row>
    <row r="19">
      <c r="A19" s="27" t="n">
        <v>45627</v>
      </c>
      <c r="B19" s="28" t="inlineStr">
        <is>
          <t>Grocery</t>
        </is>
      </c>
      <c r="C19" s="28" t="inlineStr">
        <is>
          <t>Actual</t>
        </is>
      </c>
      <c r="D19" s="29" t="n">
        <v>8132.87</v>
      </c>
      <c r="E19" s="29" t="n">
        <v>2791.77</v>
      </c>
      <c r="F19" s="30" t="n">
        <v>1293</v>
      </c>
      <c r="G19" s="29" t="n"/>
      <c r="H19" s="29" t="n"/>
    </row>
    <row r="20">
      <c r="A20" s="27" t="n">
        <v>45627</v>
      </c>
      <c r="B20" s="28" t="inlineStr">
        <is>
          <t>Health &amp; Beauty</t>
        </is>
      </c>
      <c r="C20" s="28" t="inlineStr">
        <is>
          <t>Actual</t>
        </is>
      </c>
      <c r="D20" s="29" t="n">
        <v>1918.87</v>
      </c>
      <c r="E20" s="29" t="n">
        <v>911.47</v>
      </c>
      <c r="F20" s="30" t="n">
        <v>213</v>
      </c>
      <c r="G20" s="29" t="n"/>
      <c r="H20" s="29" t="n"/>
    </row>
    <row r="21">
      <c r="A21" s="27" t="n">
        <v>45627</v>
      </c>
      <c r="B21" s="28" t="inlineStr">
        <is>
          <t>Household</t>
        </is>
      </c>
      <c r="C21" s="28" t="inlineStr">
        <is>
          <t>Actual</t>
        </is>
      </c>
      <c r="D21" s="29" t="n">
        <v>2285.24</v>
      </c>
      <c r="E21" s="29" t="n">
        <v>931.64</v>
      </c>
      <c r="F21" s="30" t="n">
        <v>276</v>
      </c>
      <c r="G21" s="29" t="n"/>
      <c r="H21" s="29" t="n"/>
    </row>
    <row r="22">
      <c r="A22" s="27" t="n">
        <v>45627</v>
      </c>
      <c r="B22" s="28" t="inlineStr">
        <is>
          <t>Produce</t>
        </is>
      </c>
      <c r="C22" s="28" t="inlineStr">
        <is>
          <t>Actual</t>
        </is>
      </c>
      <c r="D22" s="29" t="n">
        <v>2288.1</v>
      </c>
      <c r="E22" s="29" t="n">
        <v>980.72</v>
      </c>
      <c r="F22" s="30" t="n">
        <v>1460</v>
      </c>
      <c r="G22" s="29" t="n"/>
      <c r="H22" s="29" t="n"/>
    </row>
    <row r="23">
      <c r="A23" s="27" t="n">
        <v>45627</v>
      </c>
      <c r="B23" s="28" t="inlineStr">
        <is>
          <t>Snacks &amp; Confectionery</t>
        </is>
      </c>
      <c r="C23" s="28" t="inlineStr">
        <is>
          <t>Actual</t>
        </is>
      </c>
      <c r="D23" s="29" t="n">
        <v>8785.48</v>
      </c>
      <c r="E23" s="29" t="n">
        <v>3892.48</v>
      </c>
      <c r="F23" s="30" t="n">
        <v>2010</v>
      </c>
      <c r="G23" s="29" t="n"/>
      <c r="H23" s="29" t="n"/>
    </row>
    <row r="24">
      <c r="A24" s="27" t="n">
        <v>45658</v>
      </c>
      <c r="B24" s="28" t="inlineStr">
        <is>
          <t>Bakery</t>
        </is>
      </c>
      <c r="C24" s="28" t="inlineStr">
        <is>
          <t>Actual</t>
        </is>
      </c>
      <c r="D24" s="29" t="n">
        <v>4114.07</v>
      </c>
      <c r="E24" s="29" t="n">
        <v>1589.47</v>
      </c>
      <c r="F24" s="30" t="n">
        <v>993</v>
      </c>
      <c r="G24" s="29" t="n"/>
      <c r="H24" s="29" t="n"/>
    </row>
    <row r="25">
      <c r="A25" s="27" t="n">
        <v>45658</v>
      </c>
      <c r="B25" s="28" t="inlineStr">
        <is>
          <t>Beer &amp; Wine</t>
        </is>
      </c>
      <c r="C25" s="28" t="inlineStr">
        <is>
          <t>Actual</t>
        </is>
      </c>
      <c r="D25" s="29" t="n">
        <v>9969.799999999999</v>
      </c>
      <c r="E25" s="29" t="n">
        <v>3366.9</v>
      </c>
      <c r="F25" s="30" t="n">
        <v>520</v>
      </c>
      <c r="G25" s="29" t="n"/>
      <c r="H25" s="29" t="n"/>
    </row>
    <row r="26">
      <c r="A26" s="27" t="n">
        <v>45658</v>
      </c>
      <c r="B26" s="28" t="inlineStr">
        <is>
          <t>Beverages</t>
        </is>
      </c>
      <c r="C26" s="28" t="inlineStr">
        <is>
          <t>Actual</t>
        </is>
      </c>
      <c r="D26" s="29" t="n">
        <v>13971.65</v>
      </c>
      <c r="E26" s="29" t="n">
        <v>7169</v>
      </c>
      <c r="F26" s="30" t="n">
        <v>3451</v>
      </c>
      <c r="G26" s="29" t="n"/>
      <c r="H26" s="29" t="n"/>
    </row>
    <row r="27">
      <c r="A27" s="27" t="n">
        <v>45658</v>
      </c>
      <c r="B27" s="28" t="inlineStr">
        <is>
          <t>Dairy</t>
        </is>
      </c>
      <c r="C27" s="28" t="inlineStr">
        <is>
          <t>Actual</t>
        </is>
      </c>
      <c r="D27" s="29" t="n">
        <v>12938.54</v>
      </c>
      <c r="E27" s="29" t="n">
        <v>3582.69</v>
      </c>
      <c r="F27" s="30" t="n">
        <v>2244</v>
      </c>
      <c r="G27" s="29" t="n"/>
      <c r="H27" s="29" t="n"/>
    </row>
    <row r="28">
      <c r="A28" s="27" t="n">
        <v>45658</v>
      </c>
      <c r="B28" s="28" t="inlineStr">
        <is>
          <t>Food To Go</t>
        </is>
      </c>
      <c r="C28" s="28" t="inlineStr">
        <is>
          <t>Actual</t>
        </is>
      </c>
      <c r="D28" s="29" t="n">
        <v>14701.07</v>
      </c>
      <c r="E28" s="29" t="n">
        <v>6762.17</v>
      </c>
      <c r="F28" s="30" t="n">
        <v>1863</v>
      </c>
      <c r="G28" s="29" t="n"/>
      <c r="H28" s="29" t="n"/>
    </row>
    <row r="29">
      <c r="A29" s="27" t="n">
        <v>45658</v>
      </c>
      <c r="B29" s="28" t="inlineStr">
        <is>
          <t>Frozen</t>
        </is>
      </c>
      <c r="C29" s="28" t="inlineStr">
        <is>
          <t>Actual</t>
        </is>
      </c>
      <c r="D29" s="29" t="n">
        <v>5339.68</v>
      </c>
      <c r="E29" s="29" t="n">
        <v>2380.48</v>
      </c>
      <c r="F29" s="30" t="n">
        <v>832</v>
      </c>
      <c r="G29" s="29" t="n"/>
      <c r="H29" s="29" t="n"/>
    </row>
    <row r="30">
      <c r="A30" s="27" t="n">
        <v>45658</v>
      </c>
      <c r="B30" s="28" t="inlineStr">
        <is>
          <t>Grocery</t>
        </is>
      </c>
      <c r="C30" s="28" t="inlineStr">
        <is>
          <t>Actual</t>
        </is>
      </c>
      <c r="D30" s="29" t="n">
        <v>6623.55</v>
      </c>
      <c r="E30" s="29" t="n">
        <v>2198.85</v>
      </c>
      <c r="F30" s="30" t="n">
        <v>1065</v>
      </c>
      <c r="G30" s="29" t="n"/>
      <c r="H30" s="29" t="n"/>
    </row>
    <row r="31">
      <c r="A31" s="27" t="n">
        <v>45658</v>
      </c>
      <c r="B31" s="28" t="inlineStr">
        <is>
          <t>Health &amp; Beauty</t>
        </is>
      </c>
      <c r="C31" s="28" t="inlineStr">
        <is>
          <t>Actual</t>
        </is>
      </c>
      <c r="D31" s="29" t="n">
        <v>1307.57</v>
      </c>
      <c r="E31" s="29" t="n">
        <v>636.5700000000001</v>
      </c>
      <c r="F31" s="30" t="n">
        <v>143</v>
      </c>
      <c r="G31" s="29" t="n"/>
      <c r="H31" s="29" t="n"/>
    </row>
    <row r="32">
      <c r="A32" s="27" t="n">
        <v>45658</v>
      </c>
      <c r="B32" s="28" t="inlineStr">
        <is>
          <t>Household</t>
        </is>
      </c>
      <c r="C32" s="28" t="inlineStr">
        <is>
          <t>Actual</t>
        </is>
      </c>
      <c r="D32" s="29" t="n">
        <v>2111.16</v>
      </c>
      <c r="E32" s="29" t="n">
        <v>819.76</v>
      </c>
      <c r="F32" s="30" t="n">
        <v>264</v>
      </c>
      <c r="G32" s="29" t="n"/>
      <c r="H32" s="29" t="n"/>
    </row>
    <row r="33">
      <c r="A33" s="27" t="n">
        <v>45658</v>
      </c>
      <c r="B33" s="28" t="inlineStr">
        <is>
          <t>Produce</t>
        </is>
      </c>
      <c r="C33" s="28" t="inlineStr">
        <is>
          <t>Actual</t>
        </is>
      </c>
      <c r="D33" s="29" t="n">
        <v>2175.88</v>
      </c>
      <c r="E33" s="29" t="n">
        <v>939.26</v>
      </c>
      <c r="F33" s="30" t="n">
        <v>1342</v>
      </c>
      <c r="G33" s="29" t="n"/>
      <c r="H33" s="29" t="n"/>
    </row>
    <row r="34">
      <c r="A34" s="27" t="n">
        <v>45658</v>
      </c>
      <c r="B34" s="28" t="inlineStr">
        <is>
          <t>Snacks &amp; Confectionery</t>
        </is>
      </c>
      <c r="C34" s="28" t="inlineStr">
        <is>
          <t>Actual</t>
        </is>
      </c>
      <c r="D34" s="29" t="n">
        <v>7430.67</v>
      </c>
      <c r="E34" s="29" t="n">
        <v>3337.97</v>
      </c>
      <c r="F34" s="30" t="n">
        <v>1683</v>
      </c>
      <c r="G34" s="29" t="n"/>
      <c r="H34" s="29" t="n"/>
    </row>
    <row r="35">
      <c r="A35" s="27" t="n">
        <v>45689</v>
      </c>
      <c r="B35" s="28" t="inlineStr">
        <is>
          <t>Bakery</t>
        </is>
      </c>
      <c r="C35" s="28" t="inlineStr">
        <is>
          <t>Actual</t>
        </is>
      </c>
      <c r="D35" s="29" t="n">
        <v>4141.36</v>
      </c>
      <c r="E35" s="29" t="n">
        <v>1542.96</v>
      </c>
      <c r="F35" s="30" t="n">
        <v>1034</v>
      </c>
      <c r="G35" s="29" t="n"/>
      <c r="H35" s="29" t="n"/>
    </row>
    <row r="36">
      <c r="A36" s="27" t="n">
        <v>45689</v>
      </c>
      <c r="B36" s="28" t="inlineStr">
        <is>
          <t>Beer &amp; Wine</t>
        </is>
      </c>
      <c r="C36" s="28" t="inlineStr">
        <is>
          <t>Actual</t>
        </is>
      </c>
      <c r="D36" s="29" t="n">
        <v>10315.6</v>
      </c>
      <c r="E36" s="29" t="n">
        <v>3537.1</v>
      </c>
      <c r="F36" s="30" t="n">
        <v>540</v>
      </c>
      <c r="G36" s="29" t="n"/>
      <c r="H36" s="29" t="n"/>
    </row>
    <row r="37">
      <c r="A37" s="27" t="n">
        <v>45689</v>
      </c>
      <c r="B37" s="28" t="inlineStr">
        <is>
          <t>Beverages</t>
        </is>
      </c>
      <c r="C37" s="28" t="inlineStr">
        <is>
          <t>Actual</t>
        </is>
      </c>
      <c r="D37" s="29" t="n">
        <v>13738.86</v>
      </c>
      <c r="E37" s="29" t="n">
        <v>6995.66</v>
      </c>
      <c r="F37" s="30" t="n">
        <v>3354</v>
      </c>
      <c r="G37" s="29" t="n"/>
      <c r="H37" s="29" t="n"/>
    </row>
    <row r="38">
      <c r="A38" s="27" t="n">
        <v>45689</v>
      </c>
      <c r="B38" s="28" t="inlineStr">
        <is>
          <t>Dairy</t>
        </is>
      </c>
      <c r="C38" s="28" t="inlineStr">
        <is>
          <t>Actual</t>
        </is>
      </c>
      <c r="D38" s="29" t="n">
        <v>12393.48</v>
      </c>
      <c r="E38" s="29" t="n">
        <v>3500.08</v>
      </c>
      <c r="F38" s="30" t="n">
        <v>2152</v>
      </c>
      <c r="G38" s="29" t="n"/>
      <c r="H38" s="29" t="n"/>
    </row>
    <row r="39">
      <c r="A39" s="27" t="n">
        <v>45689</v>
      </c>
      <c r="B39" s="28" t="inlineStr">
        <is>
          <t>Food To Go</t>
        </is>
      </c>
      <c r="C39" s="28" t="inlineStr">
        <is>
          <t>Actual</t>
        </is>
      </c>
      <c r="D39" s="29" t="n">
        <v>14256.94</v>
      </c>
      <c r="E39" s="29" t="n">
        <v>6683.64</v>
      </c>
      <c r="F39" s="30" t="n">
        <v>1806</v>
      </c>
      <c r="G39" s="29" t="n"/>
      <c r="H39" s="29" t="n"/>
    </row>
    <row r="40">
      <c r="A40" s="27" t="n">
        <v>45689</v>
      </c>
      <c r="B40" s="28" t="inlineStr">
        <is>
          <t>Frozen</t>
        </is>
      </c>
      <c r="C40" s="28" t="inlineStr">
        <is>
          <t>Actual</t>
        </is>
      </c>
      <c r="D40" s="29" t="n">
        <v>5209.81</v>
      </c>
      <c r="E40" s="29" t="n">
        <v>2323.51</v>
      </c>
      <c r="F40" s="30" t="n">
        <v>819</v>
      </c>
      <c r="G40" s="29" t="n"/>
      <c r="H40" s="29" t="n"/>
    </row>
    <row r="41">
      <c r="A41" s="27" t="n">
        <v>45689</v>
      </c>
      <c r="B41" s="28" t="inlineStr">
        <is>
          <t>Grocery</t>
        </is>
      </c>
      <c r="C41" s="28" t="inlineStr">
        <is>
          <t>Actual</t>
        </is>
      </c>
      <c r="D41" s="29" t="n">
        <v>6934.83</v>
      </c>
      <c r="E41" s="29" t="n">
        <v>2395.83</v>
      </c>
      <c r="F41" s="30" t="n">
        <v>1127</v>
      </c>
      <c r="G41" s="29" t="n"/>
      <c r="H41" s="29" t="n"/>
    </row>
    <row r="42">
      <c r="A42" s="27" t="n">
        <v>45689</v>
      </c>
      <c r="B42" s="28" t="inlineStr">
        <is>
          <t>Health &amp; Beauty</t>
        </is>
      </c>
      <c r="C42" s="28" t="inlineStr">
        <is>
          <t>Actual</t>
        </is>
      </c>
      <c r="D42" s="29" t="n">
        <v>1328.9</v>
      </c>
      <c r="E42" s="29" t="n">
        <v>621.3</v>
      </c>
      <c r="F42" s="30" t="n">
        <v>170</v>
      </c>
      <c r="G42" s="29" t="n"/>
      <c r="H42" s="29" t="n"/>
    </row>
    <row r="43">
      <c r="A43" s="27" t="n">
        <v>45689</v>
      </c>
      <c r="B43" s="28" t="inlineStr">
        <is>
          <t>Household</t>
        </is>
      </c>
      <c r="C43" s="28" t="inlineStr">
        <is>
          <t>Actual</t>
        </is>
      </c>
      <c r="D43" s="29" t="n">
        <v>1911.78</v>
      </c>
      <c r="E43" s="29" t="n">
        <v>782.58</v>
      </c>
      <c r="F43" s="30" t="n">
        <v>222</v>
      </c>
      <c r="G43" s="29" t="n"/>
      <c r="H43" s="29" t="n"/>
    </row>
    <row r="44">
      <c r="A44" s="27" t="n">
        <v>45689</v>
      </c>
      <c r="B44" s="28" t="inlineStr">
        <is>
          <t>Produce</t>
        </is>
      </c>
      <c r="C44" s="28" t="inlineStr">
        <is>
          <t>Actual</t>
        </is>
      </c>
      <c r="D44" s="29" t="n">
        <v>1782.75</v>
      </c>
      <c r="E44" s="29" t="n">
        <v>765.61</v>
      </c>
      <c r="F44" s="30" t="n">
        <v>1231</v>
      </c>
      <c r="G44" s="29" t="n"/>
      <c r="H44" s="29" t="n"/>
    </row>
    <row r="45">
      <c r="A45" s="27" t="n">
        <v>45689</v>
      </c>
      <c r="B45" s="28" t="inlineStr">
        <is>
          <t>Snacks &amp; Confectionery</t>
        </is>
      </c>
      <c r="C45" s="28" t="inlineStr">
        <is>
          <t>Actual</t>
        </is>
      </c>
      <c r="D45" s="29" t="n">
        <v>7366.67</v>
      </c>
      <c r="E45" s="29" t="n">
        <v>3301.97</v>
      </c>
      <c r="F45" s="30" t="n">
        <v>1673</v>
      </c>
      <c r="G45" s="29" t="n"/>
      <c r="H45" s="29" t="n"/>
    </row>
    <row r="46">
      <c r="A46" s="27" t="n">
        <v>45717</v>
      </c>
      <c r="B46" s="28" t="inlineStr">
        <is>
          <t>Bakery</t>
        </is>
      </c>
      <c r="C46" s="28" t="inlineStr">
        <is>
          <t>Actual</t>
        </is>
      </c>
      <c r="D46" s="29" t="n">
        <v>4770.18</v>
      </c>
      <c r="E46" s="29" t="n">
        <v>1840.28</v>
      </c>
      <c r="F46" s="30" t="n">
        <v>1146</v>
      </c>
      <c r="G46" s="29" t="n"/>
      <c r="H46" s="29" t="n"/>
    </row>
    <row r="47">
      <c r="A47" s="27" t="n">
        <v>45717</v>
      </c>
      <c r="B47" s="28" t="inlineStr">
        <is>
          <t>Beer &amp; Wine</t>
        </is>
      </c>
      <c r="C47" s="28" t="inlineStr">
        <is>
          <t>Actual</t>
        </is>
      </c>
      <c r="D47" s="29" t="n">
        <v>11230.18</v>
      </c>
      <c r="E47" s="29" t="n">
        <v>3869.18</v>
      </c>
      <c r="F47" s="30" t="n">
        <v>582</v>
      </c>
      <c r="G47" s="29" t="n"/>
      <c r="H47" s="29" t="n"/>
    </row>
    <row r="48">
      <c r="A48" s="27" t="n">
        <v>45717</v>
      </c>
      <c r="B48" s="28" t="inlineStr">
        <is>
          <t>Beverages</t>
        </is>
      </c>
      <c r="C48" s="28" t="inlineStr">
        <is>
          <t>Actual</t>
        </is>
      </c>
      <c r="D48" s="29" t="n">
        <v>14157.03</v>
      </c>
      <c r="E48" s="29" t="n">
        <v>7250.33</v>
      </c>
      <c r="F48" s="30" t="n">
        <v>3487</v>
      </c>
      <c r="G48" s="29" t="n"/>
      <c r="H48" s="29" t="n"/>
    </row>
    <row r="49">
      <c r="A49" s="27" t="n">
        <v>45717</v>
      </c>
      <c r="B49" s="28" t="inlineStr">
        <is>
          <t>Dairy</t>
        </is>
      </c>
      <c r="C49" s="28" t="inlineStr">
        <is>
          <t>Actual</t>
        </is>
      </c>
      <c r="D49" s="29" t="n">
        <v>13916.61</v>
      </c>
      <c r="E49" s="29" t="n">
        <v>3959.11</v>
      </c>
      <c r="F49" s="30" t="n">
        <v>2379</v>
      </c>
      <c r="G49" s="29" t="n"/>
      <c r="H49" s="29" t="n"/>
    </row>
    <row r="50">
      <c r="A50" s="27" t="n">
        <v>45717</v>
      </c>
      <c r="B50" s="28" t="inlineStr">
        <is>
          <t>Food To Go</t>
        </is>
      </c>
      <c r="C50" s="28" t="inlineStr">
        <is>
          <t>Actual</t>
        </is>
      </c>
      <c r="D50" s="29" t="n">
        <v>15513.41</v>
      </c>
      <c r="E50" s="29" t="n">
        <v>7386.41</v>
      </c>
      <c r="F50" s="30" t="n">
        <v>1959</v>
      </c>
      <c r="G50" s="29" t="n"/>
      <c r="H50" s="29" t="n"/>
    </row>
    <row r="51">
      <c r="A51" s="27" t="n">
        <v>45717</v>
      </c>
      <c r="B51" s="28" t="inlineStr">
        <is>
          <t>Frozen</t>
        </is>
      </c>
      <c r="C51" s="28" t="inlineStr">
        <is>
          <t>Actual</t>
        </is>
      </c>
      <c r="D51" s="29" t="n">
        <v>6282.37</v>
      </c>
      <c r="E51" s="29" t="n">
        <v>2724.37</v>
      </c>
      <c r="F51" s="30" t="n">
        <v>963</v>
      </c>
      <c r="G51" s="29" t="n"/>
      <c r="H51" s="29" t="n"/>
    </row>
    <row r="52">
      <c r="A52" s="27" t="n">
        <v>45717</v>
      </c>
      <c r="B52" s="28" t="inlineStr">
        <is>
          <t>Grocery</t>
        </is>
      </c>
      <c r="C52" s="28" t="inlineStr">
        <is>
          <t>Actual</t>
        </is>
      </c>
      <c r="D52" s="29" t="n">
        <v>7481.14</v>
      </c>
      <c r="E52" s="29" t="n">
        <v>2600.24</v>
      </c>
      <c r="F52" s="30" t="n">
        <v>1266</v>
      </c>
      <c r="G52" s="29" t="n"/>
      <c r="H52" s="29" t="n"/>
    </row>
    <row r="53">
      <c r="A53" s="27" t="n">
        <v>45717</v>
      </c>
      <c r="B53" s="28" t="inlineStr">
        <is>
          <t>Health &amp; Beauty</t>
        </is>
      </c>
      <c r="C53" s="28" t="inlineStr">
        <is>
          <t>Actual</t>
        </is>
      </c>
      <c r="D53" s="29" t="n">
        <v>1112.59</v>
      </c>
      <c r="E53" s="29" t="n">
        <v>556.99</v>
      </c>
      <c r="F53" s="30" t="n">
        <v>141</v>
      </c>
      <c r="G53" s="29" t="n"/>
      <c r="H53" s="29" t="n"/>
    </row>
    <row r="54">
      <c r="A54" s="27" t="n">
        <v>45717</v>
      </c>
      <c r="B54" s="28" t="inlineStr">
        <is>
          <t>Household</t>
        </is>
      </c>
      <c r="C54" s="28" t="inlineStr">
        <is>
          <t>Actual</t>
        </is>
      </c>
      <c r="D54" s="29" t="n">
        <v>2491.08</v>
      </c>
      <c r="E54" s="29" t="n">
        <v>1079.48</v>
      </c>
      <c r="F54" s="30" t="n">
        <v>292</v>
      </c>
      <c r="G54" s="29" t="n"/>
      <c r="H54" s="29" t="n"/>
    </row>
    <row r="55">
      <c r="A55" s="27" t="n">
        <v>45717</v>
      </c>
      <c r="B55" s="28" t="inlineStr">
        <is>
          <t>Produce</t>
        </is>
      </c>
      <c r="C55" s="28" t="inlineStr">
        <is>
          <t>Actual</t>
        </is>
      </c>
      <c r="D55" s="29" t="n">
        <v>2078.01</v>
      </c>
      <c r="E55" s="29" t="n">
        <v>904.33</v>
      </c>
      <c r="F55" s="30" t="n">
        <v>1369</v>
      </c>
      <c r="G55" s="29" t="n"/>
      <c r="H55" s="29" t="n"/>
    </row>
    <row r="56">
      <c r="A56" s="27" t="n">
        <v>45717</v>
      </c>
      <c r="B56" s="28" t="inlineStr">
        <is>
          <t>Snacks &amp; Confectionery</t>
        </is>
      </c>
      <c r="C56" s="28" t="inlineStr">
        <is>
          <t>Actual</t>
        </is>
      </c>
      <c r="D56" s="29" t="n">
        <v>7950.45</v>
      </c>
      <c r="E56" s="29" t="n">
        <v>3573.85</v>
      </c>
      <c r="F56" s="30" t="n">
        <v>1815</v>
      </c>
      <c r="G56" s="29" t="n"/>
      <c r="H56" s="29" t="n"/>
    </row>
    <row r="57">
      <c r="A57" s="27" t="n">
        <v>45748</v>
      </c>
      <c r="B57" s="28" t="inlineStr">
        <is>
          <t>Bakery</t>
        </is>
      </c>
      <c r="C57" s="28" t="inlineStr">
        <is>
          <t>Actual</t>
        </is>
      </c>
      <c r="D57" s="29" t="n">
        <v>4460.66</v>
      </c>
      <c r="E57" s="29" t="n">
        <v>1729.66</v>
      </c>
      <c r="F57" s="30" t="n">
        <v>1084</v>
      </c>
      <c r="G57" s="29" t="n"/>
      <c r="H57" s="29" t="n"/>
    </row>
    <row r="58">
      <c r="A58" s="27" t="n">
        <v>45748</v>
      </c>
      <c r="B58" s="28" t="inlineStr">
        <is>
          <t>Beer &amp; Wine</t>
        </is>
      </c>
      <c r="C58" s="28" t="inlineStr">
        <is>
          <t>Actual</t>
        </is>
      </c>
      <c r="D58" s="29" t="n">
        <v>10121.02</v>
      </c>
      <c r="E58" s="29" t="n">
        <v>3322.42</v>
      </c>
      <c r="F58" s="30" t="n">
        <v>538</v>
      </c>
      <c r="G58" s="29" t="n"/>
      <c r="H58" s="29" t="n"/>
    </row>
    <row r="59">
      <c r="A59" s="27" t="n">
        <v>45748</v>
      </c>
      <c r="B59" s="28" t="inlineStr">
        <is>
          <t>Beverages</t>
        </is>
      </c>
      <c r="C59" s="28" t="inlineStr">
        <is>
          <t>Actual</t>
        </is>
      </c>
      <c r="D59" s="29" t="n">
        <v>11682.51</v>
      </c>
      <c r="E59" s="29" t="n">
        <v>5980.31</v>
      </c>
      <c r="F59" s="30" t="n">
        <v>2831</v>
      </c>
      <c r="G59" s="29" t="n"/>
      <c r="H59" s="29" t="n"/>
    </row>
    <row r="60">
      <c r="A60" s="27" t="n">
        <v>45748</v>
      </c>
      <c r="B60" s="28" t="inlineStr">
        <is>
          <t>Dairy</t>
        </is>
      </c>
      <c r="C60" s="28" t="inlineStr">
        <is>
          <t>Actual</t>
        </is>
      </c>
      <c r="D60" s="29" t="n">
        <v>13514.58</v>
      </c>
      <c r="E60" s="29" t="n">
        <v>3699.93</v>
      </c>
      <c r="F60" s="30" t="n">
        <v>2358</v>
      </c>
      <c r="G60" s="29" t="n"/>
      <c r="H60" s="29" t="n"/>
    </row>
    <row r="61">
      <c r="A61" s="27" t="n">
        <v>45748</v>
      </c>
      <c r="B61" s="28" t="inlineStr">
        <is>
          <t>Food To Go</t>
        </is>
      </c>
      <c r="C61" s="28" t="inlineStr">
        <is>
          <t>Actual</t>
        </is>
      </c>
      <c r="D61" s="29" t="n">
        <v>14315.41</v>
      </c>
      <c r="E61" s="29" t="n">
        <v>6843.61</v>
      </c>
      <c r="F61" s="30" t="n">
        <v>1869</v>
      </c>
      <c r="G61" s="29" t="n"/>
      <c r="H61" s="29" t="n"/>
    </row>
    <row r="62">
      <c r="A62" s="27" t="n">
        <v>45748</v>
      </c>
      <c r="B62" s="28" t="inlineStr">
        <is>
          <t>Frozen</t>
        </is>
      </c>
      <c r="C62" s="28" t="inlineStr">
        <is>
          <t>Actual</t>
        </is>
      </c>
      <c r="D62" s="29" t="n">
        <v>5419.17</v>
      </c>
      <c r="E62" s="29" t="n">
        <v>2388.57</v>
      </c>
      <c r="F62" s="30" t="n">
        <v>823</v>
      </c>
      <c r="G62" s="29" t="n"/>
      <c r="H62" s="29" t="n"/>
    </row>
    <row r="63">
      <c r="A63" s="27" t="n">
        <v>45748</v>
      </c>
      <c r="B63" s="28" t="inlineStr">
        <is>
          <t>Grocery</t>
        </is>
      </c>
      <c r="C63" s="28" t="inlineStr">
        <is>
          <t>Actual</t>
        </is>
      </c>
      <c r="D63" s="29" t="n">
        <v>7559.75</v>
      </c>
      <c r="E63" s="29" t="n">
        <v>2565.05</v>
      </c>
      <c r="F63" s="30" t="n">
        <v>1271</v>
      </c>
      <c r="G63" s="29" t="n"/>
      <c r="H63" s="29" t="n"/>
    </row>
    <row r="64">
      <c r="A64" s="27" t="n">
        <v>45748</v>
      </c>
      <c r="B64" s="28" t="inlineStr">
        <is>
          <t>Health &amp; Beauty</t>
        </is>
      </c>
      <c r="C64" s="28" t="inlineStr">
        <is>
          <t>Actual</t>
        </is>
      </c>
      <c r="D64" s="29" t="n">
        <v>1369.14</v>
      </c>
      <c r="E64" s="29" t="n">
        <v>695.34</v>
      </c>
      <c r="F64" s="30" t="n">
        <v>186</v>
      </c>
      <c r="G64" s="29" t="n"/>
      <c r="H64" s="29" t="n"/>
    </row>
    <row r="65">
      <c r="A65" s="27" t="n">
        <v>45748</v>
      </c>
      <c r="B65" s="28" t="inlineStr">
        <is>
          <t>Household</t>
        </is>
      </c>
      <c r="C65" s="28" t="inlineStr">
        <is>
          <t>Actual</t>
        </is>
      </c>
      <c r="D65" s="29" t="n">
        <v>2308.56</v>
      </c>
      <c r="E65" s="29" t="n">
        <v>877.96</v>
      </c>
      <c r="F65" s="30" t="n">
        <v>284</v>
      </c>
      <c r="G65" s="29" t="n"/>
      <c r="H65" s="29" t="n"/>
    </row>
    <row r="66">
      <c r="A66" s="27" t="n">
        <v>45748</v>
      </c>
      <c r="B66" s="28" t="inlineStr">
        <is>
          <t>Produce</t>
        </is>
      </c>
      <c r="C66" s="28" t="inlineStr">
        <is>
          <t>Actual</t>
        </is>
      </c>
      <c r="D66" s="29" t="n">
        <v>1836.46</v>
      </c>
      <c r="E66" s="29" t="n">
        <v>767.8</v>
      </c>
      <c r="F66" s="30" t="n">
        <v>1338</v>
      </c>
      <c r="G66" s="29" t="n"/>
      <c r="H66" s="29" t="n"/>
    </row>
    <row r="67">
      <c r="A67" s="27" t="n">
        <v>45748</v>
      </c>
      <c r="B67" s="28" t="inlineStr">
        <is>
          <t>Snacks &amp; Confectionery</t>
        </is>
      </c>
      <c r="C67" s="28" t="inlineStr">
        <is>
          <t>Actual</t>
        </is>
      </c>
      <c r="D67" s="29" t="n">
        <v>7508.5</v>
      </c>
      <c r="E67" s="29" t="n">
        <v>3360.4</v>
      </c>
      <c r="F67" s="30" t="n">
        <v>1708</v>
      </c>
      <c r="G67" s="29" t="n"/>
      <c r="H67" s="29" t="n"/>
    </row>
    <row r="68">
      <c r="A68" s="27" t="n">
        <v>45778</v>
      </c>
      <c r="B68" s="28" t="inlineStr">
        <is>
          <t>Bakery</t>
        </is>
      </c>
      <c r="C68" s="28" t="inlineStr">
        <is>
          <t>Actual</t>
        </is>
      </c>
      <c r="D68" s="29" t="n">
        <v>4996.49</v>
      </c>
      <c r="E68" s="29" t="n">
        <v>1942.09</v>
      </c>
      <c r="F68" s="30" t="n">
        <v>1211</v>
      </c>
      <c r="G68" s="29" t="n"/>
      <c r="H68" s="29" t="n"/>
    </row>
    <row r="69">
      <c r="A69" s="27" t="n">
        <v>45778</v>
      </c>
      <c r="B69" s="28" t="inlineStr">
        <is>
          <t>Beer &amp; Wine</t>
        </is>
      </c>
      <c r="C69" s="28" t="inlineStr">
        <is>
          <t>Actual</t>
        </is>
      </c>
      <c r="D69" s="29" t="n">
        <v>9050.33</v>
      </c>
      <c r="E69" s="29" t="n">
        <v>3118.23</v>
      </c>
      <c r="F69" s="30" t="n">
        <v>467</v>
      </c>
      <c r="G69" s="29" t="n"/>
      <c r="H69" s="29" t="n"/>
    </row>
    <row r="70">
      <c r="A70" s="27" t="n">
        <v>45778</v>
      </c>
      <c r="B70" s="28" t="inlineStr">
        <is>
          <t>Beverages</t>
        </is>
      </c>
      <c r="C70" s="28" t="inlineStr">
        <is>
          <t>Actual</t>
        </is>
      </c>
      <c r="D70" s="29" t="n">
        <v>11003.69</v>
      </c>
      <c r="E70" s="29" t="n">
        <v>5584.29</v>
      </c>
      <c r="F70" s="30" t="n">
        <v>2699</v>
      </c>
      <c r="G70" s="29" t="n"/>
      <c r="H70" s="29" t="n"/>
    </row>
    <row r="71">
      <c r="A71" s="27" t="n">
        <v>45778</v>
      </c>
      <c r="B71" s="28" t="inlineStr">
        <is>
          <t>Dairy</t>
        </is>
      </c>
      <c r="C71" s="28" t="inlineStr">
        <is>
          <t>Actual</t>
        </is>
      </c>
      <c r="D71" s="29" t="n">
        <v>13582.38</v>
      </c>
      <c r="E71" s="29" t="n">
        <v>3834.68</v>
      </c>
      <c r="F71" s="30" t="n">
        <v>2322</v>
      </c>
      <c r="G71" s="29" t="n"/>
      <c r="H71" s="29" t="n"/>
    </row>
    <row r="72">
      <c r="A72" s="27" t="n">
        <v>45778</v>
      </c>
      <c r="B72" s="28" t="inlineStr">
        <is>
          <t>Food To Go</t>
        </is>
      </c>
      <c r="C72" s="28" t="inlineStr">
        <is>
          <t>Actual</t>
        </is>
      </c>
      <c r="D72" s="29" t="n">
        <v>14428.55</v>
      </c>
      <c r="E72" s="29" t="n">
        <v>6944.05</v>
      </c>
      <c r="F72" s="30" t="n">
        <v>1925</v>
      </c>
      <c r="G72" s="29" t="n"/>
      <c r="H72" s="29" t="n"/>
    </row>
    <row r="73">
      <c r="A73" s="27" t="n">
        <v>45778</v>
      </c>
      <c r="B73" s="28" t="inlineStr">
        <is>
          <t>Frozen</t>
        </is>
      </c>
      <c r="C73" s="28" t="inlineStr">
        <is>
          <t>Actual</t>
        </is>
      </c>
      <c r="D73" s="29" t="n">
        <v>5463.39</v>
      </c>
      <c r="E73" s="29" t="n">
        <v>2372.59</v>
      </c>
      <c r="F73" s="30" t="n">
        <v>761</v>
      </c>
      <c r="G73" s="29" t="n"/>
      <c r="H73" s="29" t="n"/>
    </row>
    <row r="74">
      <c r="A74" s="27" t="n">
        <v>45778</v>
      </c>
      <c r="B74" s="28" t="inlineStr">
        <is>
          <t>Grocery</t>
        </is>
      </c>
      <c r="C74" s="28" t="inlineStr">
        <is>
          <t>Actual</t>
        </is>
      </c>
      <c r="D74" s="29" t="n">
        <v>9101.58</v>
      </c>
      <c r="E74" s="29" t="n">
        <v>3176.48</v>
      </c>
      <c r="F74" s="30" t="n">
        <v>1502</v>
      </c>
      <c r="G74" s="29" t="n"/>
      <c r="H74" s="29" t="n"/>
    </row>
    <row r="75">
      <c r="A75" s="27" t="n">
        <v>45778</v>
      </c>
      <c r="B75" s="28" t="inlineStr">
        <is>
          <t>Health &amp; Beauty</t>
        </is>
      </c>
      <c r="C75" s="28" t="inlineStr">
        <is>
          <t>Actual</t>
        </is>
      </c>
      <c r="D75" s="29" t="n">
        <v>1307.99</v>
      </c>
      <c r="E75" s="29" t="n">
        <v>682.79</v>
      </c>
      <c r="F75" s="30" t="n">
        <v>201</v>
      </c>
      <c r="G75" s="29" t="n"/>
      <c r="H75" s="29" t="n"/>
    </row>
    <row r="76">
      <c r="A76" s="27" t="n">
        <v>45778</v>
      </c>
      <c r="B76" s="28" t="inlineStr">
        <is>
          <t>Household</t>
        </is>
      </c>
      <c r="C76" s="28" t="inlineStr">
        <is>
          <t>Actual</t>
        </is>
      </c>
      <c r="D76" s="29" t="n">
        <v>2382.11</v>
      </c>
      <c r="E76" s="29" t="n">
        <v>1025.21</v>
      </c>
      <c r="F76" s="30" t="n">
        <v>289</v>
      </c>
      <c r="G76" s="29" t="n"/>
      <c r="H76" s="29" t="n"/>
    </row>
    <row r="77">
      <c r="A77" s="27" t="n">
        <v>45778</v>
      </c>
      <c r="B77" s="28" t="inlineStr">
        <is>
          <t>Produce</t>
        </is>
      </c>
      <c r="C77" s="28" t="inlineStr">
        <is>
          <t>Actual</t>
        </is>
      </c>
      <c r="D77" s="29" t="n">
        <v>1751.2</v>
      </c>
      <c r="E77" s="29" t="n">
        <v>763.1799999999999</v>
      </c>
      <c r="F77" s="30" t="n">
        <v>1260</v>
      </c>
      <c r="G77" s="29" t="n"/>
      <c r="H77" s="29" t="n"/>
    </row>
    <row r="78">
      <c r="A78" s="27" t="n">
        <v>45778</v>
      </c>
      <c r="B78" s="28" t="inlineStr">
        <is>
          <t>Snacks &amp; Confectionery</t>
        </is>
      </c>
      <c r="C78" s="28" t="inlineStr">
        <is>
          <t>Actual</t>
        </is>
      </c>
      <c r="D78" s="29" t="n">
        <v>8391.33</v>
      </c>
      <c r="E78" s="29" t="n">
        <v>3705.83</v>
      </c>
      <c r="F78" s="30" t="n">
        <v>1923</v>
      </c>
      <c r="G78" s="29" t="n"/>
      <c r="H78" s="29" t="n"/>
    </row>
    <row r="79">
      <c r="A79" s="27" t="n">
        <v>45809</v>
      </c>
      <c r="B79" s="28" t="inlineStr">
        <is>
          <t>Bakery</t>
        </is>
      </c>
      <c r="C79" s="28" t="inlineStr">
        <is>
          <t>Actual</t>
        </is>
      </c>
      <c r="D79" s="29" t="n">
        <v>4341.21</v>
      </c>
      <c r="E79" s="29" t="n">
        <v>1686.91</v>
      </c>
      <c r="F79" s="30" t="n">
        <v>1049</v>
      </c>
      <c r="G79" s="29" t="n"/>
      <c r="H79" s="29" t="n"/>
    </row>
    <row r="80">
      <c r="A80" s="27" t="n">
        <v>45809</v>
      </c>
      <c r="B80" s="28" t="inlineStr">
        <is>
          <t>Beer &amp; Wine</t>
        </is>
      </c>
      <c r="C80" s="28" t="inlineStr">
        <is>
          <t>Actual</t>
        </is>
      </c>
      <c r="D80" s="29" t="n">
        <v>8259.74</v>
      </c>
      <c r="E80" s="29" t="n">
        <v>2855.94</v>
      </c>
      <c r="F80" s="30" t="n">
        <v>426</v>
      </c>
      <c r="G80" s="29" t="n"/>
      <c r="H80" s="29" t="n"/>
    </row>
    <row r="81">
      <c r="A81" s="27" t="n">
        <v>45809</v>
      </c>
      <c r="B81" s="28" t="inlineStr">
        <is>
          <t>Beverages</t>
        </is>
      </c>
      <c r="C81" s="28" t="inlineStr">
        <is>
          <t>Actual</t>
        </is>
      </c>
      <c r="D81" s="29" t="n">
        <v>9124.41</v>
      </c>
      <c r="E81" s="29" t="n">
        <v>4604.36</v>
      </c>
      <c r="F81" s="30" t="n">
        <v>2273</v>
      </c>
      <c r="G81" s="29" t="n"/>
      <c r="H81" s="29" t="n"/>
    </row>
    <row r="82">
      <c r="A82" s="27" t="n">
        <v>45809</v>
      </c>
      <c r="B82" s="28" t="inlineStr">
        <is>
          <t>Dairy</t>
        </is>
      </c>
      <c r="C82" s="28" t="inlineStr">
        <is>
          <t>Actual</t>
        </is>
      </c>
      <c r="D82" s="29" t="n">
        <v>12510.41</v>
      </c>
      <c r="E82" s="29" t="n">
        <v>3473.76</v>
      </c>
      <c r="F82" s="30" t="n">
        <v>2171</v>
      </c>
      <c r="G82" s="29" t="n"/>
      <c r="H82" s="29" t="n"/>
    </row>
    <row r="83">
      <c r="A83" s="27" t="n">
        <v>45809</v>
      </c>
      <c r="B83" s="28" t="inlineStr">
        <is>
          <t>Food To Go</t>
        </is>
      </c>
      <c r="C83" s="28" t="inlineStr">
        <is>
          <t>Actual</t>
        </is>
      </c>
      <c r="D83" s="29" t="n">
        <v>13194.33</v>
      </c>
      <c r="E83" s="29" t="n">
        <v>6356.53</v>
      </c>
      <c r="F83" s="30" t="n">
        <v>1817</v>
      </c>
      <c r="G83" s="29" t="n"/>
      <c r="H83" s="29" t="n"/>
    </row>
    <row r="84">
      <c r="A84" s="27" t="n">
        <v>45809</v>
      </c>
      <c r="B84" s="28" t="inlineStr">
        <is>
          <t>Frozen</t>
        </is>
      </c>
      <c r="C84" s="28" t="inlineStr">
        <is>
          <t>Actual</t>
        </is>
      </c>
      <c r="D84" s="29" t="n">
        <v>5103.21</v>
      </c>
      <c r="E84" s="29" t="n">
        <v>2198.11</v>
      </c>
      <c r="F84" s="30" t="n">
        <v>679</v>
      </c>
      <c r="G84" s="29" t="n"/>
      <c r="H84" s="29" t="n"/>
    </row>
    <row r="85">
      <c r="A85" s="27" t="n">
        <v>45809</v>
      </c>
      <c r="B85" s="28" t="inlineStr">
        <is>
          <t>Grocery</t>
        </is>
      </c>
      <c r="C85" s="28" t="inlineStr">
        <is>
          <t>Actual</t>
        </is>
      </c>
      <c r="D85" s="29" t="n">
        <v>8650.57</v>
      </c>
      <c r="E85" s="29" t="n">
        <v>3057.67</v>
      </c>
      <c r="F85" s="30" t="n">
        <v>1483</v>
      </c>
      <c r="G85" s="29" t="n"/>
      <c r="H85" s="29" t="n"/>
    </row>
    <row r="86">
      <c r="A86" s="27" t="n">
        <v>45809</v>
      </c>
      <c r="B86" s="28" t="inlineStr">
        <is>
          <t>Health &amp; Beauty</t>
        </is>
      </c>
      <c r="C86" s="28" t="inlineStr">
        <is>
          <t>Actual</t>
        </is>
      </c>
      <c r="D86" s="29" t="n">
        <v>1198.1</v>
      </c>
      <c r="E86" s="29" t="n">
        <v>630.1</v>
      </c>
      <c r="F86" s="30" t="n">
        <v>190</v>
      </c>
      <c r="G86" s="29" t="n"/>
      <c r="H86" s="29" t="n"/>
    </row>
    <row r="87">
      <c r="A87" s="27" t="n">
        <v>45809</v>
      </c>
      <c r="B87" s="28" t="inlineStr">
        <is>
          <t>Household</t>
        </is>
      </c>
      <c r="C87" s="28" t="inlineStr">
        <is>
          <t>Actual</t>
        </is>
      </c>
      <c r="D87" s="29" t="n">
        <v>2053.54</v>
      </c>
      <c r="E87" s="29" t="n">
        <v>843.14</v>
      </c>
      <c r="F87" s="30" t="n">
        <v>246</v>
      </c>
      <c r="G87" s="29" t="n"/>
      <c r="H87" s="29" t="n"/>
    </row>
    <row r="88">
      <c r="A88" s="27" t="n">
        <v>45809</v>
      </c>
      <c r="B88" s="28" t="inlineStr">
        <is>
          <t>Produce</t>
        </is>
      </c>
      <c r="C88" s="28" t="inlineStr">
        <is>
          <t>Actual</t>
        </is>
      </c>
      <c r="D88" s="29" t="n">
        <v>1479.91</v>
      </c>
      <c r="E88" s="29" t="n">
        <v>635.61</v>
      </c>
      <c r="F88" s="30" t="n">
        <v>1187</v>
      </c>
      <c r="G88" s="29" t="n"/>
      <c r="H88" s="29" t="n"/>
    </row>
    <row r="89">
      <c r="A89" s="27" t="n">
        <v>45809</v>
      </c>
      <c r="B89" s="28" t="inlineStr">
        <is>
          <t>Snacks &amp; Confectionery</t>
        </is>
      </c>
      <c r="C89" s="28" t="inlineStr">
        <is>
          <t>Actual</t>
        </is>
      </c>
      <c r="D89" s="29" t="n">
        <v>8006.8</v>
      </c>
      <c r="E89" s="29" t="n">
        <v>3572.5</v>
      </c>
      <c r="F89" s="30" t="n">
        <v>1830</v>
      </c>
      <c r="G89" s="29" t="n"/>
      <c r="H89" s="29" t="n"/>
    </row>
    <row r="90">
      <c r="A90" s="27" t="n">
        <v>45839</v>
      </c>
      <c r="B90" s="28" t="inlineStr">
        <is>
          <t>Bakery</t>
        </is>
      </c>
      <c r="C90" s="28" t="inlineStr">
        <is>
          <t>Actual</t>
        </is>
      </c>
      <c r="D90" s="29" t="n">
        <v>4470.86</v>
      </c>
      <c r="E90" s="29" t="n">
        <v>1689.16</v>
      </c>
      <c r="F90" s="30" t="n">
        <v>1094</v>
      </c>
      <c r="G90" s="29" t="n"/>
      <c r="H90" s="29" t="n"/>
    </row>
    <row r="91">
      <c r="A91" s="27" t="n">
        <v>45839</v>
      </c>
      <c r="B91" s="28" t="inlineStr">
        <is>
          <t>Beer &amp; Wine</t>
        </is>
      </c>
      <c r="C91" s="28" t="inlineStr">
        <is>
          <t>Actual</t>
        </is>
      </c>
      <c r="D91" s="29" t="n">
        <v>8509.76</v>
      </c>
      <c r="E91" s="29" t="n">
        <v>2912.26</v>
      </c>
      <c r="F91" s="30" t="n">
        <v>444</v>
      </c>
      <c r="G91" s="29" t="n"/>
      <c r="H91" s="29" t="n"/>
    </row>
    <row r="92">
      <c r="A92" s="27" t="n">
        <v>45839</v>
      </c>
      <c r="B92" s="28" t="inlineStr">
        <is>
          <t>Beverages</t>
        </is>
      </c>
      <c r="C92" s="28" t="inlineStr">
        <is>
          <t>Actual</t>
        </is>
      </c>
      <c r="D92" s="29" t="n">
        <v>9291.700000000001</v>
      </c>
      <c r="E92" s="29" t="n">
        <v>4750.1</v>
      </c>
      <c r="F92" s="30" t="n">
        <v>2260</v>
      </c>
      <c r="G92" s="29" t="n"/>
      <c r="H92" s="29" t="n"/>
    </row>
    <row r="93">
      <c r="A93" s="27" t="n">
        <v>45839</v>
      </c>
      <c r="B93" s="28" t="inlineStr">
        <is>
          <t>Dairy</t>
        </is>
      </c>
      <c r="C93" s="28" t="inlineStr">
        <is>
          <t>Actual</t>
        </is>
      </c>
      <c r="D93" s="29" t="n">
        <v>13719.33</v>
      </c>
      <c r="E93" s="29" t="n">
        <v>3837.43</v>
      </c>
      <c r="F93" s="30" t="n">
        <v>2319</v>
      </c>
      <c r="G93" s="29" t="n"/>
      <c r="H93" s="29" t="n"/>
    </row>
    <row r="94">
      <c r="A94" s="27" t="n">
        <v>45839</v>
      </c>
      <c r="B94" s="28" t="inlineStr">
        <is>
          <t>Food To Go</t>
        </is>
      </c>
      <c r="C94" s="28" t="inlineStr">
        <is>
          <t>Actual</t>
        </is>
      </c>
      <c r="D94" s="29" t="n">
        <v>14564.1</v>
      </c>
      <c r="E94" s="29" t="n">
        <v>7059.3</v>
      </c>
      <c r="F94" s="30" t="n">
        <v>2030</v>
      </c>
      <c r="G94" s="29" t="n"/>
      <c r="H94" s="29" t="n"/>
    </row>
    <row r="95">
      <c r="A95" s="27" t="n">
        <v>45839</v>
      </c>
      <c r="B95" s="28" t="inlineStr">
        <is>
          <t>Frozen</t>
        </is>
      </c>
      <c r="C95" s="28" t="inlineStr">
        <is>
          <t>Actual</t>
        </is>
      </c>
      <c r="D95" s="29" t="n">
        <v>5878.97</v>
      </c>
      <c r="E95" s="29" t="n">
        <v>2524.87</v>
      </c>
      <c r="F95" s="30" t="n">
        <v>783</v>
      </c>
      <c r="G95" s="29" t="n"/>
      <c r="H95" s="29" t="n"/>
    </row>
    <row r="96">
      <c r="A96" s="27" t="n">
        <v>45839</v>
      </c>
      <c r="B96" s="28" t="inlineStr">
        <is>
          <t>Grocery</t>
        </is>
      </c>
      <c r="C96" s="28" t="inlineStr">
        <is>
          <t>Actual</t>
        </is>
      </c>
      <c r="D96" s="29" t="n">
        <v>8812.66</v>
      </c>
      <c r="E96" s="29" t="n">
        <v>3130.46</v>
      </c>
      <c r="F96" s="30" t="n">
        <v>1506</v>
      </c>
      <c r="G96" s="29" t="n"/>
      <c r="H96" s="29" t="n"/>
    </row>
    <row r="97">
      <c r="A97" s="27" t="n">
        <v>45839</v>
      </c>
      <c r="B97" s="28" t="inlineStr">
        <is>
          <t>Health &amp; Beauty</t>
        </is>
      </c>
      <c r="C97" s="28" t="inlineStr">
        <is>
          <t>Actual</t>
        </is>
      </c>
      <c r="D97" s="29" t="n">
        <v>1280.52</v>
      </c>
      <c r="E97" s="29" t="n">
        <v>663.92</v>
      </c>
      <c r="F97" s="30" t="n">
        <v>208</v>
      </c>
      <c r="G97" s="29" t="n"/>
      <c r="H97" s="29" t="n"/>
    </row>
    <row r="98">
      <c r="A98" s="27" t="n">
        <v>45839</v>
      </c>
      <c r="B98" s="28" t="inlineStr">
        <is>
          <t>Household</t>
        </is>
      </c>
      <c r="C98" s="28" t="inlineStr">
        <is>
          <t>Actual</t>
        </is>
      </c>
      <c r="D98" s="29" t="n">
        <v>2153.56</v>
      </c>
      <c r="E98" s="29" t="n">
        <v>858.76</v>
      </c>
      <c r="F98" s="30" t="n">
        <v>264</v>
      </c>
      <c r="G98" s="29" t="n"/>
      <c r="H98" s="29" t="n"/>
    </row>
    <row r="99">
      <c r="A99" s="27" t="n">
        <v>45839</v>
      </c>
      <c r="B99" s="28" t="inlineStr">
        <is>
          <t>Produce</t>
        </is>
      </c>
      <c r="C99" s="28" t="inlineStr">
        <is>
          <t>Actual</t>
        </is>
      </c>
      <c r="D99" s="29" t="n">
        <v>1507.27</v>
      </c>
      <c r="E99" s="29" t="n">
        <v>650.39</v>
      </c>
      <c r="F99" s="30" t="n">
        <v>1267</v>
      </c>
      <c r="G99" s="29" t="n"/>
      <c r="H99" s="29" t="n"/>
    </row>
    <row r="100">
      <c r="A100" s="27" t="n">
        <v>45839</v>
      </c>
      <c r="B100" s="28" t="inlineStr">
        <is>
          <t>Snacks &amp; Confectionery</t>
        </is>
      </c>
      <c r="C100" s="28" t="inlineStr">
        <is>
          <t>Actual</t>
        </is>
      </c>
      <c r="D100" s="29" t="n">
        <v>8568.469999999999</v>
      </c>
      <c r="E100" s="29" t="n">
        <v>3821.17</v>
      </c>
      <c r="F100" s="30" t="n">
        <v>1943</v>
      </c>
      <c r="G100" s="29" t="n"/>
      <c r="H100" s="29" t="n"/>
    </row>
    <row r="101">
      <c r="A101" s="27" t="n">
        <v>45870</v>
      </c>
      <c r="B101" s="28" t="inlineStr">
        <is>
          <t>Bakery</t>
        </is>
      </c>
      <c r="C101" s="28" t="inlineStr">
        <is>
          <t>Actual</t>
        </is>
      </c>
      <c r="D101" s="29" t="n">
        <v>4586.76</v>
      </c>
      <c r="E101" s="29" t="n">
        <v>1762.56</v>
      </c>
      <c r="F101" s="30" t="n">
        <v>1114</v>
      </c>
      <c r="G101" s="29" t="n"/>
      <c r="H101" s="29" t="n"/>
    </row>
    <row r="102">
      <c r="A102" s="27" t="n">
        <v>45870</v>
      </c>
      <c r="B102" s="28" t="inlineStr">
        <is>
          <t>Beer &amp; Wine</t>
        </is>
      </c>
      <c r="C102" s="28" t="inlineStr">
        <is>
          <t>Actual</t>
        </is>
      </c>
      <c r="D102" s="29" t="n">
        <v>8531.25</v>
      </c>
      <c r="E102" s="29" t="n">
        <v>2835.05</v>
      </c>
      <c r="F102" s="30" t="n">
        <v>455</v>
      </c>
      <c r="G102" s="29" t="n"/>
      <c r="H102" s="29" t="n"/>
    </row>
    <row r="103">
      <c r="A103" s="27" t="n">
        <v>45870</v>
      </c>
      <c r="B103" s="28" t="inlineStr">
        <is>
          <t>Beverages</t>
        </is>
      </c>
      <c r="C103" s="28" t="inlineStr">
        <is>
          <t>Actual</t>
        </is>
      </c>
      <c r="D103" s="29" t="n">
        <v>9254.9</v>
      </c>
      <c r="E103" s="29" t="n">
        <v>4762.3</v>
      </c>
      <c r="F103" s="30" t="n">
        <v>2280</v>
      </c>
      <c r="G103" s="29" t="n"/>
      <c r="H103" s="29" t="n"/>
    </row>
    <row r="104">
      <c r="A104" s="27" t="n">
        <v>45870</v>
      </c>
      <c r="B104" s="28" t="inlineStr">
        <is>
          <t>Dairy</t>
        </is>
      </c>
      <c r="C104" s="28" t="inlineStr">
        <is>
          <t>Actual</t>
        </is>
      </c>
      <c r="D104" s="29" t="n">
        <v>13103.3</v>
      </c>
      <c r="E104" s="29" t="n">
        <v>3677.9</v>
      </c>
      <c r="F104" s="30" t="n">
        <v>2270</v>
      </c>
      <c r="G104" s="29" t="n"/>
      <c r="H104" s="29" t="n"/>
    </row>
    <row r="105">
      <c r="A105" s="27" t="n">
        <v>45870</v>
      </c>
      <c r="B105" s="28" t="inlineStr">
        <is>
          <t>Food To Go</t>
        </is>
      </c>
      <c r="C105" s="28" t="inlineStr">
        <is>
          <t>Actual</t>
        </is>
      </c>
      <c r="D105" s="29" t="n">
        <v>14715.43</v>
      </c>
      <c r="E105" s="29" t="n">
        <v>6966.23</v>
      </c>
      <c r="F105" s="30" t="n">
        <v>2007</v>
      </c>
      <c r="G105" s="29" t="n"/>
      <c r="H105" s="29" t="n"/>
    </row>
    <row r="106">
      <c r="A106" s="27" t="n">
        <v>45870</v>
      </c>
      <c r="B106" s="28" t="inlineStr">
        <is>
          <t>Frozen</t>
        </is>
      </c>
      <c r="C106" s="28" t="inlineStr">
        <is>
          <t>Actual</t>
        </is>
      </c>
      <c r="D106" s="29" t="n">
        <v>5416.54</v>
      </c>
      <c r="E106" s="29" t="n">
        <v>2350.74</v>
      </c>
      <c r="F106" s="30" t="n">
        <v>746</v>
      </c>
      <c r="G106" s="29" t="n"/>
      <c r="H106" s="29" t="n"/>
    </row>
    <row r="107">
      <c r="A107" s="27" t="n">
        <v>45870</v>
      </c>
      <c r="B107" s="28" t="inlineStr">
        <is>
          <t>Grocery</t>
        </is>
      </c>
      <c r="C107" s="28" t="inlineStr">
        <is>
          <t>Actual</t>
        </is>
      </c>
      <c r="D107" s="29" t="n">
        <v>8159.57</v>
      </c>
      <c r="E107" s="29" t="n">
        <v>2918.07</v>
      </c>
      <c r="F107" s="30" t="n">
        <v>1433</v>
      </c>
      <c r="G107" s="29" t="n"/>
      <c r="H107" s="29" t="n"/>
    </row>
    <row r="108">
      <c r="A108" s="27" t="n">
        <v>45870</v>
      </c>
      <c r="B108" s="28" t="inlineStr">
        <is>
          <t>Health &amp; Beauty</t>
        </is>
      </c>
      <c r="C108" s="28" t="inlineStr">
        <is>
          <t>Actual</t>
        </is>
      </c>
      <c r="D108" s="29" t="n">
        <v>1550.96</v>
      </c>
      <c r="E108" s="29" t="n">
        <v>782.36</v>
      </c>
      <c r="F108" s="30" t="n">
        <v>204</v>
      </c>
      <c r="G108" s="29" t="n"/>
      <c r="H108" s="29" t="n"/>
    </row>
    <row r="109">
      <c r="A109" s="27" t="n">
        <v>45870</v>
      </c>
      <c r="B109" s="28" t="inlineStr">
        <is>
          <t>Household</t>
        </is>
      </c>
      <c r="C109" s="28" t="inlineStr">
        <is>
          <t>Actual</t>
        </is>
      </c>
      <c r="D109" s="29" t="n">
        <v>2446.11</v>
      </c>
      <c r="E109" s="29" t="n">
        <v>1011.81</v>
      </c>
      <c r="F109" s="30" t="n">
        <v>289</v>
      </c>
      <c r="G109" s="29" t="n"/>
      <c r="H109" s="29" t="n"/>
    </row>
    <row r="110">
      <c r="A110" s="27" t="n">
        <v>45870</v>
      </c>
      <c r="B110" s="28" t="inlineStr">
        <is>
          <t>Produce</t>
        </is>
      </c>
      <c r="C110" s="28" t="inlineStr">
        <is>
          <t>Actual</t>
        </is>
      </c>
      <c r="D110" s="29" t="n">
        <v>1580.37</v>
      </c>
      <c r="E110" s="29" t="n">
        <v>690.97</v>
      </c>
      <c r="F110" s="30" t="n">
        <v>1213</v>
      </c>
      <c r="G110" s="29" t="n"/>
      <c r="H110" s="29" t="n"/>
    </row>
    <row r="111">
      <c r="A111" s="27" t="n">
        <v>45870</v>
      </c>
      <c r="B111" s="28" t="inlineStr">
        <is>
          <t>Snacks &amp; Confectionery</t>
        </is>
      </c>
      <c r="C111" s="28" t="inlineStr">
        <is>
          <t>Actual</t>
        </is>
      </c>
      <c r="D111" s="29" t="n">
        <v>8496.77</v>
      </c>
      <c r="E111" s="29" t="n">
        <v>3816.97</v>
      </c>
      <c r="F111" s="30" t="n">
        <v>1923</v>
      </c>
      <c r="G111" s="29" t="n"/>
      <c r="H111" s="29" t="n"/>
    </row>
    <row r="112">
      <c r="A112" s="27" t="n">
        <v>45901</v>
      </c>
      <c r="B112" s="28" t="inlineStr">
        <is>
          <t>Bakery</t>
        </is>
      </c>
      <c r="C112" s="28" t="inlineStr">
        <is>
          <t>Actual</t>
        </is>
      </c>
      <c r="D112" s="29" t="n">
        <v>4616.95</v>
      </c>
      <c r="E112" s="29" t="n">
        <v>1727.25</v>
      </c>
      <c r="F112" s="30" t="n">
        <v>1147</v>
      </c>
      <c r="G112" s="29" t="n"/>
      <c r="H112" s="29" t="n"/>
    </row>
    <row r="113">
      <c r="A113" s="27" t="n">
        <v>45901</v>
      </c>
      <c r="B113" s="28" t="inlineStr">
        <is>
          <t>Beer &amp; Wine</t>
        </is>
      </c>
      <c r="C113" s="28" t="inlineStr">
        <is>
          <t>Actual</t>
        </is>
      </c>
      <c r="D113" s="29" t="n">
        <v>9107.4</v>
      </c>
      <c r="E113" s="29" t="n">
        <v>3059.7</v>
      </c>
      <c r="F113" s="30" t="n">
        <v>480</v>
      </c>
      <c r="G113" s="29" t="n"/>
      <c r="H113" s="29" t="n"/>
    </row>
    <row r="114">
      <c r="A114" s="27" t="n">
        <v>45901</v>
      </c>
      <c r="B114" s="28" t="inlineStr">
        <is>
          <t>Beverages</t>
        </is>
      </c>
      <c r="C114" s="28" t="inlineStr">
        <is>
          <t>Actual</t>
        </is>
      </c>
      <c r="D114" s="29" t="n">
        <v>10700.48</v>
      </c>
      <c r="E114" s="29" t="n">
        <v>5448.23</v>
      </c>
      <c r="F114" s="30" t="n">
        <v>2602</v>
      </c>
      <c r="G114" s="29" t="n"/>
      <c r="H114" s="29" t="n"/>
    </row>
    <row r="115">
      <c r="A115" s="27" t="n">
        <v>45901</v>
      </c>
      <c r="B115" s="28" t="inlineStr">
        <is>
          <t>Dairy</t>
        </is>
      </c>
      <c r="C115" s="28" t="inlineStr">
        <is>
          <t>Actual</t>
        </is>
      </c>
      <c r="D115" s="29" t="n">
        <v>13854.74</v>
      </c>
      <c r="E115" s="29" t="n">
        <v>3781.69</v>
      </c>
      <c r="F115" s="30" t="n">
        <v>2408</v>
      </c>
      <c r="G115" s="29" t="n"/>
      <c r="H115" s="29" t="n"/>
    </row>
    <row r="116">
      <c r="A116" s="27" t="n">
        <v>45901</v>
      </c>
      <c r="B116" s="28" t="inlineStr">
        <is>
          <t>Food To Go</t>
        </is>
      </c>
      <c r="C116" s="28" t="inlineStr">
        <is>
          <t>Actual</t>
        </is>
      </c>
      <c r="D116" s="29" t="n">
        <v>14004.94</v>
      </c>
      <c r="E116" s="29" t="n">
        <v>6790.04</v>
      </c>
      <c r="F116" s="30" t="n">
        <v>1856</v>
      </c>
      <c r="G116" s="29" t="n"/>
      <c r="H116" s="29" t="n"/>
    </row>
    <row r="117">
      <c r="A117" s="27" t="n">
        <v>45901</v>
      </c>
      <c r="B117" s="28" t="inlineStr">
        <is>
          <t>Frozen</t>
        </is>
      </c>
      <c r="C117" s="28" t="inlineStr">
        <is>
          <t>Actual</t>
        </is>
      </c>
      <c r="D117" s="29" t="n">
        <v>5218.39</v>
      </c>
      <c r="E117" s="29" t="n">
        <v>2279.69</v>
      </c>
      <c r="F117" s="30" t="n">
        <v>761</v>
      </c>
      <c r="G117" s="29" t="n"/>
      <c r="H117" s="29" t="n"/>
    </row>
    <row r="118">
      <c r="A118" s="27" t="n">
        <v>45901</v>
      </c>
      <c r="B118" s="28" t="inlineStr">
        <is>
          <t>Grocery</t>
        </is>
      </c>
      <c r="C118" s="28" t="inlineStr">
        <is>
          <t>Actual</t>
        </is>
      </c>
      <c r="D118" s="29" t="n">
        <v>8588.690000000001</v>
      </c>
      <c r="E118" s="29" t="n">
        <v>2980.19</v>
      </c>
      <c r="F118" s="30" t="n">
        <v>1451</v>
      </c>
      <c r="G118" s="29" t="n"/>
      <c r="H118" s="29" t="n"/>
    </row>
    <row r="119">
      <c r="A119" s="27" t="n">
        <v>45901</v>
      </c>
      <c r="B119" s="28" t="inlineStr">
        <is>
          <t>Health &amp; Beauty</t>
        </is>
      </c>
      <c r="C119" s="28" t="inlineStr">
        <is>
          <t>Actual</t>
        </is>
      </c>
      <c r="D119" s="29" t="n">
        <v>1343.96</v>
      </c>
      <c r="E119" s="29" t="n">
        <v>674.36</v>
      </c>
      <c r="F119" s="30" t="n">
        <v>204</v>
      </c>
      <c r="G119" s="29" t="n"/>
      <c r="H119" s="29" t="n"/>
    </row>
    <row r="120">
      <c r="A120" s="27" t="n">
        <v>45901</v>
      </c>
      <c r="B120" s="28" t="inlineStr">
        <is>
          <t>Household</t>
        </is>
      </c>
      <c r="C120" s="28" t="inlineStr">
        <is>
          <t>Actual</t>
        </is>
      </c>
      <c r="D120" s="29" t="n">
        <v>2216.16</v>
      </c>
      <c r="E120" s="29" t="n">
        <v>877.5599999999999</v>
      </c>
      <c r="F120" s="30" t="n">
        <v>264</v>
      </c>
      <c r="G120" s="29" t="n"/>
      <c r="H120" s="29" t="n"/>
    </row>
    <row r="121">
      <c r="A121" s="27" t="n">
        <v>45901</v>
      </c>
      <c r="B121" s="28" t="inlineStr">
        <is>
          <t>Produce</t>
        </is>
      </c>
      <c r="C121" s="28" t="inlineStr">
        <is>
          <t>Actual</t>
        </is>
      </c>
      <c r="D121" s="29" t="n">
        <v>1739</v>
      </c>
      <c r="E121" s="29" t="n">
        <v>758.96</v>
      </c>
      <c r="F121" s="30" t="n">
        <v>1260</v>
      </c>
      <c r="G121" s="29" t="n"/>
      <c r="H121" s="29" t="n"/>
    </row>
    <row r="122">
      <c r="A122" s="27" t="n">
        <v>45901</v>
      </c>
      <c r="B122" s="28" t="inlineStr">
        <is>
          <t>Snacks &amp; Confectionery</t>
        </is>
      </c>
      <c r="C122" s="28" t="inlineStr">
        <is>
          <t>Actual</t>
        </is>
      </c>
      <c r="D122" s="29" t="n">
        <v>8579.49</v>
      </c>
      <c r="E122" s="29" t="n">
        <v>3791.39</v>
      </c>
      <c r="F122" s="30" t="n">
        <v>1961</v>
      </c>
      <c r="G122" s="29" t="n"/>
      <c r="H122" s="29" t="n"/>
    </row>
    <row r="123">
      <c r="A123" s="27" t="n">
        <v>45931</v>
      </c>
      <c r="B123" s="28" t="inlineStr">
        <is>
          <t>Bakery</t>
        </is>
      </c>
      <c r="C123" s="28" t="inlineStr">
        <is>
          <t>Actual</t>
        </is>
      </c>
      <c r="D123" s="29" t="n">
        <v>4704.28</v>
      </c>
      <c r="E123" s="29" t="n">
        <v>1808.98</v>
      </c>
      <c r="F123" s="30" t="n">
        <v>1142</v>
      </c>
      <c r="G123" s="29" t="n"/>
      <c r="H123" s="29" t="n"/>
    </row>
    <row r="124">
      <c r="A124" s="27" t="n">
        <v>45931</v>
      </c>
      <c r="B124" s="28" t="inlineStr">
        <is>
          <t>Beer &amp; Wine</t>
        </is>
      </c>
      <c r="C124" s="28" t="inlineStr">
        <is>
          <t>Actual</t>
        </is>
      </c>
      <c r="D124" s="29" t="n">
        <v>9682.059999999999</v>
      </c>
      <c r="E124" s="29" t="n">
        <v>3326.56</v>
      </c>
      <c r="F124" s="30" t="n">
        <v>494</v>
      </c>
      <c r="G124" s="29" t="n"/>
      <c r="H124" s="29" t="n"/>
    </row>
    <row r="125">
      <c r="A125" s="27" t="n">
        <v>45931</v>
      </c>
      <c r="B125" s="28" t="inlineStr">
        <is>
          <t>Beverages</t>
        </is>
      </c>
      <c r="C125" s="28" t="inlineStr">
        <is>
          <t>Actual</t>
        </is>
      </c>
      <c r="D125" s="29" t="n">
        <v>13030.69</v>
      </c>
      <c r="E125" s="29" t="n">
        <v>6686.79</v>
      </c>
      <c r="F125" s="30" t="n">
        <v>3191</v>
      </c>
      <c r="G125" s="29" t="n"/>
      <c r="H125" s="29" t="n"/>
    </row>
    <row r="126">
      <c r="A126" s="27" t="n">
        <v>45931</v>
      </c>
      <c r="B126" s="28" t="inlineStr">
        <is>
          <t>Dairy</t>
        </is>
      </c>
      <c r="C126" s="28" t="inlineStr">
        <is>
          <t>Actual</t>
        </is>
      </c>
      <c r="D126" s="29" t="n">
        <v>14508.13</v>
      </c>
      <c r="E126" s="29" t="n">
        <v>4118.58</v>
      </c>
      <c r="F126" s="30" t="n">
        <v>2457</v>
      </c>
      <c r="G126" s="29" t="n"/>
      <c r="H126" s="29" t="n"/>
    </row>
    <row r="127">
      <c r="A127" s="27" t="n">
        <v>45931</v>
      </c>
      <c r="B127" s="28" t="inlineStr">
        <is>
          <t>Food To Go</t>
        </is>
      </c>
      <c r="C127" s="28" t="inlineStr">
        <is>
          <t>Actual</t>
        </is>
      </c>
      <c r="D127" s="29" t="n">
        <v>14824.54</v>
      </c>
      <c r="E127" s="29" t="n">
        <v>7076.74</v>
      </c>
      <c r="F127" s="30" t="n">
        <v>1946</v>
      </c>
      <c r="G127" s="29" t="n"/>
      <c r="H127" s="29" t="n"/>
    </row>
    <row r="128">
      <c r="A128" s="27" t="n">
        <v>45931</v>
      </c>
      <c r="B128" s="28" t="inlineStr">
        <is>
          <t>Frozen</t>
        </is>
      </c>
      <c r="C128" s="28" t="inlineStr">
        <is>
          <t>Actual</t>
        </is>
      </c>
      <c r="D128" s="29" t="n">
        <v>5897.13</v>
      </c>
      <c r="E128" s="29" t="n">
        <v>2549.73</v>
      </c>
      <c r="F128" s="30" t="n">
        <v>867</v>
      </c>
      <c r="G128" s="29" t="n"/>
      <c r="H128" s="29" t="n"/>
    </row>
    <row r="129">
      <c r="A129" s="27" t="n">
        <v>45931</v>
      </c>
      <c r="B129" s="28" t="inlineStr">
        <is>
          <t>Grocery</t>
        </is>
      </c>
      <c r="C129" s="28" t="inlineStr">
        <is>
          <t>Actual</t>
        </is>
      </c>
      <c r="D129" s="29" t="n">
        <v>8274.389999999999</v>
      </c>
      <c r="E129" s="29" t="n">
        <v>2828.99</v>
      </c>
      <c r="F129" s="30" t="n">
        <v>1349</v>
      </c>
      <c r="G129" s="29" t="n"/>
      <c r="H129" s="29" t="n"/>
    </row>
    <row r="130">
      <c r="A130" s="27" t="n">
        <v>45931</v>
      </c>
      <c r="B130" s="28" t="inlineStr">
        <is>
          <t>Health &amp; Beauty</t>
        </is>
      </c>
      <c r="C130" s="28" t="inlineStr">
        <is>
          <t>Actual</t>
        </is>
      </c>
      <c r="D130" s="29" t="n">
        <v>1609.12</v>
      </c>
      <c r="E130" s="29" t="n">
        <v>801.12</v>
      </c>
      <c r="F130" s="30" t="n">
        <v>208</v>
      </c>
      <c r="G130" s="29" t="n"/>
      <c r="H130" s="29" t="n"/>
    </row>
    <row r="131">
      <c r="A131" s="27" t="n">
        <v>45931</v>
      </c>
      <c r="B131" s="28" t="inlineStr">
        <is>
          <t>Household</t>
        </is>
      </c>
      <c r="C131" s="28" t="inlineStr">
        <is>
          <t>Actual</t>
        </is>
      </c>
      <c r="D131" s="29" t="n">
        <v>2270.18</v>
      </c>
      <c r="E131" s="29" t="n">
        <v>935.98</v>
      </c>
      <c r="F131" s="30" t="n">
        <v>282</v>
      </c>
      <c r="G131" s="29" t="n"/>
      <c r="H131" s="29" t="n"/>
    </row>
    <row r="132">
      <c r="A132" s="27" t="n">
        <v>45931</v>
      </c>
      <c r="B132" s="28" t="inlineStr">
        <is>
          <t>Produce</t>
        </is>
      </c>
      <c r="C132" s="28" t="inlineStr">
        <is>
          <t>Actual</t>
        </is>
      </c>
      <c r="D132" s="29" t="n">
        <v>1942.15</v>
      </c>
      <c r="E132" s="29" t="n">
        <v>844.6900000000001</v>
      </c>
      <c r="F132" s="30" t="n">
        <v>1275</v>
      </c>
      <c r="G132" s="29" t="n"/>
      <c r="H132" s="29" t="n"/>
    </row>
    <row r="133">
      <c r="A133" s="27" t="n">
        <v>45931</v>
      </c>
      <c r="B133" s="28" t="inlineStr">
        <is>
          <t>Snacks &amp; Confectionery</t>
        </is>
      </c>
      <c r="C133" s="28" t="inlineStr">
        <is>
          <t>Actual</t>
        </is>
      </c>
      <c r="D133" s="29" t="n">
        <v>8307.309999999999</v>
      </c>
      <c r="E133" s="29" t="n">
        <v>3724.51</v>
      </c>
      <c r="F133" s="30" t="n">
        <v>1879</v>
      </c>
      <c r="G133" s="29" t="n"/>
      <c r="H133" s="29" t="n"/>
    </row>
    <row r="134">
      <c r="A134" s="27" t="n">
        <v>45962</v>
      </c>
      <c r="B134" s="28" t="inlineStr">
        <is>
          <t>Bakery</t>
        </is>
      </c>
      <c r="C134" s="28" t="inlineStr">
        <is>
          <t>Actual</t>
        </is>
      </c>
      <c r="D134" s="29" t="n">
        <v>4642.49</v>
      </c>
      <c r="E134" s="29" t="n">
        <v>1777.89</v>
      </c>
      <c r="F134" s="30" t="n">
        <v>1131</v>
      </c>
      <c r="G134" s="29" t="n"/>
      <c r="H134" s="29" t="n"/>
    </row>
    <row r="135">
      <c r="A135" s="27" t="n">
        <v>45962</v>
      </c>
      <c r="B135" s="28" t="inlineStr">
        <is>
          <t>Beer &amp; Wine</t>
        </is>
      </c>
      <c r="C135" s="28" t="inlineStr">
        <is>
          <t>Actual</t>
        </is>
      </c>
      <c r="D135" s="29" t="n">
        <v>11274.42</v>
      </c>
      <c r="E135" s="29" t="n">
        <v>3807.22</v>
      </c>
      <c r="F135" s="30" t="n">
        <v>598</v>
      </c>
      <c r="G135" s="29" t="n"/>
      <c r="H135" s="29" t="n"/>
    </row>
    <row r="136">
      <c r="A136" s="27" t="n">
        <v>45962</v>
      </c>
      <c r="B136" s="28" t="inlineStr">
        <is>
          <t>Beverages</t>
        </is>
      </c>
      <c r="C136" s="28" t="inlineStr">
        <is>
          <t>Actual</t>
        </is>
      </c>
      <c r="D136" s="29" t="n">
        <v>13594.21</v>
      </c>
      <c r="E136" s="29" t="n">
        <v>6996.76</v>
      </c>
      <c r="F136" s="30" t="n">
        <v>3349</v>
      </c>
      <c r="G136" s="29" t="n"/>
      <c r="H136" s="29" t="n"/>
    </row>
    <row r="137">
      <c r="A137" s="27" t="n">
        <v>45962</v>
      </c>
      <c r="B137" s="28" t="inlineStr">
        <is>
          <t>Dairy</t>
        </is>
      </c>
      <c r="C137" s="28" t="inlineStr">
        <is>
          <t>Actual</t>
        </is>
      </c>
      <c r="D137" s="29" t="n">
        <v>13846.93</v>
      </c>
      <c r="E137" s="29" t="n">
        <v>3893.53</v>
      </c>
      <c r="F137" s="30" t="n">
        <v>2347</v>
      </c>
      <c r="G137" s="29" t="n"/>
      <c r="H137" s="29" t="n"/>
    </row>
    <row r="138">
      <c r="A138" s="27" t="n">
        <v>45962</v>
      </c>
      <c r="B138" s="28" t="inlineStr">
        <is>
          <t>Food To Go</t>
        </is>
      </c>
      <c r="C138" s="28" t="inlineStr">
        <is>
          <t>Actual</t>
        </is>
      </c>
      <c r="D138" s="29" t="n">
        <v>15472</v>
      </c>
      <c r="E138" s="29" t="n">
        <v>7358.6</v>
      </c>
      <c r="F138" s="30" t="n">
        <v>1950</v>
      </c>
      <c r="G138" s="29" t="n"/>
      <c r="H138" s="29" t="n"/>
    </row>
    <row r="139">
      <c r="A139" s="27" t="n">
        <v>45962</v>
      </c>
      <c r="B139" s="28" t="inlineStr">
        <is>
          <t>Frozen</t>
        </is>
      </c>
      <c r="C139" s="28" t="inlineStr">
        <is>
          <t>Actual</t>
        </is>
      </c>
      <c r="D139" s="29" t="n">
        <v>6076.23</v>
      </c>
      <c r="E139" s="29" t="n">
        <v>2643.13</v>
      </c>
      <c r="F139" s="30" t="n">
        <v>917</v>
      </c>
      <c r="G139" s="29" t="n"/>
      <c r="H139" s="29" t="n"/>
    </row>
    <row r="140">
      <c r="A140" s="27" t="n">
        <v>45962</v>
      </c>
      <c r="B140" s="28" t="inlineStr">
        <is>
          <t>Grocery</t>
        </is>
      </c>
      <c r="C140" s="28" t="inlineStr">
        <is>
          <t>Actual</t>
        </is>
      </c>
      <c r="D140" s="29" t="n">
        <v>7753.56</v>
      </c>
      <c r="E140" s="29" t="n">
        <v>2594.16</v>
      </c>
      <c r="F140" s="30" t="n">
        <v>1304</v>
      </c>
      <c r="G140" s="29" t="n"/>
      <c r="H140" s="29" t="n"/>
    </row>
    <row r="141">
      <c r="A141" s="27" t="n">
        <v>45962</v>
      </c>
      <c r="B141" s="28" t="inlineStr">
        <is>
          <t>Health &amp; Beauty</t>
        </is>
      </c>
      <c r="C141" s="28" t="inlineStr">
        <is>
          <t>Actual</t>
        </is>
      </c>
      <c r="D141" s="29" t="n">
        <v>1448.95</v>
      </c>
      <c r="E141" s="29" t="n">
        <v>717.35</v>
      </c>
      <c r="F141" s="30" t="n">
        <v>185</v>
      </c>
      <c r="G141" s="29" t="n"/>
      <c r="H141" s="29" t="n"/>
    </row>
    <row r="142">
      <c r="A142" s="27" t="n">
        <v>45962</v>
      </c>
      <c r="B142" s="28" t="inlineStr">
        <is>
          <t>Household</t>
        </is>
      </c>
      <c r="C142" s="28" t="inlineStr">
        <is>
          <t>Actual</t>
        </is>
      </c>
      <c r="D142" s="29" t="n">
        <v>2227.36</v>
      </c>
      <c r="E142" s="29" t="n">
        <v>940.96</v>
      </c>
      <c r="F142" s="30" t="n">
        <v>264</v>
      </c>
      <c r="G142" s="29" t="n"/>
      <c r="H142" s="29" t="n"/>
    </row>
    <row r="143">
      <c r="A143" s="27" t="n">
        <v>45962</v>
      </c>
      <c r="B143" s="28" t="inlineStr">
        <is>
          <t>Produce</t>
        </is>
      </c>
      <c r="C143" s="28" t="inlineStr">
        <is>
          <t>Actual</t>
        </is>
      </c>
      <c r="D143" s="29" t="n">
        <v>2165.95</v>
      </c>
      <c r="E143" s="29" t="n">
        <v>906.29</v>
      </c>
      <c r="F143" s="30" t="n">
        <v>1417</v>
      </c>
      <c r="G143" s="29" t="n"/>
      <c r="H143" s="29" t="n"/>
    </row>
    <row r="144">
      <c r="A144" s="27" t="n">
        <v>45962</v>
      </c>
      <c r="B144" s="28" t="inlineStr">
        <is>
          <t>Snacks &amp; Confectionery</t>
        </is>
      </c>
      <c r="C144" s="28" t="inlineStr">
        <is>
          <t>Actual</t>
        </is>
      </c>
      <c r="D144" s="29" t="n">
        <v>8469.799999999999</v>
      </c>
      <c r="E144" s="29" t="n">
        <v>3804.5</v>
      </c>
      <c r="F144" s="30" t="n">
        <v>1930</v>
      </c>
      <c r="G144" s="29" t="n"/>
      <c r="H144" s="29" t="n"/>
    </row>
    <row r="145">
      <c r="A145" s="27" t="n">
        <v>45992</v>
      </c>
      <c r="B145" s="28" t="inlineStr">
        <is>
          <t>Bakery</t>
        </is>
      </c>
      <c r="C145" s="28" t="inlineStr">
        <is>
          <t>Actual</t>
        </is>
      </c>
      <c r="D145" s="29" t="n">
        <v>5025.93</v>
      </c>
      <c r="E145" s="29" t="n">
        <v>1929.93</v>
      </c>
      <c r="F145" s="30" t="n">
        <v>1227</v>
      </c>
      <c r="G145" s="29" t="n"/>
      <c r="H145" s="29" t="n"/>
    </row>
    <row r="146">
      <c r="A146" s="27" t="n">
        <v>45992</v>
      </c>
      <c r="B146" s="28" t="inlineStr">
        <is>
          <t>Beer &amp; Wine</t>
        </is>
      </c>
      <c r="C146" s="28" t="inlineStr">
        <is>
          <t>Actual</t>
        </is>
      </c>
      <c r="D146" s="29" t="n">
        <v>13565.31</v>
      </c>
      <c r="E146" s="29" t="n">
        <v>4552.31</v>
      </c>
      <c r="F146" s="30" t="n">
        <v>709</v>
      </c>
      <c r="G146" s="29" t="n"/>
      <c r="H146" s="29" t="n"/>
    </row>
    <row r="147">
      <c r="A147" s="27" t="n">
        <v>45992</v>
      </c>
      <c r="B147" s="28" t="inlineStr">
        <is>
          <t>Beverages</t>
        </is>
      </c>
      <c r="C147" s="28" t="inlineStr">
        <is>
          <t>Actual</t>
        </is>
      </c>
      <c r="D147" s="29" t="n">
        <v>16929.03</v>
      </c>
      <c r="E147" s="29" t="n">
        <v>8602.93</v>
      </c>
      <c r="F147" s="30" t="n">
        <v>4167</v>
      </c>
      <c r="G147" s="29" t="n"/>
      <c r="H147" s="29" t="n"/>
    </row>
    <row r="148">
      <c r="A148" s="27" t="n">
        <v>45992</v>
      </c>
      <c r="B148" s="28" t="inlineStr">
        <is>
          <t>Dairy</t>
        </is>
      </c>
      <c r="C148" s="28" t="inlineStr">
        <is>
          <t>Actual</t>
        </is>
      </c>
      <c r="D148" s="29" t="n">
        <v>15361.49</v>
      </c>
      <c r="E148" s="29" t="n">
        <v>4288.59</v>
      </c>
      <c r="F148" s="30" t="n">
        <v>2613</v>
      </c>
      <c r="G148" s="29" t="n"/>
      <c r="H148" s="29" t="n"/>
    </row>
    <row r="149">
      <c r="A149" s="27" t="n">
        <v>45992</v>
      </c>
      <c r="B149" s="28" t="inlineStr">
        <is>
          <t>Food To Go</t>
        </is>
      </c>
      <c r="C149" s="28" t="inlineStr">
        <is>
          <t>Actual</t>
        </is>
      </c>
      <c r="D149" s="29" t="n">
        <v>18363.67</v>
      </c>
      <c r="E149" s="29" t="n">
        <v>8606.969999999999</v>
      </c>
      <c r="F149" s="30" t="n">
        <v>2283</v>
      </c>
      <c r="G149" s="29" t="n"/>
      <c r="H149" s="29" t="n"/>
    </row>
    <row r="150">
      <c r="A150" s="27" t="n">
        <v>45992</v>
      </c>
      <c r="B150" s="28" t="inlineStr">
        <is>
          <t>Frozen</t>
        </is>
      </c>
      <c r="C150" s="28" t="inlineStr">
        <is>
          <t>Actual</t>
        </is>
      </c>
      <c r="D150" s="29" t="n">
        <v>6499.2</v>
      </c>
      <c r="E150" s="29" t="n">
        <v>2895.5</v>
      </c>
      <c r="F150" s="30" t="n">
        <v>1060</v>
      </c>
      <c r="G150" s="29" t="n"/>
      <c r="H150" s="29" t="n"/>
    </row>
    <row r="151">
      <c r="A151" s="27" t="n">
        <v>45992</v>
      </c>
      <c r="B151" s="28" t="inlineStr">
        <is>
          <t>Grocery</t>
        </is>
      </c>
      <c r="C151" s="28" t="inlineStr">
        <is>
          <t>Actual</t>
        </is>
      </c>
      <c r="D151" s="29" t="n">
        <v>7786.44</v>
      </c>
      <c r="E151" s="29" t="n">
        <v>2715.44</v>
      </c>
      <c r="F151" s="30" t="n">
        <v>1306</v>
      </c>
      <c r="G151" s="29" t="n"/>
      <c r="H151" s="29" t="n"/>
    </row>
    <row r="152">
      <c r="A152" s="27" t="n">
        <v>45992</v>
      </c>
      <c r="B152" s="28" t="inlineStr">
        <is>
          <t>Health &amp; Beauty</t>
        </is>
      </c>
      <c r="C152" s="28" t="inlineStr">
        <is>
          <t>Actual</t>
        </is>
      </c>
      <c r="D152" s="29" t="n">
        <v>1673.15</v>
      </c>
      <c r="E152" s="29" t="n">
        <v>816.15</v>
      </c>
      <c r="F152" s="30" t="n">
        <v>185</v>
      </c>
      <c r="G152" s="29" t="n"/>
      <c r="H152" s="29" t="n"/>
    </row>
    <row r="153">
      <c r="A153" s="27" t="n">
        <v>45992</v>
      </c>
      <c r="B153" s="28" t="inlineStr">
        <is>
          <t>Household</t>
        </is>
      </c>
      <c r="C153" s="28" t="inlineStr">
        <is>
          <t>Actual</t>
        </is>
      </c>
      <c r="D153" s="29" t="n">
        <v>2642.04</v>
      </c>
      <c r="E153" s="29" t="n">
        <v>1096.24</v>
      </c>
      <c r="F153" s="30" t="n">
        <v>316</v>
      </c>
      <c r="G153" s="29" t="n"/>
      <c r="H153" s="29" t="n"/>
    </row>
    <row r="154">
      <c r="A154" s="27" t="n">
        <v>45992</v>
      </c>
      <c r="B154" s="28" t="inlineStr">
        <is>
          <t>Produce</t>
        </is>
      </c>
      <c r="C154" s="28" t="inlineStr">
        <is>
          <t>Actual</t>
        </is>
      </c>
      <c r="D154" s="29" t="n">
        <v>2393.69</v>
      </c>
      <c r="E154" s="29" t="n">
        <v>1005.61</v>
      </c>
      <c r="F154" s="30" t="n">
        <v>1583</v>
      </c>
      <c r="G154" s="29" t="n"/>
      <c r="H154" s="29" t="n"/>
    </row>
    <row r="155">
      <c r="A155" s="27" t="n">
        <v>45992</v>
      </c>
      <c r="B155" s="28" t="inlineStr">
        <is>
          <t>Snacks &amp; Confectionery</t>
        </is>
      </c>
      <c r="C155" s="28" t="inlineStr">
        <is>
          <t>Actual</t>
        </is>
      </c>
      <c r="D155" s="29" t="n">
        <v>9002.799999999999</v>
      </c>
      <c r="E155" s="29" t="n">
        <v>4013.2</v>
      </c>
      <c r="F155" s="30" t="n">
        <v>2048</v>
      </c>
      <c r="G155" s="29" t="n"/>
      <c r="H155" s="29" t="n"/>
    </row>
    <row r="156">
      <c r="A156" s="27" t="n">
        <v>46023</v>
      </c>
      <c r="B156" s="28" t="inlineStr">
        <is>
          <t>Bakery</t>
        </is>
      </c>
      <c r="C156" s="28" t="inlineStr">
        <is>
          <t>Actual</t>
        </is>
      </c>
      <c r="D156" s="29" t="n">
        <v>4098.67</v>
      </c>
      <c r="E156" s="29" t="n">
        <v>1543.97</v>
      </c>
      <c r="F156" s="30" t="n">
        <v>1013</v>
      </c>
      <c r="G156" s="29" t="n"/>
      <c r="H156" s="29" t="n"/>
    </row>
    <row r="157">
      <c r="A157" s="27" t="n">
        <v>46023</v>
      </c>
      <c r="B157" s="28" t="inlineStr">
        <is>
          <t>Beer &amp; Wine</t>
        </is>
      </c>
      <c r="C157" s="28" t="inlineStr">
        <is>
          <t>Actual</t>
        </is>
      </c>
      <c r="D157" s="29" t="n">
        <v>10760.47</v>
      </c>
      <c r="E157" s="29" t="n">
        <v>3697.97</v>
      </c>
      <c r="F157" s="30" t="n">
        <v>553</v>
      </c>
      <c r="G157" s="29" t="n"/>
      <c r="H157" s="29" t="n"/>
    </row>
    <row r="158">
      <c r="A158" s="27" t="n">
        <v>46023</v>
      </c>
      <c r="B158" s="28" t="inlineStr">
        <is>
          <t>Beverages</t>
        </is>
      </c>
      <c r="C158" s="28" t="inlineStr">
        <is>
          <t>Actual</t>
        </is>
      </c>
      <c r="D158" s="29" t="n">
        <v>14824.87</v>
      </c>
      <c r="E158" s="29" t="n">
        <v>7516.87</v>
      </c>
      <c r="F158" s="30" t="n">
        <v>3689</v>
      </c>
      <c r="G158" s="29" t="n"/>
      <c r="H158" s="29" t="n"/>
    </row>
    <row r="159">
      <c r="A159" s="27" t="n">
        <v>46023</v>
      </c>
      <c r="B159" s="28" t="inlineStr">
        <is>
          <t>Dairy</t>
        </is>
      </c>
      <c r="C159" s="28" t="inlineStr">
        <is>
          <t>Actual</t>
        </is>
      </c>
      <c r="D159" s="29" t="n">
        <v>12515.06</v>
      </c>
      <c r="E159" s="29" t="n">
        <v>3472.36</v>
      </c>
      <c r="F159" s="30" t="n">
        <v>2180</v>
      </c>
      <c r="G159" s="29" t="n"/>
      <c r="H159" s="29" t="n"/>
    </row>
    <row r="160">
      <c r="A160" s="27" t="n">
        <v>46023</v>
      </c>
      <c r="B160" s="28" t="inlineStr">
        <is>
          <t>Food To Go</t>
        </is>
      </c>
      <c r="C160" s="28" t="inlineStr">
        <is>
          <t>Actual</t>
        </is>
      </c>
      <c r="D160" s="29" t="n">
        <v>15473.11</v>
      </c>
      <c r="E160" s="29" t="n">
        <v>7236.41</v>
      </c>
      <c r="F160" s="30" t="n">
        <v>1939</v>
      </c>
      <c r="G160" s="29" t="n"/>
      <c r="H160" s="29" t="n"/>
    </row>
    <row r="161">
      <c r="A161" s="27" t="n">
        <v>46023</v>
      </c>
      <c r="B161" s="28" t="inlineStr">
        <is>
          <t>Frozen</t>
        </is>
      </c>
      <c r="C161" s="28" t="inlineStr">
        <is>
          <t>Actual</t>
        </is>
      </c>
      <c r="D161" s="29" t="n">
        <v>5074.22</v>
      </c>
      <c r="E161" s="29" t="n">
        <v>2252.22</v>
      </c>
      <c r="F161" s="30" t="n">
        <v>818</v>
      </c>
      <c r="G161" s="29" t="n"/>
      <c r="H161" s="29" t="n"/>
    </row>
    <row r="162">
      <c r="A162" s="27" t="n">
        <v>46023</v>
      </c>
      <c r="B162" s="28" t="inlineStr">
        <is>
          <t>Grocery</t>
        </is>
      </c>
      <c r="C162" s="28" t="inlineStr">
        <is>
          <t>Actual</t>
        </is>
      </c>
      <c r="D162" s="29" t="n">
        <v>7075.73</v>
      </c>
      <c r="E162" s="29" t="n">
        <v>2430.93</v>
      </c>
      <c r="F162" s="30" t="n">
        <v>1117</v>
      </c>
      <c r="G162" s="29" t="n"/>
      <c r="H162" s="29" t="n"/>
    </row>
    <row r="163">
      <c r="A163" s="27" t="n">
        <v>46023</v>
      </c>
      <c r="B163" s="28" t="inlineStr">
        <is>
          <t>Health &amp; Beauty</t>
        </is>
      </c>
      <c r="C163" s="28" t="inlineStr">
        <is>
          <t>Actual</t>
        </is>
      </c>
      <c r="D163" s="29" t="n">
        <v>1420.97</v>
      </c>
      <c r="E163" s="29" t="n">
        <v>678.37</v>
      </c>
      <c r="F163" s="30" t="n">
        <v>163</v>
      </c>
      <c r="G163" s="29" t="n"/>
      <c r="H163" s="29" t="n"/>
    </row>
    <row r="164">
      <c r="A164" s="27" t="n">
        <v>46023</v>
      </c>
      <c r="B164" s="28" t="inlineStr">
        <is>
          <t>Household</t>
        </is>
      </c>
      <c r="C164" s="28" t="inlineStr">
        <is>
          <t>Actual</t>
        </is>
      </c>
      <c r="D164" s="29" t="n">
        <v>2065.55</v>
      </c>
      <c r="E164" s="29" t="n">
        <v>873.25</v>
      </c>
      <c r="F164" s="30" t="n">
        <v>245</v>
      </c>
      <c r="G164" s="29" t="n"/>
      <c r="H164" s="29" t="n"/>
    </row>
    <row r="165">
      <c r="A165" s="27" t="n">
        <v>46023</v>
      </c>
      <c r="B165" s="28" t="inlineStr">
        <is>
          <t>Produce</t>
        </is>
      </c>
      <c r="C165" s="28" t="inlineStr">
        <is>
          <t>Actual</t>
        </is>
      </c>
      <c r="D165" s="29" t="n">
        <v>2019.74</v>
      </c>
      <c r="E165" s="29" t="n">
        <v>879.14</v>
      </c>
      <c r="F165" s="30" t="n">
        <v>1326</v>
      </c>
      <c r="G165" s="29" t="n"/>
      <c r="H165" s="29" t="n"/>
    </row>
    <row r="166">
      <c r="A166" s="27" t="n">
        <v>46023</v>
      </c>
      <c r="B166" s="28" t="inlineStr">
        <is>
          <t>Snacks &amp; Confectionery</t>
        </is>
      </c>
      <c r="C166" s="28" t="inlineStr">
        <is>
          <t>Actual</t>
        </is>
      </c>
      <c r="D166" s="29" t="n">
        <v>7368.96</v>
      </c>
      <c r="E166" s="29" t="n">
        <v>3270.86</v>
      </c>
      <c r="F166" s="30" t="n">
        <v>1698</v>
      </c>
      <c r="G166" s="29" t="n"/>
      <c r="H166" s="29" t="n"/>
    </row>
    <row r="167">
      <c r="A167" s="27" t="n">
        <v>46054</v>
      </c>
      <c r="B167" s="28" t="inlineStr">
        <is>
          <t>Bakery</t>
        </is>
      </c>
      <c r="C167" s="28" t="inlineStr">
        <is>
          <t>Actual</t>
        </is>
      </c>
      <c r="D167" s="29" t="n">
        <v>4268.34</v>
      </c>
      <c r="E167" s="29" t="n">
        <v>1664.64</v>
      </c>
      <c r="F167" s="30" t="n">
        <v>1026</v>
      </c>
      <c r="G167" s="29" t="n"/>
      <c r="H167" s="29" t="n"/>
    </row>
    <row r="168">
      <c r="A168" s="27" t="n">
        <v>46054</v>
      </c>
      <c r="B168" s="28" t="inlineStr">
        <is>
          <t>Beer &amp; Wine</t>
        </is>
      </c>
      <c r="C168" s="28" t="inlineStr">
        <is>
          <t>Actual</t>
        </is>
      </c>
      <c r="D168" s="29" t="n">
        <v>10700.4</v>
      </c>
      <c r="E168" s="29" t="n">
        <v>3579.8</v>
      </c>
      <c r="F168" s="30" t="n">
        <v>560</v>
      </c>
      <c r="G168" s="29" t="n"/>
      <c r="H168" s="29" t="n"/>
    </row>
    <row r="169">
      <c r="A169" s="27" t="n">
        <v>46054</v>
      </c>
      <c r="B169" s="28" t="inlineStr">
        <is>
          <t>Beverages</t>
        </is>
      </c>
      <c r="C169" s="28" t="inlineStr">
        <is>
          <t>Actual</t>
        </is>
      </c>
      <c r="D169" s="29" t="n">
        <v>14659.79</v>
      </c>
      <c r="E169" s="29" t="n">
        <v>7467.54</v>
      </c>
      <c r="F169" s="30" t="n">
        <v>3611</v>
      </c>
      <c r="G169" s="29" t="n"/>
      <c r="H169" s="29" t="n"/>
    </row>
    <row r="170">
      <c r="A170" s="27" t="n">
        <v>46054</v>
      </c>
      <c r="B170" s="28" t="inlineStr">
        <is>
          <t>Dairy</t>
        </is>
      </c>
      <c r="C170" s="28" t="inlineStr">
        <is>
          <t>Actual</t>
        </is>
      </c>
      <c r="D170" s="29" t="n">
        <v>13747.87</v>
      </c>
      <c r="E170" s="29" t="n">
        <v>3747.77</v>
      </c>
      <c r="F170" s="30" t="n">
        <v>2355</v>
      </c>
      <c r="G170" s="29" t="n"/>
      <c r="H170" s="29" t="n"/>
    </row>
    <row r="171">
      <c r="A171" s="27" t="n">
        <v>46054</v>
      </c>
      <c r="B171" s="28" t="inlineStr">
        <is>
          <t>Food To Go</t>
        </is>
      </c>
      <c r="C171" s="28" t="inlineStr">
        <is>
          <t>Actual</t>
        </is>
      </c>
      <c r="D171" s="29" t="n">
        <v>15609.97</v>
      </c>
      <c r="E171" s="29" t="n">
        <v>7294.57</v>
      </c>
      <c r="F171" s="30" t="n">
        <v>1963</v>
      </c>
      <c r="G171" s="29" t="n"/>
      <c r="H171" s="29" t="n"/>
    </row>
    <row r="172">
      <c r="A172" s="27" t="n">
        <v>46054</v>
      </c>
      <c r="B172" s="28" t="inlineStr">
        <is>
          <t>Frozen</t>
        </is>
      </c>
      <c r="C172" s="28" t="inlineStr">
        <is>
          <t>Actual</t>
        </is>
      </c>
      <c r="D172" s="29" t="n">
        <v>5420.55</v>
      </c>
      <c r="E172" s="29" t="n">
        <v>2395.55</v>
      </c>
      <c r="F172" s="30" t="n">
        <v>845</v>
      </c>
      <c r="G172" s="29" t="n"/>
      <c r="H172" s="29" t="n"/>
    </row>
    <row r="173">
      <c r="A173" s="27" t="n">
        <v>46054</v>
      </c>
      <c r="B173" s="28" t="inlineStr">
        <is>
          <t>Grocery</t>
        </is>
      </c>
      <c r="C173" s="28" t="inlineStr">
        <is>
          <t>Actual</t>
        </is>
      </c>
      <c r="D173" s="29" t="n">
        <v>7224.78</v>
      </c>
      <c r="E173" s="29" t="n">
        <v>2448.18</v>
      </c>
      <c r="F173" s="30" t="n">
        <v>1144</v>
      </c>
      <c r="G173" s="29" t="n"/>
      <c r="H173" s="29" t="n"/>
    </row>
    <row r="174">
      <c r="A174" s="27" t="n">
        <v>46054</v>
      </c>
      <c r="B174" s="28" t="inlineStr">
        <is>
          <t>Health &amp; Beauty</t>
        </is>
      </c>
      <c r="C174" s="28" t="inlineStr">
        <is>
          <t>Actual</t>
        </is>
      </c>
      <c r="D174" s="29" t="n">
        <v>1574.26</v>
      </c>
      <c r="E174" s="29" t="n">
        <v>767.86</v>
      </c>
      <c r="F174" s="30" t="n">
        <v>174</v>
      </c>
      <c r="G174" s="29" t="n"/>
      <c r="H174" s="29" t="n"/>
    </row>
    <row r="175">
      <c r="A175" s="27" t="n">
        <v>46054</v>
      </c>
      <c r="B175" s="28" t="inlineStr">
        <is>
          <t>Household</t>
        </is>
      </c>
      <c r="C175" s="28" t="inlineStr">
        <is>
          <t>Actual</t>
        </is>
      </c>
      <c r="D175" s="29" t="n">
        <v>1992.36</v>
      </c>
      <c r="E175" s="29" t="n">
        <v>738.16</v>
      </c>
      <c r="F175" s="30" t="n">
        <v>264</v>
      </c>
      <c r="G175" s="29" t="n"/>
      <c r="H175" s="29" t="n"/>
    </row>
    <row r="176">
      <c r="A176" s="27" t="n">
        <v>46054</v>
      </c>
      <c r="B176" s="28" t="inlineStr">
        <is>
          <t>Produce</t>
        </is>
      </c>
      <c r="C176" s="28" t="inlineStr">
        <is>
          <t>Actual</t>
        </is>
      </c>
      <c r="D176" s="29" t="n">
        <v>2038.82</v>
      </c>
      <c r="E176" s="29" t="n">
        <v>887.54</v>
      </c>
      <c r="F176" s="30" t="n">
        <v>1338</v>
      </c>
      <c r="G176" s="29" t="n"/>
      <c r="H176" s="29" t="n"/>
    </row>
    <row r="177">
      <c r="A177" s="27" t="n">
        <v>46054</v>
      </c>
      <c r="B177" s="28" t="inlineStr">
        <is>
          <t>Snacks &amp; Confectionery</t>
        </is>
      </c>
      <c r="C177" s="28" t="inlineStr">
        <is>
          <t>Actual</t>
        </is>
      </c>
      <c r="D177" s="29" t="n">
        <v>7807.55</v>
      </c>
      <c r="E177" s="29" t="n">
        <v>3452.35</v>
      </c>
      <c r="F177" s="30" t="n">
        <v>1795</v>
      </c>
      <c r="G177" s="29" t="n"/>
      <c r="H177" s="29" t="n"/>
    </row>
    <row r="178">
      <c r="A178" s="27" t="n">
        <v>46082</v>
      </c>
      <c r="B178" s="28" t="inlineStr">
        <is>
          <t>Bakery</t>
        </is>
      </c>
      <c r="C178" s="28" t="inlineStr">
        <is>
          <t>Actual</t>
        </is>
      </c>
      <c r="D178" s="29" t="n">
        <v>4831.94</v>
      </c>
      <c r="E178" s="29" t="n">
        <v>1871.14</v>
      </c>
      <c r="F178" s="30" t="n">
        <v>1186</v>
      </c>
      <c r="G178" s="29" t="n"/>
      <c r="H178" s="29" t="n"/>
    </row>
    <row r="179">
      <c r="A179" s="27" t="n">
        <v>46082</v>
      </c>
      <c r="B179" s="28" t="inlineStr">
        <is>
          <t>Beer &amp; Wine</t>
        </is>
      </c>
      <c r="C179" s="28" t="inlineStr">
        <is>
          <t>Actual</t>
        </is>
      </c>
      <c r="D179" s="29" t="n">
        <v>12516.57</v>
      </c>
      <c r="E179" s="29" t="n">
        <v>4083.87</v>
      </c>
      <c r="F179" s="30" t="n">
        <v>663</v>
      </c>
      <c r="G179" s="29" t="n"/>
      <c r="H179" s="29" t="n"/>
    </row>
    <row r="180">
      <c r="A180" s="27" t="n">
        <v>46082</v>
      </c>
      <c r="B180" s="28" t="inlineStr">
        <is>
          <t>Beverages</t>
        </is>
      </c>
      <c r="C180" s="28" t="inlineStr">
        <is>
          <t>Actual</t>
        </is>
      </c>
      <c r="D180" s="29" t="n">
        <v>14989.59</v>
      </c>
      <c r="E180" s="29" t="n">
        <v>7676.29</v>
      </c>
      <c r="F180" s="30" t="n">
        <v>3651</v>
      </c>
      <c r="G180" s="29" t="n"/>
      <c r="H180" s="29" t="n"/>
    </row>
    <row r="181">
      <c r="A181" s="27" t="n">
        <v>46082</v>
      </c>
      <c r="B181" s="28" t="inlineStr">
        <is>
          <t>Dairy</t>
        </is>
      </c>
      <c r="C181" s="28" t="inlineStr">
        <is>
          <t>Actual</t>
        </is>
      </c>
      <c r="D181" s="29" t="n">
        <v>14216</v>
      </c>
      <c r="E181" s="29" t="n">
        <v>3924.2</v>
      </c>
      <c r="F181" s="30" t="n">
        <v>2474</v>
      </c>
      <c r="G181" s="29" t="n"/>
      <c r="H181" s="29" t="n"/>
    </row>
    <row r="182">
      <c r="A182" s="27" t="n">
        <v>46082</v>
      </c>
      <c r="B182" s="28" t="inlineStr">
        <is>
          <t>Food To Go</t>
        </is>
      </c>
      <c r="C182" s="28" t="inlineStr">
        <is>
          <t>Actual</t>
        </is>
      </c>
      <c r="D182" s="29" t="n">
        <v>16295.68</v>
      </c>
      <c r="E182" s="29" t="n">
        <v>7746.38</v>
      </c>
      <c r="F182" s="30" t="n">
        <v>2082</v>
      </c>
      <c r="G182" s="29" t="n"/>
      <c r="H182" s="29" t="n"/>
    </row>
    <row r="183">
      <c r="A183" s="27" t="n">
        <v>46082</v>
      </c>
      <c r="B183" s="28" t="inlineStr">
        <is>
          <t>Frozen</t>
        </is>
      </c>
      <c r="C183" s="28" t="inlineStr">
        <is>
          <t>Actual</t>
        </is>
      </c>
      <c r="D183" s="29" t="n">
        <v>5992.15</v>
      </c>
      <c r="E183" s="29" t="n">
        <v>2646.25</v>
      </c>
      <c r="F183" s="30" t="n">
        <v>925</v>
      </c>
      <c r="G183" s="29" t="n"/>
      <c r="H183" s="29" t="n"/>
    </row>
    <row r="184">
      <c r="A184" s="27" t="n">
        <v>46082</v>
      </c>
      <c r="B184" s="28" t="inlineStr">
        <is>
          <t>Grocery</t>
        </is>
      </c>
      <c r="C184" s="28" t="inlineStr">
        <is>
          <t>Actual</t>
        </is>
      </c>
      <c r="D184" s="29" t="n">
        <v>8413.92</v>
      </c>
      <c r="E184" s="29" t="n">
        <v>2953.52</v>
      </c>
      <c r="F184" s="30" t="n">
        <v>1418</v>
      </c>
      <c r="G184" s="29" t="n"/>
      <c r="H184" s="29" t="n"/>
    </row>
    <row r="185">
      <c r="A185" s="27" t="n">
        <v>46082</v>
      </c>
      <c r="B185" s="28" t="inlineStr">
        <is>
          <t>Health &amp; Beauty</t>
        </is>
      </c>
      <c r="C185" s="28" t="inlineStr">
        <is>
          <t>Actual</t>
        </is>
      </c>
      <c r="D185" s="29" t="n">
        <v>1748.96</v>
      </c>
      <c r="E185" s="29" t="n">
        <v>861.5599999999999</v>
      </c>
      <c r="F185" s="30" t="n">
        <v>204</v>
      </c>
      <c r="G185" s="29" t="n"/>
      <c r="H185" s="29" t="n"/>
    </row>
    <row r="186">
      <c r="A186" s="27" t="n">
        <v>46082</v>
      </c>
      <c r="B186" s="28" t="inlineStr">
        <is>
          <t>Household</t>
        </is>
      </c>
      <c r="C186" s="28" t="inlineStr">
        <is>
          <t>Actual</t>
        </is>
      </c>
      <c r="D186" s="29" t="n">
        <v>2344.31</v>
      </c>
      <c r="E186" s="29" t="n">
        <v>994.01</v>
      </c>
      <c r="F186" s="30" t="n">
        <v>269</v>
      </c>
      <c r="G186" s="29" t="n"/>
      <c r="H186" s="29" t="n"/>
    </row>
    <row r="187">
      <c r="A187" s="27" t="n">
        <v>46082</v>
      </c>
      <c r="B187" s="28" t="inlineStr">
        <is>
          <t>Produce</t>
        </is>
      </c>
      <c r="C187" s="28" t="inlineStr">
        <is>
          <t>Actual</t>
        </is>
      </c>
      <c r="D187" s="29" t="n">
        <v>2333.76</v>
      </c>
      <c r="E187" s="29" t="n">
        <v>986.08</v>
      </c>
      <c r="F187" s="30" t="n">
        <v>1474</v>
      </c>
      <c r="G187" s="29" t="n"/>
      <c r="H187" s="29" t="n"/>
    </row>
    <row r="188">
      <c r="A188" s="27" t="n">
        <v>46082</v>
      </c>
      <c r="B188" s="28" t="inlineStr">
        <is>
          <t>Snacks &amp; Confectionery</t>
        </is>
      </c>
      <c r="C188" s="28" t="inlineStr">
        <is>
          <t>Actual</t>
        </is>
      </c>
      <c r="D188" s="29" t="n">
        <v>8883.92</v>
      </c>
      <c r="E188" s="29" t="n">
        <v>3940.92</v>
      </c>
      <c r="F188" s="30" t="n">
        <v>2048</v>
      </c>
      <c r="G188" s="29" t="n"/>
      <c r="H188" s="29" t="n"/>
    </row>
    <row r="189">
      <c r="A189" s="27" t="n">
        <v>46113</v>
      </c>
      <c r="B189" s="28" t="inlineStr">
        <is>
          <t>Bakery</t>
        </is>
      </c>
      <c r="C189" s="28" t="inlineStr">
        <is>
          <t>Actual</t>
        </is>
      </c>
      <c r="D189" s="29" t="n">
        <v>4825.73</v>
      </c>
      <c r="E189" s="29" t="n">
        <v>1849.13</v>
      </c>
      <c r="F189" s="30" t="n">
        <v>1177</v>
      </c>
      <c r="G189" s="29" t="n"/>
      <c r="H189" s="29" t="n"/>
    </row>
    <row r="190">
      <c r="A190" s="27" t="n">
        <v>46113</v>
      </c>
      <c r="B190" s="28" t="inlineStr">
        <is>
          <t>Beer &amp; Wine</t>
        </is>
      </c>
      <c r="C190" s="28" t="inlineStr">
        <is>
          <t>Actual</t>
        </is>
      </c>
      <c r="D190" s="29" t="n">
        <v>9610.01</v>
      </c>
      <c r="E190" s="29" t="n">
        <v>3314.91</v>
      </c>
      <c r="F190" s="30" t="n">
        <v>499</v>
      </c>
      <c r="G190" s="29" t="n"/>
      <c r="H190" s="29" t="n"/>
    </row>
    <row r="191">
      <c r="A191" s="27" t="n">
        <v>46113</v>
      </c>
      <c r="B191" s="28" t="inlineStr">
        <is>
          <t>Beverages</t>
        </is>
      </c>
      <c r="C191" s="28" t="inlineStr">
        <is>
          <t>Actual</t>
        </is>
      </c>
      <c r="D191" s="29" t="n">
        <v>12898.75</v>
      </c>
      <c r="E191" s="29" t="n">
        <v>6474.5</v>
      </c>
      <c r="F191" s="30" t="n">
        <v>3187</v>
      </c>
      <c r="G191" s="29" t="n"/>
      <c r="H191" s="29" t="n"/>
    </row>
    <row r="192">
      <c r="A192" s="27" t="n">
        <v>46113</v>
      </c>
      <c r="B192" s="28" t="inlineStr">
        <is>
          <t>Dairy</t>
        </is>
      </c>
      <c r="C192" s="28" t="inlineStr">
        <is>
          <t>Actual</t>
        </is>
      </c>
      <c r="D192" s="29" t="n">
        <v>13793.26</v>
      </c>
      <c r="E192" s="29" t="n">
        <v>3817.41</v>
      </c>
      <c r="F192" s="30" t="n">
        <v>2396</v>
      </c>
      <c r="G192" s="29" t="n"/>
      <c r="H192" s="29" t="n"/>
    </row>
    <row r="193">
      <c r="A193" s="27" t="n">
        <v>46113</v>
      </c>
      <c r="B193" s="28" t="inlineStr">
        <is>
          <t>Food To Go</t>
        </is>
      </c>
      <c r="C193" s="28" t="inlineStr">
        <is>
          <t>Actual</t>
        </is>
      </c>
      <c r="D193" s="29" t="n">
        <v>15033.46</v>
      </c>
      <c r="E193" s="29" t="n">
        <v>7149.06</v>
      </c>
      <c r="F193" s="30" t="n">
        <v>1934</v>
      </c>
      <c r="G193" s="29" t="n"/>
      <c r="H193" s="29" t="n"/>
    </row>
    <row r="194">
      <c r="A194" s="27" t="n">
        <v>46113</v>
      </c>
      <c r="B194" s="28" t="inlineStr">
        <is>
          <t>Frozen</t>
        </is>
      </c>
      <c r="C194" s="28" t="inlineStr">
        <is>
          <t>Actual</t>
        </is>
      </c>
      <c r="D194" s="29" t="n">
        <v>5376.06</v>
      </c>
      <c r="E194" s="29" t="n">
        <v>2367.06</v>
      </c>
      <c r="F194" s="30" t="n">
        <v>794</v>
      </c>
      <c r="G194" s="29" t="n"/>
      <c r="H194" s="29" t="n"/>
    </row>
    <row r="195">
      <c r="A195" s="27" t="n">
        <v>46113</v>
      </c>
      <c r="B195" s="28" t="inlineStr">
        <is>
          <t>Grocery</t>
        </is>
      </c>
      <c r="C195" s="28" t="inlineStr">
        <is>
          <t>Actual</t>
        </is>
      </c>
      <c r="D195" s="29" t="n">
        <v>7765.4</v>
      </c>
      <c r="E195" s="29" t="n">
        <v>2738.8</v>
      </c>
      <c r="F195" s="30" t="n">
        <v>1330</v>
      </c>
      <c r="G195" s="29" t="n"/>
      <c r="H195" s="29" t="n"/>
    </row>
    <row r="196">
      <c r="A196" s="27" t="n">
        <v>46113</v>
      </c>
      <c r="B196" s="28" t="inlineStr">
        <is>
          <t>Health &amp; Beauty</t>
        </is>
      </c>
      <c r="C196" s="28" t="inlineStr">
        <is>
          <t>Actual</t>
        </is>
      </c>
      <c r="D196" s="29" t="n">
        <v>1416.16</v>
      </c>
      <c r="E196" s="29" t="n">
        <v>712.5599999999999</v>
      </c>
      <c r="F196" s="30" t="n">
        <v>184</v>
      </c>
      <c r="G196" s="29" t="n"/>
      <c r="H196" s="29" t="n"/>
    </row>
    <row r="197">
      <c r="A197" s="27" t="n">
        <v>46113</v>
      </c>
      <c r="B197" s="28" t="inlineStr">
        <is>
          <t>Household</t>
        </is>
      </c>
      <c r="C197" s="28" t="inlineStr">
        <is>
          <t>Actual</t>
        </is>
      </c>
      <c r="D197" s="29" t="n">
        <v>2109.44</v>
      </c>
      <c r="E197" s="29" t="n">
        <v>870.84</v>
      </c>
      <c r="F197" s="30" t="n">
        <v>256</v>
      </c>
      <c r="G197" s="29" t="n"/>
      <c r="H197" s="29" t="n"/>
    </row>
    <row r="198">
      <c r="A198" s="27" t="n">
        <v>46113</v>
      </c>
      <c r="B198" s="28" t="inlineStr">
        <is>
          <t>Produce</t>
        </is>
      </c>
      <c r="C198" s="28" t="inlineStr">
        <is>
          <t>Actual</t>
        </is>
      </c>
      <c r="D198" s="29" t="n">
        <v>1955.56</v>
      </c>
      <c r="E198" s="29" t="n">
        <v>829.48</v>
      </c>
      <c r="F198" s="30" t="n">
        <v>1368</v>
      </c>
      <c r="G198" s="29" t="n"/>
      <c r="H198" s="29" t="n"/>
    </row>
    <row r="199">
      <c r="A199" s="27" t="n">
        <v>46113</v>
      </c>
      <c r="B199" s="28" t="inlineStr">
        <is>
          <t>Snacks &amp; Confectionery</t>
        </is>
      </c>
      <c r="C199" s="28" t="inlineStr">
        <is>
          <t>Actual</t>
        </is>
      </c>
      <c r="D199" s="29" t="n">
        <v>8237.82</v>
      </c>
      <c r="E199" s="29" t="n">
        <v>3693.92</v>
      </c>
      <c r="F199" s="30" t="n">
        <v>1868</v>
      </c>
      <c r="G199" s="29" t="n"/>
      <c r="H199" s="29" t="n"/>
    </row>
    <row r="200">
      <c r="A200" s="27" t="n">
        <v>46143</v>
      </c>
      <c r="B200" s="28" t="inlineStr">
        <is>
          <t>Bakery</t>
        </is>
      </c>
      <c r="C200" s="28" t="inlineStr">
        <is>
          <t>Actual</t>
        </is>
      </c>
      <c r="D200" s="29" t="n">
        <v>5184.84</v>
      </c>
      <c r="E200" s="29" t="n">
        <v>1993.84</v>
      </c>
      <c r="F200" s="30" t="n">
        <v>1256</v>
      </c>
      <c r="G200" s="29" t="n"/>
      <c r="H200" s="29" t="n"/>
    </row>
    <row r="201">
      <c r="A201" s="27" t="n">
        <v>46143</v>
      </c>
      <c r="B201" s="28" t="inlineStr">
        <is>
          <t>Beer &amp; Wine</t>
        </is>
      </c>
      <c r="C201" s="28" t="inlineStr">
        <is>
          <t>Actual</t>
        </is>
      </c>
      <c r="D201" s="29" t="n">
        <v>9819.700000000001</v>
      </c>
      <c r="E201" s="29" t="n">
        <v>3328.4</v>
      </c>
      <c r="F201" s="30" t="n">
        <v>510</v>
      </c>
      <c r="G201" s="29" t="n"/>
      <c r="H201" s="29" t="n"/>
    </row>
    <row r="202">
      <c r="A202" s="27" t="n">
        <v>46143</v>
      </c>
      <c r="B202" s="28" t="inlineStr">
        <is>
          <t>Beverages</t>
        </is>
      </c>
      <c r="C202" s="28" t="inlineStr">
        <is>
          <t>Actual</t>
        </is>
      </c>
      <c r="D202" s="29" t="n">
        <v>11542.75</v>
      </c>
      <c r="E202" s="29" t="n">
        <v>5835.15</v>
      </c>
      <c r="F202" s="30" t="n">
        <v>2805</v>
      </c>
      <c r="G202" s="29" t="n"/>
      <c r="H202" s="29" t="n"/>
    </row>
    <row r="203">
      <c r="A203" s="27" t="n">
        <v>46143</v>
      </c>
      <c r="B203" s="28" t="inlineStr">
        <is>
          <t>Dairy</t>
        </is>
      </c>
      <c r="C203" s="28" t="inlineStr">
        <is>
          <t>Actual</t>
        </is>
      </c>
      <c r="D203" s="29" t="n">
        <v>13797.6</v>
      </c>
      <c r="E203" s="29" t="n">
        <v>3738.7</v>
      </c>
      <c r="F203" s="30" t="n">
        <v>2472</v>
      </c>
      <c r="G203" s="29" t="n"/>
      <c r="H203" s="29" t="n"/>
    </row>
    <row r="204">
      <c r="A204" s="27" t="n">
        <v>46143</v>
      </c>
      <c r="B204" s="28" t="inlineStr">
        <is>
          <t>Food To Go</t>
        </is>
      </c>
      <c r="C204" s="28" t="inlineStr">
        <is>
          <t>Actual</t>
        </is>
      </c>
      <c r="D204" s="29" t="n">
        <v>14732.18</v>
      </c>
      <c r="E204" s="29" t="n">
        <v>7062.48</v>
      </c>
      <c r="F204" s="30" t="n">
        <v>1982</v>
      </c>
      <c r="G204" s="29" t="n"/>
      <c r="H204" s="29" t="n"/>
    </row>
    <row r="205">
      <c r="A205" s="27" t="n">
        <v>46143</v>
      </c>
      <c r="B205" s="28" t="inlineStr">
        <is>
          <t>Frozen</t>
        </is>
      </c>
      <c r="C205" s="28" t="inlineStr">
        <is>
          <t>Actual</t>
        </is>
      </c>
      <c r="D205" s="29" t="n">
        <v>6133.52</v>
      </c>
      <c r="E205" s="29" t="n">
        <v>2652.92</v>
      </c>
      <c r="F205" s="30" t="n">
        <v>848</v>
      </c>
      <c r="G205" s="29" t="n"/>
      <c r="H205" s="29" t="n"/>
    </row>
    <row r="206">
      <c r="A206" s="27" t="n">
        <v>46143</v>
      </c>
      <c r="B206" s="28" t="inlineStr">
        <is>
          <t>Grocery</t>
        </is>
      </c>
      <c r="C206" s="28" t="inlineStr">
        <is>
          <t>Actual</t>
        </is>
      </c>
      <c r="D206" s="29" t="n">
        <v>9071.370000000001</v>
      </c>
      <c r="E206" s="29" t="n">
        <v>3095.67</v>
      </c>
      <c r="F206" s="30" t="n">
        <v>1503</v>
      </c>
      <c r="G206" s="29" t="n"/>
      <c r="H206" s="29" t="n"/>
    </row>
    <row r="207">
      <c r="A207" s="27" t="n">
        <v>46143</v>
      </c>
      <c r="B207" s="28" t="inlineStr">
        <is>
          <t>Health &amp; Beauty</t>
        </is>
      </c>
      <c r="C207" s="28" t="inlineStr">
        <is>
          <t>Actual</t>
        </is>
      </c>
      <c r="D207" s="29" t="n">
        <v>1287.04</v>
      </c>
      <c r="E207" s="29" t="n">
        <v>663.24</v>
      </c>
      <c r="F207" s="30" t="n">
        <v>196</v>
      </c>
      <c r="G207" s="29" t="n"/>
      <c r="H207" s="29" t="n"/>
    </row>
    <row r="208">
      <c r="A208" s="27" t="n">
        <v>46143</v>
      </c>
      <c r="B208" s="28" t="inlineStr">
        <is>
          <t>Household</t>
        </is>
      </c>
      <c r="C208" s="28" t="inlineStr">
        <is>
          <t>Actual</t>
        </is>
      </c>
      <c r="D208" s="29" t="n">
        <v>2191.32</v>
      </c>
      <c r="E208" s="29" t="n">
        <v>915.72</v>
      </c>
      <c r="F208" s="30" t="n">
        <v>268</v>
      </c>
      <c r="G208" s="29" t="n"/>
      <c r="H208" s="29" t="n"/>
    </row>
    <row r="209">
      <c r="A209" s="27" t="n">
        <v>46143</v>
      </c>
      <c r="B209" s="28" t="inlineStr">
        <is>
          <t>Produce</t>
        </is>
      </c>
      <c r="C209" s="28" t="inlineStr">
        <is>
          <t>Actual</t>
        </is>
      </c>
      <c r="D209" s="29" t="n">
        <v>1782.97</v>
      </c>
      <c r="E209" s="29" t="n">
        <v>766.9299999999999</v>
      </c>
      <c r="F209" s="30" t="n">
        <v>1263</v>
      </c>
      <c r="G209" s="29" t="n"/>
      <c r="H209" s="29" t="n"/>
    </row>
    <row r="210">
      <c r="A210" s="27" t="n">
        <v>46143</v>
      </c>
      <c r="B210" s="28" t="inlineStr">
        <is>
          <t>Snacks &amp; Confectionery</t>
        </is>
      </c>
      <c r="C210" s="28" t="inlineStr">
        <is>
          <t>Actual</t>
        </is>
      </c>
      <c r="D210" s="29" t="n">
        <v>8858.59</v>
      </c>
      <c r="E210" s="29" t="n">
        <v>3908.19</v>
      </c>
      <c r="F210" s="30" t="n">
        <v>2011</v>
      </c>
      <c r="G210" s="29" t="n"/>
      <c r="H210" s="29" t="n"/>
    </row>
    <row r="211">
      <c r="A211" s="27" t="n">
        <v>46174</v>
      </c>
      <c r="B211" s="28" t="inlineStr">
        <is>
          <t>Bakery</t>
        </is>
      </c>
      <c r="C211" s="28" t="inlineStr">
        <is>
          <t>Actual</t>
        </is>
      </c>
      <c r="D211" s="29" t="n">
        <v>4885.73</v>
      </c>
      <c r="E211" s="29" t="n">
        <v>1879.43</v>
      </c>
      <c r="F211" s="30" t="n">
        <v>1187</v>
      </c>
      <c r="G211" s="29" t="n"/>
      <c r="H211" s="29" t="n"/>
    </row>
    <row r="212">
      <c r="A212" s="27" t="n">
        <v>46174</v>
      </c>
      <c r="B212" s="28" t="inlineStr">
        <is>
          <t>Beer &amp; Wine</t>
        </is>
      </c>
      <c r="C212" s="28" t="inlineStr">
        <is>
          <t>Actual</t>
        </is>
      </c>
      <c r="D212" s="29" t="n">
        <v>8698.49</v>
      </c>
      <c r="E212" s="29" t="n">
        <v>3007.89</v>
      </c>
      <c r="F212" s="30" t="n">
        <v>451</v>
      </c>
      <c r="G212" s="29" t="n"/>
      <c r="H212" s="29" t="n"/>
    </row>
    <row r="213">
      <c r="A213" s="27" t="n">
        <v>46174</v>
      </c>
      <c r="B213" s="28" t="inlineStr">
        <is>
          <t>Beverages</t>
        </is>
      </c>
      <c r="C213" s="28" t="inlineStr">
        <is>
          <t>Actual</t>
        </is>
      </c>
      <c r="D213" s="29" t="n">
        <v>9994.23</v>
      </c>
      <c r="E213" s="29" t="n">
        <v>5071.98</v>
      </c>
      <c r="F213" s="30" t="n">
        <v>2457</v>
      </c>
      <c r="G213" s="29" t="n"/>
      <c r="H213" s="29" t="n"/>
    </row>
    <row r="214">
      <c r="A214" s="27" t="n">
        <v>46174</v>
      </c>
      <c r="B214" s="28" t="inlineStr">
        <is>
          <t>Dairy</t>
        </is>
      </c>
      <c r="C214" s="28" t="inlineStr">
        <is>
          <t>Actual</t>
        </is>
      </c>
      <c r="D214" s="29" t="n">
        <v>13940.86</v>
      </c>
      <c r="E214" s="29" t="n">
        <v>3925.16</v>
      </c>
      <c r="F214" s="30" t="n">
        <v>2424</v>
      </c>
      <c r="G214" s="29" t="n"/>
      <c r="H214" s="29" t="n"/>
    </row>
    <row r="215">
      <c r="A215" s="27" t="n">
        <v>46174</v>
      </c>
      <c r="B215" s="28" t="inlineStr">
        <is>
          <t>Food To Go</t>
        </is>
      </c>
      <c r="C215" s="28" t="inlineStr">
        <is>
          <t>Actual</t>
        </is>
      </c>
      <c r="D215" s="29" t="n">
        <v>14600.95</v>
      </c>
      <c r="E215" s="29" t="n">
        <v>6972.45</v>
      </c>
      <c r="F215" s="30" t="n">
        <v>1995</v>
      </c>
      <c r="G215" s="29" t="n"/>
      <c r="H215" s="29" t="n"/>
    </row>
    <row r="216">
      <c r="A216" s="27" t="n">
        <v>46174</v>
      </c>
      <c r="B216" s="28" t="inlineStr">
        <is>
          <t>Frozen</t>
        </is>
      </c>
      <c r="C216" s="28" t="inlineStr">
        <is>
          <t>Actual</t>
        </is>
      </c>
      <c r="D216" s="29" t="n">
        <v>5905.01</v>
      </c>
      <c r="E216" s="29" t="n">
        <v>2551.41</v>
      </c>
      <c r="F216" s="30" t="n">
        <v>799</v>
      </c>
      <c r="G216" s="29" t="n"/>
      <c r="H216" s="29" t="n"/>
    </row>
    <row r="217">
      <c r="A217" s="27" t="n">
        <v>46174</v>
      </c>
      <c r="B217" s="28" t="inlineStr">
        <is>
          <t>Grocery</t>
        </is>
      </c>
      <c r="C217" s="28" t="inlineStr">
        <is>
          <t>Actual</t>
        </is>
      </c>
      <c r="D217" s="29" t="n">
        <v>9297.379999999999</v>
      </c>
      <c r="E217" s="29" t="n">
        <v>3308.98</v>
      </c>
      <c r="F217" s="30" t="n">
        <v>1562</v>
      </c>
      <c r="G217" s="29" t="n"/>
      <c r="H217" s="29" t="n"/>
    </row>
    <row r="218">
      <c r="A218" s="27" t="n">
        <v>46174</v>
      </c>
      <c r="B218" s="28" t="inlineStr">
        <is>
          <t>Health &amp; Beauty</t>
        </is>
      </c>
      <c r="C218" s="28" t="inlineStr">
        <is>
          <t>Actual</t>
        </is>
      </c>
      <c r="D218" s="29" t="n">
        <v>1496.14</v>
      </c>
      <c r="E218" s="29" t="n">
        <v>764.9400000000001</v>
      </c>
      <c r="F218" s="30" t="n">
        <v>226</v>
      </c>
      <c r="G218" s="29" t="n"/>
      <c r="H218" s="29" t="n"/>
    </row>
    <row r="219">
      <c r="A219" s="27" t="n">
        <v>46174</v>
      </c>
      <c r="B219" s="28" t="inlineStr">
        <is>
          <t>Household</t>
        </is>
      </c>
      <c r="C219" s="28" t="inlineStr">
        <is>
          <t>Actual</t>
        </is>
      </c>
      <c r="D219" s="29" t="n">
        <v>2282.31</v>
      </c>
      <c r="E219" s="29" t="n">
        <v>945.41</v>
      </c>
      <c r="F219" s="30" t="n">
        <v>269</v>
      </c>
      <c r="G219" s="29" t="n"/>
      <c r="H219" s="29" t="n"/>
    </row>
    <row r="220">
      <c r="A220" s="27" t="n">
        <v>46174</v>
      </c>
      <c r="B220" s="28" t="inlineStr">
        <is>
          <t>Produce</t>
        </is>
      </c>
      <c r="C220" s="28" t="inlineStr">
        <is>
          <t>Actual</t>
        </is>
      </c>
      <c r="D220" s="29" t="n">
        <v>1737.44</v>
      </c>
      <c r="E220" s="29" t="n">
        <v>757.84</v>
      </c>
      <c r="F220" s="30" t="n">
        <v>1256</v>
      </c>
      <c r="G220" s="29" t="n"/>
      <c r="H220" s="29" t="n"/>
    </row>
    <row r="221">
      <c r="A221" s="27" t="n">
        <v>46174</v>
      </c>
      <c r="B221" s="28" t="inlineStr">
        <is>
          <t>Snacks &amp; Confectionery</t>
        </is>
      </c>
      <c r="C221" s="28" t="inlineStr">
        <is>
          <t>Actual</t>
        </is>
      </c>
      <c r="D221" s="29" t="n">
        <v>8414.309999999999</v>
      </c>
      <c r="E221" s="29" t="n">
        <v>3745.31</v>
      </c>
      <c r="F221" s="30" t="n">
        <v>1909</v>
      </c>
      <c r="G221" s="29" t="n"/>
      <c r="H221" s="29" t="n"/>
    </row>
    <row r="222">
      <c r="A222" s="27" t="n">
        <v>46204</v>
      </c>
      <c r="B222" s="28" t="inlineStr">
        <is>
          <t>Bakery</t>
        </is>
      </c>
      <c r="C222" s="28" t="inlineStr">
        <is>
          <t>Actual</t>
        </is>
      </c>
      <c r="D222" s="29" t="n">
        <v>5299.88</v>
      </c>
      <c r="E222" s="29" t="n">
        <v>2016.88</v>
      </c>
      <c r="F222" s="30" t="n">
        <v>1292</v>
      </c>
      <c r="G222" s="29" t="n"/>
      <c r="H222" s="29" t="n"/>
    </row>
    <row r="223">
      <c r="A223" s="27" t="n">
        <v>46204</v>
      </c>
      <c r="B223" s="28" t="inlineStr">
        <is>
          <t>Beer &amp; Wine</t>
        </is>
      </c>
      <c r="C223" s="28" t="inlineStr">
        <is>
          <t>Actual</t>
        </is>
      </c>
      <c r="D223" s="29" t="n">
        <v>8785.51</v>
      </c>
      <c r="E223" s="29" t="n">
        <v>3036.11</v>
      </c>
      <c r="F223" s="30" t="n">
        <v>449</v>
      </c>
      <c r="G223" s="29" t="n"/>
      <c r="H223" s="29" t="n"/>
    </row>
    <row r="224">
      <c r="A224" s="27" t="n">
        <v>46204</v>
      </c>
      <c r="B224" s="28" t="inlineStr">
        <is>
          <t>Beverages</t>
        </is>
      </c>
      <c r="C224" s="28" t="inlineStr">
        <is>
          <t>Actual</t>
        </is>
      </c>
      <c r="D224" s="29" t="n">
        <v>9805.82</v>
      </c>
      <c r="E224" s="29" t="n">
        <v>5016.82</v>
      </c>
      <c r="F224" s="30" t="n">
        <v>2428</v>
      </c>
      <c r="G224" s="29" t="n"/>
      <c r="H224" s="29" t="n"/>
    </row>
    <row r="225">
      <c r="A225" s="27" t="n">
        <v>46204</v>
      </c>
      <c r="B225" s="28" t="inlineStr">
        <is>
          <t>Dairy</t>
        </is>
      </c>
      <c r="C225" s="28" t="inlineStr">
        <is>
          <t>Actual</t>
        </is>
      </c>
      <c r="D225" s="29" t="n">
        <v>14597.33</v>
      </c>
      <c r="E225" s="29" t="n">
        <v>4020.78</v>
      </c>
      <c r="F225" s="30" t="n">
        <v>2521</v>
      </c>
      <c r="G225" s="29" t="n"/>
      <c r="H225" s="29" t="n"/>
    </row>
    <row r="226">
      <c r="A226" s="27" t="n">
        <v>46204</v>
      </c>
      <c r="B226" s="28" t="inlineStr">
        <is>
          <t>Food To Go</t>
        </is>
      </c>
      <c r="C226" s="28" t="inlineStr">
        <is>
          <t>Actual</t>
        </is>
      </c>
      <c r="D226" s="29" t="n">
        <v>15114.42</v>
      </c>
      <c r="E226" s="29" t="n">
        <v>7396.62</v>
      </c>
      <c r="F226" s="30" t="n">
        <v>2058</v>
      </c>
      <c r="G226" s="29" t="n"/>
      <c r="H226" s="29" t="n"/>
    </row>
    <row r="227">
      <c r="A227" s="27" t="n">
        <v>46204</v>
      </c>
      <c r="B227" s="28" t="inlineStr">
        <is>
          <t>Frozen</t>
        </is>
      </c>
      <c r="C227" s="28" t="inlineStr">
        <is>
          <t>Actual</t>
        </is>
      </c>
      <c r="D227" s="29" t="n">
        <v>5770.2</v>
      </c>
      <c r="E227" s="29" t="n">
        <v>2492.4</v>
      </c>
      <c r="F227" s="30" t="n">
        <v>780</v>
      </c>
      <c r="G227" s="29" t="n"/>
      <c r="H227" s="29" t="n"/>
    </row>
    <row r="228">
      <c r="A228" s="27" t="n">
        <v>46204</v>
      </c>
      <c r="B228" s="28" t="inlineStr">
        <is>
          <t>Grocery</t>
        </is>
      </c>
      <c r="C228" s="28" t="inlineStr">
        <is>
          <t>Actual</t>
        </is>
      </c>
      <c r="D228" s="29" t="n">
        <v>9621.6</v>
      </c>
      <c r="E228" s="29" t="n">
        <v>3398.6</v>
      </c>
      <c r="F228" s="30" t="n">
        <v>1680</v>
      </c>
      <c r="G228" s="29" t="n"/>
      <c r="H228" s="29" t="n"/>
    </row>
    <row r="229">
      <c r="A229" s="27" t="n">
        <v>46204</v>
      </c>
      <c r="B229" s="28" t="inlineStr">
        <is>
          <t>Health &amp; Beauty</t>
        </is>
      </c>
      <c r="C229" s="28" t="inlineStr">
        <is>
          <t>Actual</t>
        </is>
      </c>
      <c r="D229" s="29" t="n">
        <v>1407.32</v>
      </c>
      <c r="E229" s="29" t="n">
        <v>725.72</v>
      </c>
      <c r="F229" s="30" t="n">
        <v>228</v>
      </c>
      <c r="G229" s="29" t="n"/>
      <c r="H229" s="29" t="n"/>
    </row>
    <row r="230">
      <c r="A230" s="27" t="n">
        <v>46204</v>
      </c>
      <c r="B230" s="28" t="inlineStr">
        <is>
          <t>Household</t>
        </is>
      </c>
      <c r="C230" s="28" t="inlineStr">
        <is>
          <t>Actual</t>
        </is>
      </c>
      <c r="D230" s="29" t="n">
        <v>2547.97</v>
      </c>
      <c r="E230" s="29" t="n">
        <v>1068.67</v>
      </c>
      <c r="F230" s="30" t="n">
        <v>303</v>
      </c>
      <c r="G230" s="29" t="n"/>
      <c r="H230" s="29" t="n"/>
    </row>
    <row r="231">
      <c r="A231" s="27" t="n">
        <v>46204</v>
      </c>
      <c r="B231" s="28" t="inlineStr">
        <is>
          <t>Produce</t>
        </is>
      </c>
      <c r="C231" s="28" t="inlineStr">
        <is>
          <t>Actual</t>
        </is>
      </c>
      <c r="D231" s="29" t="n">
        <v>1723.07</v>
      </c>
      <c r="E231" s="29" t="n">
        <v>742.55</v>
      </c>
      <c r="F231" s="30" t="n">
        <v>1365</v>
      </c>
      <c r="G231" s="29" t="n"/>
      <c r="H231" s="29" t="n"/>
    </row>
    <row r="232">
      <c r="A232" s="27" t="n">
        <v>46204</v>
      </c>
      <c r="B232" s="28" t="inlineStr">
        <is>
          <t>Snacks &amp; Confectionery</t>
        </is>
      </c>
      <c r="C232" s="28" t="inlineStr">
        <is>
          <t>Actual</t>
        </is>
      </c>
      <c r="D232" s="29" t="n">
        <v>9387.49</v>
      </c>
      <c r="E232" s="29" t="n">
        <v>4116.89</v>
      </c>
      <c r="F232" s="30" t="n">
        <v>2151</v>
      </c>
      <c r="G232" s="29" t="n"/>
      <c r="H232" s="29" t="n"/>
    </row>
    <row r="233">
      <c r="A233" s="27" t="n">
        <v>46235</v>
      </c>
      <c r="B233" s="28" t="inlineStr">
        <is>
          <t>Bakery</t>
        </is>
      </c>
      <c r="C233" s="28" t="inlineStr">
        <is>
          <t>Actual</t>
        </is>
      </c>
      <c r="D233" s="29" t="n">
        <v>4954.82</v>
      </c>
      <c r="E233" s="29" t="n">
        <v>1881.72</v>
      </c>
      <c r="F233" s="30" t="n">
        <v>1208</v>
      </c>
      <c r="G233" s="29" t="n"/>
      <c r="H233" s="29" t="n"/>
    </row>
    <row r="234">
      <c r="A234" s="27" t="n">
        <v>46235</v>
      </c>
      <c r="B234" s="28" t="inlineStr">
        <is>
          <t>Beer &amp; Wine</t>
        </is>
      </c>
      <c r="C234" s="28" t="inlineStr">
        <is>
          <t>Actual</t>
        </is>
      </c>
      <c r="D234" s="29" t="n">
        <v>8604.559999999999</v>
      </c>
      <c r="E234" s="29" t="n">
        <v>2975.46</v>
      </c>
      <c r="F234" s="30" t="n">
        <v>444</v>
      </c>
      <c r="G234" s="29" t="n"/>
      <c r="H234" s="29" t="n"/>
    </row>
    <row r="235">
      <c r="A235" s="27" t="n">
        <v>46235</v>
      </c>
      <c r="B235" s="28" t="inlineStr">
        <is>
          <t>Beverages</t>
        </is>
      </c>
      <c r="C235" s="28" t="inlineStr">
        <is>
          <t>Actual</t>
        </is>
      </c>
      <c r="D235" s="29" t="n">
        <v>10619.25</v>
      </c>
      <c r="E235" s="29" t="n">
        <v>5367.35</v>
      </c>
      <c r="F235" s="30" t="n">
        <v>2585</v>
      </c>
      <c r="G235" s="29" t="n"/>
      <c r="H235" s="29" t="n"/>
    </row>
    <row r="236">
      <c r="A236" s="27" t="n">
        <v>46235</v>
      </c>
      <c r="B236" s="28" t="inlineStr">
        <is>
          <t>Dairy</t>
        </is>
      </c>
      <c r="C236" s="28" t="inlineStr">
        <is>
          <t>Actual</t>
        </is>
      </c>
      <c r="D236" s="29" t="n">
        <v>13689.93</v>
      </c>
      <c r="E236" s="29" t="n">
        <v>3850.33</v>
      </c>
      <c r="F236" s="30" t="n">
        <v>2377</v>
      </c>
      <c r="G236" s="29" t="n"/>
      <c r="H236" s="29" t="n"/>
    </row>
    <row r="237">
      <c r="A237" s="27" t="n">
        <v>46235</v>
      </c>
      <c r="B237" s="28" t="inlineStr">
        <is>
          <t>Food To Go</t>
        </is>
      </c>
      <c r="C237" s="28" t="inlineStr">
        <is>
          <t>Actual</t>
        </is>
      </c>
      <c r="D237" s="29" t="n">
        <v>14994.58</v>
      </c>
      <c r="E237" s="29" t="n">
        <v>7198.98</v>
      </c>
      <c r="F237" s="30" t="n">
        <v>2062</v>
      </c>
      <c r="G237" s="29" t="n"/>
      <c r="H237" s="29" t="n"/>
    </row>
    <row r="238">
      <c r="A238" s="27" t="n">
        <v>46235</v>
      </c>
      <c r="B238" s="28" t="inlineStr">
        <is>
          <t>Frozen</t>
        </is>
      </c>
      <c r="C238" s="28" t="inlineStr">
        <is>
          <t>Actual</t>
        </is>
      </c>
      <c r="D238" s="29" t="n">
        <v>5618.85</v>
      </c>
      <c r="E238" s="29" t="n">
        <v>2444.45</v>
      </c>
      <c r="F238" s="30" t="n">
        <v>795</v>
      </c>
      <c r="G238" s="29" t="n"/>
      <c r="H238" s="29" t="n"/>
    </row>
    <row r="239">
      <c r="A239" s="27" t="n">
        <v>46235</v>
      </c>
      <c r="B239" s="28" t="inlineStr">
        <is>
          <t>Grocery</t>
        </is>
      </c>
      <c r="C239" s="28" t="inlineStr">
        <is>
          <t>Actual</t>
        </is>
      </c>
      <c r="D239" s="29" t="n">
        <v>9292.76</v>
      </c>
      <c r="E239" s="29" t="n">
        <v>3284.56</v>
      </c>
      <c r="F239" s="30" t="n">
        <v>1626</v>
      </c>
      <c r="G239" s="29" t="n"/>
      <c r="H239" s="29" t="n"/>
    </row>
    <row r="240">
      <c r="A240" s="27" t="n">
        <v>46235</v>
      </c>
      <c r="B240" s="28" t="inlineStr">
        <is>
          <t>Health &amp; Beauty</t>
        </is>
      </c>
      <c r="C240" s="28" t="inlineStr">
        <is>
          <t>Actual</t>
        </is>
      </c>
      <c r="D240" s="29" t="n">
        <v>1484.34</v>
      </c>
      <c r="E240" s="29" t="n">
        <v>739.9400000000001</v>
      </c>
      <c r="F240" s="30" t="n">
        <v>226</v>
      </c>
      <c r="G240" s="29" t="n"/>
      <c r="H240" s="29" t="n"/>
    </row>
    <row r="241">
      <c r="A241" s="27" t="n">
        <v>46235</v>
      </c>
      <c r="B241" s="28" t="inlineStr">
        <is>
          <t>Household</t>
        </is>
      </c>
      <c r="C241" s="28" t="inlineStr">
        <is>
          <t>Actual</t>
        </is>
      </c>
      <c r="D241" s="29" t="n">
        <v>2496.07</v>
      </c>
      <c r="E241" s="29" t="n">
        <v>1042.37</v>
      </c>
      <c r="F241" s="30" t="n">
        <v>293</v>
      </c>
      <c r="G241" s="29" t="n"/>
      <c r="H241" s="29" t="n"/>
    </row>
    <row r="242">
      <c r="A242" s="27" t="n">
        <v>46235</v>
      </c>
      <c r="B242" s="28" t="inlineStr">
        <is>
          <t>Produce</t>
        </is>
      </c>
      <c r="C242" s="28" t="inlineStr">
        <is>
          <t>Actual</t>
        </is>
      </c>
      <c r="D242" s="29" t="n">
        <v>1673.88</v>
      </c>
      <c r="E242" s="29" t="n">
        <v>730.7</v>
      </c>
      <c r="F242" s="30" t="n">
        <v>1232</v>
      </c>
      <c r="G242" s="29" t="n"/>
      <c r="H242" s="29" t="n"/>
    </row>
    <row r="243">
      <c r="A243" s="27" t="n">
        <v>46235</v>
      </c>
      <c r="B243" s="28" t="inlineStr">
        <is>
          <t>Snacks &amp; Confectionery</t>
        </is>
      </c>
      <c r="C243" s="28" t="inlineStr">
        <is>
          <t>Actual</t>
        </is>
      </c>
      <c r="D243" s="29" t="n">
        <v>8915.01</v>
      </c>
      <c r="E243" s="29" t="n">
        <v>4006.01</v>
      </c>
      <c r="F243" s="30" t="n">
        <v>2029</v>
      </c>
      <c r="G243" s="29" t="n"/>
      <c r="H243" s="29" t="n"/>
    </row>
    <row r="244">
      <c r="A244" s="27" t="n">
        <v>46266</v>
      </c>
      <c r="B244" s="28" t="inlineStr">
        <is>
          <t>Bakery</t>
        </is>
      </c>
      <c r="C244" s="28" t="inlineStr">
        <is>
          <t>Actual</t>
        </is>
      </c>
      <c r="D244" s="29" t="n">
        <v>4794.73</v>
      </c>
      <c r="E244" s="29" t="n">
        <v>1833.73</v>
      </c>
      <c r="F244" s="30" t="n">
        <v>1167</v>
      </c>
      <c r="G244" s="29" t="n"/>
      <c r="H244" s="29" t="n"/>
    </row>
    <row r="245">
      <c r="A245" s="27" t="n">
        <v>46266</v>
      </c>
      <c r="B245" s="28" t="inlineStr">
        <is>
          <t>Beer &amp; Wine</t>
        </is>
      </c>
      <c r="C245" s="28" t="inlineStr">
        <is>
          <t>Actual</t>
        </is>
      </c>
      <c r="D245" s="29" t="n">
        <v>9156.6</v>
      </c>
      <c r="E245" s="29" t="n">
        <v>3099.9</v>
      </c>
      <c r="F245" s="30" t="n">
        <v>480</v>
      </c>
      <c r="G245" s="29" t="n"/>
      <c r="H245" s="29" t="n"/>
    </row>
    <row r="246">
      <c r="A246" s="27" t="n">
        <v>46266</v>
      </c>
      <c r="B246" s="28" t="inlineStr">
        <is>
          <t>Beverages</t>
        </is>
      </c>
      <c r="C246" s="28" t="inlineStr">
        <is>
          <t>Actual</t>
        </is>
      </c>
      <c r="D246" s="29" t="n">
        <v>11375.6</v>
      </c>
      <c r="E246" s="29" t="n">
        <v>5758.5</v>
      </c>
      <c r="F246" s="30" t="n">
        <v>2760</v>
      </c>
      <c r="G246" s="29" t="n"/>
      <c r="H246" s="29" t="n"/>
    </row>
    <row r="247">
      <c r="A247" s="27" t="n">
        <v>46266</v>
      </c>
      <c r="B247" s="28" t="inlineStr">
        <is>
          <t>Dairy</t>
        </is>
      </c>
      <c r="C247" s="28" t="inlineStr">
        <is>
          <t>Actual</t>
        </is>
      </c>
      <c r="D247" s="29" t="n">
        <v>13196.08</v>
      </c>
      <c r="E247" s="29" t="n">
        <v>3722.03</v>
      </c>
      <c r="F247" s="30" t="n">
        <v>2236</v>
      </c>
      <c r="G247" s="29" t="n"/>
      <c r="H247" s="29" t="n"/>
    </row>
    <row r="248">
      <c r="A248" s="27" t="n">
        <v>46266</v>
      </c>
      <c r="B248" s="28" t="inlineStr">
        <is>
          <t>Food To Go</t>
        </is>
      </c>
      <c r="C248" s="28" t="inlineStr">
        <is>
          <t>Actual</t>
        </is>
      </c>
      <c r="D248" s="29" t="n">
        <v>14252.94</v>
      </c>
      <c r="E248" s="29" t="n">
        <v>6928.84</v>
      </c>
      <c r="F248" s="30" t="n">
        <v>1916</v>
      </c>
      <c r="G248" s="29" t="n"/>
      <c r="H248" s="29" t="n"/>
    </row>
    <row r="249">
      <c r="A249" s="27" t="n">
        <v>46266</v>
      </c>
      <c r="B249" s="28" t="inlineStr">
        <is>
          <t>Frozen</t>
        </is>
      </c>
      <c r="C249" s="28" t="inlineStr">
        <is>
          <t>Actual</t>
        </is>
      </c>
      <c r="D249" s="29" t="n">
        <v>5709.16</v>
      </c>
      <c r="E249" s="29" t="n">
        <v>2453.56</v>
      </c>
      <c r="F249" s="30" t="n">
        <v>804</v>
      </c>
      <c r="G249" s="29" t="n"/>
      <c r="H249" s="29" t="n"/>
    </row>
    <row r="250">
      <c r="A250" s="27" t="n">
        <v>46266</v>
      </c>
      <c r="B250" s="28" t="inlineStr">
        <is>
          <t>Grocery</t>
        </is>
      </c>
      <c r="C250" s="28" t="inlineStr">
        <is>
          <t>Actual</t>
        </is>
      </c>
      <c r="D250" s="29" t="n">
        <v>8605.139999999999</v>
      </c>
      <c r="E250" s="29" t="n">
        <v>3003.94</v>
      </c>
      <c r="F250" s="30" t="n">
        <v>1472</v>
      </c>
      <c r="G250" s="29" t="n"/>
      <c r="H250" s="29" t="n"/>
    </row>
    <row r="251">
      <c r="A251" s="27" t="n">
        <v>46266</v>
      </c>
      <c r="B251" s="28" t="inlineStr">
        <is>
          <t>Health &amp; Beauty</t>
        </is>
      </c>
      <c r="C251" s="28" t="inlineStr">
        <is>
          <t>Actual</t>
        </is>
      </c>
      <c r="D251" s="29" t="n">
        <v>1284.05</v>
      </c>
      <c r="E251" s="29" t="n">
        <v>668.45</v>
      </c>
      <c r="F251" s="30" t="n">
        <v>195</v>
      </c>
      <c r="G251" s="29" t="n"/>
      <c r="H251" s="29" t="n"/>
    </row>
    <row r="252">
      <c r="A252" s="27" t="n">
        <v>46266</v>
      </c>
      <c r="B252" s="28" t="inlineStr">
        <is>
          <t>Household</t>
        </is>
      </c>
      <c r="C252" s="28" t="inlineStr">
        <is>
          <t>Actual</t>
        </is>
      </c>
      <c r="D252" s="29" t="n">
        <v>2157.46</v>
      </c>
      <c r="E252" s="29" t="n">
        <v>856.26</v>
      </c>
      <c r="F252" s="30" t="n">
        <v>254</v>
      </c>
      <c r="G252" s="29" t="n"/>
      <c r="H252" s="29" t="n"/>
    </row>
    <row r="253">
      <c r="A253" s="27" t="n">
        <v>46266</v>
      </c>
      <c r="B253" s="28" t="inlineStr">
        <is>
          <t>Produce</t>
        </is>
      </c>
      <c r="C253" s="28" t="inlineStr">
        <is>
          <t>Actual</t>
        </is>
      </c>
      <c r="D253" s="29" t="n">
        <v>1851</v>
      </c>
      <c r="E253" s="29" t="n">
        <v>806.8</v>
      </c>
      <c r="F253" s="30" t="n">
        <v>1300</v>
      </c>
      <c r="G253" s="29" t="n"/>
      <c r="H253" s="29" t="n"/>
    </row>
    <row r="254">
      <c r="A254" s="27" t="n">
        <v>46266</v>
      </c>
      <c r="B254" s="28" t="inlineStr">
        <is>
          <t>Snacks &amp; Confectionery</t>
        </is>
      </c>
      <c r="C254" s="28" t="inlineStr">
        <is>
          <t>Actual</t>
        </is>
      </c>
      <c r="D254" s="29" t="n">
        <v>8835.77</v>
      </c>
      <c r="E254" s="29" t="n">
        <v>3926.37</v>
      </c>
      <c r="F254" s="30" t="n">
        <v>2013</v>
      </c>
      <c r="G254" s="29" t="n"/>
      <c r="H254" s="29" t="n"/>
    </row>
    <row r="255">
      <c r="A255" s="27" t="n">
        <v>46296</v>
      </c>
      <c r="B255" s="28" t="inlineStr">
        <is>
          <t>Bakery</t>
        </is>
      </c>
      <c r="C255" s="28" t="inlineStr">
        <is>
          <t>Outlook</t>
        </is>
      </c>
      <c r="D255" s="29" t="n">
        <v>5055.61</v>
      </c>
      <c r="E255" s="29" t="n">
        <v>1936.3</v>
      </c>
      <c r="F255" s="30" t="n"/>
      <c r="G255" s="29" t="n">
        <v>4778.19</v>
      </c>
      <c r="H255" s="29" t="n">
        <v>5333.03</v>
      </c>
    </row>
    <row r="256">
      <c r="A256" s="27" t="n">
        <v>46296</v>
      </c>
      <c r="B256" s="28" t="inlineStr">
        <is>
          <t>Beer &amp; Wine</t>
        </is>
      </c>
      <c r="C256" s="28" t="inlineStr">
        <is>
          <t>Outlook</t>
        </is>
      </c>
      <c r="D256" s="29" t="n">
        <v>9066.43</v>
      </c>
      <c r="E256" s="29" t="n">
        <v>3073.52</v>
      </c>
      <c r="F256" s="30" t="n"/>
      <c r="G256" s="29" t="n">
        <v>8568.92</v>
      </c>
      <c r="H256" s="29" t="n">
        <v>9563.950000000001</v>
      </c>
    </row>
    <row r="257">
      <c r="A257" s="27" t="n">
        <v>46296</v>
      </c>
      <c r="B257" s="28" t="inlineStr">
        <is>
          <t>Beverages</t>
        </is>
      </c>
      <c r="C257" s="28" t="inlineStr">
        <is>
          <t>Outlook</t>
        </is>
      </c>
      <c r="D257" s="29" t="n">
        <v>14431.67</v>
      </c>
      <c r="E257" s="29" t="n">
        <v>7345.72</v>
      </c>
      <c r="F257" s="30" t="n"/>
      <c r="G257" s="29" t="n">
        <v>13639.74</v>
      </c>
      <c r="H257" s="29" t="n">
        <v>15223.6</v>
      </c>
    </row>
    <row r="258">
      <c r="A258" s="27" t="n">
        <v>46296</v>
      </c>
      <c r="B258" s="28" t="inlineStr">
        <is>
          <t>Dairy</t>
        </is>
      </c>
      <c r="C258" s="28" t="inlineStr">
        <is>
          <t>Outlook</t>
        </is>
      </c>
      <c r="D258" s="29" t="n">
        <v>14292.44</v>
      </c>
      <c r="E258" s="29" t="n">
        <v>3973.3</v>
      </c>
      <c r="F258" s="30" t="n"/>
      <c r="G258" s="29" t="n">
        <v>13508.15</v>
      </c>
      <c r="H258" s="29" t="n">
        <v>15076.72</v>
      </c>
    </row>
    <row r="259">
      <c r="A259" s="27" t="n">
        <v>46296</v>
      </c>
      <c r="B259" s="28" t="inlineStr">
        <is>
          <t>Food To Go</t>
        </is>
      </c>
      <c r="C259" s="28" t="inlineStr">
        <is>
          <t>Outlook</t>
        </is>
      </c>
      <c r="D259" s="29" t="n">
        <v>15095</v>
      </c>
      <c r="E259" s="29" t="n">
        <v>7185.22</v>
      </c>
      <c r="F259" s="30" t="n"/>
      <c r="G259" s="29" t="n">
        <v>14266.68</v>
      </c>
      <c r="H259" s="29" t="n">
        <v>15923.33</v>
      </c>
    </row>
    <row r="260">
      <c r="A260" s="27" t="n">
        <v>46296</v>
      </c>
      <c r="B260" s="28" t="inlineStr">
        <is>
          <t>Frozen</t>
        </is>
      </c>
      <c r="C260" s="28" t="inlineStr">
        <is>
          <t>Outlook</t>
        </is>
      </c>
      <c r="D260" s="29" t="n">
        <v>6103.68</v>
      </c>
      <c r="E260" s="29" t="n">
        <v>2667.31</v>
      </c>
      <c r="F260" s="30" t="n"/>
      <c r="G260" s="29" t="n">
        <v>5768.74</v>
      </c>
      <c r="H260" s="29" t="n">
        <v>6438.61</v>
      </c>
    </row>
    <row r="261">
      <c r="A261" s="27" t="n">
        <v>46296</v>
      </c>
      <c r="B261" s="28" t="inlineStr">
        <is>
          <t>Grocery</t>
        </is>
      </c>
      <c r="C261" s="28" t="inlineStr">
        <is>
          <t>Outlook</t>
        </is>
      </c>
      <c r="D261" s="29" t="n">
        <v>8845.1</v>
      </c>
      <c r="E261" s="29" t="n">
        <v>3069.25</v>
      </c>
      <c r="F261" s="30" t="n"/>
      <c r="G261" s="29" t="n">
        <v>8359.73</v>
      </c>
      <c r="H261" s="29" t="n">
        <v>9330.459999999999</v>
      </c>
    </row>
    <row r="262">
      <c r="A262" s="27" t="n">
        <v>46296</v>
      </c>
      <c r="B262" s="28" t="inlineStr">
        <is>
          <t>Health &amp; Beauty</t>
        </is>
      </c>
      <c r="C262" s="28" t="inlineStr">
        <is>
          <t>Outlook</t>
        </is>
      </c>
      <c r="D262" s="29" t="n">
        <v>1644.75</v>
      </c>
      <c r="E262" s="29" t="n">
        <v>822.37</v>
      </c>
      <c r="F262" s="30" t="n"/>
      <c r="G262" s="29" t="n">
        <v>1554.5</v>
      </c>
      <c r="H262" s="29" t="n">
        <v>1735</v>
      </c>
    </row>
    <row r="263">
      <c r="A263" s="27" t="n">
        <v>46296</v>
      </c>
      <c r="B263" s="28" t="inlineStr">
        <is>
          <t>Household</t>
        </is>
      </c>
      <c r="C263" s="28" t="inlineStr">
        <is>
          <t>Outlook</t>
        </is>
      </c>
      <c r="D263" s="29" t="n">
        <v>2357.56</v>
      </c>
      <c r="E263" s="29" t="n">
        <v>973.67</v>
      </c>
      <c r="F263" s="30" t="n"/>
      <c r="G263" s="29" t="n">
        <v>2228.19</v>
      </c>
      <c r="H263" s="29" t="n">
        <v>2486.92</v>
      </c>
    </row>
    <row r="264">
      <c r="A264" s="27" t="n">
        <v>46296</v>
      </c>
      <c r="B264" s="28" t="inlineStr">
        <is>
          <t>Produce</t>
        </is>
      </c>
      <c r="C264" s="28" t="inlineStr">
        <is>
          <t>Outlook</t>
        </is>
      </c>
      <c r="D264" s="29" t="n">
        <v>2125.44</v>
      </c>
      <c r="E264" s="29" t="n">
        <v>911.8099999999999</v>
      </c>
      <c r="F264" s="30" t="n"/>
      <c r="G264" s="29" t="n">
        <v>2008.8</v>
      </c>
      <c r="H264" s="29" t="n">
        <v>2242.07</v>
      </c>
    </row>
    <row r="265">
      <c r="A265" s="27" t="n">
        <v>46296</v>
      </c>
      <c r="B265" s="28" t="inlineStr">
        <is>
          <t>Snacks &amp; Confectionery</t>
        </is>
      </c>
      <c r="C265" s="28" t="inlineStr">
        <is>
          <t>Outlook</t>
        </is>
      </c>
      <c r="D265" s="29" t="n">
        <v>8699.110000000001</v>
      </c>
      <c r="E265" s="29" t="n">
        <v>3871.1</v>
      </c>
      <c r="F265" s="30" t="n"/>
      <c r="G265" s="29" t="n">
        <v>8221.75</v>
      </c>
      <c r="H265" s="29" t="n">
        <v>9176.469999999999</v>
      </c>
    </row>
    <row r="266">
      <c r="A266" s="27" t="n">
        <v>46327</v>
      </c>
      <c r="B266" s="28" t="inlineStr">
        <is>
          <t>Bakery</t>
        </is>
      </c>
      <c r="C266" s="28" t="inlineStr">
        <is>
          <t>Forecast</t>
        </is>
      </c>
      <c r="D266" s="29" t="n">
        <v>5048.16</v>
      </c>
      <c r="E266" s="29" t="n"/>
      <c r="F266" s="30" t="n"/>
      <c r="G266" s="29" t="n">
        <v>4771.15</v>
      </c>
      <c r="H266" s="29" t="n">
        <v>5325.18</v>
      </c>
    </row>
    <row r="267">
      <c r="A267" s="27" t="n">
        <v>46327</v>
      </c>
      <c r="B267" s="28" t="inlineStr">
        <is>
          <t>Beer &amp; Wine</t>
        </is>
      </c>
      <c r="C267" s="28" t="inlineStr">
        <is>
          <t>Forecast</t>
        </is>
      </c>
      <c r="D267" s="29" t="n">
        <v>10979.67</v>
      </c>
      <c r="E267" s="29" t="n"/>
      <c r="F267" s="30" t="n"/>
      <c r="G267" s="29" t="n">
        <v>10377.17</v>
      </c>
      <c r="H267" s="29" t="n">
        <v>11582.17</v>
      </c>
    </row>
    <row r="268">
      <c r="A268" s="27" t="n">
        <v>46327</v>
      </c>
      <c r="B268" s="28" t="inlineStr">
        <is>
          <t>Beverages</t>
        </is>
      </c>
      <c r="C268" s="28" t="inlineStr">
        <is>
          <t>Forecast</t>
        </is>
      </c>
      <c r="D268" s="29" t="n">
        <v>14985.25</v>
      </c>
      <c r="E268" s="29" t="n"/>
      <c r="F268" s="30" t="n"/>
      <c r="G268" s="29" t="n">
        <v>14162.95</v>
      </c>
      <c r="H268" s="29" t="n">
        <v>15807.56</v>
      </c>
    </row>
    <row r="269">
      <c r="A269" s="27" t="n">
        <v>46327</v>
      </c>
      <c r="B269" s="28" t="inlineStr">
        <is>
          <t>Dairy</t>
        </is>
      </c>
      <c r="C269" s="28" t="inlineStr">
        <is>
          <t>Forecast</t>
        </is>
      </c>
      <c r="D269" s="29" t="n">
        <v>13855.91</v>
      </c>
      <c r="E269" s="29" t="n"/>
      <c r="F269" s="30" t="n"/>
      <c r="G269" s="29" t="n">
        <v>13095.58</v>
      </c>
      <c r="H269" s="29" t="n">
        <v>14616.24</v>
      </c>
    </row>
    <row r="270">
      <c r="A270" s="27" t="n">
        <v>46327</v>
      </c>
      <c r="B270" s="28" t="inlineStr">
        <is>
          <t>Food To Go</t>
        </is>
      </c>
      <c r="C270" s="28" t="inlineStr">
        <is>
          <t>Forecast</t>
        </is>
      </c>
      <c r="D270" s="29" t="n">
        <v>15781.11</v>
      </c>
      <c r="E270" s="29" t="n"/>
      <c r="F270" s="30" t="n"/>
      <c r="G270" s="29" t="n">
        <v>14915.13</v>
      </c>
      <c r="H270" s="29" t="n">
        <v>16647.09</v>
      </c>
    </row>
    <row r="271">
      <c r="A271" s="27" t="n">
        <v>46327</v>
      </c>
      <c r="B271" s="28" t="inlineStr">
        <is>
          <t>Frozen</t>
        </is>
      </c>
      <c r="C271" s="28" t="inlineStr">
        <is>
          <t>Forecast</t>
        </is>
      </c>
      <c r="D271" s="29" t="n">
        <v>6279.19</v>
      </c>
      <c r="E271" s="29" t="n"/>
      <c r="F271" s="30" t="n"/>
      <c r="G271" s="29" t="n">
        <v>5934.62</v>
      </c>
      <c r="H271" s="29" t="n">
        <v>6623.75</v>
      </c>
    </row>
    <row r="272">
      <c r="A272" s="27" t="n">
        <v>46327</v>
      </c>
      <c r="B272" s="28" t="inlineStr">
        <is>
          <t>Grocery</t>
        </is>
      </c>
      <c r="C272" s="28" t="inlineStr">
        <is>
          <t>Forecast</t>
        </is>
      </c>
      <c r="D272" s="29" t="n">
        <v>8336.110000000001</v>
      </c>
      <c r="E272" s="29" t="n"/>
      <c r="F272" s="30" t="n"/>
      <c r="G272" s="29" t="n">
        <v>7878.68</v>
      </c>
      <c r="H272" s="29" t="n">
        <v>8793.549999999999</v>
      </c>
    </row>
    <row r="273">
      <c r="A273" s="27" t="n">
        <v>46327</v>
      </c>
      <c r="B273" s="28" t="inlineStr">
        <is>
          <t>Health &amp; Beauty</t>
        </is>
      </c>
      <c r="C273" s="28" t="inlineStr">
        <is>
          <t>Forecast</t>
        </is>
      </c>
      <c r="D273" s="29" t="n">
        <v>1445.46</v>
      </c>
      <c r="E273" s="29" t="n"/>
      <c r="F273" s="30" t="n"/>
      <c r="G273" s="29" t="n">
        <v>1366.15</v>
      </c>
      <c r="H273" s="29" t="n">
        <v>1524.78</v>
      </c>
    </row>
    <row r="274">
      <c r="A274" s="27" t="n">
        <v>46327</v>
      </c>
      <c r="B274" s="28" t="inlineStr">
        <is>
          <t>Household</t>
        </is>
      </c>
      <c r="C274" s="28" t="inlineStr">
        <is>
          <t>Forecast</t>
        </is>
      </c>
      <c r="D274" s="29" t="n">
        <v>2305.84</v>
      </c>
      <c r="E274" s="29" t="n"/>
      <c r="F274" s="30" t="n"/>
      <c r="G274" s="29" t="n">
        <v>2179.31</v>
      </c>
      <c r="H274" s="29" t="n">
        <v>2432.38</v>
      </c>
    </row>
    <row r="275">
      <c r="A275" s="27" t="n">
        <v>46327</v>
      </c>
      <c r="B275" s="28" t="inlineStr">
        <is>
          <t>Produce</t>
        </is>
      </c>
      <c r="C275" s="28" t="inlineStr">
        <is>
          <t>Forecast</t>
        </is>
      </c>
      <c r="D275" s="29" t="n">
        <v>2391.21</v>
      </c>
      <c r="E275" s="29" t="n"/>
      <c r="F275" s="30" t="n"/>
      <c r="G275" s="29" t="n">
        <v>2260</v>
      </c>
      <c r="H275" s="29" t="n">
        <v>2522.43</v>
      </c>
    </row>
    <row r="276">
      <c r="A276" s="27" t="n">
        <v>46327</v>
      </c>
      <c r="B276" s="28" t="inlineStr">
        <is>
          <t>Snacks &amp; Confectionery</t>
        </is>
      </c>
      <c r="C276" s="28" t="inlineStr">
        <is>
          <t>Forecast</t>
        </is>
      </c>
      <c r="D276" s="29" t="n">
        <v>9017.75</v>
      </c>
      <c r="E276" s="29" t="n"/>
      <c r="F276" s="30" t="n"/>
      <c r="G276" s="29" t="n">
        <v>8522.91</v>
      </c>
      <c r="H276" s="29" t="n">
        <v>9512.59</v>
      </c>
    </row>
    <row r="277">
      <c r="A277" s="27" t="n">
        <v>46357</v>
      </c>
      <c r="B277" s="28" t="inlineStr">
        <is>
          <t>Bakery</t>
        </is>
      </c>
      <c r="C277" s="28" t="inlineStr">
        <is>
          <t>Forecast</t>
        </is>
      </c>
      <c r="D277" s="29" t="n">
        <v>5465.11</v>
      </c>
      <c r="E277" s="29" t="n"/>
      <c r="F277" s="30" t="n"/>
      <c r="G277" s="29" t="n">
        <v>5165.22</v>
      </c>
      <c r="H277" s="29" t="n">
        <v>5765</v>
      </c>
    </row>
    <row r="278">
      <c r="A278" s="27" t="n">
        <v>46357</v>
      </c>
      <c r="B278" s="28" t="inlineStr">
        <is>
          <t>Beer &amp; Wine</t>
        </is>
      </c>
      <c r="C278" s="28" t="inlineStr">
        <is>
          <t>Forecast</t>
        </is>
      </c>
      <c r="D278" s="29" t="n">
        <v>13210.67</v>
      </c>
      <c r="E278" s="29" t="n"/>
      <c r="F278" s="30" t="n"/>
      <c r="G278" s="29" t="n">
        <v>12485.74</v>
      </c>
      <c r="H278" s="29" t="n">
        <v>13935.59</v>
      </c>
    </row>
    <row r="279">
      <c r="A279" s="27" t="n">
        <v>46357</v>
      </c>
      <c r="B279" s="28" t="inlineStr">
        <is>
          <t>Beverages</t>
        </is>
      </c>
      <c r="C279" s="28" t="inlineStr">
        <is>
          <t>Forecast</t>
        </is>
      </c>
      <c r="D279" s="29" t="n">
        <v>18661.31</v>
      </c>
      <c r="E279" s="29" t="n"/>
      <c r="F279" s="30" t="n"/>
      <c r="G279" s="29" t="n">
        <v>17637.29</v>
      </c>
      <c r="H279" s="29" t="n">
        <v>19685.34</v>
      </c>
    </row>
    <row r="280">
      <c r="A280" s="27" t="n">
        <v>46357</v>
      </c>
      <c r="B280" s="28" t="inlineStr">
        <is>
          <t>Dairy</t>
        </is>
      </c>
      <c r="C280" s="28" t="inlineStr">
        <is>
          <t>Forecast</t>
        </is>
      </c>
      <c r="D280" s="29" t="n">
        <v>15371.45</v>
      </c>
      <c r="E280" s="29" t="n"/>
      <c r="F280" s="30" t="n"/>
      <c r="G280" s="29" t="n">
        <v>14527.95</v>
      </c>
      <c r="H280" s="29" t="n">
        <v>16214.95</v>
      </c>
    </row>
    <row r="281">
      <c r="A281" s="27" t="n">
        <v>46357</v>
      </c>
      <c r="B281" s="28" t="inlineStr">
        <is>
          <t>Food To Go</t>
        </is>
      </c>
      <c r="C281" s="28" t="inlineStr">
        <is>
          <t>Forecast</t>
        </is>
      </c>
      <c r="D281" s="29" t="n">
        <v>18730.55</v>
      </c>
      <c r="E281" s="29" t="n"/>
      <c r="F281" s="30" t="n"/>
      <c r="G281" s="29" t="n">
        <v>17702.72</v>
      </c>
      <c r="H281" s="29" t="n">
        <v>19758.37</v>
      </c>
    </row>
    <row r="282">
      <c r="A282" s="27" t="n">
        <v>46357</v>
      </c>
      <c r="B282" s="28" t="inlineStr">
        <is>
          <t>Frozen</t>
        </is>
      </c>
      <c r="C282" s="28" t="inlineStr">
        <is>
          <t>Forecast</t>
        </is>
      </c>
      <c r="D282" s="29" t="n">
        <v>6716.29</v>
      </c>
      <c r="E282" s="29" t="n"/>
      <c r="F282" s="30" t="n"/>
      <c r="G282" s="29" t="n">
        <v>6347.73</v>
      </c>
      <c r="H282" s="29" t="n">
        <v>7084.84</v>
      </c>
    </row>
    <row r="283">
      <c r="A283" s="27" t="n">
        <v>46357</v>
      </c>
      <c r="B283" s="28" t="inlineStr">
        <is>
          <t>Grocery</t>
        </is>
      </c>
      <c r="C283" s="28" t="inlineStr">
        <is>
          <t>Forecast</t>
        </is>
      </c>
      <c r="D283" s="29" t="n">
        <v>8371.459999999999</v>
      </c>
      <c r="E283" s="29" t="n"/>
      <c r="F283" s="30" t="n"/>
      <c r="G283" s="29" t="n">
        <v>7912.09</v>
      </c>
      <c r="H283" s="29" t="n">
        <v>8830.84</v>
      </c>
    </row>
    <row r="284">
      <c r="A284" s="27" t="n">
        <v>46357</v>
      </c>
      <c r="B284" s="28" t="inlineStr">
        <is>
          <t>Health &amp; Beauty</t>
        </is>
      </c>
      <c r="C284" s="28" t="inlineStr">
        <is>
          <t>Forecast</t>
        </is>
      </c>
      <c r="D284" s="29" t="n">
        <v>1669.12</v>
      </c>
      <c r="E284" s="29" t="n"/>
      <c r="F284" s="30" t="n"/>
      <c r="G284" s="29" t="n">
        <v>1577.53</v>
      </c>
      <c r="H284" s="29" t="n">
        <v>1760.72</v>
      </c>
    </row>
    <row r="285">
      <c r="A285" s="27" t="n">
        <v>46357</v>
      </c>
      <c r="B285" s="28" t="inlineStr">
        <is>
          <t>Household</t>
        </is>
      </c>
      <c r="C285" s="28" t="inlineStr">
        <is>
          <t>Forecast</t>
        </is>
      </c>
      <c r="D285" s="29" t="n">
        <v>2735.14</v>
      </c>
      <c r="E285" s="29" t="n"/>
      <c r="F285" s="30" t="n"/>
      <c r="G285" s="29" t="n">
        <v>2585.05</v>
      </c>
      <c r="H285" s="29" t="n">
        <v>2885.23</v>
      </c>
    </row>
    <row r="286">
      <c r="A286" s="27" t="n">
        <v>46357</v>
      </c>
      <c r="B286" s="28" t="inlineStr">
        <is>
          <t>Produce</t>
        </is>
      </c>
      <c r="C286" s="28" t="inlineStr">
        <is>
          <t>Forecast</t>
        </is>
      </c>
      <c r="D286" s="29" t="n">
        <v>2642.64</v>
      </c>
      <c r="E286" s="29" t="n"/>
      <c r="F286" s="30" t="n"/>
      <c r="G286" s="29" t="n">
        <v>2497.63</v>
      </c>
      <c r="H286" s="29" t="n">
        <v>2787.65</v>
      </c>
    </row>
    <row r="287">
      <c r="A287" s="27" t="n">
        <v>46357</v>
      </c>
      <c r="B287" s="28" t="inlineStr">
        <is>
          <t>Snacks &amp; Confectionery</t>
        </is>
      </c>
      <c r="C287" s="28" t="inlineStr">
        <is>
          <t>Forecast</t>
        </is>
      </c>
      <c r="D287" s="29" t="n">
        <v>9585.23</v>
      </c>
      <c r="E287" s="29" t="n"/>
      <c r="F287" s="30" t="n"/>
      <c r="G287" s="29" t="n">
        <v>9059.25</v>
      </c>
      <c r="H287" s="29" t="n">
        <v>10111.22</v>
      </c>
    </row>
    <row r="288">
      <c r="A288" s="27" t="n">
        <v>46388</v>
      </c>
      <c r="B288" s="28" t="inlineStr">
        <is>
          <t>Bakery</t>
        </is>
      </c>
      <c r="C288" s="28" t="inlineStr">
        <is>
          <t>Forecast</t>
        </is>
      </c>
      <c r="D288" s="29" t="n">
        <v>4456.82</v>
      </c>
      <c r="E288" s="29" t="n"/>
      <c r="F288" s="30" t="n"/>
      <c r="G288" s="29" t="n">
        <v>4212.26</v>
      </c>
      <c r="H288" s="29" t="n">
        <v>4701.39</v>
      </c>
    </row>
    <row r="289">
      <c r="A289" s="27" t="n">
        <v>46388</v>
      </c>
      <c r="B289" s="28" t="inlineStr">
        <is>
          <t>Beer &amp; Wine</t>
        </is>
      </c>
      <c r="C289" s="28" t="inlineStr">
        <is>
          <t>Forecast</t>
        </is>
      </c>
      <c r="D289" s="29" t="n">
        <v>10479.16</v>
      </c>
      <c r="E289" s="29" t="n"/>
      <c r="F289" s="30" t="n"/>
      <c r="G289" s="29" t="n">
        <v>9904.120000000001</v>
      </c>
      <c r="H289" s="29" t="n">
        <v>11054.19</v>
      </c>
    </row>
    <row r="290">
      <c r="A290" s="27" t="n">
        <v>46388</v>
      </c>
      <c r="B290" s="28" t="inlineStr">
        <is>
          <t>Beverages</t>
        </is>
      </c>
      <c r="C290" s="28" t="inlineStr">
        <is>
          <t>Forecast</t>
        </is>
      </c>
      <c r="D290" s="29" t="n">
        <v>16341.84</v>
      </c>
      <c r="E290" s="29" t="n"/>
      <c r="F290" s="30" t="n"/>
      <c r="G290" s="29" t="n">
        <v>15445.09</v>
      </c>
      <c r="H290" s="29" t="n">
        <v>17238.59</v>
      </c>
    </row>
    <row r="291">
      <c r="A291" s="27" t="n">
        <v>46388</v>
      </c>
      <c r="B291" s="28" t="inlineStr">
        <is>
          <t>Dairy</t>
        </is>
      </c>
      <c r="C291" s="28" t="inlineStr">
        <is>
          <t>Forecast</t>
        </is>
      </c>
      <c r="D291" s="29" t="n">
        <v>12523.17</v>
      </c>
      <c r="E291" s="29" t="n"/>
      <c r="F291" s="30" t="n"/>
      <c r="G291" s="29" t="n">
        <v>11835.97</v>
      </c>
      <c r="H291" s="29" t="n">
        <v>13210.37</v>
      </c>
    </row>
    <row r="292">
      <c r="A292" s="27" t="n">
        <v>46388</v>
      </c>
      <c r="B292" s="28" t="inlineStr">
        <is>
          <t>Food To Go</t>
        </is>
      </c>
      <c r="C292" s="28" t="inlineStr">
        <is>
          <t>Forecast</t>
        </is>
      </c>
      <c r="D292" s="29" t="n">
        <v>15782.24</v>
      </c>
      <c r="E292" s="29" t="n"/>
      <c r="F292" s="30" t="n"/>
      <c r="G292" s="29" t="n">
        <v>14916.2</v>
      </c>
      <c r="H292" s="29" t="n">
        <v>16648.28</v>
      </c>
    </row>
    <row r="293">
      <c r="A293" s="27" t="n">
        <v>46388</v>
      </c>
      <c r="B293" s="28" t="inlineStr">
        <is>
          <t>Frozen</t>
        </is>
      </c>
      <c r="C293" s="28" t="inlineStr">
        <is>
          <t>Forecast</t>
        </is>
      </c>
      <c r="D293" s="29" t="n">
        <v>5243.71</v>
      </c>
      <c r="E293" s="29" t="n"/>
      <c r="F293" s="30" t="n"/>
      <c r="G293" s="29" t="n">
        <v>4955.96</v>
      </c>
      <c r="H293" s="29" t="n">
        <v>5531.45</v>
      </c>
    </row>
    <row r="294">
      <c r="A294" s="27" t="n">
        <v>46388</v>
      </c>
      <c r="B294" s="28" t="inlineStr">
        <is>
          <t>Grocery</t>
        </is>
      </c>
      <c r="C294" s="28" t="inlineStr">
        <is>
          <t>Forecast</t>
        </is>
      </c>
      <c r="D294" s="29" t="n">
        <v>7607.36</v>
      </c>
      <c r="E294" s="29" t="n"/>
      <c r="F294" s="30" t="n"/>
      <c r="G294" s="29" t="n">
        <v>7189.91</v>
      </c>
      <c r="H294" s="29" t="n">
        <v>8024.8</v>
      </c>
    </row>
    <row r="295">
      <c r="A295" s="27" t="n">
        <v>46388</v>
      </c>
      <c r="B295" s="28" t="inlineStr">
        <is>
          <t>Health &amp; Beauty</t>
        </is>
      </c>
      <c r="C295" s="28" t="inlineStr">
        <is>
          <t>Forecast</t>
        </is>
      </c>
      <c r="D295" s="29" t="n">
        <v>1417.55</v>
      </c>
      <c r="E295" s="29" t="n"/>
      <c r="F295" s="30" t="n"/>
      <c r="G295" s="29" t="n">
        <v>1339.76</v>
      </c>
      <c r="H295" s="29" t="n">
        <v>1495.34</v>
      </c>
    </row>
    <row r="296">
      <c r="A296" s="27" t="n">
        <v>46388</v>
      </c>
      <c r="B296" s="28" t="inlineStr">
        <is>
          <t>Household</t>
        </is>
      </c>
      <c r="C296" s="28" t="inlineStr">
        <is>
          <t>Forecast</t>
        </is>
      </c>
      <c r="D296" s="29" t="n">
        <v>2138.33</v>
      </c>
      <c r="E296" s="29" t="n"/>
      <c r="F296" s="30" t="n"/>
      <c r="G296" s="29" t="n">
        <v>2020.99</v>
      </c>
      <c r="H296" s="29" t="n">
        <v>2255.67</v>
      </c>
    </row>
    <row r="297">
      <c r="A297" s="27" t="n">
        <v>46388</v>
      </c>
      <c r="B297" s="28" t="inlineStr">
        <is>
          <t>Produce</t>
        </is>
      </c>
      <c r="C297" s="28" t="inlineStr">
        <is>
          <t>Forecast</t>
        </is>
      </c>
      <c r="D297" s="29" t="n">
        <v>2229.8</v>
      </c>
      <c r="E297" s="29" t="n"/>
      <c r="F297" s="30" t="n"/>
      <c r="G297" s="29" t="n">
        <v>2107.44</v>
      </c>
      <c r="H297" s="29" t="n">
        <v>2352.16</v>
      </c>
    </row>
    <row r="298">
      <c r="A298" s="27" t="n">
        <v>46388</v>
      </c>
      <c r="B298" s="28" t="inlineStr">
        <is>
          <t>Snacks &amp; Confectionery</t>
        </is>
      </c>
      <c r="C298" s="28" t="inlineStr">
        <is>
          <t>Forecast</t>
        </is>
      </c>
      <c r="D298" s="29" t="n">
        <v>7845.69</v>
      </c>
      <c r="E298" s="29" t="n"/>
      <c r="F298" s="30" t="n"/>
      <c r="G298" s="29" t="n">
        <v>7415.17</v>
      </c>
      <c r="H298" s="29" t="n">
        <v>8276.219999999999</v>
      </c>
    </row>
    <row r="299">
      <c r="A299" s="27" t="n">
        <v>46419</v>
      </c>
      <c r="B299" s="28" t="inlineStr">
        <is>
          <t>Bakery</t>
        </is>
      </c>
      <c r="C299" s="28" t="inlineStr">
        <is>
          <t>Forecast</t>
        </is>
      </c>
      <c r="D299" s="29" t="n">
        <v>4641.32</v>
      </c>
      <c r="E299" s="29" t="n"/>
      <c r="F299" s="30" t="n"/>
      <c r="G299" s="29" t="n">
        <v>4386.63</v>
      </c>
      <c r="H299" s="29" t="n">
        <v>4896.01</v>
      </c>
    </row>
    <row r="300">
      <c r="A300" s="27" t="n">
        <v>46419</v>
      </c>
      <c r="B300" s="28" t="inlineStr">
        <is>
          <t>Beer &amp; Wine</t>
        </is>
      </c>
      <c r="C300" s="28" t="inlineStr">
        <is>
          <t>Forecast</t>
        </is>
      </c>
      <c r="D300" s="29" t="n">
        <v>10420.66</v>
      </c>
      <c r="E300" s="29" t="n"/>
      <c r="F300" s="30" t="n"/>
      <c r="G300" s="29" t="n">
        <v>9848.83</v>
      </c>
      <c r="H300" s="29" t="n">
        <v>10992.48</v>
      </c>
    </row>
    <row r="301">
      <c r="A301" s="27" t="n">
        <v>46419</v>
      </c>
      <c r="B301" s="28" t="inlineStr">
        <is>
          <t>Beverages</t>
        </is>
      </c>
      <c r="C301" s="28" t="inlineStr">
        <is>
          <t>Forecast</t>
        </is>
      </c>
      <c r="D301" s="29" t="n">
        <v>16159.87</v>
      </c>
      <c r="E301" s="29" t="n"/>
      <c r="F301" s="30" t="n"/>
      <c r="G301" s="29" t="n">
        <v>15273.11</v>
      </c>
      <c r="H301" s="29" t="n">
        <v>17046.63</v>
      </c>
    </row>
    <row r="302">
      <c r="A302" s="27" t="n">
        <v>46419</v>
      </c>
      <c r="B302" s="28" t="inlineStr">
        <is>
          <t>Dairy</t>
        </is>
      </c>
      <c r="C302" s="28" t="inlineStr">
        <is>
          <t>Forecast</t>
        </is>
      </c>
      <c r="D302" s="29" t="n">
        <v>13756.78</v>
      </c>
      <c r="E302" s="29" t="n"/>
      <c r="F302" s="30" t="n"/>
      <c r="G302" s="29" t="n">
        <v>13001.89</v>
      </c>
      <c r="H302" s="29" t="n">
        <v>14511.68</v>
      </c>
    </row>
    <row r="303">
      <c r="A303" s="27" t="n">
        <v>46419</v>
      </c>
      <c r="B303" s="28" t="inlineStr">
        <is>
          <t>Food To Go</t>
        </is>
      </c>
      <c r="C303" s="28" t="inlineStr">
        <is>
          <t>Forecast</t>
        </is>
      </c>
      <c r="D303" s="29" t="n">
        <v>15921.83</v>
      </c>
      <c r="E303" s="29" t="n"/>
      <c r="F303" s="30" t="n"/>
      <c r="G303" s="29" t="n">
        <v>15048.14</v>
      </c>
      <c r="H303" s="29" t="n">
        <v>16795.53</v>
      </c>
    </row>
    <row r="304">
      <c r="A304" s="27" t="n">
        <v>46419</v>
      </c>
      <c r="B304" s="28" t="inlineStr">
        <is>
          <t>Frozen</t>
        </is>
      </c>
      <c r="C304" s="28" t="inlineStr">
        <is>
          <t>Forecast</t>
        </is>
      </c>
      <c r="D304" s="29" t="n">
        <v>5601.61</v>
      </c>
      <c r="E304" s="29" t="n"/>
      <c r="F304" s="30" t="n"/>
      <c r="G304" s="29" t="n">
        <v>5294.22</v>
      </c>
      <c r="H304" s="29" t="n">
        <v>5908.99</v>
      </c>
    </row>
    <row r="305">
      <c r="A305" s="27" t="n">
        <v>46419</v>
      </c>
      <c r="B305" s="28" t="inlineStr">
        <is>
          <t>Grocery</t>
        </is>
      </c>
      <c r="C305" s="28" t="inlineStr">
        <is>
          <t>Forecast</t>
        </is>
      </c>
      <c r="D305" s="29" t="n">
        <v>7767.61</v>
      </c>
      <c r="E305" s="29" t="n"/>
      <c r="F305" s="30" t="n"/>
      <c r="G305" s="29" t="n">
        <v>7341.36</v>
      </c>
      <c r="H305" s="29" t="n">
        <v>8193.85</v>
      </c>
    </row>
    <row r="306">
      <c r="A306" s="27" t="n">
        <v>46419</v>
      </c>
      <c r="B306" s="28" t="inlineStr">
        <is>
          <t>Health &amp; Beauty</t>
        </is>
      </c>
      <c r="C306" s="28" t="inlineStr">
        <is>
          <t>Forecast</t>
        </is>
      </c>
      <c r="D306" s="29" t="n">
        <v>1570.47</v>
      </c>
      <c r="E306" s="29" t="n"/>
      <c r="F306" s="30" t="n"/>
      <c r="G306" s="29" t="n">
        <v>1484.29</v>
      </c>
      <c r="H306" s="29" t="n">
        <v>1656.65</v>
      </c>
    </row>
    <row r="307">
      <c r="A307" s="27" t="n">
        <v>46419</v>
      </c>
      <c r="B307" s="28" t="inlineStr">
        <is>
          <t>Household</t>
        </is>
      </c>
      <c r="C307" s="28" t="inlineStr">
        <is>
          <t>Forecast</t>
        </is>
      </c>
      <c r="D307" s="29" t="n">
        <v>2062.56</v>
      </c>
      <c r="E307" s="29" t="n"/>
      <c r="F307" s="30" t="n"/>
      <c r="G307" s="29" t="n">
        <v>1949.38</v>
      </c>
      <c r="H307" s="29" t="n">
        <v>2175.75</v>
      </c>
    </row>
    <row r="308">
      <c r="A308" s="27" t="n">
        <v>46419</v>
      </c>
      <c r="B308" s="28" t="inlineStr">
        <is>
          <t>Produce</t>
        </is>
      </c>
      <c r="C308" s="28" t="inlineStr">
        <is>
          <t>Forecast</t>
        </is>
      </c>
      <c r="D308" s="29" t="n">
        <v>2250.86</v>
      </c>
      <c r="E308" s="29" t="n"/>
      <c r="F308" s="30" t="n"/>
      <c r="G308" s="29" t="n">
        <v>2127.35</v>
      </c>
      <c r="H308" s="29" t="n">
        <v>2374.38</v>
      </c>
    </row>
    <row r="309">
      <c r="A309" s="27" t="n">
        <v>46419</v>
      </c>
      <c r="B309" s="28" t="inlineStr">
        <is>
          <t>Snacks &amp; Confectionery</t>
        </is>
      </c>
      <c r="C309" s="28" t="inlineStr">
        <is>
          <t>Forecast</t>
        </is>
      </c>
      <c r="D309" s="29" t="n">
        <v>8312.66</v>
      </c>
      <c r="E309" s="29" t="n"/>
      <c r="F309" s="30" t="n"/>
      <c r="G309" s="29" t="n">
        <v>7856.51</v>
      </c>
      <c r="H309" s="29" t="n">
        <v>8768.809999999999</v>
      </c>
    </row>
    <row r="310">
      <c r="A310" s="27" t="n">
        <v>46447</v>
      </c>
      <c r="B310" s="28" t="inlineStr">
        <is>
          <t>Bakery</t>
        </is>
      </c>
      <c r="C310" s="28" t="inlineStr">
        <is>
          <t>Forecast</t>
        </is>
      </c>
      <c r="D310" s="29" t="n">
        <v>5254.17</v>
      </c>
      <c r="E310" s="29" t="n"/>
      <c r="F310" s="30" t="n"/>
      <c r="G310" s="29" t="n">
        <v>4965.85</v>
      </c>
      <c r="H310" s="29" t="n">
        <v>5542.49</v>
      </c>
    </row>
    <row r="311">
      <c r="A311" s="27" t="n">
        <v>46447</v>
      </c>
      <c r="B311" s="28" t="inlineStr">
        <is>
          <t>Beer &amp; Wine</t>
        </is>
      </c>
      <c r="C311" s="28" t="inlineStr">
        <is>
          <t>Forecast</t>
        </is>
      </c>
      <c r="D311" s="29" t="n">
        <v>12189.35</v>
      </c>
      <c r="E311" s="29" t="n"/>
      <c r="F311" s="30" t="n"/>
      <c r="G311" s="29" t="n">
        <v>11520.46</v>
      </c>
      <c r="H311" s="29" t="n">
        <v>12858.23</v>
      </c>
    </row>
    <row r="312">
      <c r="A312" s="27" t="n">
        <v>46447</v>
      </c>
      <c r="B312" s="28" t="inlineStr">
        <is>
          <t>Beverages</t>
        </is>
      </c>
      <c r="C312" s="28" t="inlineStr">
        <is>
          <t>Forecast</t>
        </is>
      </c>
      <c r="D312" s="29" t="n">
        <v>16523.42</v>
      </c>
      <c r="E312" s="29" t="n"/>
      <c r="F312" s="30" t="n"/>
      <c r="G312" s="29" t="n">
        <v>15616.71</v>
      </c>
      <c r="H312" s="29" t="n">
        <v>17430.13</v>
      </c>
    </row>
    <row r="313">
      <c r="A313" s="27" t="n">
        <v>46447</v>
      </c>
      <c r="B313" s="28" t="inlineStr">
        <is>
          <t>Dairy</t>
        </is>
      </c>
      <c r="C313" s="28" t="inlineStr">
        <is>
          <t>Forecast</t>
        </is>
      </c>
      <c r="D313" s="29" t="n">
        <v>14225.22</v>
      </c>
      <c r="E313" s="29" t="n"/>
      <c r="F313" s="30" t="n"/>
      <c r="G313" s="29" t="n">
        <v>13444.62</v>
      </c>
      <c r="H313" s="29" t="n">
        <v>15005.82</v>
      </c>
    </row>
    <row r="314">
      <c r="A314" s="27" t="n">
        <v>46447</v>
      </c>
      <c r="B314" s="28" t="inlineStr">
        <is>
          <t>Food To Go</t>
        </is>
      </c>
      <c r="C314" s="28" t="inlineStr">
        <is>
          <t>Forecast</t>
        </is>
      </c>
      <c r="D314" s="29" t="n">
        <v>16621.24</v>
      </c>
      <c r="E314" s="29" t="n"/>
      <c r="F314" s="30" t="n"/>
      <c r="G314" s="29" t="n">
        <v>15709.17</v>
      </c>
      <c r="H314" s="29" t="n">
        <v>17533.32</v>
      </c>
    </row>
    <row r="315">
      <c r="A315" s="27" t="n">
        <v>46447</v>
      </c>
      <c r="B315" s="28" t="inlineStr">
        <is>
          <t>Frozen</t>
        </is>
      </c>
      <c r="C315" s="28" t="inlineStr">
        <is>
          <t>Forecast</t>
        </is>
      </c>
      <c r="D315" s="29" t="n">
        <v>6192.3</v>
      </c>
      <c r="E315" s="29" t="n"/>
      <c r="F315" s="30" t="n"/>
      <c r="G315" s="29" t="n">
        <v>5852.5</v>
      </c>
      <c r="H315" s="29" t="n">
        <v>6532.1</v>
      </c>
    </row>
    <row r="316">
      <c r="A316" s="27" t="n">
        <v>46447</v>
      </c>
      <c r="B316" s="28" t="inlineStr">
        <is>
          <t>Grocery</t>
        </is>
      </c>
      <c r="C316" s="28" t="inlineStr">
        <is>
          <t>Forecast</t>
        </is>
      </c>
      <c r="D316" s="29" t="n">
        <v>9046.09</v>
      </c>
      <c r="E316" s="29" t="n"/>
      <c r="F316" s="30" t="n"/>
      <c r="G316" s="29" t="n">
        <v>8549.690000000001</v>
      </c>
      <c r="H316" s="29" t="n">
        <v>9542.49</v>
      </c>
    </row>
    <row r="317">
      <c r="A317" s="27" t="n">
        <v>46447</v>
      </c>
      <c r="B317" s="28" t="inlineStr">
        <is>
          <t>Health &amp; Beauty</t>
        </is>
      </c>
      <c r="C317" s="28" t="inlineStr">
        <is>
          <t>Forecast</t>
        </is>
      </c>
      <c r="D317" s="29" t="n">
        <v>1744.75</v>
      </c>
      <c r="E317" s="29" t="n"/>
      <c r="F317" s="30" t="n"/>
      <c r="G317" s="29" t="n">
        <v>1649.01</v>
      </c>
      <c r="H317" s="29" t="n">
        <v>1840.49</v>
      </c>
    </row>
    <row r="318">
      <c r="A318" s="27" t="n">
        <v>46447</v>
      </c>
      <c r="B318" s="28" t="inlineStr">
        <is>
          <t>Household</t>
        </is>
      </c>
      <c r="C318" s="28" t="inlineStr">
        <is>
          <t>Forecast</t>
        </is>
      </c>
      <c r="D318" s="29" t="n">
        <v>2426.92</v>
      </c>
      <c r="E318" s="29" t="n"/>
      <c r="F318" s="30" t="n"/>
      <c r="G318" s="29" t="n">
        <v>2293.74</v>
      </c>
      <c r="H318" s="29" t="n">
        <v>2560.09</v>
      </c>
    </row>
    <row r="319">
      <c r="A319" s="27" t="n">
        <v>46447</v>
      </c>
      <c r="B319" s="28" t="inlineStr">
        <is>
          <t>Produce</t>
        </is>
      </c>
      <c r="C319" s="28" t="inlineStr">
        <is>
          <t>Forecast</t>
        </is>
      </c>
      <c r="D319" s="29" t="n">
        <v>2576.48</v>
      </c>
      <c r="E319" s="29" t="n"/>
      <c r="F319" s="30" t="n"/>
      <c r="G319" s="29" t="n">
        <v>2435.1</v>
      </c>
      <c r="H319" s="29" t="n">
        <v>2717.86</v>
      </c>
    </row>
    <row r="320">
      <c r="A320" s="27" t="n">
        <v>46447</v>
      </c>
      <c r="B320" s="28" t="inlineStr">
        <is>
          <t>Snacks &amp; Confectionery</t>
        </is>
      </c>
      <c r="C320" s="28" t="inlineStr">
        <is>
          <t>Forecast</t>
        </is>
      </c>
      <c r="D320" s="29" t="n">
        <v>9458.66</v>
      </c>
      <c r="E320" s="29" t="n"/>
      <c r="F320" s="30" t="n"/>
      <c r="G320" s="29" t="n">
        <v>8939.629999999999</v>
      </c>
      <c r="H320" s="29" t="n">
        <v>9977.700000000001</v>
      </c>
    </row>
    <row r="321">
      <c r="A321" s="27" t="n">
        <v>46478</v>
      </c>
      <c r="B321" s="28" t="inlineStr">
        <is>
          <t>Bakery</t>
        </is>
      </c>
      <c r="C321" s="28" t="inlineStr">
        <is>
          <t>Forecast</t>
        </is>
      </c>
      <c r="D321" s="29" t="n">
        <v>5247.42</v>
      </c>
      <c r="E321" s="29" t="n"/>
      <c r="F321" s="30" t="n"/>
      <c r="G321" s="29" t="n">
        <v>4959.47</v>
      </c>
      <c r="H321" s="29" t="n">
        <v>5535.36</v>
      </c>
    </row>
    <row r="322">
      <c r="A322" s="27" t="n">
        <v>46478</v>
      </c>
      <c r="B322" s="28" t="inlineStr">
        <is>
          <t>Beer &amp; Wine</t>
        </is>
      </c>
      <c r="C322" s="28" t="inlineStr">
        <is>
          <t>Forecast</t>
        </is>
      </c>
      <c r="D322" s="29" t="n">
        <v>9358.77</v>
      </c>
      <c r="E322" s="29" t="n"/>
      <c r="F322" s="30" t="n"/>
      <c r="G322" s="29" t="n">
        <v>8845.219999999999</v>
      </c>
      <c r="H322" s="29" t="n">
        <v>9872.33</v>
      </c>
    </row>
    <row r="323">
      <c r="A323" s="27" t="n">
        <v>46478</v>
      </c>
      <c r="B323" s="28" t="inlineStr">
        <is>
          <t>Beverages</t>
        </is>
      </c>
      <c r="C323" s="28" t="inlineStr">
        <is>
          <t>Forecast</t>
        </is>
      </c>
      <c r="D323" s="29" t="n">
        <v>14218.63</v>
      </c>
      <c r="E323" s="29" t="n"/>
      <c r="F323" s="30" t="n"/>
      <c r="G323" s="29" t="n">
        <v>13438.39</v>
      </c>
      <c r="H323" s="29" t="n">
        <v>14998.86</v>
      </c>
    </row>
    <row r="324">
      <c r="A324" s="27" t="n">
        <v>46478</v>
      </c>
      <c r="B324" s="28" t="inlineStr">
        <is>
          <t>Dairy</t>
        </is>
      </c>
      <c r="C324" s="28" t="inlineStr">
        <is>
          <t>Forecast</t>
        </is>
      </c>
      <c r="D324" s="29" t="n">
        <v>13802.2</v>
      </c>
      <c r="E324" s="29" t="n"/>
      <c r="F324" s="30" t="n"/>
      <c r="G324" s="29" t="n">
        <v>13044.82</v>
      </c>
      <c r="H324" s="29" t="n">
        <v>14559.59</v>
      </c>
    </row>
    <row r="325">
      <c r="A325" s="27" t="n">
        <v>46478</v>
      </c>
      <c r="B325" s="28" t="inlineStr">
        <is>
          <t>Food To Go</t>
        </is>
      </c>
      <c r="C325" s="28" t="inlineStr">
        <is>
          <t>Forecast</t>
        </is>
      </c>
      <c r="D325" s="29" t="n">
        <v>15333.81</v>
      </c>
      <c r="E325" s="29" t="n"/>
      <c r="F325" s="30" t="n"/>
      <c r="G325" s="29" t="n">
        <v>14492.38</v>
      </c>
      <c r="H325" s="29" t="n">
        <v>16175.24</v>
      </c>
    </row>
    <row r="326">
      <c r="A326" s="27" t="n">
        <v>46478</v>
      </c>
      <c r="B326" s="28" t="inlineStr">
        <is>
          <t>Frozen</t>
        </is>
      </c>
      <c r="C326" s="28" t="inlineStr">
        <is>
          <t>Forecast</t>
        </is>
      </c>
      <c r="D326" s="29" t="n">
        <v>5555.63</v>
      </c>
      <c r="E326" s="29" t="n"/>
      <c r="F326" s="30" t="n"/>
      <c r="G326" s="29" t="n">
        <v>5250.77</v>
      </c>
      <c r="H326" s="29" t="n">
        <v>5860.49</v>
      </c>
    </row>
    <row r="327">
      <c r="A327" s="27" t="n">
        <v>46478</v>
      </c>
      <c r="B327" s="28" t="inlineStr">
        <is>
          <t>Grocery</t>
        </is>
      </c>
      <c r="C327" s="28" t="inlineStr">
        <is>
          <t>Forecast</t>
        </is>
      </c>
      <c r="D327" s="29" t="n">
        <v>8348.84</v>
      </c>
      <c r="E327" s="29" t="n"/>
      <c r="F327" s="30" t="n"/>
      <c r="G327" s="29" t="n">
        <v>7890.71</v>
      </c>
      <c r="H327" s="29" t="n">
        <v>8806.98</v>
      </c>
    </row>
    <row r="328">
      <c r="A328" s="27" t="n">
        <v>46478</v>
      </c>
      <c r="B328" s="28" t="inlineStr">
        <is>
          <t>Health &amp; Beauty</t>
        </is>
      </c>
      <c r="C328" s="28" t="inlineStr">
        <is>
          <t>Forecast</t>
        </is>
      </c>
      <c r="D328" s="29" t="n">
        <v>1412.75</v>
      </c>
      <c r="E328" s="29" t="n"/>
      <c r="F328" s="30" t="n"/>
      <c r="G328" s="29" t="n">
        <v>1335.23</v>
      </c>
      <c r="H328" s="29" t="n">
        <v>1490.28</v>
      </c>
    </row>
    <row r="329">
      <c r="A329" s="27" t="n">
        <v>46478</v>
      </c>
      <c r="B329" s="28" t="inlineStr">
        <is>
          <t>Household</t>
        </is>
      </c>
      <c r="C329" s="28" t="inlineStr">
        <is>
          <t>Forecast</t>
        </is>
      </c>
      <c r="D329" s="29" t="n">
        <v>2183.77</v>
      </c>
      <c r="E329" s="29" t="n"/>
      <c r="F329" s="30" t="n"/>
      <c r="G329" s="29" t="n">
        <v>2063.94</v>
      </c>
      <c r="H329" s="29" t="n">
        <v>2303.6</v>
      </c>
    </row>
    <row r="330">
      <c r="A330" s="27" t="n">
        <v>46478</v>
      </c>
      <c r="B330" s="28" t="inlineStr">
        <is>
          <t>Produce</t>
        </is>
      </c>
      <c r="C330" s="28" t="inlineStr">
        <is>
          <t>Forecast</t>
        </is>
      </c>
      <c r="D330" s="29" t="n">
        <v>2158.94</v>
      </c>
      <c r="E330" s="29" t="n"/>
      <c r="F330" s="30" t="n"/>
      <c r="G330" s="29" t="n">
        <v>2040.47</v>
      </c>
      <c r="H330" s="29" t="n">
        <v>2277.41</v>
      </c>
    </row>
    <row r="331">
      <c r="A331" s="27" t="n">
        <v>46478</v>
      </c>
      <c r="B331" s="28" t="inlineStr">
        <is>
          <t>Snacks &amp; Confectionery</t>
        </is>
      </c>
      <c r="C331" s="28" t="inlineStr">
        <is>
          <t>Forecast</t>
        </is>
      </c>
      <c r="D331" s="29" t="n">
        <v>8770.76</v>
      </c>
      <c r="E331" s="29" t="n"/>
      <c r="F331" s="30" t="n"/>
      <c r="G331" s="29" t="n">
        <v>8289.469999999999</v>
      </c>
      <c r="H331" s="29" t="n">
        <v>9252.049999999999</v>
      </c>
    </row>
    <row r="332">
      <c r="A332" s="27" t="n">
        <v>46508</v>
      </c>
      <c r="B332" s="28" t="inlineStr">
        <is>
          <t>Bakery</t>
        </is>
      </c>
      <c r="C332" s="28" t="inlineStr">
        <is>
          <t>Forecast</t>
        </is>
      </c>
      <c r="D332" s="29" t="n">
        <v>5637.91</v>
      </c>
      <c r="E332" s="29" t="n"/>
      <c r="F332" s="30" t="n"/>
      <c r="G332" s="29" t="n">
        <v>5328.53</v>
      </c>
      <c r="H332" s="29" t="n">
        <v>5947.28</v>
      </c>
    </row>
    <row r="333">
      <c r="A333" s="27" t="n">
        <v>46508</v>
      </c>
      <c r="B333" s="28" t="inlineStr">
        <is>
          <t>Beer &amp; Wine</t>
        </is>
      </c>
      <c r="C333" s="28" t="inlineStr">
        <is>
          <t>Forecast</t>
        </is>
      </c>
      <c r="D333" s="29" t="n">
        <v>9562.98</v>
      </c>
      <c r="E333" s="29" t="n"/>
      <c r="F333" s="30" t="n"/>
      <c r="G333" s="29" t="n">
        <v>9038.219999999999</v>
      </c>
      <c r="H333" s="29" t="n">
        <v>10087.74</v>
      </c>
    </row>
    <row r="334">
      <c r="A334" s="27" t="n">
        <v>46508</v>
      </c>
      <c r="B334" s="28" t="inlineStr">
        <is>
          <t>Beverages</t>
        </is>
      </c>
      <c r="C334" s="28" t="inlineStr">
        <is>
          <t>Forecast</t>
        </is>
      </c>
      <c r="D334" s="29" t="n">
        <v>12723.87</v>
      </c>
      <c r="E334" s="29" t="n"/>
      <c r="F334" s="30" t="n"/>
      <c r="G334" s="29" t="n">
        <v>12025.66</v>
      </c>
      <c r="H334" s="29" t="n">
        <v>13422.09</v>
      </c>
    </row>
    <row r="335">
      <c r="A335" s="27" t="n">
        <v>46508</v>
      </c>
      <c r="B335" s="28" t="inlineStr">
        <is>
          <t>Dairy</t>
        </is>
      </c>
      <c r="C335" s="28" t="inlineStr">
        <is>
          <t>Forecast</t>
        </is>
      </c>
      <c r="D335" s="29" t="n">
        <v>13806.55</v>
      </c>
      <c r="E335" s="29" t="n"/>
      <c r="F335" s="30" t="n"/>
      <c r="G335" s="29" t="n">
        <v>13048.92</v>
      </c>
      <c r="H335" s="29" t="n">
        <v>14564.17</v>
      </c>
    </row>
    <row r="336">
      <c r="A336" s="27" t="n">
        <v>46508</v>
      </c>
      <c r="B336" s="28" t="inlineStr">
        <is>
          <t>Food To Go</t>
        </is>
      </c>
      <c r="C336" s="28" t="inlineStr">
        <is>
          <t>Forecast</t>
        </is>
      </c>
      <c r="D336" s="29" t="n">
        <v>15026.51</v>
      </c>
      <c r="E336" s="29" t="n"/>
      <c r="F336" s="30" t="n"/>
      <c r="G336" s="29" t="n">
        <v>14201.94</v>
      </c>
      <c r="H336" s="29" t="n">
        <v>15851.08</v>
      </c>
    </row>
    <row r="337">
      <c r="A337" s="27" t="n">
        <v>46508</v>
      </c>
      <c r="B337" s="28" t="inlineStr">
        <is>
          <t>Frozen</t>
        </is>
      </c>
      <c r="C337" s="28" t="inlineStr">
        <is>
          <t>Forecast</t>
        </is>
      </c>
      <c r="D337" s="29" t="n">
        <v>6338.39</v>
      </c>
      <c r="E337" s="29" t="n"/>
      <c r="F337" s="30" t="n"/>
      <c r="G337" s="29" t="n">
        <v>5990.58</v>
      </c>
      <c r="H337" s="29" t="n">
        <v>6686.21</v>
      </c>
    </row>
    <row r="338">
      <c r="A338" s="27" t="n">
        <v>46508</v>
      </c>
      <c r="B338" s="28" t="inlineStr">
        <is>
          <t>Grocery</t>
        </is>
      </c>
      <c r="C338" s="28" t="inlineStr">
        <is>
          <t>Forecast</t>
        </is>
      </c>
      <c r="D338" s="29" t="n">
        <v>9752.940000000001</v>
      </c>
      <c r="E338" s="29" t="n"/>
      <c r="F338" s="30" t="n"/>
      <c r="G338" s="29" t="n">
        <v>9217.75</v>
      </c>
      <c r="H338" s="29" t="n">
        <v>10288.12</v>
      </c>
    </row>
    <row r="339">
      <c r="A339" s="27" t="n">
        <v>46508</v>
      </c>
      <c r="B339" s="28" t="inlineStr">
        <is>
          <t>Health &amp; Beauty</t>
        </is>
      </c>
      <c r="C339" s="28" t="inlineStr">
        <is>
          <t>Forecast</t>
        </is>
      </c>
      <c r="D339" s="29" t="n">
        <v>1283.94</v>
      </c>
      <c r="E339" s="29" t="n"/>
      <c r="F339" s="30" t="n"/>
      <c r="G339" s="29" t="n">
        <v>1213.49</v>
      </c>
      <c r="H339" s="29" t="n">
        <v>1354.4</v>
      </c>
    </row>
    <row r="340">
      <c r="A340" s="27" t="n">
        <v>46508</v>
      </c>
      <c r="B340" s="28" t="inlineStr">
        <is>
          <t>Household</t>
        </is>
      </c>
      <c r="C340" s="28" t="inlineStr">
        <is>
          <t>Forecast</t>
        </is>
      </c>
      <c r="D340" s="29" t="n">
        <v>2268.53</v>
      </c>
      <c r="E340" s="29" t="n"/>
      <c r="F340" s="30" t="n"/>
      <c r="G340" s="29" t="n">
        <v>2144.05</v>
      </c>
      <c r="H340" s="29" t="n">
        <v>2393.02</v>
      </c>
    </row>
    <row r="341">
      <c r="A341" s="27" t="n">
        <v>46508</v>
      </c>
      <c r="B341" s="28" t="inlineStr">
        <is>
          <t>Produce</t>
        </is>
      </c>
      <c r="C341" s="28" t="inlineStr">
        <is>
          <t>Forecast</t>
        </is>
      </c>
      <c r="D341" s="29" t="n">
        <v>1968.4</v>
      </c>
      <c r="E341" s="29" t="n"/>
      <c r="F341" s="30" t="n"/>
      <c r="G341" s="29" t="n">
        <v>1860.39</v>
      </c>
      <c r="H341" s="29" t="n">
        <v>2076.42</v>
      </c>
    </row>
    <row r="342">
      <c r="A342" s="27" t="n">
        <v>46508</v>
      </c>
      <c r="B342" s="28" t="inlineStr">
        <is>
          <t>Snacks &amp; Confectionery</t>
        </is>
      </c>
      <c r="C342" s="28" t="inlineStr">
        <is>
          <t>Forecast</t>
        </is>
      </c>
      <c r="D342" s="29" t="n">
        <v>9431.690000000001</v>
      </c>
      <c r="E342" s="29" t="n"/>
      <c r="F342" s="30" t="n"/>
      <c r="G342" s="29" t="n">
        <v>8914.139999999999</v>
      </c>
      <c r="H342" s="29" t="n">
        <v>9949.25</v>
      </c>
    </row>
    <row r="343">
      <c r="A343" s="27" t="n">
        <v>46539</v>
      </c>
      <c r="B343" s="28" t="inlineStr">
        <is>
          <t>Bakery</t>
        </is>
      </c>
      <c r="C343" s="28" t="inlineStr">
        <is>
          <t>Forecast</t>
        </is>
      </c>
      <c r="D343" s="29" t="n">
        <v>5312.66</v>
      </c>
      <c r="E343" s="29" t="n"/>
      <c r="F343" s="30" t="n"/>
      <c r="G343" s="29" t="n">
        <v>5021.13</v>
      </c>
      <c r="H343" s="29" t="n">
        <v>5604.19</v>
      </c>
    </row>
    <row r="344">
      <c r="A344" s="27" t="n">
        <v>46539</v>
      </c>
      <c r="B344" s="28" t="inlineStr">
        <is>
          <t>Beer &amp; Wine</t>
        </is>
      </c>
      <c r="C344" s="28" t="inlineStr">
        <is>
          <t>Forecast</t>
        </is>
      </c>
      <c r="D344" s="29" t="n">
        <v>8471.08</v>
      </c>
      <c r="E344" s="29" t="n"/>
      <c r="F344" s="30" t="n"/>
      <c r="G344" s="29" t="n">
        <v>8006.24</v>
      </c>
      <c r="H344" s="29" t="n">
        <v>8935.93</v>
      </c>
    </row>
    <row r="345">
      <c r="A345" s="27" t="n">
        <v>46539</v>
      </c>
      <c r="B345" s="28" t="inlineStr">
        <is>
          <t>Beverages</t>
        </is>
      </c>
      <c r="C345" s="28" t="inlineStr">
        <is>
          <t>Forecast</t>
        </is>
      </c>
      <c r="D345" s="29" t="n">
        <v>11016.9</v>
      </c>
      <c r="E345" s="29" t="n"/>
      <c r="F345" s="30" t="n"/>
      <c r="G345" s="29" t="n">
        <v>10412.36</v>
      </c>
      <c r="H345" s="29" t="n">
        <v>11621.44</v>
      </c>
    </row>
    <row r="346">
      <c r="A346" s="27" t="n">
        <v>46539</v>
      </c>
      <c r="B346" s="28" t="inlineStr">
        <is>
          <t>Dairy</t>
        </is>
      </c>
      <c r="C346" s="28" t="inlineStr">
        <is>
          <t>Forecast</t>
        </is>
      </c>
      <c r="D346" s="29" t="n">
        <v>13949.9</v>
      </c>
      <c r="E346" s="29" t="n"/>
      <c r="F346" s="30" t="n"/>
      <c r="G346" s="29" t="n">
        <v>13184.41</v>
      </c>
      <c r="H346" s="29" t="n">
        <v>14715.39</v>
      </c>
    </row>
    <row r="347">
      <c r="A347" s="27" t="n">
        <v>46539</v>
      </c>
      <c r="B347" s="28" t="inlineStr">
        <is>
          <t>Food To Go</t>
        </is>
      </c>
      <c r="C347" s="28" t="inlineStr">
        <is>
          <t>Forecast</t>
        </is>
      </c>
      <c r="D347" s="29" t="n">
        <v>14892.66</v>
      </c>
      <c r="E347" s="29" t="n"/>
      <c r="F347" s="30" t="n"/>
      <c r="G347" s="29" t="n">
        <v>14075.43</v>
      </c>
      <c r="H347" s="29" t="n">
        <v>15709.88</v>
      </c>
    </row>
    <row r="348">
      <c r="A348" s="27" t="n">
        <v>46539</v>
      </c>
      <c r="B348" s="28" t="inlineStr">
        <is>
          <t>Frozen</t>
        </is>
      </c>
      <c r="C348" s="28" t="inlineStr">
        <is>
          <t>Forecast</t>
        </is>
      </c>
      <c r="D348" s="29" t="n">
        <v>6102.25</v>
      </c>
      <c r="E348" s="29" t="n"/>
      <c r="F348" s="30" t="n"/>
      <c r="G348" s="29" t="n">
        <v>5767.39</v>
      </c>
      <c r="H348" s="29" t="n">
        <v>6437.1</v>
      </c>
    </row>
    <row r="349">
      <c r="A349" s="27" t="n">
        <v>46539</v>
      </c>
      <c r="B349" s="28" t="inlineStr">
        <is>
          <t>Grocery</t>
        </is>
      </c>
      <c r="C349" s="28" t="inlineStr">
        <is>
          <t>Forecast</t>
        </is>
      </c>
      <c r="D349" s="29" t="n">
        <v>9995.93</v>
      </c>
      <c r="E349" s="29" t="n"/>
      <c r="F349" s="30" t="n"/>
      <c r="G349" s="29" t="n">
        <v>9447.41</v>
      </c>
      <c r="H349" s="29" t="n">
        <v>10544.45</v>
      </c>
    </row>
    <row r="350">
      <c r="A350" s="27" t="n">
        <v>46539</v>
      </c>
      <c r="B350" s="28" t="inlineStr">
        <is>
          <t>Health &amp; Beauty</t>
        </is>
      </c>
      <c r="C350" s="28" t="inlineStr">
        <is>
          <t>Forecast</t>
        </is>
      </c>
      <c r="D350" s="29" t="n">
        <v>1492.54</v>
      </c>
      <c r="E350" s="29" t="n"/>
      <c r="F350" s="30" t="n"/>
      <c r="G350" s="29" t="n">
        <v>1410.64</v>
      </c>
      <c r="H350" s="29" t="n">
        <v>1574.44</v>
      </c>
    </row>
    <row r="351">
      <c r="A351" s="27" t="n">
        <v>46539</v>
      </c>
      <c r="B351" s="28" t="inlineStr">
        <is>
          <t>Household</t>
        </is>
      </c>
      <c r="C351" s="28" t="inlineStr">
        <is>
          <t>Forecast</t>
        </is>
      </c>
      <c r="D351" s="29" t="n">
        <v>2362.73</v>
      </c>
      <c r="E351" s="29" t="n"/>
      <c r="F351" s="30" t="n"/>
      <c r="G351" s="29" t="n">
        <v>2233.08</v>
      </c>
      <c r="H351" s="29" t="n">
        <v>2492.38</v>
      </c>
    </row>
    <row r="352">
      <c r="A352" s="27" t="n">
        <v>46539</v>
      </c>
      <c r="B352" s="28" t="inlineStr">
        <is>
          <t>Produce</t>
        </is>
      </c>
      <c r="C352" s="28" t="inlineStr">
        <is>
          <t>Forecast</t>
        </is>
      </c>
      <c r="D352" s="29" t="n">
        <v>1918.14</v>
      </c>
      <c r="E352" s="29" t="n"/>
      <c r="F352" s="30" t="n"/>
      <c r="G352" s="29" t="n">
        <v>1812.88</v>
      </c>
      <c r="H352" s="29" t="n">
        <v>2023.4</v>
      </c>
    </row>
    <row r="353">
      <c r="A353" s="27" t="n">
        <v>46539</v>
      </c>
      <c r="B353" s="28" t="inlineStr">
        <is>
          <t>Snacks &amp; Confectionery</t>
        </is>
      </c>
      <c r="C353" s="28" t="inlineStr">
        <is>
          <t>Forecast</t>
        </is>
      </c>
      <c r="D353" s="29" t="n">
        <v>8958.67</v>
      </c>
      <c r="E353" s="29" t="n"/>
      <c r="F353" s="30" t="n"/>
      <c r="G353" s="29" t="n">
        <v>8467.07</v>
      </c>
      <c r="H353" s="29" t="n">
        <v>9450.27</v>
      </c>
    </row>
    <row r="354">
      <c r="A354" s="27" t="n">
        <v>46569</v>
      </c>
      <c r="B354" s="28" t="inlineStr">
        <is>
          <t>Bakery</t>
        </is>
      </c>
      <c r="C354" s="28" t="inlineStr">
        <is>
          <t>Forecast</t>
        </is>
      </c>
      <c r="D354" s="29" t="n">
        <v>5763</v>
      </c>
      <c r="E354" s="29" t="n"/>
      <c r="F354" s="30" t="n"/>
      <c r="G354" s="29" t="n">
        <v>5446.76</v>
      </c>
      <c r="H354" s="29" t="n">
        <v>6079.24</v>
      </c>
    </row>
    <row r="355">
      <c r="A355" s="27" t="n">
        <v>46569</v>
      </c>
      <c r="B355" s="28" t="inlineStr">
        <is>
          <t>Beer &amp; Wine</t>
        </is>
      </c>
      <c r="C355" s="28" t="inlineStr">
        <is>
          <t>Forecast</t>
        </is>
      </c>
      <c r="D355" s="29" t="n">
        <v>8555.83</v>
      </c>
      <c r="E355" s="29" t="n"/>
      <c r="F355" s="30" t="n"/>
      <c r="G355" s="29" t="n">
        <v>8086.33</v>
      </c>
      <c r="H355" s="29" t="n">
        <v>9025.32</v>
      </c>
    </row>
    <row r="356">
      <c r="A356" s="27" t="n">
        <v>46569</v>
      </c>
      <c r="B356" s="28" t="inlineStr">
        <is>
          <t>Beverages</t>
        </is>
      </c>
      <c r="C356" s="28" t="inlineStr">
        <is>
          <t>Forecast</t>
        </is>
      </c>
      <c r="D356" s="29" t="n">
        <v>10809.21</v>
      </c>
      <c r="E356" s="29" t="n"/>
      <c r="F356" s="30" t="n"/>
      <c r="G356" s="29" t="n">
        <v>10216.06</v>
      </c>
      <c r="H356" s="29" t="n">
        <v>11402.36</v>
      </c>
    </row>
    <row r="357">
      <c r="A357" s="27" t="n">
        <v>46569</v>
      </c>
      <c r="B357" s="28" t="inlineStr">
        <is>
          <t>Dairy</t>
        </is>
      </c>
      <c r="C357" s="28" t="inlineStr">
        <is>
          <t>Forecast</t>
        </is>
      </c>
      <c r="D357" s="29" t="n">
        <v>14606.79</v>
      </c>
      <c r="E357" s="29" t="n"/>
      <c r="F357" s="30" t="n"/>
      <c r="G357" s="29" t="n">
        <v>13805.26</v>
      </c>
      <c r="H357" s="29" t="n">
        <v>15408.33</v>
      </c>
    </row>
    <row r="358">
      <c r="A358" s="27" t="n">
        <v>46569</v>
      </c>
      <c r="B358" s="28" t="inlineStr">
        <is>
          <t>Food To Go</t>
        </is>
      </c>
      <c r="C358" s="28" t="inlineStr">
        <is>
          <t>Forecast</t>
        </is>
      </c>
      <c r="D358" s="29" t="n">
        <v>15416.38</v>
      </c>
      <c r="E358" s="29" t="n"/>
      <c r="F358" s="30" t="n"/>
      <c r="G358" s="29" t="n">
        <v>14570.42</v>
      </c>
      <c r="H358" s="29" t="n">
        <v>16262.35</v>
      </c>
    </row>
    <row r="359">
      <c r="A359" s="27" t="n">
        <v>46569</v>
      </c>
      <c r="B359" s="28" t="inlineStr">
        <is>
          <t>Frozen</t>
        </is>
      </c>
      <c r="C359" s="28" t="inlineStr">
        <is>
          <t>Forecast</t>
        </is>
      </c>
      <c r="D359" s="29" t="n">
        <v>5962.94</v>
      </c>
      <c r="E359" s="29" t="n"/>
      <c r="F359" s="30" t="n"/>
      <c r="G359" s="29" t="n">
        <v>5635.72</v>
      </c>
      <c r="H359" s="29" t="n">
        <v>6290.15</v>
      </c>
    </row>
    <row r="360">
      <c r="A360" s="27" t="n">
        <v>46569</v>
      </c>
      <c r="B360" s="28" t="inlineStr">
        <is>
          <t>Grocery</t>
        </is>
      </c>
      <c r="C360" s="28" t="inlineStr">
        <is>
          <t>Forecast</t>
        </is>
      </c>
      <c r="D360" s="29" t="n">
        <v>10344.51</v>
      </c>
      <c r="E360" s="29" t="n"/>
      <c r="F360" s="30" t="n"/>
      <c r="G360" s="29" t="n">
        <v>9776.860000000001</v>
      </c>
      <c r="H360" s="29" t="n">
        <v>10912.15</v>
      </c>
    </row>
    <row r="361">
      <c r="A361" s="27" t="n">
        <v>46569</v>
      </c>
      <c r="B361" s="28" t="inlineStr">
        <is>
          <t>Health &amp; Beauty</t>
        </is>
      </c>
      <c r="C361" s="28" t="inlineStr">
        <is>
          <t>Forecast</t>
        </is>
      </c>
      <c r="D361" s="29" t="n">
        <v>1403.93</v>
      </c>
      <c r="E361" s="29" t="n"/>
      <c r="F361" s="30" t="n"/>
      <c r="G361" s="29" t="n">
        <v>1326.89</v>
      </c>
      <c r="H361" s="29" t="n">
        <v>1480.97</v>
      </c>
    </row>
    <row r="362">
      <c r="A362" s="27" t="n">
        <v>46569</v>
      </c>
      <c r="B362" s="28" t="inlineStr">
        <is>
          <t>Household</t>
        </is>
      </c>
      <c r="C362" s="28" t="inlineStr">
        <is>
          <t>Forecast</t>
        </is>
      </c>
      <c r="D362" s="29" t="n">
        <v>2637.75</v>
      </c>
      <c r="E362" s="29" t="n"/>
      <c r="F362" s="30" t="n"/>
      <c r="G362" s="29" t="n">
        <v>2493.01</v>
      </c>
      <c r="H362" s="29" t="n">
        <v>2782.5</v>
      </c>
    </row>
    <row r="363">
      <c r="A363" s="27" t="n">
        <v>46569</v>
      </c>
      <c r="B363" s="28" t="inlineStr">
        <is>
          <t>Produce</t>
        </is>
      </c>
      <c r="C363" s="28" t="inlineStr">
        <is>
          <t>Forecast</t>
        </is>
      </c>
      <c r="D363" s="29" t="n">
        <v>1902.27</v>
      </c>
      <c r="E363" s="29" t="n"/>
      <c r="F363" s="30" t="n"/>
      <c r="G363" s="29" t="n">
        <v>1797.89</v>
      </c>
      <c r="H363" s="29" t="n">
        <v>2006.66</v>
      </c>
    </row>
    <row r="364">
      <c r="A364" s="27" t="n">
        <v>46569</v>
      </c>
      <c r="B364" s="28" t="inlineStr">
        <is>
          <t>Snacks &amp; Confectionery</t>
        </is>
      </c>
      <c r="C364" s="28" t="inlineStr">
        <is>
          <t>Forecast</t>
        </is>
      </c>
      <c r="D364" s="29" t="n">
        <v>9994.809999999999</v>
      </c>
      <c r="E364" s="29" t="n"/>
      <c r="F364" s="30" t="n"/>
      <c r="G364" s="29" t="n">
        <v>9446.35</v>
      </c>
      <c r="H364" s="29" t="n">
        <v>10543.27</v>
      </c>
    </row>
    <row r="365">
      <c r="A365" s="27" t="n">
        <v>46600</v>
      </c>
      <c r="B365" s="28" t="inlineStr">
        <is>
          <t>Bakery</t>
        </is>
      </c>
      <c r="C365" s="28" t="inlineStr">
        <is>
          <t>Forecast</t>
        </is>
      </c>
      <c r="D365" s="29" t="n">
        <v>5387.79</v>
      </c>
      <c r="E365" s="29" t="n"/>
      <c r="F365" s="30" t="n"/>
      <c r="G365" s="29" t="n">
        <v>5092.14</v>
      </c>
      <c r="H365" s="29" t="n">
        <v>5683.44</v>
      </c>
    </row>
    <row r="366">
      <c r="A366" s="27" t="n">
        <v>46600</v>
      </c>
      <c r="B366" s="28" t="inlineStr">
        <is>
          <t>Beer &amp; Wine</t>
        </is>
      </c>
      <c r="C366" s="28" t="inlineStr">
        <is>
          <t>Forecast</t>
        </is>
      </c>
      <c r="D366" s="29" t="n">
        <v>8379.610000000001</v>
      </c>
      <c r="E366" s="29" t="n"/>
      <c r="F366" s="30" t="n"/>
      <c r="G366" s="29" t="n">
        <v>7919.78</v>
      </c>
      <c r="H366" s="29" t="n">
        <v>8839.43</v>
      </c>
    </row>
    <row r="367">
      <c r="A367" s="27" t="n">
        <v>46600</v>
      </c>
      <c r="B367" s="28" t="inlineStr">
        <is>
          <t>Beverages</t>
        </is>
      </c>
      <c r="C367" s="28" t="inlineStr">
        <is>
          <t>Forecast</t>
        </is>
      </c>
      <c r="D367" s="29" t="n">
        <v>11705.88</v>
      </c>
      <c r="E367" s="29" t="n"/>
      <c r="F367" s="30" t="n"/>
      <c r="G367" s="29" t="n">
        <v>11063.52</v>
      </c>
      <c r="H367" s="29" t="n">
        <v>12348.23</v>
      </c>
    </row>
    <row r="368">
      <c r="A368" s="27" t="n">
        <v>46600</v>
      </c>
      <c r="B368" s="28" t="inlineStr">
        <is>
          <t>Dairy</t>
        </is>
      </c>
      <c r="C368" s="28" t="inlineStr">
        <is>
          <t>Forecast</t>
        </is>
      </c>
      <c r="D368" s="29" t="n">
        <v>13698.81</v>
      </c>
      <c r="E368" s="29" t="n"/>
      <c r="F368" s="30" t="n"/>
      <c r="G368" s="29" t="n">
        <v>12947.09</v>
      </c>
      <c r="H368" s="29" t="n">
        <v>14450.52</v>
      </c>
    </row>
    <row r="369">
      <c r="A369" s="27" t="n">
        <v>46600</v>
      </c>
      <c r="B369" s="28" t="inlineStr">
        <is>
          <t>Food To Go</t>
        </is>
      </c>
      <c r="C369" s="28" t="inlineStr">
        <is>
          <t>Forecast</t>
        </is>
      </c>
      <c r="D369" s="29" t="n">
        <v>15294.15</v>
      </c>
      <c r="E369" s="29" t="n"/>
      <c r="F369" s="30" t="n"/>
      <c r="G369" s="29" t="n">
        <v>14454.9</v>
      </c>
      <c r="H369" s="29" t="n">
        <v>16133.41</v>
      </c>
    </row>
    <row r="370">
      <c r="A370" s="27" t="n">
        <v>46600</v>
      </c>
      <c r="B370" s="28" t="inlineStr">
        <is>
          <t>Frozen</t>
        </is>
      </c>
      <c r="C370" s="28" t="inlineStr">
        <is>
          <t>Forecast</t>
        </is>
      </c>
      <c r="D370" s="29" t="n">
        <v>5806.53</v>
      </c>
      <c r="E370" s="29" t="n"/>
      <c r="F370" s="30" t="n"/>
      <c r="G370" s="29" t="n">
        <v>5487.9</v>
      </c>
      <c r="H370" s="29" t="n">
        <v>6125.16</v>
      </c>
    </row>
    <row r="371">
      <c r="A371" s="27" t="n">
        <v>46600</v>
      </c>
      <c r="B371" s="28" t="inlineStr">
        <is>
          <t>Grocery</t>
        </is>
      </c>
      <c r="C371" s="28" t="inlineStr">
        <is>
          <t>Forecast</t>
        </is>
      </c>
      <c r="D371" s="29" t="n">
        <v>9990.959999999999</v>
      </c>
      <c r="E371" s="29" t="n"/>
      <c r="F371" s="30" t="n"/>
      <c r="G371" s="29" t="n">
        <v>9442.709999999999</v>
      </c>
      <c r="H371" s="29" t="n">
        <v>10539.21</v>
      </c>
    </row>
    <row r="372">
      <c r="A372" s="27" t="n">
        <v>46600</v>
      </c>
      <c r="B372" s="28" t="inlineStr">
        <is>
          <t>Health &amp; Beauty</t>
        </is>
      </c>
      <c r="C372" s="28" t="inlineStr">
        <is>
          <t>Forecast</t>
        </is>
      </c>
      <c r="D372" s="29" t="n">
        <v>1480.77</v>
      </c>
      <c r="E372" s="29" t="n"/>
      <c r="F372" s="30" t="n"/>
      <c r="G372" s="29" t="n">
        <v>1399.51</v>
      </c>
      <c r="H372" s="29" t="n">
        <v>1562.02</v>
      </c>
    </row>
    <row r="373">
      <c r="A373" s="27" t="n">
        <v>46600</v>
      </c>
      <c r="B373" s="28" t="inlineStr">
        <is>
          <t>Household</t>
        </is>
      </c>
      <c r="C373" s="28" t="inlineStr">
        <is>
          <t>Forecast</t>
        </is>
      </c>
      <c r="D373" s="29" t="n">
        <v>2584.02</v>
      </c>
      <c r="E373" s="29" t="n"/>
      <c r="F373" s="30" t="n"/>
      <c r="G373" s="29" t="n">
        <v>2442.23</v>
      </c>
      <c r="H373" s="29" t="n">
        <v>2725.82</v>
      </c>
    </row>
    <row r="374">
      <c r="A374" s="27" t="n">
        <v>46600</v>
      </c>
      <c r="B374" s="28" t="inlineStr">
        <is>
          <t>Produce</t>
        </is>
      </c>
      <c r="C374" s="28" t="inlineStr">
        <is>
          <t>Forecast</t>
        </is>
      </c>
      <c r="D374" s="29" t="n">
        <v>1847.97</v>
      </c>
      <c r="E374" s="29" t="n"/>
      <c r="F374" s="30" t="n"/>
      <c r="G374" s="29" t="n">
        <v>1746.56</v>
      </c>
      <c r="H374" s="29" t="n">
        <v>1949.37</v>
      </c>
    </row>
    <row r="375">
      <c r="A375" s="27" t="n">
        <v>46600</v>
      </c>
      <c r="B375" s="28" t="inlineStr">
        <is>
          <t>Snacks &amp; Confectionery</t>
        </is>
      </c>
      <c r="C375" s="28" t="inlineStr">
        <is>
          <t>Forecast</t>
        </is>
      </c>
      <c r="D375" s="29" t="n">
        <v>9491.76</v>
      </c>
      <c r="E375" s="29" t="n"/>
      <c r="F375" s="30" t="n"/>
      <c r="G375" s="29" t="n">
        <v>8970.91</v>
      </c>
      <c r="H375" s="29" t="n">
        <v>10012.62</v>
      </c>
    </row>
    <row r="376">
      <c r="A376" s="27" t="n">
        <v>46631</v>
      </c>
      <c r="B376" s="28" t="inlineStr">
        <is>
          <t>Bakery</t>
        </is>
      </c>
      <c r="C376" s="28" t="inlineStr">
        <is>
          <t>Forecast</t>
        </is>
      </c>
      <c r="D376" s="29" t="n">
        <v>5213.71</v>
      </c>
      <c r="E376" s="29" t="n"/>
      <c r="F376" s="30" t="n"/>
      <c r="G376" s="29" t="n">
        <v>4927.61</v>
      </c>
      <c r="H376" s="29" t="n">
        <v>5499.81</v>
      </c>
    </row>
    <row r="377">
      <c r="A377" s="27" t="n">
        <v>46631</v>
      </c>
      <c r="B377" s="28" t="inlineStr">
        <is>
          <t>Beer &amp; Wine</t>
        </is>
      </c>
      <c r="C377" s="28" t="inlineStr">
        <is>
          <t>Forecast</t>
        </is>
      </c>
      <c r="D377" s="29" t="n">
        <v>8917.219999999999</v>
      </c>
      <c r="E377" s="29" t="n"/>
      <c r="F377" s="30" t="n"/>
      <c r="G377" s="29" t="n">
        <v>8427.889999999999</v>
      </c>
      <c r="H377" s="29" t="n">
        <v>9406.540000000001</v>
      </c>
    </row>
    <row r="378">
      <c r="A378" s="27" t="n">
        <v>46631</v>
      </c>
      <c r="B378" s="28" t="inlineStr">
        <is>
          <t>Beverages</t>
        </is>
      </c>
      <c r="C378" s="28" t="inlineStr">
        <is>
          <t>Forecast</t>
        </is>
      </c>
      <c r="D378" s="29" t="n">
        <v>12539.62</v>
      </c>
      <c r="E378" s="29" t="n"/>
      <c r="F378" s="30" t="n"/>
      <c r="G378" s="29" t="n">
        <v>11851.52</v>
      </c>
      <c r="H378" s="29" t="n">
        <v>13227.72</v>
      </c>
    </row>
    <row r="379">
      <c r="A379" s="27" t="n">
        <v>46631</v>
      </c>
      <c r="B379" s="28" t="inlineStr">
        <is>
          <t>Dairy</t>
        </is>
      </c>
      <c r="C379" s="28" t="inlineStr">
        <is>
          <t>Forecast</t>
        </is>
      </c>
      <c r="D379" s="29" t="n">
        <v>13204.64</v>
      </c>
      <c r="E379" s="29" t="n"/>
      <c r="F379" s="30" t="n"/>
      <c r="G379" s="29" t="n">
        <v>12480.04</v>
      </c>
      <c r="H379" s="29" t="n">
        <v>13929.23</v>
      </c>
    </row>
    <row r="380">
      <c r="A380" s="27" t="n">
        <v>46631</v>
      </c>
      <c r="B380" s="28" t="inlineStr">
        <is>
          <t>Food To Go</t>
        </is>
      </c>
      <c r="C380" s="28" t="inlineStr">
        <is>
          <t>Forecast</t>
        </is>
      </c>
      <c r="D380" s="29" t="n">
        <v>14537.69</v>
      </c>
      <c r="E380" s="29" t="n"/>
      <c r="F380" s="30" t="n"/>
      <c r="G380" s="29" t="n">
        <v>13739.95</v>
      </c>
      <c r="H380" s="29" t="n">
        <v>15335.44</v>
      </c>
    </row>
    <row r="381">
      <c r="A381" s="27" t="n">
        <v>46631</v>
      </c>
      <c r="B381" s="28" t="inlineStr">
        <is>
          <t>Frozen</t>
        </is>
      </c>
      <c r="C381" s="28" t="inlineStr">
        <is>
          <t>Forecast</t>
        </is>
      </c>
      <c r="D381" s="29" t="n">
        <v>5899.86</v>
      </c>
      <c r="E381" s="29" t="n"/>
      <c r="F381" s="30" t="n"/>
      <c r="G381" s="29" t="n">
        <v>5576.11</v>
      </c>
      <c r="H381" s="29" t="n">
        <v>6223.61</v>
      </c>
    </row>
    <row r="382">
      <c r="A382" s="27" t="n">
        <v>46631</v>
      </c>
      <c r="B382" s="28" t="inlineStr">
        <is>
          <t>Grocery</t>
        </is>
      </c>
      <c r="C382" s="28" t="inlineStr">
        <is>
          <t>Forecast</t>
        </is>
      </c>
      <c r="D382" s="29" t="n">
        <v>9251.68</v>
      </c>
      <c r="E382" s="29" t="n"/>
      <c r="F382" s="30" t="n"/>
      <c r="G382" s="29" t="n">
        <v>8744</v>
      </c>
      <c r="H382" s="29" t="n">
        <v>9759.360000000001</v>
      </c>
    </row>
    <row r="383">
      <c r="A383" s="27" t="n">
        <v>46631</v>
      </c>
      <c r="B383" s="28" t="inlineStr">
        <is>
          <t>Health &amp; Beauty</t>
        </is>
      </c>
      <c r="C383" s="28" t="inlineStr">
        <is>
          <t>Forecast</t>
        </is>
      </c>
      <c r="D383" s="29" t="n">
        <v>1280.96</v>
      </c>
      <c r="E383" s="29" t="n"/>
      <c r="F383" s="30" t="n"/>
      <c r="G383" s="29" t="n">
        <v>1210.67</v>
      </c>
      <c r="H383" s="29" t="n">
        <v>1351.25</v>
      </c>
    </row>
    <row r="384">
      <c r="A384" s="27" t="n">
        <v>46631</v>
      </c>
      <c r="B384" s="28" t="inlineStr">
        <is>
          <t>Household</t>
        </is>
      </c>
      <c r="C384" s="28" t="inlineStr">
        <is>
          <t>Forecast</t>
        </is>
      </c>
      <c r="D384" s="29" t="n">
        <v>2233.48</v>
      </c>
      <c r="E384" s="29" t="n"/>
      <c r="F384" s="30" t="n"/>
      <c r="G384" s="29" t="n">
        <v>2110.92</v>
      </c>
      <c r="H384" s="29" t="n">
        <v>2356.04</v>
      </c>
    </row>
    <row r="385">
      <c r="A385" s="27" t="n">
        <v>46631</v>
      </c>
      <c r="B385" s="28" t="inlineStr">
        <is>
          <t>Produce</t>
        </is>
      </c>
      <c r="C385" s="28" t="inlineStr">
        <is>
          <t>Forecast</t>
        </is>
      </c>
      <c r="D385" s="29" t="n">
        <v>2043.51</v>
      </c>
      <c r="E385" s="29" t="n"/>
      <c r="F385" s="30" t="n"/>
      <c r="G385" s="29" t="n">
        <v>1931.37</v>
      </c>
      <c r="H385" s="29" t="n">
        <v>2155.65</v>
      </c>
    </row>
    <row r="386">
      <c r="A386" s="27" t="n">
        <v>46631</v>
      </c>
      <c r="B386" s="28" t="inlineStr">
        <is>
          <t>Snacks &amp; Confectionery</t>
        </is>
      </c>
      <c r="C386" s="28" t="inlineStr">
        <is>
          <t>Forecast</t>
        </is>
      </c>
      <c r="D386" s="29" t="n">
        <v>9407.4</v>
      </c>
      <c r="E386" s="29" t="n"/>
      <c r="F386" s="30" t="n"/>
      <c r="G386" s="29" t="n">
        <v>8891.17</v>
      </c>
      <c r="H386" s="29" t="n">
        <v>9923.620000000001</v>
      </c>
    </row>
    <row r="387">
      <c r="A387" s="27" t="n">
        <v>46661</v>
      </c>
      <c r="B387" s="28" t="inlineStr">
        <is>
          <t>Bakery</t>
        </is>
      </c>
      <c r="C387" s="28" t="inlineStr">
        <is>
          <t>Forecast</t>
        </is>
      </c>
      <c r="D387" s="29" t="n">
        <v>5497.38</v>
      </c>
      <c r="E387" s="29" t="n"/>
      <c r="F387" s="30" t="n"/>
      <c r="G387" s="29" t="n">
        <v>5195.72</v>
      </c>
      <c r="H387" s="29" t="n">
        <v>5799.05</v>
      </c>
    </row>
    <row r="388">
      <c r="A388" s="27" t="n">
        <v>46661</v>
      </c>
      <c r="B388" s="28" t="inlineStr">
        <is>
          <t>Beer &amp; Wine</t>
        </is>
      </c>
      <c r="C388" s="28" t="inlineStr">
        <is>
          <t>Forecast</t>
        </is>
      </c>
      <c r="D388" s="29" t="n">
        <v>8829.41</v>
      </c>
      <c r="E388" s="29" t="n"/>
      <c r="F388" s="30" t="n"/>
      <c r="G388" s="29" t="n">
        <v>8344.9</v>
      </c>
      <c r="H388" s="29" t="n">
        <v>9313.91</v>
      </c>
    </row>
    <row r="389">
      <c r="A389" s="27" t="n">
        <v>46661</v>
      </c>
      <c r="B389" s="28" t="inlineStr">
        <is>
          <t>Beverages</t>
        </is>
      </c>
      <c r="C389" s="28" t="inlineStr">
        <is>
          <t>Forecast</t>
        </is>
      </c>
      <c r="D389" s="29" t="n">
        <v>15908.41</v>
      </c>
      <c r="E389" s="29" t="n"/>
      <c r="F389" s="30" t="n"/>
      <c r="G389" s="29" t="n">
        <v>15035.44</v>
      </c>
      <c r="H389" s="29" t="n">
        <v>16781.37</v>
      </c>
    </row>
    <row r="390">
      <c r="A390" s="27" t="n">
        <v>46661</v>
      </c>
      <c r="B390" s="28" t="inlineStr">
        <is>
          <t>Dairy</t>
        </is>
      </c>
      <c r="C390" s="28" t="inlineStr">
        <is>
          <t>Forecast</t>
        </is>
      </c>
      <c r="D390" s="29" t="n">
        <v>14301.7</v>
      </c>
      <c r="E390" s="29" t="n"/>
      <c r="F390" s="30" t="n"/>
      <c r="G390" s="29" t="n">
        <v>13516.91</v>
      </c>
      <c r="H390" s="29" t="n">
        <v>15086.5</v>
      </c>
    </row>
    <row r="391">
      <c r="A391" s="27" t="n">
        <v>46661</v>
      </c>
      <c r="B391" s="28" t="inlineStr">
        <is>
          <t>Food To Go</t>
        </is>
      </c>
      <c r="C391" s="28" t="inlineStr">
        <is>
          <t>Forecast</t>
        </is>
      </c>
      <c r="D391" s="29" t="n">
        <v>15396.58</v>
      </c>
      <c r="E391" s="29" t="n"/>
      <c r="F391" s="30" t="n"/>
      <c r="G391" s="29" t="n">
        <v>14551.7</v>
      </c>
      <c r="H391" s="29" t="n">
        <v>16241.46</v>
      </c>
    </row>
    <row r="392">
      <c r="A392" s="27" t="n">
        <v>46661</v>
      </c>
      <c r="B392" s="28" t="inlineStr">
        <is>
          <t>Frozen</t>
        </is>
      </c>
      <c r="C392" s="28" t="inlineStr">
        <is>
          <t>Forecast</t>
        </is>
      </c>
      <c r="D392" s="29" t="n">
        <v>6307.55</v>
      </c>
      <c r="E392" s="29" t="n"/>
      <c r="F392" s="30" t="n"/>
      <c r="G392" s="29" t="n">
        <v>5961.43</v>
      </c>
      <c r="H392" s="29" t="n">
        <v>6653.67</v>
      </c>
    </row>
    <row r="393">
      <c r="A393" s="27" t="n">
        <v>46661</v>
      </c>
      <c r="B393" s="28" t="inlineStr">
        <is>
          <t>Grocery</t>
        </is>
      </c>
      <c r="C393" s="28" t="inlineStr">
        <is>
          <t>Forecast</t>
        </is>
      </c>
      <c r="D393" s="29" t="n">
        <v>9509.66</v>
      </c>
      <c r="E393" s="29" t="n"/>
      <c r="F393" s="30" t="n"/>
      <c r="G393" s="29" t="n">
        <v>8987.83</v>
      </c>
      <c r="H393" s="29" t="n">
        <v>10031.5</v>
      </c>
    </row>
    <row r="394">
      <c r="A394" s="27" t="n">
        <v>46661</v>
      </c>
      <c r="B394" s="28" t="inlineStr">
        <is>
          <t>Health &amp; Beauty</t>
        </is>
      </c>
      <c r="C394" s="28" t="inlineStr">
        <is>
          <t>Forecast</t>
        </is>
      </c>
      <c r="D394" s="29" t="n">
        <v>1640.79</v>
      </c>
      <c r="E394" s="29" t="n"/>
      <c r="F394" s="30" t="n"/>
      <c r="G394" s="29" t="n">
        <v>1550.76</v>
      </c>
      <c r="H394" s="29" t="n">
        <v>1730.83</v>
      </c>
    </row>
    <row r="395">
      <c r="A395" s="27" t="n">
        <v>46661</v>
      </c>
      <c r="B395" s="28" t="inlineStr">
        <is>
          <t>Household</t>
        </is>
      </c>
      <c r="C395" s="28" t="inlineStr">
        <is>
          <t>Forecast</t>
        </is>
      </c>
      <c r="D395" s="29" t="n">
        <v>2440.63</v>
      </c>
      <c r="E395" s="29" t="n"/>
      <c r="F395" s="30" t="n"/>
      <c r="G395" s="29" t="n">
        <v>2306.7</v>
      </c>
      <c r="H395" s="29" t="n">
        <v>2574.56</v>
      </c>
    </row>
    <row r="396">
      <c r="A396" s="27" t="n">
        <v>46661</v>
      </c>
      <c r="B396" s="28" t="inlineStr">
        <is>
          <t>Produce</t>
        </is>
      </c>
      <c r="C396" s="28" t="inlineStr">
        <is>
          <t>Forecast</t>
        </is>
      </c>
      <c r="D396" s="29" t="n">
        <v>2346.49</v>
      </c>
      <c r="E396" s="29" t="n"/>
      <c r="F396" s="30" t="n"/>
      <c r="G396" s="29" t="n">
        <v>2217.73</v>
      </c>
      <c r="H396" s="29" t="n">
        <v>2475.25</v>
      </c>
    </row>
    <row r="397">
      <c r="A397" s="27" t="n">
        <v>46661</v>
      </c>
      <c r="B397" s="28" t="inlineStr">
        <is>
          <t>Snacks &amp; Confectionery</t>
        </is>
      </c>
      <c r="C397" s="28" t="inlineStr">
        <is>
          <t>Forecast</t>
        </is>
      </c>
      <c r="D397" s="29" t="n">
        <v>9261.9</v>
      </c>
      <c r="E397" s="29" t="n"/>
      <c r="F397" s="30" t="n"/>
      <c r="G397" s="29" t="n">
        <v>8753.66</v>
      </c>
      <c r="H397" s="29" t="n">
        <v>9770.139999999999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targets</t>
        </is>
      </c>
      <c r="M5" s="13" t="inlineStr">
        <is>
          <t>Category list</t>
        </is>
      </c>
    </row>
    <row r="6" ht="28" customHeight="1">
      <c r="B6" s="14" t="inlineStr">
        <is>
          <t>category</t>
        </is>
      </c>
      <c r="C6" s="14" t="inlineStr">
        <is>
          <t>gm_target_pct</t>
        </is>
      </c>
      <c r="D6" s="14" t="inlineStr">
        <is>
          <t>owner</t>
        </is>
      </c>
      <c r="E6" s="14" t="inlineStr">
        <is>
          <t>short_life</t>
        </is>
      </c>
      <c r="M6" s="28" t="inlineStr">
        <is>
          <t>All</t>
        </is>
      </c>
    </row>
    <row r="7">
      <c r="B7" s="31" t="inlineStr">
        <is>
          <t>Bakery</t>
        </is>
      </c>
      <c r="C7" s="17" t="n">
        <v>0.383</v>
      </c>
      <c r="D7" s="31" t="inlineStr">
        <is>
          <t>Store Manager</t>
        </is>
      </c>
      <c r="E7" s="31" t="inlineStr">
        <is>
          <t>Yes</t>
        </is>
      </c>
      <c r="M7" s="28" t="inlineStr">
        <is>
          <t>Bakery</t>
        </is>
      </c>
    </row>
    <row r="8">
      <c r="B8" s="31" t="inlineStr">
        <is>
          <t>Beer &amp; Wine</t>
        </is>
      </c>
      <c r="C8" s="17" t="n">
        <v>0.339</v>
      </c>
      <c r="D8" s="31" t="inlineStr">
        <is>
          <t>Licence Manager</t>
        </is>
      </c>
      <c r="E8" s="31" t="inlineStr">
        <is>
          <t>No</t>
        </is>
      </c>
      <c r="M8" s="28" t="inlineStr">
        <is>
          <t>Beer &amp; Wine</t>
        </is>
      </c>
    </row>
    <row r="9">
      <c r="B9" s="31" t="inlineStr">
        <is>
          <t>Beverages</t>
        </is>
      </c>
      <c r="C9" s="17" t="n">
        <v>0.509</v>
      </c>
      <c r="D9" s="31" t="inlineStr">
        <is>
          <t>Duty Manager</t>
        </is>
      </c>
      <c r="E9" s="31" t="inlineStr">
        <is>
          <t>No</t>
        </is>
      </c>
      <c r="M9" s="28" t="inlineStr">
        <is>
          <t>Beverages</t>
        </is>
      </c>
    </row>
    <row r="10">
      <c r="B10" s="31" t="inlineStr">
        <is>
          <t>Dairy</t>
        </is>
      </c>
      <c r="C10" s="17" t="n">
        <v>0.278</v>
      </c>
      <c r="D10" s="31" t="inlineStr">
        <is>
          <t>Duty Manager</t>
        </is>
      </c>
      <c r="E10" s="31" t="inlineStr">
        <is>
          <t>Yes</t>
        </is>
      </c>
      <c r="M10" s="28" t="inlineStr">
        <is>
          <t>Dairy</t>
        </is>
      </c>
    </row>
    <row r="11">
      <c r="B11" s="31" t="inlineStr">
        <is>
          <t>Food To Go</t>
        </is>
      </c>
      <c r="C11" s="17" t="n">
        <v>0.476</v>
      </c>
      <c r="D11" s="31" t="inlineStr">
        <is>
          <t>Store Manager</t>
        </is>
      </c>
      <c r="E11" s="31" t="inlineStr">
        <is>
          <t>Yes</t>
        </is>
      </c>
      <c r="M11" s="28" t="inlineStr">
        <is>
          <t>Food To Go</t>
        </is>
      </c>
    </row>
    <row r="12">
      <c r="B12" s="31" t="inlineStr">
        <is>
          <t>Frozen</t>
        </is>
      </c>
      <c r="C12" s="17" t="n">
        <v>0.437</v>
      </c>
      <c r="D12" s="31" t="inlineStr">
        <is>
          <t>Duty Manager</t>
        </is>
      </c>
      <c r="E12" s="31" t="inlineStr">
        <is>
          <t>No</t>
        </is>
      </c>
      <c r="M12" s="28" t="inlineStr">
        <is>
          <t>Frozen</t>
        </is>
      </c>
    </row>
    <row r="13">
      <c r="B13" s="31" t="inlineStr">
        <is>
          <t>Grocery</t>
        </is>
      </c>
      <c r="C13" s="17" t="n">
        <v>0.347</v>
      </c>
      <c r="D13" s="31" t="inlineStr">
        <is>
          <t>Duty Manager</t>
        </is>
      </c>
      <c r="E13" s="31" t="inlineStr">
        <is>
          <t>No</t>
        </is>
      </c>
      <c r="M13" s="28" t="inlineStr">
        <is>
          <t>Grocery</t>
        </is>
      </c>
    </row>
    <row r="14">
      <c r="B14" s="31" t="inlineStr">
        <is>
          <t>Health &amp; Beauty</t>
        </is>
      </c>
      <c r="C14" s="17" t="n">
        <v>0.5</v>
      </c>
      <c r="D14" s="31" t="inlineStr">
        <is>
          <t>Store Manager</t>
        </is>
      </c>
      <c r="E14" s="31" t="inlineStr">
        <is>
          <t>No</t>
        </is>
      </c>
      <c r="M14" s="28" t="inlineStr">
        <is>
          <t>Health &amp; Beauty</t>
        </is>
      </c>
    </row>
    <row r="15">
      <c r="B15" s="31" t="inlineStr">
        <is>
          <t>Household</t>
        </is>
      </c>
      <c r="C15" s="17" t="n">
        <v>0.413</v>
      </c>
      <c r="D15" s="31" t="inlineStr">
        <is>
          <t>Duty Manager</t>
        </is>
      </c>
      <c r="E15" s="31" t="inlineStr">
        <is>
          <t>No</t>
        </is>
      </c>
      <c r="M15" s="28" t="inlineStr">
        <is>
          <t>Household</t>
        </is>
      </c>
    </row>
    <row r="16">
      <c r="B16" s="31" t="inlineStr">
        <is>
          <t>Produce</t>
        </is>
      </c>
      <c r="C16" s="17" t="n">
        <v>0.429</v>
      </c>
      <c r="D16" s="31" t="inlineStr">
        <is>
          <t>Duty Manager</t>
        </is>
      </c>
      <c r="E16" s="31" t="inlineStr">
        <is>
          <t>Yes</t>
        </is>
      </c>
      <c r="M16" s="28" t="inlineStr">
        <is>
          <t>Produce</t>
        </is>
      </c>
    </row>
    <row r="17">
      <c r="B17" s="31" t="inlineStr">
        <is>
          <t>Snacks &amp; Confectionery</t>
        </is>
      </c>
      <c r="C17" s="17" t="n">
        <v>0.445</v>
      </c>
      <c r="D17" s="31" t="inlineStr">
        <is>
          <t>Duty Manager</t>
        </is>
      </c>
      <c r="E17" s="31" t="inlineStr">
        <is>
          <t>No</t>
        </is>
      </c>
      <c r="M17" s="28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31" t="inlineStr">
        <is>
          <t>Growth target vs last year</t>
        </is>
      </c>
      <c r="C6" s="32" t="n">
        <v>0.04</v>
      </c>
      <c r="D6" s="33" t="inlineStr">
        <is>
          <t>config.yaml › budget.growth_vs_last_year_pct</t>
        </is>
      </c>
    </row>
    <row r="7">
      <c r="B7" s="31" t="inlineStr">
        <is>
          <t>Plan starts (first month)</t>
        </is>
      </c>
      <c r="C7" s="34" t="n">
        <v>46327</v>
      </c>
      <c r="D7" s="33" t="inlineStr">
        <is>
          <t>First whole month after the data date</t>
        </is>
      </c>
    </row>
    <row r="8">
      <c r="B8" s="31" t="inlineStr">
        <is>
          <t>Months in plan</t>
        </is>
      </c>
      <c r="C8" s="35" t="n">
        <v>3</v>
      </c>
      <c r="D8" s="33" t="inlineStr">
        <is>
          <t>1-12. KPI tiles and the category plan use this window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6" t="inlineStr">
        <is>
          <t>Store: Demo Neighbourhood Store (Eden Terrace format).  Data to 04 Oct 2026.  Shelly v1.6.0.</t>
        </is>
      </c>
    </row>
    <row r="7">
      <c r="C7" s="36" t="inlineStr">
        <is>
          <t>Synthetic demo data.</t>
        </is>
      </c>
    </row>
    <row r="8">
      <c r="C8" s="36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6" t="inlineStr">
        <is>
          <t>Budget = last year's same month × (1 + growth target).</t>
        </is>
      </c>
    </row>
    <row r="12">
      <c r="C12" s="36" t="inlineStr">
        <is>
          <t>Forecast = last year's same month × recent 12-week trend (capped ±15%), backtested; Low/High = 80% range.</t>
        </is>
      </c>
    </row>
    <row r="13">
      <c r="C13" s="36" t="inlineStr">
        <is>
          <t>Outlook rows = the current part-month (actual month-to-date + forecast for the rest).</t>
        </is>
      </c>
    </row>
    <row r="15">
      <c r="B15" s="13" t="inlineStr">
        <is>
          <t>Data dictionary (Raw sheet)</t>
        </is>
      </c>
    </row>
    <row r="16">
      <c r="B16" s="31" t="inlineStr">
        <is>
          <t>Month</t>
        </is>
      </c>
      <c r="C16" s="31" t="inlineStr">
        <is>
          <t>First day of the month</t>
        </is>
      </c>
    </row>
    <row r="17">
      <c r="B17" s="31" t="inlineStr">
        <is>
          <t>Category</t>
        </is>
      </c>
      <c r="C17" s="31" t="inlineStr">
        <is>
          <t>Product category</t>
        </is>
      </c>
    </row>
    <row r="18">
      <c r="B18" s="31" t="inlineStr">
        <is>
          <t>Type</t>
        </is>
      </c>
      <c r="C18" s="31" t="inlineStr">
        <is>
          <t>Actual = history; Forecast = Shelly's plan months; Outlook = current month</t>
        </is>
      </c>
    </row>
    <row r="19">
      <c r="B19" s="31" t="inlineStr">
        <is>
          <t>Sales</t>
        </is>
      </c>
      <c r="C19" s="31" t="inlineStr">
        <is>
          <t>Net sales excl. GST ($)</t>
        </is>
      </c>
    </row>
    <row r="20">
      <c r="B20" s="31" t="inlineStr">
        <is>
          <t>Gross margin</t>
        </is>
      </c>
      <c r="C20" s="31" t="inlineStr">
        <is>
          <t>Sales − cost of goods ($), actuals only</t>
        </is>
      </c>
    </row>
    <row r="21">
      <c r="B21" s="31" t="inlineStr">
        <is>
          <t>Units</t>
        </is>
      </c>
      <c r="C21" s="31" t="inlineStr">
        <is>
          <t>Units sold (actuals)</t>
        </is>
      </c>
    </row>
    <row r="22">
      <c r="B22" s="31" t="inlineStr">
        <is>
          <t>Low / High</t>
        </is>
      </c>
      <c r="C22" s="31" t="inlineStr">
        <is>
          <t>80% forecast range ($)</t>
        </is>
      </c>
    </row>
    <row r="24">
      <c r="B24" s="13" t="inlineStr">
        <is>
          <t>Sign-off</t>
        </is>
      </c>
    </row>
    <row r="25">
      <c r="B25" s="28" t="inlineStr">
        <is>
          <t>Growth target and budget approved</t>
        </is>
      </c>
      <c r="C25" s="7" t="inlineStr">
        <is>
          <t>Name: ____________   Date: ________   ☐ Approved  ☐ Changes needed</t>
        </is>
      </c>
    </row>
    <row r="26">
      <c r="B26" s="28" t="inlineStr">
        <is>
          <t>Category owners briefed on their numbers</t>
        </is>
      </c>
      <c r="C26" s="7" t="inlineStr">
        <is>
          <t>Name: ____________   Date: ________   ☐ Approved  ☐ Changes needed</t>
        </is>
      </c>
    </row>
    <row r="28">
      <c r="B28" s="7" t="inlineStr">
        <is>
          <t>Generated by Shelly on 04 Oct 2026 20:45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2026-10-04T20:45:50Z</dcterms:created>
  <dcterms:modified xsi:type="dcterms:W3CDTF">2026-10-04T20:45:50Z</dcterms:modified>
</cp:coreProperties>
</file>