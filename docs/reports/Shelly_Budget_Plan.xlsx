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del" sheetId="2" state="visible" r:id="rId2"/>
    <sheet name="Pivot" sheetId="3" state="visible" r:id="rId3"/>
    <sheet name="Raw" sheetId="4" state="visible" r:id="rId4"/>
    <sheet name="Lookup" sheetId="5" state="visible" r:id="rId5"/>
    <sheet name="Assumptions" sheetId="6" state="visible" r:id="rId6"/>
    <sheet name="Notes" sheetId="7" state="visible" r:id="rId7"/>
  </sheets>
  <definedNames>
    <definedName name="in_growth">Assumptions!$C$6</definedName>
    <definedName name="in_start">Assumptions!$C$7</definedName>
    <definedName name="in_months">Assumptions!$C$8</definedName>
    <definedName name="SelCat">Dashboard!$B$6</definedName>
    <definedName name="CatCrit">IF(Dashboard!$B$6="All","*",Dashboard!$B$6)</definedName>
  </definedNames>
  <calcPr calcId="124519" fullCalcOnLoad="1"/>
  <pivotCaches>
    <pivotCache cacheId="1" r:id="rId8"/>
  </pivotCaches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mmm yyyy"/>
    <numFmt numFmtId="166" formatCode="$#,##0.00;($#,##0.00);&quot;-&quot;"/>
    <numFmt numFmtId="167" formatCode="#,##0;(#,##0);&quot;-&quot;"/>
    <numFmt numFmtId="168" formatCode="0.0%;(0.0%);&quot;-&quot;"/>
    <numFmt numFmtId="169" formatCode="$#,##0;($#,##0);&quot;-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2433"/>
      <sz val="10"/>
    </font>
    <font>
      <name val="Arial"/>
      <b val="1"/>
      <color rgb="0063B6D8"/>
      <sz val="8"/>
    </font>
    <font>
      <name val="Arial"/>
      <b val="1"/>
      <color rgb="00FFFFFF"/>
      <sz val="18"/>
    </font>
    <font>
      <name val="Arial"/>
      <color rgb="00C9D4E0"/>
      <sz val="10"/>
    </font>
    <font>
      <name val="Arial"/>
      <b val="1"/>
      <color rgb="00FFFFFF"/>
      <sz val="9"/>
    </font>
    <font>
      <name val="Arial"/>
      <b val="1"/>
      <color rgb="000000FF"/>
      <sz val="10"/>
    </font>
    <font>
      <name val="Arial"/>
      <i val="1"/>
      <color rgb="006B7686"/>
      <sz val="9"/>
    </font>
    <font>
      <name val="Arial"/>
      <b val="1"/>
      <color rgb="001B2433"/>
      <sz val="11"/>
    </font>
    <font>
      <name val="Arial"/>
      <b val="1"/>
      <color rgb="006B7686"/>
      <sz val="8"/>
    </font>
    <font>
      <name val="Arial"/>
      <b val="1"/>
      <color rgb="000000FF"/>
      <sz val="12"/>
    </font>
    <font>
      <name val="Arial"/>
      <b val="1"/>
      <color rgb="001B2433"/>
      <sz val="10"/>
    </font>
    <font>
      <name val="Arial"/>
      <b val="1"/>
      <color rgb="001B2433"/>
      <sz val="18"/>
    </font>
  </fonts>
  <fills count="7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22324A"/>
      </patternFill>
    </fill>
    <fill>
      <patternFill patternType="solid">
        <fgColor rgb="00FFF7CC"/>
      </patternFill>
    </fill>
    <fill>
      <patternFill patternType="solid">
        <fgColor rgb="00E8EEF4"/>
      </patternFill>
    </fill>
    <fill>
      <patternFill patternType="solid">
        <fgColor rgb="00F4F7FA"/>
      </patternFill>
    </fill>
  </fills>
  <borders count="3">
    <border>
      <left/>
      <right/>
      <top/>
      <bottom/>
      <diagonal/>
    </border>
    <border>
      <bottom style="thin">
        <color rgb="00D9DEE5"/>
      </bottom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10" fillId="0" borderId="0" pivotButton="0" quotePrefix="0" xfId="0"/>
    <xf numFmtId="0" fontId="11" fillId="4" borderId="2" pivotButton="0" quotePrefix="0" xfId="0"/>
    <xf numFmtId="0" fontId="8" fillId="0" borderId="0" pivotButton="0" quotePrefix="0" xfId="0"/>
    <xf numFmtId="0" fontId="10" fillId="6" borderId="0" pivotButton="0" quotePrefix="0" xfId="0"/>
    <xf numFmtId="0" fontId="0" fillId="6" borderId="0" pivotButton="0" quotePrefix="0" xfId="0"/>
    <xf numFmtId="169" fontId="13" fillId="6" borderId="0" applyAlignment="1" pivotButton="0" quotePrefix="0" xfId="0">
      <alignment horizontal="left"/>
    </xf>
    <xf numFmtId="168" fontId="13" fillId="6" borderId="0" applyAlignment="1" pivotButton="0" quotePrefix="0" xfId="0">
      <alignment horizontal="left"/>
    </xf>
    <xf numFmtId="0" fontId="8" fillId="6" borderId="0" pivotButton="0" quotePrefix="0" xfId="0"/>
    <xf numFmtId="0" fontId="9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165" fontId="2" fillId="0" borderId="1" pivotButton="0" quotePrefix="0" xfId="0"/>
    <xf numFmtId="169" fontId="2" fillId="0" borderId="1" pivotButton="0" quotePrefix="0" xfId="0"/>
    <xf numFmtId="168" fontId="2" fillId="0" borderId="1" pivotButton="0" quotePrefix="0" xfId="0"/>
    <xf numFmtId="167" fontId="2" fillId="0" borderId="1" pivotButton="0" quotePrefix="0" xfId="0"/>
    <xf numFmtId="0" fontId="12" fillId="5" borderId="0" pivotButton="0" quotePrefix="0" xfId="0"/>
    <xf numFmtId="169" fontId="12" fillId="5" borderId="0" pivotButton="0" quotePrefix="0" xfId="0"/>
    <xf numFmtId="168" fontId="12" fillId="5" borderId="0" pivotButton="0" quotePrefix="0" xfId="0"/>
    <xf numFmtId="167" fontId="12" fillId="5" borderId="0" pivotButton="0" quotePrefix="0" xfId="0"/>
    <xf numFmtId="49" fontId="2" fillId="0" borderId="1" pivotButton="0" quotePrefix="0" xfId="0"/>
    <xf numFmtId="49" fontId="12" fillId="5" borderId="0" pivotButton="0" quotePrefix="0" xfId="0"/>
    <xf numFmtId="3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2" fillId="0" borderId="1" pivotButton="0" quotePrefix="0" xfId="0"/>
    <xf numFmtId="168" fontId="7" fillId="4" borderId="2" pivotButton="0" quotePrefix="0" xfId="0"/>
    <xf numFmtId="0" fontId="8" fillId="0" borderId="1" pivotButton="0" quotePrefix="0" xfId="0"/>
    <xf numFmtId="165" fontId="7" fillId="4" borderId="2" pivotButton="0" quotePrefix="0" xfId="0"/>
    <xf numFmtId="167" fontId="7" fillId="4" borderId="2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pivotCacheDefinition" Target="/xl/pivotCache/pivotCacheDefinition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forecast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v>Budget</v>
          </tx>
          <spPr>
            <a:solidFill>
              <a:srgbClr val="2A8FB8"/>
            </a:solidFill>
            <a:ln>
              <a:solidFill>
                <a:srgbClr val="2A8FB8"/>
              </a:solidFill>
              <a:prstDash val="solid"/>
            </a:ln>
          </spPr>
          <cat>
            <numRef>
              <f>'Model'!$B$8:$B$19</f>
            </numRef>
          </cat>
          <val>
            <numRef>
              <f>'Model'!$D$8:$D$19</f>
            </numRef>
          </val>
        </ser>
        <ser>
          <idx val="1"/>
          <order val="1"/>
          <tx>
            <v>Forecast</v>
          </tx>
          <spPr>
            <a:solidFill>
              <a:srgbClr val="0B1220"/>
            </a:solidFill>
            <a:ln>
              <a:solidFill>
                <a:srgbClr val="0B1220"/>
              </a:solidFill>
              <a:prstDash val="solid"/>
            </a:ln>
          </spPr>
          <cat>
            <numRef>
              <f>'Model'!$B$8:$B$19</f>
            </numRef>
          </cat>
          <val>
            <numRef>
              <f>'Model'!$E$8:$E$19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Gap to budget by category (plan window)</a:t>
            </a:r>
          </a:p>
        </rich>
      </tx>
    </title>
    <plotArea>
      <barChart>
        <barDir val="col"/>
        <grouping val="clustered"/>
        <ser>
          <idx val="0"/>
          <order val="0"/>
          <tx>
            <v>Gap</v>
          </tx>
          <spPr>
            <a:solidFill>
              <a:srgbClr val="2A8FB8"/>
            </a:solidFill>
            <a:ln>
              <a:solidFill>
                <a:srgbClr val="2A8FB8"/>
              </a:solidFill>
              <a:prstDash val="solid"/>
            </a:ln>
          </spPr>
          <cat>
            <numRef>
              <f>'Model'!$B$26:$B$36</f>
            </numRef>
          </cat>
          <val>
            <numRef>
              <f>'Model'!$F$26:$F$36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Shelly</author>
  </authors>
  <commentList>
    <comment ref="B6" authorId="0" shapeId="0">
      <text>
        <t>Choose a value from the list. Every KPI, table and chart follows this choice.</t>
      </text>
    </comment>
  </commentList>
</comments>
</file>

<file path=xl/comments/comment2.xml><?xml version="1.0" encoding="utf-8"?>
<comments xmlns="http://schemas.openxmlformats.org/spreadsheetml/2006/main">
  <authors>
    <author>Shelly</author>
  </authors>
  <commentList>
    <comment ref="C7" authorId="0" shapeId="0">
      <text>
        <t>Actual sales, same month last year</t>
      </text>
    </comment>
    <comment ref="D7" authorId="0" shapeId="0">
      <text>
        <t>Last year × (1 + growth target)</t>
      </text>
    </comment>
    <comment ref="L7" authorId="0" shapeId="0">
      <text>
        <t>1 = inside the plan window</t>
      </text>
    </comment>
    <comment ref="I25" authorId="0" shapeId="0">
      <text>
        <t>Lookup: last 12 months' GM % for the category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17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396" r:id="rId1">
  <cacheSource type="worksheet">
    <worksheetSource ref="A1:H397" sheet="Raw"/>
  </cacheSource>
  <cacheFields count="8">
    <cacheField name="Month" uniqueList="1" numFmtId="0" sqlType="0" hierarchy="0" level="0" databaseField="1">
      <sharedItems count="36">
        <s v="2024-11-01"/>
        <s v="2024-12-01"/>
        <s v="2025-01-01"/>
        <s v="2025-02-01"/>
        <s v="2025-03-01"/>
        <s v="2025-04-01"/>
        <s v="2025-05-01"/>
        <s v="2025-06-01"/>
        <s v="2025-07-01"/>
        <s v="2025-08-01"/>
        <s v="2025-09-01"/>
        <s v="2025-10-01"/>
        <s v="2025-11-01"/>
        <s v="2025-12-01"/>
        <s v="2026-01-01"/>
        <s v="2026-02-01"/>
        <s v="2026-03-01"/>
        <s v="2026-04-01"/>
        <s v="2026-05-01"/>
        <s v="2026-06-01"/>
        <s v="2026-07-01"/>
        <s v="2026-08-01"/>
        <s v="2026-09-01"/>
        <s v="2026-10-01"/>
        <s v="2026-11-01"/>
        <s v="2026-12-01"/>
        <s v="2027-01-01"/>
        <s v="2027-02-01"/>
        <s v="2027-03-01"/>
        <s v="2027-04-01"/>
        <s v="2027-05-01"/>
        <s v="2027-06-01"/>
        <s v="2027-07-01"/>
        <s v="2027-08-01"/>
        <s v="2027-09-01"/>
        <s v="2027-10-01"/>
      </sharedItems>
    </cacheField>
    <cacheField name="Category" uniqueList="1" numFmtId="0" sqlType="0" hierarchy="0" level="0" databaseField="1">
      <sharedItems count="11">
        <s v="Bakery"/>
        <s v="Beer &amp; Wine"/>
        <s v="Beverages"/>
        <s v="Dairy"/>
        <s v="Food To Go"/>
        <s v="Frozen"/>
        <s v="Grocery"/>
        <s v="Health &amp; Beauty"/>
        <s v="Household"/>
        <s v="Produce"/>
        <s v="Snacks &amp; Confectionery"/>
      </sharedItems>
    </cacheField>
    <cacheField name="Type" uniqueList="1" numFmtId="0" sqlType="0" hierarchy="0" level="0" databaseField="1">
      <sharedItems count="3">
        <s v="Actual"/>
        <s v="Forecast"/>
        <s v="Outlook"/>
      </sharedItems>
    </cacheField>
    <cacheField name="Sales" uniqueList="1" numFmtId="0" sqlType="0" hierarchy="0" level="0" databaseField="1">
      <sharedItems count="0" containsNumber="1" containsSemiMixedTypes="0" containsString="0" minValue="1208.57" maxValue="18504.74"/>
    </cacheField>
    <cacheField name="Gross margin" uniqueList="1" numFmtId="0" sqlType="0" hierarchy="0" level="0" databaseField="1">
      <sharedItems count="0" containsNumber="1" containsSemiMixedTypes="0" containsString="0" minValue="0" maxValue="8780.09"/>
    </cacheField>
    <cacheField name="Units" uniqueList="1" numFmtId="0" sqlType="0" hierarchy="0" level="0" databaseField="1">
      <sharedItems count="0" containsInteger="1" containsNumber="1" containsSemiMixedTypes="0" containsString="0" minValue="0" maxValue="4386"/>
    </cacheField>
    <cacheField name="Low" uniqueList="1" numFmtId="0" sqlType="0" hierarchy="0" level="0" databaseField="1">
      <sharedItems count="0" containsNumber="1" containsSemiMixedTypes="0" containsString="0" minValue="0" maxValue="17487.95"/>
    </cacheField>
    <cacheField name="High" uniqueList="1" numFmtId="0" sqlType="0" hierarchy="0" level="0" databaseField="1">
      <sharedItems count="0" containsNumber="1" containsSemiMixedTypes="0" containsString="0" minValue="0" maxValue="19521.53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OnLoad="1" createdVersion="6" refreshedVersion="6" minRefreshableVersion="3" recordCount="396" r:id="rId1">
  <cacheSource type="worksheet">
    <worksheetSource ref="A1:H397" sheet="Raw"/>
  </cacheSource>
  <cacheFields count="8">
    <cacheField name="Month" uniqueList="1" numFmtId="0" sqlType="0" hierarchy="0" level="0" databaseField="1">
      <sharedItems count="36">
        <s v="2024-11-01"/>
        <s v="2024-12-01"/>
        <s v="2025-01-01"/>
        <s v="2025-02-01"/>
        <s v="2025-03-01"/>
        <s v="2025-04-01"/>
        <s v="2025-05-01"/>
        <s v="2025-06-01"/>
        <s v="2025-07-01"/>
        <s v="2025-08-01"/>
        <s v="2025-09-01"/>
        <s v="2025-10-01"/>
        <s v="2025-11-01"/>
        <s v="2025-12-01"/>
        <s v="2026-01-01"/>
        <s v="2026-02-01"/>
        <s v="2026-03-01"/>
        <s v="2026-04-01"/>
        <s v="2026-05-01"/>
        <s v="2026-06-01"/>
        <s v="2026-07-01"/>
        <s v="2026-08-01"/>
        <s v="2026-09-01"/>
        <s v="2026-10-01"/>
        <s v="2026-11-01"/>
        <s v="2026-12-01"/>
        <s v="2027-01-01"/>
        <s v="2027-02-01"/>
        <s v="2027-03-01"/>
        <s v="2027-04-01"/>
        <s v="2027-05-01"/>
        <s v="2027-06-01"/>
        <s v="2027-07-01"/>
        <s v="2027-08-01"/>
        <s v="2027-09-01"/>
        <s v="2027-10-01"/>
      </sharedItems>
    </cacheField>
    <cacheField name="Category" uniqueList="1" numFmtId="0" sqlType="0" hierarchy="0" level="0" databaseField="1">
      <sharedItems count="11">
        <s v="Bakery"/>
        <s v="Beer &amp; Wine"/>
        <s v="Beverages"/>
        <s v="Dairy"/>
        <s v="Food To Go"/>
        <s v="Frozen"/>
        <s v="Grocery"/>
        <s v="Health &amp; Beauty"/>
        <s v="Household"/>
        <s v="Produce"/>
        <s v="Snacks &amp; Confectionery"/>
      </sharedItems>
    </cacheField>
    <cacheField name="Type" uniqueList="1" numFmtId="0" sqlType="0" hierarchy="0" level="0" databaseField="1">
      <sharedItems count="3">
        <s v="Actual"/>
        <s v="Forecast"/>
        <s v="Outlook"/>
      </sharedItems>
    </cacheField>
    <cacheField name="Sales" uniqueList="1" numFmtId="0" sqlType="0" hierarchy="0" level="0" databaseField="1">
      <sharedItems count="0" containsNumber="1" containsSemiMixedTypes="0" containsString="0" minValue="1208.57" maxValue="18504.74"/>
    </cacheField>
    <cacheField name="Gross margin" uniqueList="1" numFmtId="0" sqlType="0" hierarchy="0" level="0" databaseField="1">
      <sharedItems count="0" containsNumber="1" containsSemiMixedTypes="0" containsString="0" minValue="0" maxValue="8780.09"/>
    </cacheField>
    <cacheField name="Units" uniqueList="1" numFmtId="0" sqlType="0" hierarchy="0" level="0" databaseField="1">
      <sharedItems count="0" containsInteger="1" containsNumber="1" containsSemiMixedTypes="0" containsString="0" minValue="0" maxValue="4386"/>
    </cacheField>
    <cacheField name="Low" uniqueList="1" numFmtId="0" sqlType="0" hierarchy="0" level="0" databaseField="1">
      <sharedItems count="0" containsNumber="1" containsSemiMixedTypes="0" containsString="0" minValue="0" maxValue="17487.95"/>
    </cacheField>
    <cacheField name="High" uniqueList="1" numFmtId="0" sqlType="0" hierarchy="0" level="0" databaseField="1">
      <sharedItems count="0" containsNumber="1" containsSemiMixedTypes="0" containsString="0" minValue="0" maxValue="19521.53"/>
    </cacheField>
  </cacheFields>
</pivotCacheDefinition>
</file>

<file path=xl/pivotCache/pivotCacheRecords1.xml><?xml version="1.0" encoding="utf-8"?>
<pivotCacheRecords xmlns="http://schemas.openxmlformats.org/spreadsheetml/2006/main" count="396">
  <r>
    <x v="0"/>
    <x v="0"/>
    <x v="0"/>
    <n v="4266.73"/>
    <n v="1656.43"/>
    <n v="1037"/>
    <n v="0"/>
    <n v="0"/>
  </r>
  <r>
    <x v="0"/>
    <x v="1"/>
    <x v="0"/>
    <n v="10360.41"/>
    <n v="3486.51"/>
    <n v="539"/>
    <n v="0"/>
    <n v="0"/>
  </r>
  <r>
    <x v="0"/>
    <x v="2"/>
    <x v="0"/>
    <n v="13983.33"/>
    <n v="7084.88"/>
    <n v="3483"/>
    <n v="0"/>
    <n v="0"/>
  </r>
  <r>
    <x v="0"/>
    <x v="3"/>
    <x v="0"/>
    <n v="12950.12"/>
    <n v="3637.42"/>
    <n v="2216"/>
    <n v="0"/>
    <n v="0"/>
  </r>
  <r>
    <x v="0"/>
    <x v="4"/>
    <x v="0"/>
    <n v="14617.13"/>
    <n v="6943.53"/>
    <n v="1867"/>
    <n v="0"/>
    <n v="0"/>
  </r>
  <r>
    <x v="0"/>
    <x v="5"/>
    <x v="0"/>
    <n v="5248.55"/>
    <n v="2341.05"/>
    <n v="845"/>
    <n v="0"/>
    <n v="0"/>
  </r>
  <r>
    <x v="0"/>
    <x v="6"/>
    <x v="0"/>
    <n v="7957.65"/>
    <n v="2733.85"/>
    <n v="1285"/>
    <n v="0"/>
    <n v="0"/>
  </r>
  <r>
    <x v="0"/>
    <x v="7"/>
    <x v="0"/>
    <n v="1319.41"/>
    <n v="649.21"/>
    <n v="159"/>
    <n v="0"/>
    <n v="0"/>
  </r>
  <r>
    <x v="0"/>
    <x v="8"/>
    <x v="0"/>
    <n v="2038.57"/>
    <n v="846.67"/>
    <n v="243"/>
    <n v="0"/>
    <n v="0"/>
  </r>
  <r>
    <x v="0"/>
    <x v="9"/>
    <x v="0"/>
    <n v="2085.77"/>
    <n v="898.27"/>
    <n v="1379"/>
    <n v="0"/>
    <n v="0"/>
  </r>
  <r>
    <x v="0"/>
    <x v="10"/>
    <x v="0"/>
    <n v="8360.219999999999"/>
    <n v="3655.02"/>
    <n v="1940"/>
    <n v="0"/>
    <n v="0"/>
  </r>
  <r>
    <x v="1"/>
    <x v="0"/>
    <x v="0"/>
    <n v="4908.52"/>
    <n v="1909.72"/>
    <n v="1178"/>
    <n v="0"/>
    <n v="0"/>
  </r>
  <r>
    <x v="1"/>
    <x v="1"/>
    <x v="0"/>
    <n v="12386.56"/>
    <n v="4244.76"/>
    <n v="644"/>
    <n v="0"/>
    <n v="0"/>
  </r>
  <r>
    <x v="1"/>
    <x v="2"/>
    <x v="0"/>
    <n v="16002.2"/>
    <n v="8188.05"/>
    <n v="3916"/>
    <n v="0"/>
    <n v="0"/>
  </r>
  <r>
    <x v="1"/>
    <x v="3"/>
    <x v="0"/>
    <n v="14457.05"/>
    <n v="3982.35"/>
    <n v="2445"/>
    <n v="0"/>
    <n v="0"/>
  </r>
  <r>
    <x v="1"/>
    <x v="4"/>
    <x v="0"/>
    <n v="16863"/>
    <n v="7984.4"/>
    <n v="2100"/>
    <n v="0"/>
    <n v="0"/>
  </r>
  <r>
    <x v="1"/>
    <x v="5"/>
    <x v="0"/>
    <n v="6497.01"/>
    <n v="2886.81"/>
    <n v="999"/>
    <n v="0"/>
    <n v="0"/>
  </r>
  <r>
    <x v="1"/>
    <x v="6"/>
    <x v="0"/>
    <n v="8083.33"/>
    <n v="2801.43"/>
    <n v="1347"/>
    <n v="0"/>
    <n v="0"/>
  </r>
  <r>
    <x v="1"/>
    <x v="7"/>
    <x v="0"/>
    <n v="1663.21"/>
    <n v="769.61"/>
    <n v="179"/>
    <n v="0"/>
    <n v="0"/>
  </r>
  <r>
    <x v="1"/>
    <x v="8"/>
    <x v="0"/>
    <n v="2548.92"/>
    <n v="1073.12"/>
    <n v="308"/>
    <n v="0"/>
    <n v="0"/>
  </r>
  <r>
    <x v="1"/>
    <x v="9"/>
    <x v="0"/>
    <n v="2335.45"/>
    <n v="1010.73"/>
    <n v="1475"/>
    <n v="0"/>
    <n v="0"/>
  </r>
  <r>
    <x v="1"/>
    <x v="10"/>
    <x v="0"/>
    <n v="9010.629999999999"/>
    <n v="3996.33"/>
    <n v="2057"/>
    <n v="0"/>
    <n v="0"/>
  </r>
  <r>
    <x v="2"/>
    <x v="0"/>
    <x v="0"/>
    <n v="4208.96"/>
    <n v="1579.56"/>
    <n v="1044"/>
    <n v="0"/>
    <n v="0"/>
  </r>
  <r>
    <x v="2"/>
    <x v="1"/>
    <x v="0"/>
    <n v="11358.61"/>
    <n v="3842.21"/>
    <n v="579"/>
    <n v="0"/>
    <n v="0"/>
  </r>
  <r>
    <x v="2"/>
    <x v="2"/>
    <x v="0"/>
    <n v="14012.39"/>
    <n v="7063.94"/>
    <n v="3453"/>
    <n v="0"/>
    <n v="0"/>
  </r>
  <r>
    <x v="2"/>
    <x v="3"/>
    <x v="0"/>
    <n v="12421.77"/>
    <n v="3539.52"/>
    <n v="2173"/>
    <n v="0"/>
    <n v="0"/>
  </r>
  <r>
    <x v="2"/>
    <x v="4"/>
    <x v="0"/>
    <n v="14535.26"/>
    <n v="6725.16"/>
    <n v="1834"/>
    <n v="0"/>
    <n v="0"/>
  </r>
  <r>
    <x v="2"/>
    <x v="5"/>
    <x v="0"/>
    <n v="5031.45"/>
    <n v="2244.15"/>
    <n v="815"/>
    <n v="0"/>
    <n v="0"/>
  </r>
  <r>
    <x v="2"/>
    <x v="6"/>
    <x v="0"/>
    <n v="6643.86"/>
    <n v="2279.86"/>
    <n v="1044"/>
    <n v="0"/>
    <n v="0"/>
  </r>
  <r>
    <x v="2"/>
    <x v="7"/>
    <x v="0"/>
    <n v="1208.57"/>
    <n v="596.97"/>
    <n v="143"/>
    <n v="0"/>
    <n v="0"/>
  </r>
  <r>
    <x v="2"/>
    <x v="8"/>
    <x v="0"/>
    <n v="2051.3"/>
    <n v="839.9"/>
    <n v="250"/>
    <n v="0"/>
    <n v="0"/>
  </r>
  <r>
    <x v="2"/>
    <x v="9"/>
    <x v="0"/>
    <n v="2039.84"/>
    <n v="887.12"/>
    <n v="1296"/>
    <n v="0"/>
    <n v="0"/>
  </r>
  <r>
    <x v="2"/>
    <x v="10"/>
    <x v="0"/>
    <n v="7226.13"/>
    <n v="3242.73"/>
    <n v="1637"/>
    <n v="0"/>
    <n v="0"/>
  </r>
  <r>
    <x v="3"/>
    <x v="0"/>
    <x v="0"/>
    <n v="4155.27"/>
    <n v="1576.27"/>
    <n v="1019"/>
    <n v="0"/>
    <n v="0"/>
  </r>
  <r>
    <x v="3"/>
    <x v="1"/>
    <x v="0"/>
    <n v="10493.58"/>
    <n v="3614.18"/>
    <n v="542"/>
    <n v="0"/>
    <n v="0"/>
  </r>
  <r>
    <x v="3"/>
    <x v="2"/>
    <x v="0"/>
    <n v="13758.5"/>
    <n v="7017.8"/>
    <n v="3390"/>
    <n v="0"/>
    <n v="0"/>
  </r>
  <r>
    <x v="3"/>
    <x v="3"/>
    <x v="0"/>
    <n v="12986.12"/>
    <n v="3539.27"/>
    <n v="2230"/>
    <n v="0"/>
    <n v="0"/>
  </r>
  <r>
    <x v="3"/>
    <x v="4"/>
    <x v="0"/>
    <n v="14424.53"/>
    <n v="6736.33"/>
    <n v="1827"/>
    <n v="0"/>
    <n v="0"/>
  </r>
  <r>
    <x v="3"/>
    <x v="5"/>
    <x v="0"/>
    <n v="5253.45"/>
    <n v="2341.55"/>
    <n v="855"/>
    <n v="0"/>
    <n v="0"/>
  </r>
  <r>
    <x v="3"/>
    <x v="6"/>
    <x v="0"/>
    <n v="6955.59"/>
    <n v="2378.59"/>
    <n v="1091"/>
    <n v="0"/>
    <n v="0"/>
  </r>
  <r>
    <x v="3"/>
    <x v="7"/>
    <x v="0"/>
    <n v="1518.19"/>
    <n v="725.99"/>
    <n v="161"/>
    <n v="0"/>
    <n v="0"/>
  </r>
  <r>
    <x v="3"/>
    <x v="8"/>
    <x v="0"/>
    <n v="2270.18"/>
    <n v="914.1799999999999"/>
    <n v="282"/>
    <n v="0"/>
    <n v="0"/>
  </r>
  <r>
    <x v="3"/>
    <x v="9"/>
    <x v="0"/>
    <n v="2096.25"/>
    <n v="911.13"/>
    <n v="1305"/>
    <n v="0"/>
    <n v="0"/>
  </r>
  <r>
    <x v="3"/>
    <x v="10"/>
    <x v="0"/>
    <n v="7394.89"/>
    <n v="3290.59"/>
    <n v="1691"/>
    <n v="0"/>
    <n v="0"/>
  </r>
  <r>
    <x v="4"/>
    <x v="0"/>
    <x v="0"/>
    <n v="4599.9"/>
    <n v="1787.4"/>
    <n v="1110"/>
    <n v="0"/>
    <n v="0"/>
  </r>
  <r>
    <x v="4"/>
    <x v="1"/>
    <x v="0"/>
    <n v="9424.08"/>
    <n v="3205.78"/>
    <n v="492"/>
    <n v="0"/>
    <n v="0"/>
  </r>
  <r>
    <x v="4"/>
    <x v="2"/>
    <x v="0"/>
    <n v="14475.82"/>
    <n v="7391.27"/>
    <n v="3588"/>
    <n v="0"/>
    <n v="0"/>
  </r>
  <r>
    <x v="4"/>
    <x v="3"/>
    <x v="0"/>
    <n v="13571.89"/>
    <n v="3789.94"/>
    <n v="2359"/>
    <n v="0"/>
    <n v="0"/>
  </r>
  <r>
    <x v="4"/>
    <x v="4"/>
    <x v="0"/>
    <n v="15959.16"/>
    <n v="7574.16"/>
    <n v="2034"/>
    <n v="0"/>
    <n v="0"/>
  </r>
  <r>
    <x v="4"/>
    <x v="5"/>
    <x v="0"/>
    <n v="5477.57"/>
    <n v="2433.27"/>
    <n v="843"/>
    <n v="0"/>
    <n v="0"/>
  </r>
  <r>
    <x v="4"/>
    <x v="6"/>
    <x v="0"/>
    <n v="8066.77"/>
    <n v="2789.77"/>
    <n v="1299"/>
    <n v="0"/>
    <n v="0"/>
  </r>
  <r>
    <x v="4"/>
    <x v="7"/>
    <x v="0"/>
    <n v="1644.69"/>
    <n v="818.6900000000001"/>
    <n v="211"/>
    <n v="0"/>
    <n v="0"/>
  </r>
  <r>
    <x v="4"/>
    <x v="8"/>
    <x v="0"/>
    <n v="2250.23"/>
    <n v="903.73"/>
    <n v="277"/>
    <n v="0"/>
    <n v="0"/>
  </r>
  <r>
    <x v="4"/>
    <x v="9"/>
    <x v="0"/>
    <n v="2138.58"/>
    <n v="920.12"/>
    <n v="1382"/>
    <n v="0"/>
    <n v="0"/>
  </r>
  <r>
    <x v="4"/>
    <x v="10"/>
    <x v="0"/>
    <n v="8420.17"/>
    <n v="3785.07"/>
    <n v="1913"/>
    <n v="0"/>
    <n v="0"/>
  </r>
  <r>
    <x v="5"/>
    <x v="0"/>
    <x v="0"/>
    <n v="4475.71"/>
    <n v="1733.81"/>
    <n v="1079"/>
    <n v="0"/>
    <n v="0"/>
  </r>
  <r>
    <x v="5"/>
    <x v="1"/>
    <x v="0"/>
    <n v="9292.33"/>
    <n v="3182.03"/>
    <n v="487"/>
    <n v="0"/>
    <n v="0"/>
  </r>
  <r>
    <x v="5"/>
    <x v="2"/>
    <x v="0"/>
    <n v="11393.73"/>
    <n v="5817.58"/>
    <n v="2747"/>
    <n v="0"/>
    <n v="0"/>
  </r>
  <r>
    <x v="5"/>
    <x v="3"/>
    <x v="0"/>
    <n v="13071.43"/>
    <n v="3572.23"/>
    <n v="2291"/>
    <n v="0"/>
    <n v="0"/>
  </r>
  <r>
    <x v="5"/>
    <x v="4"/>
    <x v="0"/>
    <n v="14623.37"/>
    <n v="6985.07"/>
    <n v="1923"/>
    <n v="0"/>
    <n v="0"/>
  </r>
  <r>
    <x v="5"/>
    <x v="5"/>
    <x v="0"/>
    <n v="5652.04"/>
    <n v="2460.44"/>
    <n v="796"/>
    <n v="0"/>
    <n v="0"/>
  </r>
  <r>
    <x v="5"/>
    <x v="6"/>
    <x v="0"/>
    <n v="7377.57"/>
    <n v="2584.17"/>
    <n v="1233"/>
    <n v="0"/>
    <n v="0"/>
  </r>
  <r>
    <x v="5"/>
    <x v="7"/>
    <x v="0"/>
    <n v="1551.07"/>
    <n v="773.67"/>
    <n v="193"/>
    <n v="0"/>
    <n v="0"/>
  </r>
  <r>
    <x v="5"/>
    <x v="8"/>
    <x v="0"/>
    <n v="2145.4"/>
    <n v="902.4"/>
    <n v="260"/>
    <n v="0"/>
    <n v="0"/>
  </r>
  <r>
    <x v="5"/>
    <x v="9"/>
    <x v="0"/>
    <n v="1831.33"/>
    <n v="791.47"/>
    <n v="1257"/>
    <n v="0"/>
    <n v="0"/>
  </r>
  <r>
    <x v="5"/>
    <x v="10"/>
    <x v="0"/>
    <n v="7793.32"/>
    <n v="3486.02"/>
    <n v="1778"/>
    <n v="0"/>
    <n v="0"/>
  </r>
  <r>
    <x v="6"/>
    <x v="0"/>
    <x v="0"/>
    <n v="4671.65"/>
    <n v="1806.45"/>
    <n v="1135"/>
    <n v="0"/>
    <n v="0"/>
  </r>
  <r>
    <x v="6"/>
    <x v="1"/>
    <x v="0"/>
    <n v="9463.860000000001"/>
    <n v="3173.46"/>
    <n v="494"/>
    <n v="0"/>
    <n v="0"/>
  </r>
  <r>
    <x v="6"/>
    <x v="2"/>
    <x v="0"/>
    <n v="11043.81"/>
    <n v="5630.26"/>
    <n v="2739"/>
    <n v="0"/>
    <n v="0"/>
  </r>
  <r>
    <x v="6"/>
    <x v="3"/>
    <x v="0"/>
    <n v="13754.9"/>
    <n v="3894"/>
    <n v="2380"/>
    <n v="0"/>
    <n v="0"/>
  </r>
  <r>
    <x v="6"/>
    <x v="4"/>
    <x v="0"/>
    <n v="15203.35"/>
    <n v="7260.35"/>
    <n v="2025"/>
    <n v="0"/>
    <n v="0"/>
  </r>
  <r>
    <x v="6"/>
    <x v="5"/>
    <x v="0"/>
    <n v="6239.82"/>
    <n v="2644.62"/>
    <n v="858"/>
    <n v="0"/>
    <n v="0"/>
  </r>
  <r>
    <x v="6"/>
    <x v="6"/>
    <x v="0"/>
    <n v="8478.73"/>
    <n v="3013.73"/>
    <n v="1485"/>
    <n v="0"/>
    <n v="0"/>
  </r>
  <r>
    <x v="6"/>
    <x v="7"/>
    <x v="0"/>
    <n v="1309.29"/>
    <n v="659.49"/>
    <n v="171"/>
    <n v="0"/>
    <n v="0"/>
  </r>
  <r>
    <x v="6"/>
    <x v="8"/>
    <x v="0"/>
    <n v="2170.41"/>
    <n v="893.11"/>
    <n v="259"/>
    <n v="0"/>
    <n v="0"/>
  </r>
  <r>
    <x v="6"/>
    <x v="9"/>
    <x v="0"/>
    <n v="1715.88"/>
    <n v="745.4400000000001"/>
    <n v="1272"/>
    <n v="0"/>
    <n v="0"/>
  </r>
  <r>
    <x v="6"/>
    <x v="10"/>
    <x v="0"/>
    <n v="8552.41"/>
    <n v="3808.31"/>
    <n v="1943"/>
    <n v="0"/>
    <n v="0"/>
  </r>
  <r>
    <x v="7"/>
    <x v="0"/>
    <x v="0"/>
    <n v="4725.58"/>
    <n v="1835.78"/>
    <n v="1142"/>
    <n v="0"/>
    <n v="0"/>
  </r>
  <r>
    <x v="7"/>
    <x v="1"/>
    <x v="0"/>
    <n v="8844.139999999999"/>
    <n v="2939.84"/>
    <n v="466"/>
    <n v="0"/>
    <n v="0"/>
  </r>
  <r>
    <x v="7"/>
    <x v="2"/>
    <x v="0"/>
    <n v="9073.459999999999"/>
    <n v="4650.71"/>
    <n v="2204"/>
    <n v="0"/>
    <n v="0"/>
  </r>
  <r>
    <x v="7"/>
    <x v="3"/>
    <x v="0"/>
    <n v="12611.87"/>
    <n v="3517.77"/>
    <n v="2153"/>
    <n v="0"/>
    <n v="0"/>
  </r>
  <r>
    <x v="7"/>
    <x v="4"/>
    <x v="0"/>
    <n v="13548.52"/>
    <n v="6554.82"/>
    <n v="1848"/>
    <n v="0"/>
    <n v="0"/>
  </r>
  <r>
    <x v="7"/>
    <x v="5"/>
    <x v="0"/>
    <n v="5728.73"/>
    <n v="2453.03"/>
    <n v="767"/>
    <n v="0"/>
    <n v="0"/>
  </r>
  <r>
    <x v="7"/>
    <x v="6"/>
    <x v="0"/>
    <n v="8602.01"/>
    <n v="3038.41"/>
    <n v="1449"/>
    <n v="0"/>
    <n v="0"/>
  </r>
  <r>
    <x v="7"/>
    <x v="7"/>
    <x v="0"/>
    <n v="1252.06"/>
    <n v="638.0599999999999"/>
    <n v="194"/>
    <n v="0"/>
    <n v="0"/>
  </r>
  <r>
    <x v="7"/>
    <x v="8"/>
    <x v="0"/>
    <n v="2316.32"/>
    <n v="908.72"/>
    <n v="288"/>
    <n v="0"/>
    <n v="0"/>
  </r>
  <r>
    <x v="7"/>
    <x v="9"/>
    <x v="0"/>
    <n v="1317.62"/>
    <n v="577.5599999999999"/>
    <n v="1078"/>
    <n v="0"/>
    <n v="0"/>
  </r>
  <r>
    <x v="7"/>
    <x v="10"/>
    <x v="0"/>
    <n v="7732.32"/>
    <n v="3465.12"/>
    <n v="1748"/>
    <n v="0"/>
    <n v="0"/>
  </r>
  <r>
    <x v="8"/>
    <x v="0"/>
    <x v="0"/>
    <n v="4648.27"/>
    <n v="1742.37"/>
    <n v="1147"/>
    <n v="0"/>
    <n v="0"/>
  </r>
  <r>
    <x v="8"/>
    <x v="1"/>
    <x v="0"/>
    <n v="8437.68"/>
    <n v="2911.68"/>
    <n v="432"/>
    <n v="0"/>
    <n v="0"/>
  </r>
  <r>
    <x v="8"/>
    <x v="2"/>
    <x v="0"/>
    <n v="9648.940000000001"/>
    <n v="4861.24"/>
    <n v="2386"/>
    <n v="0"/>
    <n v="0"/>
  </r>
  <r>
    <x v="8"/>
    <x v="3"/>
    <x v="0"/>
    <n v="13491.79"/>
    <n v="3787.84"/>
    <n v="2331"/>
    <n v="0"/>
    <n v="0"/>
  </r>
  <r>
    <x v="8"/>
    <x v="4"/>
    <x v="0"/>
    <n v="14017.15"/>
    <n v="6905.95"/>
    <n v="1935"/>
    <n v="0"/>
    <n v="0"/>
  </r>
  <r>
    <x v="8"/>
    <x v="5"/>
    <x v="0"/>
    <n v="5938.95"/>
    <n v="2439.85"/>
    <n v="805"/>
    <n v="0"/>
    <n v="0"/>
  </r>
  <r>
    <x v="8"/>
    <x v="6"/>
    <x v="0"/>
    <n v="8919.4"/>
    <n v="3151.9"/>
    <n v="1590"/>
    <n v="0"/>
    <n v="0"/>
  </r>
  <r>
    <x v="8"/>
    <x v="7"/>
    <x v="0"/>
    <n v="1504.8"/>
    <n v="776.6"/>
    <n v="220"/>
    <n v="0"/>
    <n v="0"/>
  </r>
  <r>
    <x v="8"/>
    <x v="8"/>
    <x v="0"/>
    <n v="2272.54"/>
    <n v="943.34"/>
    <n v="266"/>
    <n v="0"/>
    <n v="0"/>
  </r>
  <r>
    <x v="8"/>
    <x v="9"/>
    <x v="0"/>
    <n v="1657.13"/>
    <n v="723.01"/>
    <n v="1217"/>
    <n v="0"/>
    <n v="0"/>
  </r>
  <r>
    <x v="8"/>
    <x v="10"/>
    <x v="0"/>
    <n v="8266.65"/>
    <n v="3712.35"/>
    <n v="1875"/>
    <n v="0"/>
    <n v="0"/>
  </r>
  <r>
    <x v="9"/>
    <x v="0"/>
    <x v="0"/>
    <n v="4842.95"/>
    <n v="1881.95"/>
    <n v="1175"/>
    <n v="0"/>
    <n v="0"/>
  </r>
  <r>
    <x v="9"/>
    <x v="1"/>
    <x v="0"/>
    <n v="8814.459999999999"/>
    <n v="3047.26"/>
    <n v="454"/>
    <n v="0"/>
    <n v="0"/>
  </r>
  <r>
    <x v="9"/>
    <x v="2"/>
    <x v="0"/>
    <n v="9585.290000000001"/>
    <n v="4923.19"/>
    <n v="2331"/>
    <n v="0"/>
    <n v="0"/>
  </r>
  <r>
    <x v="9"/>
    <x v="3"/>
    <x v="0"/>
    <n v="13061.18"/>
    <n v="3604.23"/>
    <n v="2226"/>
    <n v="0"/>
    <n v="0"/>
  </r>
  <r>
    <x v="9"/>
    <x v="4"/>
    <x v="0"/>
    <n v="15104.22"/>
    <n v="7320.12"/>
    <n v="2058"/>
    <n v="0"/>
    <n v="0"/>
  </r>
  <r>
    <x v="9"/>
    <x v="5"/>
    <x v="0"/>
    <n v="5363.27"/>
    <n v="2293.97"/>
    <n v="713"/>
    <n v="0"/>
    <n v="0"/>
  </r>
  <r>
    <x v="9"/>
    <x v="6"/>
    <x v="0"/>
    <n v="9053.09"/>
    <n v="3153.79"/>
    <n v="1531"/>
    <n v="0"/>
    <n v="0"/>
  </r>
  <r>
    <x v="9"/>
    <x v="7"/>
    <x v="0"/>
    <n v="1320.76"/>
    <n v="691.76"/>
    <n v="224"/>
    <n v="0"/>
    <n v="0"/>
  </r>
  <r>
    <x v="9"/>
    <x v="8"/>
    <x v="0"/>
    <n v="2345.83"/>
    <n v="911.13"/>
    <n v="297"/>
    <n v="0"/>
    <n v="0"/>
  </r>
  <r>
    <x v="9"/>
    <x v="9"/>
    <x v="0"/>
    <n v="1575.46"/>
    <n v="688.3"/>
    <n v="1194"/>
    <n v="0"/>
    <n v="0"/>
  </r>
  <r>
    <x v="9"/>
    <x v="10"/>
    <x v="0"/>
    <n v="8589.57"/>
    <n v="3809.37"/>
    <n v="1955"/>
    <n v="0"/>
    <n v="0"/>
  </r>
  <r>
    <x v="10"/>
    <x v="0"/>
    <x v="0"/>
    <n v="4690.63"/>
    <n v="1807.43"/>
    <n v="1147"/>
    <n v="0"/>
    <n v="0"/>
  </r>
  <r>
    <x v="10"/>
    <x v="1"/>
    <x v="0"/>
    <n v="9143.4"/>
    <n v="3127.8"/>
    <n v="480"/>
    <n v="0"/>
    <n v="0"/>
  </r>
  <r>
    <x v="10"/>
    <x v="2"/>
    <x v="0"/>
    <n v="10766.53"/>
    <n v="5444.23"/>
    <n v="2651"/>
    <n v="0"/>
    <n v="0"/>
  </r>
  <r>
    <x v="10"/>
    <x v="3"/>
    <x v="0"/>
    <n v="13637.6"/>
    <n v="3747.15"/>
    <n v="2422"/>
    <n v="0"/>
    <n v="0"/>
  </r>
  <r>
    <x v="10"/>
    <x v="4"/>
    <x v="0"/>
    <n v="14121.73"/>
    <n v="6853.53"/>
    <n v="1877"/>
    <n v="0"/>
    <n v="0"/>
  </r>
  <r>
    <x v="10"/>
    <x v="5"/>
    <x v="0"/>
    <n v="5453.21"/>
    <n v="2343.21"/>
    <n v="779"/>
    <n v="0"/>
    <n v="0"/>
  </r>
  <r>
    <x v="10"/>
    <x v="6"/>
    <x v="0"/>
    <n v="8386.450000000001"/>
    <n v="3002.35"/>
    <n v="1435"/>
    <n v="0"/>
    <n v="0"/>
  </r>
  <r>
    <x v="10"/>
    <x v="7"/>
    <x v="0"/>
    <n v="1351.99"/>
    <n v="700.39"/>
    <n v="201"/>
    <n v="0"/>
    <n v="0"/>
  </r>
  <r>
    <x v="10"/>
    <x v="8"/>
    <x v="0"/>
    <n v="2088.6"/>
    <n v="820"/>
    <n v="260"/>
    <n v="0"/>
    <n v="0"/>
  </r>
  <r>
    <x v="10"/>
    <x v="9"/>
    <x v="0"/>
    <n v="1572.62"/>
    <n v="671.24"/>
    <n v="1128"/>
    <n v="0"/>
    <n v="0"/>
  </r>
  <r>
    <x v="10"/>
    <x v="10"/>
    <x v="0"/>
    <n v="8181.49"/>
    <n v="3647.29"/>
    <n v="1859"/>
    <n v="0"/>
    <n v="0"/>
  </r>
  <r>
    <x v="11"/>
    <x v="0"/>
    <x v="0"/>
    <n v="4843.22"/>
    <n v="1861.32"/>
    <n v="1178"/>
    <n v="0"/>
    <n v="0"/>
  </r>
  <r>
    <x v="11"/>
    <x v="1"/>
    <x v="0"/>
    <n v="11075.1"/>
    <n v="3680.8"/>
    <n v="590"/>
    <n v="0"/>
    <n v="0"/>
  </r>
  <r>
    <x v="11"/>
    <x v="2"/>
    <x v="0"/>
    <n v="12848.37"/>
    <n v="6510.62"/>
    <n v="3173"/>
    <n v="0"/>
    <n v="0"/>
  </r>
  <r>
    <x v="11"/>
    <x v="3"/>
    <x v="0"/>
    <n v="13886.4"/>
    <n v="3881.9"/>
    <n v="2392"/>
    <n v="0"/>
    <n v="0"/>
  </r>
  <r>
    <x v="11"/>
    <x v="4"/>
    <x v="0"/>
    <n v="15861.45"/>
    <n v="7620.15"/>
    <n v="2055"/>
    <n v="0"/>
    <n v="0"/>
  </r>
  <r>
    <x v="11"/>
    <x v="5"/>
    <x v="0"/>
    <n v="6154.89"/>
    <n v="2679.89"/>
    <n v="891"/>
    <n v="0"/>
    <n v="0"/>
  </r>
  <r>
    <x v="11"/>
    <x v="6"/>
    <x v="0"/>
    <n v="8289.73"/>
    <n v="2914.53"/>
    <n v="1397"/>
    <n v="0"/>
    <n v="0"/>
  </r>
  <r>
    <x v="11"/>
    <x v="7"/>
    <x v="0"/>
    <n v="1220.21"/>
    <n v="630.21"/>
    <n v="179"/>
    <n v="0"/>
    <n v="0"/>
  </r>
  <r>
    <x v="11"/>
    <x v="8"/>
    <x v="0"/>
    <n v="2509.35"/>
    <n v="1032.05"/>
    <n v="285"/>
    <n v="0"/>
    <n v="0"/>
  </r>
  <r>
    <x v="11"/>
    <x v="9"/>
    <x v="0"/>
    <n v="1960.4"/>
    <n v="841.52"/>
    <n v="1320"/>
    <n v="0"/>
    <n v="0"/>
  </r>
  <r>
    <x v="11"/>
    <x v="10"/>
    <x v="0"/>
    <n v="8694.780000000001"/>
    <n v="3815.98"/>
    <n v="1992"/>
    <n v="0"/>
    <n v="0"/>
  </r>
  <r>
    <x v="12"/>
    <x v="0"/>
    <x v="0"/>
    <n v="4602.15"/>
    <n v="1692.85"/>
    <n v="1155"/>
    <n v="0"/>
    <n v="0"/>
  </r>
  <r>
    <x v="12"/>
    <x v="1"/>
    <x v="0"/>
    <n v="10505.53"/>
    <n v="3613.03"/>
    <n v="547"/>
    <n v="0"/>
    <n v="0"/>
  </r>
  <r>
    <x v="12"/>
    <x v="2"/>
    <x v="0"/>
    <n v="13854"/>
    <n v="7096.65"/>
    <n v="3400"/>
    <n v="0"/>
    <n v="0"/>
  </r>
  <r>
    <x v="12"/>
    <x v="3"/>
    <x v="0"/>
    <n v="14341.98"/>
    <n v="4087.98"/>
    <n v="2412"/>
    <n v="0"/>
    <n v="0"/>
  </r>
  <r>
    <x v="12"/>
    <x v="4"/>
    <x v="0"/>
    <n v="15347.1"/>
    <n v="7307.2"/>
    <n v="1940"/>
    <n v="0"/>
    <n v="0"/>
  </r>
  <r>
    <x v="12"/>
    <x v="5"/>
    <x v="0"/>
    <n v="5427.65"/>
    <n v="2364.25"/>
    <n v="815"/>
    <n v="0"/>
    <n v="0"/>
  </r>
  <r>
    <x v="12"/>
    <x v="6"/>
    <x v="0"/>
    <n v="7833.67"/>
    <n v="2694.17"/>
    <n v="1269"/>
    <n v="0"/>
    <n v="0"/>
  </r>
  <r>
    <x v="12"/>
    <x v="7"/>
    <x v="0"/>
    <n v="1343.37"/>
    <n v="666.77"/>
    <n v="163"/>
    <n v="0"/>
    <n v="0"/>
  </r>
  <r>
    <x v="12"/>
    <x v="8"/>
    <x v="0"/>
    <n v="2242.31"/>
    <n v="924.41"/>
    <n v="269"/>
    <n v="0"/>
    <n v="0"/>
  </r>
  <r>
    <x v="12"/>
    <x v="9"/>
    <x v="0"/>
    <n v="2016.36"/>
    <n v="877.72"/>
    <n v="1324"/>
    <n v="0"/>
    <n v="0"/>
  </r>
  <r>
    <x v="12"/>
    <x v="10"/>
    <x v="0"/>
    <n v="8124.94"/>
    <n v="3596.54"/>
    <n v="1866"/>
    <n v="0"/>
    <n v="0"/>
  </r>
  <r>
    <x v="13"/>
    <x v="0"/>
    <x v="0"/>
    <n v="5511.33"/>
    <n v="2136.03"/>
    <n v="1337"/>
    <n v="0"/>
    <n v="0"/>
  </r>
  <r>
    <x v="13"/>
    <x v="1"/>
    <x v="0"/>
    <n v="13317.28"/>
    <n v="4354.78"/>
    <n v="692"/>
    <n v="0"/>
    <n v="0"/>
  </r>
  <r>
    <x v="13"/>
    <x v="2"/>
    <x v="0"/>
    <n v="17451.44"/>
    <n v="8780.09"/>
    <n v="4386"/>
    <n v="0"/>
    <n v="0"/>
  </r>
  <r>
    <x v="13"/>
    <x v="3"/>
    <x v="0"/>
    <n v="15001.63"/>
    <n v="4260.58"/>
    <n v="2551"/>
    <n v="0"/>
    <n v="0"/>
  </r>
  <r>
    <x v="13"/>
    <x v="4"/>
    <x v="0"/>
    <n v="17693.85"/>
    <n v="8394.75"/>
    <n v="2215"/>
    <n v="0"/>
    <n v="0"/>
  </r>
  <r>
    <x v="13"/>
    <x v="5"/>
    <x v="0"/>
    <n v="5789.71"/>
    <n v="2604.51"/>
    <n v="929"/>
    <n v="0"/>
    <n v="0"/>
  </r>
  <r>
    <x v="13"/>
    <x v="6"/>
    <x v="0"/>
    <n v="8345.77"/>
    <n v="2864.07"/>
    <n v="1347"/>
    <n v="0"/>
    <n v="0"/>
  </r>
  <r>
    <x v="13"/>
    <x v="7"/>
    <x v="0"/>
    <n v="1284.47"/>
    <n v="630.47"/>
    <n v="153"/>
    <n v="0"/>
    <n v="0"/>
  </r>
  <r>
    <x v="13"/>
    <x v="8"/>
    <x v="0"/>
    <n v="2466.05"/>
    <n v="977.75"/>
    <n v="295"/>
    <n v="0"/>
    <n v="0"/>
  </r>
  <r>
    <x v="13"/>
    <x v="9"/>
    <x v="0"/>
    <n v="2416.57"/>
    <n v="1049.09"/>
    <n v="1513"/>
    <n v="0"/>
    <n v="0"/>
  </r>
  <r>
    <x v="13"/>
    <x v="10"/>
    <x v="0"/>
    <n v="8961.67"/>
    <n v="3969.67"/>
    <n v="2067"/>
    <n v="0"/>
    <n v="0"/>
  </r>
  <r>
    <x v="14"/>
    <x v="0"/>
    <x v="0"/>
    <n v="4281.44"/>
    <n v="1661.04"/>
    <n v="1036"/>
    <n v="0"/>
    <n v="0"/>
  </r>
  <r>
    <x v="14"/>
    <x v="1"/>
    <x v="0"/>
    <n v="11859.8"/>
    <n v="4086.5"/>
    <n v="620"/>
    <n v="0"/>
    <n v="0"/>
  </r>
  <r>
    <x v="14"/>
    <x v="2"/>
    <x v="0"/>
    <n v="14043.27"/>
    <n v="7192.42"/>
    <n v="3473"/>
    <n v="0"/>
    <n v="0"/>
  </r>
  <r>
    <x v="14"/>
    <x v="3"/>
    <x v="0"/>
    <n v="12543.02"/>
    <n v="3453.42"/>
    <n v="2196"/>
    <n v="0"/>
    <n v="0"/>
  </r>
  <r>
    <x v="14"/>
    <x v="4"/>
    <x v="0"/>
    <n v="15337.61"/>
    <n v="7200.11"/>
    <n v="1909"/>
    <n v="0"/>
    <n v="0"/>
  </r>
  <r>
    <x v="14"/>
    <x v="5"/>
    <x v="0"/>
    <n v="5467.39"/>
    <n v="2429.79"/>
    <n v="841"/>
    <n v="0"/>
    <n v="0"/>
  </r>
  <r>
    <x v="14"/>
    <x v="6"/>
    <x v="0"/>
    <n v="6720.75"/>
    <n v="2282.95"/>
    <n v="1055"/>
    <n v="0"/>
    <n v="0"/>
  </r>
  <r>
    <x v="14"/>
    <x v="7"/>
    <x v="0"/>
    <n v="1767.19"/>
    <n v="850.59"/>
    <n v="181"/>
    <n v="0"/>
    <n v="0"/>
  </r>
  <r>
    <x v="14"/>
    <x v="8"/>
    <x v="0"/>
    <n v="2340.06"/>
    <n v="945.86"/>
    <n v="294"/>
    <n v="0"/>
    <n v="0"/>
  </r>
  <r>
    <x v="14"/>
    <x v="9"/>
    <x v="0"/>
    <n v="2178.64"/>
    <n v="930.74"/>
    <n v="1336"/>
    <n v="0"/>
    <n v="0"/>
  </r>
  <r>
    <x v="14"/>
    <x v="10"/>
    <x v="0"/>
    <n v="7742.34"/>
    <n v="3349.84"/>
    <n v="1800"/>
    <n v="0"/>
    <n v="0"/>
  </r>
  <r>
    <x v="15"/>
    <x v="0"/>
    <x v="0"/>
    <n v="4381.72"/>
    <n v="1670.32"/>
    <n v="1076"/>
    <n v="0"/>
    <n v="0"/>
  </r>
  <r>
    <x v="15"/>
    <x v="1"/>
    <x v="0"/>
    <n v="11888.7"/>
    <n v="3934.9"/>
    <n v="630"/>
    <n v="0"/>
    <n v="0"/>
  </r>
  <r>
    <x v="15"/>
    <x v="2"/>
    <x v="0"/>
    <n v="14469.74"/>
    <n v="7424.19"/>
    <n v="3526"/>
    <n v="0"/>
    <n v="0"/>
  </r>
  <r>
    <x v="15"/>
    <x v="3"/>
    <x v="0"/>
    <n v="13028.62"/>
    <n v="3654.17"/>
    <n v="2218"/>
    <n v="0"/>
    <n v="0"/>
  </r>
  <r>
    <x v="15"/>
    <x v="4"/>
    <x v="0"/>
    <n v="14791.86"/>
    <n v="6986.16"/>
    <n v="1854"/>
    <n v="0"/>
    <n v="0"/>
  </r>
  <r>
    <x v="15"/>
    <x v="5"/>
    <x v="0"/>
    <n v="5652.48"/>
    <n v="2486.68"/>
    <n v="872"/>
    <n v="0"/>
    <n v="0"/>
  </r>
  <r>
    <x v="15"/>
    <x v="6"/>
    <x v="0"/>
    <n v="6726.77"/>
    <n v="2336.87"/>
    <n v="1123"/>
    <n v="0"/>
    <n v="0"/>
  </r>
  <r>
    <x v="15"/>
    <x v="7"/>
    <x v="0"/>
    <n v="1388.49"/>
    <n v="651.89"/>
    <n v="151"/>
    <n v="0"/>
    <n v="0"/>
  </r>
  <r>
    <x v="15"/>
    <x v="8"/>
    <x v="0"/>
    <n v="2040.5"/>
    <n v="816.5"/>
    <n v="250"/>
    <n v="0"/>
    <n v="0"/>
  </r>
  <r>
    <x v="15"/>
    <x v="9"/>
    <x v="0"/>
    <n v="1969.9"/>
    <n v="845.8"/>
    <n v="1260"/>
    <n v="0"/>
    <n v="0"/>
  </r>
  <r>
    <x v="15"/>
    <x v="10"/>
    <x v="0"/>
    <n v="7725.63"/>
    <n v="3456.63"/>
    <n v="1777"/>
    <n v="0"/>
    <n v="0"/>
  </r>
  <r>
    <x v="16"/>
    <x v="0"/>
    <x v="0"/>
    <n v="4648.97"/>
    <n v="1783.07"/>
    <n v="1127"/>
    <n v="0"/>
    <n v="0"/>
  </r>
  <r>
    <x v="16"/>
    <x v="1"/>
    <x v="0"/>
    <n v="11224.21"/>
    <n v="3873.51"/>
    <n v="579"/>
    <n v="0"/>
    <n v="0"/>
  </r>
  <r>
    <x v="16"/>
    <x v="2"/>
    <x v="0"/>
    <n v="15274.67"/>
    <n v="7823.52"/>
    <n v="3721"/>
    <n v="0"/>
    <n v="0"/>
  </r>
  <r>
    <x v="16"/>
    <x v="3"/>
    <x v="0"/>
    <n v="14328.13"/>
    <n v="3918.58"/>
    <n v="2523"/>
    <n v="0"/>
    <n v="0"/>
  </r>
  <r>
    <x v="16"/>
    <x v="4"/>
    <x v="0"/>
    <n v="16596.74"/>
    <n v="7893.54"/>
    <n v="2106"/>
    <n v="0"/>
    <n v="0"/>
  </r>
  <r>
    <x v="16"/>
    <x v="5"/>
    <x v="0"/>
    <n v="5556.4"/>
    <n v="2473.3"/>
    <n v="860"/>
    <n v="0"/>
    <n v="0"/>
  </r>
  <r>
    <x v="16"/>
    <x v="6"/>
    <x v="0"/>
    <n v="7658.37"/>
    <n v="2663.37"/>
    <n v="1289"/>
    <n v="0"/>
    <n v="0"/>
  </r>
  <r>
    <x v="16"/>
    <x v="7"/>
    <x v="0"/>
    <n v="1517.52"/>
    <n v="748.12"/>
    <n v="188"/>
    <n v="0"/>
    <n v="0"/>
  </r>
  <r>
    <x v="16"/>
    <x v="8"/>
    <x v="0"/>
    <n v="2350.21"/>
    <n v="994.11"/>
    <n v="279"/>
    <n v="0"/>
    <n v="0"/>
  </r>
  <r>
    <x v="16"/>
    <x v="9"/>
    <x v="0"/>
    <n v="2164.05"/>
    <n v="942.01"/>
    <n v="1405"/>
    <n v="0"/>
    <n v="0"/>
  </r>
  <r>
    <x v="16"/>
    <x v="10"/>
    <x v="0"/>
    <n v="8536.48"/>
    <n v="3832.08"/>
    <n v="1942"/>
    <n v="0"/>
    <n v="0"/>
  </r>
  <r>
    <x v="17"/>
    <x v="0"/>
    <x v="0"/>
    <n v="4625.79"/>
    <n v="1759.39"/>
    <n v="1141"/>
    <n v="0"/>
    <n v="0"/>
  </r>
  <r>
    <x v="17"/>
    <x v="1"/>
    <x v="0"/>
    <n v="9676.52"/>
    <n v="3215.02"/>
    <n v="508"/>
    <n v="0"/>
    <n v="0"/>
  </r>
  <r>
    <x v="17"/>
    <x v="2"/>
    <x v="0"/>
    <n v="12524.09"/>
    <n v="6374.14"/>
    <n v="3081"/>
    <n v="0"/>
    <n v="0"/>
  </r>
  <r>
    <x v="17"/>
    <x v="3"/>
    <x v="0"/>
    <n v="13860.95"/>
    <n v="3828.4"/>
    <n v="2379"/>
    <n v="0"/>
    <n v="0"/>
  </r>
  <r>
    <x v="17"/>
    <x v="4"/>
    <x v="0"/>
    <n v="14309.01"/>
    <n v="6794.51"/>
    <n v="1889"/>
    <n v="0"/>
    <n v="0"/>
  </r>
  <r>
    <x v="17"/>
    <x v="5"/>
    <x v="0"/>
    <n v="5627.75"/>
    <n v="2475.45"/>
    <n v="825"/>
    <n v="0"/>
    <n v="0"/>
  </r>
  <r>
    <x v="17"/>
    <x v="6"/>
    <x v="0"/>
    <n v="8187.63"/>
    <n v="2721.53"/>
    <n v="1315"/>
    <n v="0"/>
    <n v="0"/>
  </r>
  <r>
    <x v="17"/>
    <x v="7"/>
    <x v="0"/>
    <n v="1426.19"/>
    <n v="714.1900000000001"/>
    <n v="181"/>
    <n v="0"/>
    <n v="0"/>
  </r>
  <r>
    <x v="17"/>
    <x v="8"/>
    <x v="0"/>
    <n v="2181.87"/>
    <n v="846.37"/>
    <n v="273"/>
    <n v="0"/>
    <n v="0"/>
  </r>
  <r>
    <x v="17"/>
    <x v="9"/>
    <x v="0"/>
    <n v="1885.88"/>
    <n v="811.34"/>
    <n v="1272"/>
    <n v="0"/>
    <n v="0"/>
  </r>
  <r>
    <x v="17"/>
    <x v="10"/>
    <x v="0"/>
    <n v="8577.08"/>
    <n v="3835.98"/>
    <n v="1942"/>
    <n v="0"/>
    <n v="0"/>
  </r>
  <r>
    <x v="18"/>
    <x v="0"/>
    <x v="0"/>
    <n v="4688.82"/>
    <n v="1781.32"/>
    <n v="1158"/>
    <n v="0"/>
    <n v="0"/>
  </r>
  <r>
    <x v="18"/>
    <x v="1"/>
    <x v="0"/>
    <n v="9608.98"/>
    <n v="3326.18"/>
    <n v="502"/>
    <n v="0"/>
    <n v="0"/>
  </r>
  <r>
    <x v="18"/>
    <x v="2"/>
    <x v="0"/>
    <n v="11145.84"/>
    <n v="5598.39"/>
    <n v="2742"/>
    <n v="0"/>
    <n v="0"/>
  </r>
  <r>
    <x v="18"/>
    <x v="3"/>
    <x v="0"/>
    <n v="14187.93"/>
    <n v="3793.98"/>
    <n v="2491"/>
    <n v="0"/>
    <n v="0"/>
  </r>
  <r>
    <x v="18"/>
    <x v="4"/>
    <x v="0"/>
    <n v="16230.61"/>
    <n v="7717.71"/>
    <n v="2149"/>
    <n v="0"/>
    <n v="0"/>
  </r>
  <r>
    <x v="18"/>
    <x v="5"/>
    <x v="0"/>
    <n v="6031.23"/>
    <n v="2612.83"/>
    <n v="857"/>
    <n v="0"/>
    <n v="0"/>
  </r>
  <r>
    <x v="18"/>
    <x v="6"/>
    <x v="0"/>
    <n v="8359.299999999999"/>
    <n v="2962.4"/>
    <n v="1452"/>
    <n v="0"/>
    <n v="0"/>
  </r>
  <r>
    <x v="18"/>
    <x v="7"/>
    <x v="0"/>
    <n v="1441.44"/>
    <n v="739.4400000000001"/>
    <n v="216"/>
    <n v="0"/>
    <n v="0"/>
  </r>
  <r>
    <x v="18"/>
    <x v="8"/>
    <x v="0"/>
    <n v="2411.12"/>
    <n v="1016.92"/>
    <n v="288"/>
    <n v="0"/>
    <n v="0"/>
  </r>
  <r>
    <x v="18"/>
    <x v="9"/>
    <x v="0"/>
    <n v="2021.04"/>
    <n v="868.54"/>
    <n v="1438"/>
    <n v="0"/>
    <n v="0"/>
  </r>
  <r>
    <x v="18"/>
    <x v="10"/>
    <x v="0"/>
    <n v="8652.780000000001"/>
    <n v="3790.58"/>
    <n v="1992"/>
    <n v="0"/>
    <n v="0"/>
  </r>
  <r>
    <x v="19"/>
    <x v="0"/>
    <x v="0"/>
    <n v="4838.66"/>
    <n v="1820.96"/>
    <n v="1184"/>
    <n v="0"/>
    <n v="0"/>
  </r>
  <r>
    <x v="19"/>
    <x v="1"/>
    <x v="0"/>
    <n v="7951.81"/>
    <n v="2717.51"/>
    <n v="419"/>
    <n v="0"/>
    <n v="0"/>
  </r>
  <r>
    <x v="19"/>
    <x v="2"/>
    <x v="0"/>
    <n v="10068.78"/>
    <n v="5177.18"/>
    <n v="2442"/>
    <n v="0"/>
    <n v="0"/>
  </r>
  <r>
    <x v="19"/>
    <x v="3"/>
    <x v="0"/>
    <n v="13570.57"/>
    <n v="3746.32"/>
    <n v="2403"/>
    <n v="0"/>
    <n v="0"/>
  </r>
  <r>
    <x v="19"/>
    <x v="4"/>
    <x v="0"/>
    <n v="15092.24"/>
    <n v="7200.94"/>
    <n v="2056"/>
    <n v="0"/>
    <n v="0"/>
  </r>
  <r>
    <x v="19"/>
    <x v="5"/>
    <x v="0"/>
    <n v="5507.31"/>
    <n v="2396.91"/>
    <n v="769"/>
    <n v="0"/>
    <n v="0"/>
  </r>
  <r>
    <x v="19"/>
    <x v="6"/>
    <x v="0"/>
    <n v="8800.23"/>
    <n v="3110.03"/>
    <n v="1507"/>
    <n v="0"/>
    <n v="0"/>
  </r>
  <r>
    <x v="19"/>
    <x v="7"/>
    <x v="0"/>
    <n v="1268.95"/>
    <n v="670.35"/>
    <n v="205"/>
    <n v="0"/>
    <n v="0"/>
  </r>
  <r>
    <x v="19"/>
    <x v="8"/>
    <x v="0"/>
    <n v="2361.22"/>
    <n v="1005.82"/>
    <n v="278"/>
    <n v="0"/>
    <n v="0"/>
  </r>
  <r>
    <x v="19"/>
    <x v="9"/>
    <x v="0"/>
    <n v="1630.33"/>
    <n v="704.03"/>
    <n v="1327"/>
    <n v="0"/>
    <n v="0"/>
  </r>
  <r>
    <x v="19"/>
    <x v="10"/>
    <x v="0"/>
    <n v="8736.940000000001"/>
    <n v="3908.24"/>
    <n v="1996"/>
    <n v="0"/>
    <n v="0"/>
  </r>
  <r>
    <x v="20"/>
    <x v="0"/>
    <x v="0"/>
    <n v="5343.26"/>
    <n v="2066.06"/>
    <n v="1284"/>
    <n v="0"/>
    <n v="0"/>
  </r>
  <r>
    <x v="20"/>
    <x v="1"/>
    <x v="0"/>
    <n v="8381.879999999999"/>
    <n v="2876.28"/>
    <n v="432"/>
    <n v="0"/>
    <n v="0"/>
  </r>
  <r>
    <x v="20"/>
    <x v="2"/>
    <x v="0"/>
    <n v="10020.53"/>
    <n v="5173.08"/>
    <n v="2447"/>
    <n v="0"/>
    <n v="0"/>
  </r>
  <r>
    <x v="20"/>
    <x v="3"/>
    <x v="0"/>
    <n v="14327.61"/>
    <n v="3994.81"/>
    <n v="2529"/>
    <n v="0"/>
    <n v="0"/>
  </r>
  <r>
    <x v="20"/>
    <x v="4"/>
    <x v="0"/>
    <n v="14813.02"/>
    <n v="7198.92"/>
    <n v="2068"/>
    <n v="0"/>
    <n v="0"/>
  </r>
  <r>
    <x v="20"/>
    <x v="5"/>
    <x v="0"/>
    <n v="5965.67"/>
    <n v="2567.97"/>
    <n v="833"/>
    <n v="0"/>
    <n v="0"/>
  </r>
  <r>
    <x v="20"/>
    <x v="6"/>
    <x v="0"/>
    <n v="9157.309999999999"/>
    <n v="3235.91"/>
    <n v="1599"/>
    <n v="0"/>
    <n v="0"/>
  </r>
  <r>
    <x v="20"/>
    <x v="7"/>
    <x v="0"/>
    <n v="1397.93"/>
    <n v="723.53"/>
    <n v="207"/>
    <n v="0"/>
    <n v="0"/>
  </r>
  <r>
    <x v="20"/>
    <x v="8"/>
    <x v="0"/>
    <n v="2245.44"/>
    <n v="953.4400000000001"/>
    <n v="256"/>
    <n v="0"/>
    <n v="0"/>
  </r>
  <r>
    <x v="20"/>
    <x v="9"/>
    <x v="0"/>
    <n v="1770.89"/>
    <n v="752.47"/>
    <n v="1337"/>
    <n v="0"/>
    <n v="0"/>
  </r>
  <r>
    <x v="20"/>
    <x v="10"/>
    <x v="0"/>
    <n v="8822.450000000001"/>
    <n v="3901.05"/>
    <n v="2041"/>
    <n v="0"/>
    <n v="0"/>
  </r>
  <r>
    <x v="21"/>
    <x v="0"/>
    <x v="0"/>
    <n v="4607"/>
    <n v="1776.7"/>
    <n v="1110"/>
    <n v="0"/>
    <n v="0"/>
  </r>
  <r>
    <x v="21"/>
    <x v="1"/>
    <x v="0"/>
    <n v="9143.309999999999"/>
    <n v="3159.81"/>
    <n v="469"/>
    <n v="0"/>
    <n v="0"/>
  </r>
  <r>
    <x v="21"/>
    <x v="2"/>
    <x v="0"/>
    <n v="10506.81"/>
    <n v="5355.26"/>
    <n v="2613"/>
    <n v="0"/>
    <n v="0"/>
  </r>
  <r>
    <x v="21"/>
    <x v="3"/>
    <x v="0"/>
    <n v="13810.59"/>
    <n v="3889.64"/>
    <n v="2381"/>
    <n v="0"/>
    <n v="0"/>
  </r>
  <r>
    <x v="21"/>
    <x v="4"/>
    <x v="0"/>
    <n v="15157.74"/>
    <n v="7367.74"/>
    <n v="2076"/>
    <n v="0"/>
    <n v="0"/>
  </r>
  <r>
    <x v="21"/>
    <x v="5"/>
    <x v="0"/>
    <n v="6153.5"/>
    <n v="2664.3"/>
    <n v="850"/>
    <n v="0"/>
    <n v="0"/>
  </r>
  <r>
    <x v="21"/>
    <x v="6"/>
    <x v="0"/>
    <n v="9380.76"/>
    <n v="3282.46"/>
    <n v="1584"/>
    <n v="0"/>
    <n v="0"/>
  </r>
  <r>
    <x v="21"/>
    <x v="7"/>
    <x v="0"/>
    <n v="1353.98"/>
    <n v="687.58"/>
    <n v="202"/>
    <n v="0"/>
    <n v="0"/>
  </r>
  <r>
    <x v="21"/>
    <x v="8"/>
    <x v="0"/>
    <n v="2315.16"/>
    <n v="950.36"/>
    <n v="284"/>
    <n v="0"/>
    <n v="0"/>
  </r>
  <r>
    <x v="21"/>
    <x v="9"/>
    <x v="0"/>
    <n v="1708.04"/>
    <n v="737.36"/>
    <n v="1266"/>
    <n v="0"/>
    <n v="0"/>
  </r>
  <r>
    <x v="21"/>
    <x v="10"/>
    <x v="0"/>
    <n v="8870.33"/>
    <n v="3909.83"/>
    <n v="2007"/>
    <n v="0"/>
    <n v="0"/>
  </r>
  <r>
    <x v="22"/>
    <x v="0"/>
    <x v="0"/>
    <n v="4913.91"/>
    <n v="1891.61"/>
    <n v="1199"/>
    <n v="0"/>
    <n v="0"/>
  </r>
  <r>
    <x v="22"/>
    <x v="1"/>
    <x v="0"/>
    <n v="9356.67"/>
    <n v="3121.97"/>
    <n v="493"/>
    <n v="0"/>
    <n v="0"/>
  </r>
  <r>
    <x v="22"/>
    <x v="2"/>
    <x v="0"/>
    <n v="11231.05"/>
    <n v="5753.1"/>
    <n v="2755"/>
    <n v="0"/>
    <n v="0"/>
  </r>
  <r>
    <x v="22"/>
    <x v="3"/>
    <x v="0"/>
    <n v="13548.15"/>
    <n v="3703"/>
    <n v="2353"/>
    <n v="0"/>
    <n v="0"/>
  </r>
  <r>
    <x v="22"/>
    <x v="4"/>
    <x v="0"/>
    <n v="14982.49"/>
    <n v="7280.39"/>
    <n v="2001"/>
    <n v="0"/>
    <n v="0"/>
  </r>
  <r>
    <x v="22"/>
    <x v="5"/>
    <x v="0"/>
    <n v="6095.34"/>
    <n v="2541.44"/>
    <n v="866"/>
    <n v="0"/>
    <n v="0"/>
  </r>
  <r>
    <x v="22"/>
    <x v="6"/>
    <x v="0"/>
    <n v="9436.6"/>
    <n v="3300"/>
    <n v="1590"/>
    <n v="0"/>
    <n v="0"/>
  </r>
  <r>
    <x v="22"/>
    <x v="7"/>
    <x v="0"/>
    <n v="1481.94"/>
    <n v="756.34"/>
    <n v="206"/>
    <n v="0"/>
    <n v="0"/>
  </r>
  <r>
    <x v="22"/>
    <x v="8"/>
    <x v="0"/>
    <n v="2340.19"/>
    <n v="993.29"/>
    <n v="281"/>
    <n v="0"/>
    <n v="0"/>
  </r>
  <r>
    <x v="22"/>
    <x v="9"/>
    <x v="0"/>
    <n v="1825.06"/>
    <n v="796.8"/>
    <n v="1334"/>
    <n v="0"/>
    <n v="0"/>
  </r>
  <r>
    <x v="22"/>
    <x v="10"/>
    <x v="0"/>
    <n v="8991.67"/>
    <n v="3999.17"/>
    <n v="2069"/>
    <n v="0"/>
    <n v="0"/>
  </r>
  <r>
    <x v="23"/>
    <x v="0"/>
    <x v="2"/>
    <n v="4943.77"/>
    <n v="1888.52"/>
    <n v="0"/>
    <n v="4672.12"/>
    <n v="5215.42"/>
  </r>
  <r>
    <x v="23"/>
    <x v="1"/>
    <x v="2"/>
    <n v="10507.4"/>
    <n v="3551.5"/>
    <n v="0"/>
    <n v="9930.049999999999"/>
    <n v="11084.76"/>
  </r>
  <r>
    <x v="23"/>
    <x v="2"/>
    <x v="2"/>
    <n v="13540.3"/>
    <n v="6905.55"/>
    <n v="0"/>
    <n v="12796.3"/>
    <n v="14284.3"/>
  </r>
  <r>
    <x v="23"/>
    <x v="3"/>
    <x v="2"/>
    <n v="13890.05"/>
    <n v="3861.43"/>
    <n v="0"/>
    <n v="13126.83"/>
    <n v="14653.27"/>
  </r>
  <r>
    <x v="23"/>
    <x v="4"/>
    <x v="2"/>
    <n v="15410.67"/>
    <n v="7366.3"/>
    <n v="0"/>
    <n v="14563.9"/>
    <n v="16257.45"/>
  </r>
  <r>
    <x v="23"/>
    <x v="5"/>
    <x v="2"/>
    <n v="6307.83"/>
    <n v="2750.21"/>
    <n v="0"/>
    <n v="5961.23"/>
    <n v="6654.43"/>
  </r>
  <r>
    <x v="23"/>
    <x v="6"/>
    <x v="2"/>
    <n v="8471.629999999999"/>
    <n v="2948.13"/>
    <n v="0"/>
    <n v="8006.13"/>
    <n v="8937.120000000001"/>
  </r>
  <r>
    <x v="23"/>
    <x v="7"/>
    <x v="2"/>
    <n v="1380.67"/>
    <n v="691.71"/>
    <n v="0"/>
    <n v="1304.8"/>
    <n v="1456.53"/>
  </r>
  <r>
    <x v="23"/>
    <x v="8"/>
    <x v="2"/>
    <n v="2484.78"/>
    <n v="1023.73"/>
    <n v="0"/>
    <n v="2348.25"/>
    <n v="2621.31"/>
  </r>
  <r>
    <x v="23"/>
    <x v="9"/>
    <x v="2"/>
    <n v="2071.94"/>
    <n v="893.01"/>
    <n v="0"/>
    <n v="1958.09"/>
    <n v="2185.79"/>
  </r>
  <r>
    <x v="23"/>
    <x v="10"/>
    <x v="2"/>
    <n v="9033.620000000001"/>
    <n v="4001.89"/>
    <n v="0"/>
    <n v="8537.24"/>
    <n v="9529.99"/>
  </r>
  <r>
    <x v="24"/>
    <x v="0"/>
    <x v="1"/>
    <n v="4723.24"/>
    <n v="0"/>
    <n v="0"/>
    <n v="4463.71"/>
    <n v="4982.77"/>
  </r>
  <r>
    <x v="24"/>
    <x v="1"/>
    <x v="1"/>
    <n v="10550.96"/>
    <n v="0"/>
    <n v="0"/>
    <n v="9971.209999999999"/>
    <n v="11130.71"/>
  </r>
  <r>
    <x v="24"/>
    <x v="2"/>
    <x v="1"/>
    <n v="14690.17"/>
    <n v="0"/>
    <n v="0"/>
    <n v="13882.99"/>
    <n v="15497.36"/>
  </r>
  <r>
    <x v="24"/>
    <x v="3"/>
    <x v="1"/>
    <n v="14884.88"/>
    <n v="0"/>
    <n v="0"/>
    <n v="14067"/>
    <n v="15702.77"/>
  </r>
  <r>
    <x v="24"/>
    <x v="4"/>
    <x v="1"/>
    <n v="15677.09"/>
    <n v="0"/>
    <n v="0"/>
    <n v="14815.67"/>
    <n v="16538.5"/>
  </r>
  <r>
    <x v="24"/>
    <x v="5"/>
    <x v="1"/>
    <n v="5895.24"/>
    <n v="0"/>
    <n v="0"/>
    <n v="5571.31"/>
    <n v="6219.17"/>
  </r>
  <r>
    <x v="24"/>
    <x v="6"/>
    <x v="1"/>
    <n v="8195.290000000001"/>
    <n v="0"/>
    <n v="0"/>
    <n v="7744.98"/>
    <n v="8645.6"/>
  </r>
  <r>
    <x v="24"/>
    <x v="7"/>
    <x v="1"/>
    <n v="1462.96"/>
    <n v="0"/>
    <n v="0"/>
    <n v="1382.58"/>
    <n v="1543.35"/>
  </r>
  <r>
    <x v="24"/>
    <x v="8"/>
    <x v="1"/>
    <n v="2298.83"/>
    <n v="0"/>
    <n v="0"/>
    <n v="2172.51"/>
    <n v="2425.14"/>
  </r>
  <r>
    <x v="24"/>
    <x v="9"/>
    <x v="1"/>
    <n v="2236.94"/>
    <n v="0"/>
    <n v="0"/>
    <n v="2114.02"/>
    <n v="2359.85"/>
  </r>
  <r>
    <x v="24"/>
    <x v="10"/>
    <x v="1"/>
    <n v="8614.549999999999"/>
    <n v="0"/>
    <n v="0"/>
    <n v="8141.2"/>
    <n v="9087.9"/>
  </r>
  <r>
    <x v="25"/>
    <x v="0"/>
    <x v="1"/>
    <n v="5656.34"/>
    <n v="0"/>
    <n v="0"/>
    <n v="5345.54"/>
    <n v="5967.14"/>
  </r>
  <r>
    <x v="25"/>
    <x v="1"/>
    <x v="1"/>
    <n v="13374.87"/>
    <n v="0"/>
    <n v="0"/>
    <n v="12639.95"/>
    <n v="14109.78"/>
  </r>
  <r>
    <x v="25"/>
    <x v="2"/>
    <x v="1"/>
    <n v="18504.74"/>
    <n v="0"/>
    <n v="0"/>
    <n v="17487.95"/>
    <n v="19521.53"/>
  </r>
  <r>
    <x v="25"/>
    <x v="3"/>
    <x v="1"/>
    <n v="15569.5"/>
    <n v="0"/>
    <n v="0"/>
    <n v="14714"/>
    <n v="16425"/>
  </r>
  <r>
    <x v="25"/>
    <x v="4"/>
    <x v="1"/>
    <n v="18074.29"/>
    <n v="0"/>
    <n v="0"/>
    <n v="17081.16"/>
    <n v="19067.43"/>
  </r>
  <r>
    <x v="25"/>
    <x v="5"/>
    <x v="1"/>
    <n v="6288.49"/>
    <n v="0"/>
    <n v="0"/>
    <n v="5942.96"/>
    <n v="6634.03"/>
  </r>
  <r>
    <x v="25"/>
    <x v="6"/>
    <x v="1"/>
    <n v="8731.030000000001"/>
    <n v="0"/>
    <n v="0"/>
    <n v="8251.280000000001"/>
    <n v="9210.780000000001"/>
  </r>
  <r>
    <x v="25"/>
    <x v="7"/>
    <x v="1"/>
    <n v="1398.82"/>
    <n v="0"/>
    <n v="0"/>
    <n v="1321.96"/>
    <n v="1475.68"/>
  </r>
  <r>
    <x v="25"/>
    <x v="8"/>
    <x v="1"/>
    <n v="2528.21"/>
    <n v="0"/>
    <n v="0"/>
    <n v="2389.29"/>
    <n v="2667.13"/>
  </r>
  <r>
    <x v="25"/>
    <x v="9"/>
    <x v="1"/>
    <n v="2680.93"/>
    <n v="0"/>
    <n v="0"/>
    <n v="2533.62"/>
    <n v="2828.24"/>
  </r>
  <r>
    <x v="25"/>
    <x v="10"/>
    <x v="1"/>
    <n v="9501.700000000001"/>
    <n v="0"/>
    <n v="0"/>
    <n v="8979.610000000001"/>
    <n v="10023.79"/>
  </r>
  <r>
    <x v="26"/>
    <x v="0"/>
    <x v="1"/>
    <n v="4394.09"/>
    <n v="0"/>
    <n v="0"/>
    <n v="4152.65"/>
    <n v="4635.53"/>
  </r>
  <r>
    <x v="26"/>
    <x v="1"/>
    <x v="1"/>
    <n v="11911.08"/>
    <n v="0"/>
    <n v="0"/>
    <n v="11256.6"/>
    <n v="12565.57"/>
  </r>
  <r>
    <x v="26"/>
    <x v="2"/>
    <x v="1"/>
    <n v="14890.87"/>
    <n v="0"/>
    <n v="0"/>
    <n v="14072.65"/>
    <n v="15709.08"/>
  </r>
  <r>
    <x v="26"/>
    <x v="3"/>
    <x v="1"/>
    <n v="13017.82"/>
    <n v="0"/>
    <n v="0"/>
    <n v="12302.53"/>
    <n v="13733.12"/>
  </r>
  <r>
    <x v="26"/>
    <x v="4"/>
    <x v="1"/>
    <n v="15667.39"/>
    <n v="0"/>
    <n v="0"/>
    <n v="14806.51"/>
    <n v="16528.27"/>
  </r>
  <r>
    <x v="26"/>
    <x v="5"/>
    <x v="1"/>
    <n v="5938.41"/>
    <n v="0"/>
    <n v="0"/>
    <n v="5612.11"/>
    <n v="6264.71"/>
  </r>
  <r>
    <x v="26"/>
    <x v="6"/>
    <x v="1"/>
    <n v="7030.99"/>
    <n v="0"/>
    <n v="0"/>
    <n v="6644.66"/>
    <n v="7417.33"/>
  </r>
  <r>
    <x v="26"/>
    <x v="7"/>
    <x v="1"/>
    <n v="1924.51"/>
    <n v="0"/>
    <n v="0"/>
    <n v="1818.77"/>
    <n v="2030.26"/>
  </r>
  <r>
    <x v="26"/>
    <x v="8"/>
    <x v="1"/>
    <n v="2399.04"/>
    <n v="0"/>
    <n v="0"/>
    <n v="2267.22"/>
    <n v="2530.86"/>
  </r>
  <r>
    <x v="26"/>
    <x v="9"/>
    <x v="1"/>
    <n v="2416.97"/>
    <n v="0"/>
    <n v="0"/>
    <n v="2284.16"/>
    <n v="2549.78"/>
  </r>
  <r>
    <x v="26"/>
    <x v="10"/>
    <x v="1"/>
    <n v="8208.889999999999"/>
    <n v="0"/>
    <n v="0"/>
    <n v="7757.84"/>
    <n v="8659.950000000001"/>
  </r>
  <r>
    <x v="27"/>
    <x v="0"/>
    <x v="1"/>
    <n v="4497.01"/>
    <n v="0"/>
    <n v="0"/>
    <n v="4249.91"/>
    <n v="4744.11"/>
  </r>
  <r>
    <x v="27"/>
    <x v="1"/>
    <x v="1"/>
    <n v="11940.11"/>
    <n v="0"/>
    <n v="0"/>
    <n v="11284.03"/>
    <n v="12596.19"/>
  </r>
  <r>
    <x v="27"/>
    <x v="2"/>
    <x v="1"/>
    <n v="15343.08"/>
    <n v="0"/>
    <n v="0"/>
    <n v="14500.02"/>
    <n v="16186.14"/>
  </r>
  <r>
    <x v="27"/>
    <x v="3"/>
    <x v="1"/>
    <n v="13521.81"/>
    <n v="0"/>
    <n v="0"/>
    <n v="12778.82"/>
    <n v="14264.79"/>
  </r>
  <r>
    <x v="27"/>
    <x v="4"/>
    <x v="1"/>
    <n v="15109.91"/>
    <n v="0"/>
    <n v="0"/>
    <n v="14279.66"/>
    <n v="15940.16"/>
  </r>
  <r>
    <x v="27"/>
    <x v="5"/>
    <x v="1"/>
    <n v="6139.44"/>
    <n v="0"/>
    <n v="0"/>
    <n v="5802.1"/>
    <n v="6476.79"/>
  </r>
  <r>
    <x v="27"/>
    <x v="6"/>
    <x v="1"/>
    <n v="7037.29"/>
    <n v="0"/>
    <n v="0"/>
    <n v="6650.61"/>
    <n v="7423.97"/>
  </r>
  <r>
    <x v="27"/>
    <x v="7"/>
    <x v="1"/>
    <n v="1512.1"/>
    <n v="0"/>
    <n v="0"/>
    <n v="1429.01"/>
    <n v="1595.19"/>
  </r>
  <r>
    <x v="27"/>
    <x v="8"/>
    <x v="1"/>
    <n v="2091.93"/>
    <n v="0"/>
    <n v="0"/>
    <n v="1976.99"/>
    <n v="2206.88"/>
  </r>
  <r>
    <x v="27"/>
    <x v="9"/>
    <x v="1"/>
    <n v="2185.4"/>
    <n v="0"/>
    <n v="0"/>
    <n v="2065.31"/>
    <n v="2305.48"/>
  </r>
  <r>
    <x v="27"/>
    <x v="10"/>
    <x v="1"/>
    <n v="8191.18"/>
    <n v="0"/>
    <n v="0"/>
    <n v="7741.09"/>
    <n v="8641.26"/>
  </r>
  <r>
    <x v="28"/>
    <x v="0"/>
    <x v="1"/>
    <n v="4771.29"/>
    <n v="0"/>
    <n v="0"/>
    <n v="4509.12"/>
    <n v="5033.46"/>
  </r>
  <r>
    <x v="28"/>
    <x v="1"/>
    <x v="1"/>
    <n v="11272.75"/>
    <n v="0"/>
    <n v="0"/>
    <n v="10653.34"/>
    <n v="11892.15"/>
  </r>
  <r>
    <x v="28"/>
    <x v="2"/>
    <x v="1"/>
    <n v="16196.59"/>
    <n v="0"/>
    <n v="0"/>
    <n v="15306.63"/>
    <n v="17086.55"/>
  </r>
  <r>
    <x v="28"/>
    <x v="3"/>
    <x v="1"/>
    <n v="14870.51"/>
    <n v="0"/>
    <n v="0"/>
    <n v="14053.41"/>
    <n v="15687.6"/>
  </r>
  <r>
    <x v="28"/>
    <x v="4"/>
    <x v="1"/>
    <n v="16953.6"/>
    <n v="0"/>
    <n v="0"/>
    <n v="16022.04"/>
    <n v="17885.15"/>
  </r>
  <r>
    <x v="28"/>
    <x v="5"/>
    <x v="1"/>
    <n v="6035.08"/>
    <n v="0"/>
    <n v="0"/>
    <n v="5703.47"/>
    <n v="6366.7"/>
  </r>
  <r>
    <x v="28"/>
    <x v="6"/>
    <x v="1"/>
    <n v="8011.9"/>
    <n v="0"/>
    <n v="0"/>
    <n v="7571.66"/>
    <n v="8452.129999999999"/>
  </r>
  <r>
    <x v="28"/>
    <x v="7"/>
    <x v="1"/>
    <n v="1652.62"/>
    <n v="0"/>
    <n v="0"/>
    <n v="1561.81"/>
    <n v="1743.42"/>
  </r>
  <r>
    <x v="28"/>
    <x v="8"/>
    <x v="1"/>
    <n v="2409.45"/>
    <n v="0"/>
    <n v="0"/>
    <n v="2277.06"/>
    <n v="2541.84"/>
  </r>
  <r>
    <x v="28"/>
    <x v="9"/>
    <x v="1"/>
    <n v="2400.78"/>
    <n v="0"/>
    <n v="0"/>
    <n v="2268.87"/>
    <n v="2532.7"/>
  </r>
  <r>
    <x v="28"/>
    <x v="10"/>
    <x v="1"/>
    <n v="9050.889999999999"/>
    <n v="0"/>
    <n v="0"/>
    <n v="8553.57"/>
    <n v="9548.209999999999"/>
  </r>
  <r>
    <x v="29"/>
    <x v="0"/>
    <x v="1"/>
    <n v="4747.5"/>
    <n v="0"/>
    <n v="0"/>
    <n v="4486.64"/>
    <n v="5008.36"/>
  </r>
  <r>
    <x v="29"/>
    <x v="1"/>
    <x v="1"/>
    <n v="9718.360000000001"/>
    <n v="0"/>
    <n v="0"/>
    <n v="9184.360000000001"/>
    <n v="10252.36"/>
  </r>
  <r>
    <x v="29"/>
    <x v="2"/>
    <x v="1"/>
    <n v="13280"/>
    <n v="0"/>
    <n v="0"/>
    <n v="12550.29"/>
    <n v="14009.7"/>
  </r>
  <r>
    <x v="29"/>
    <x v="3"/>
    <x v="1"/>
    <n v="14385.64"/>
    <n v="0"/>
    <n v="0"/>
    <n v="13595.19"/>
    <n v="15176.1"/>
  </r>
  <r>
    <x v="29"/>
    <x v="4"/>
    <x v="1"/>
    <n v="14616.68"/>
    <n v="0"/>
    <n v="0"/>
    <n v="13813.53"/>
    <n v="15419.82"/>
  </r>
  <r>
    <x v="29"/>
    <x v="5"/>
    <x v="1"/>
    <n v="6112.58"/>
    <n v="0"/>
    <n v="0"/>
    <n v="5776.71"/>
    <n v="6448.45"/>
  </r>
  <r>
    <x v="29"/>
    <x v="6"/>
    <x v="1"/>
    <n v="8565.59"/>
    <n v="0"/>
    <n v="0"/>
    <n v="8094.93"/>
    <n v="9036.25"/>
  </r>
  <r>
    <x v="29"/>
    <x v="7"/>
    <x v="1"/>
    <n v="1553.16"/>
    <n v="0"/>
    <n v="0"/>
    <n v="1467.82"/>
    <n v="1638.5"/>
  </r>
  <r>
    <x v="29"/>
    <x v="8"/>
    <x v="1"/>
    <n v="2236.86"/>
    <n v="0"/>
    <n v="0"/>
    <n v="2113.96"/>
    <n v="2359.77"/>
  </r>
  <r>
    <x v="29"/>
    <x v="9"/>
    <x v="1"/>
    <n v="2092.18"/>
    <n v="0"/>
    <n v="0"/>
    <n v="1977.22"/>
    <n v="2207.14"/>
  </r>
  <r>
    <x v="29"/>
    <x v="10"/>
    <x v="1"/>
    <n v="9093.940000000001"/>
    <n v="0"/>
    <n v="0"/>
    <n v="8594.25"/>
    <n v="9593.620000000001"/>
  </r>
  <r>
    <x v="30"/>
    <x v="0"/>
    <x v="1"/>
    <n v="4812.19"/>
    <n v="0"/>
    <n v="0"/>
    <n v="4547.77"/>
    <n v="5076.61"/>
  </r>
  <r>
    <x v="30"/>
    <x v="1"/>
    <x v="1"/>
    <n v="9650.530000000001"/>
    <n v="0"/>
    <n v="0"/>
    <n v="9120.26"/>
    <n v="10180.8"/>
  </r>
  <r>
    <x v="30"/>
    <x v="2"/>
    <x v="1"/>
    <n v="11818.56"/>
    <n v="0"/>
    <n v="0"/>
    <n v="11169.16"/>
    <n v="12467.96"/>
  </r>
  <r>
    <x v="30"/>
    <x v="3"/>
    <x v="1"/>
    <n v="14725"/>
    <n v="0"/>
    <n v="0"/>
    <n v="13915.9"/>
    <n v="15534.1"/>
  </r>
  <r>
    <x v="30"/>
    <x v="4"/>
    <x v="1"/>
    <n v="16579.59"/>
    <n v="0"/>
    <n v="0"/>
    <n v="15668.59"/>
    <n v="17490.6"/>
  </r>
  <r>
    <x v="30"/>
    <x v="5"/>
    <x v="1"/>
    <n v="6550.82"/>
    <n v="0"/>
    <n v="0"/>
    <n v="6190.87"/>
    <n v="6910.77"/>
  </r>
  <r>
    <x v="30"/>
    <x v="6"/>
    <x v="1"/>
    <n v="8745.18"/>
    <n v="0"/>
    <n v="0"/>
    <n v="8264.66"/>
    <n v="9225.709999999999"/>
  </r>
  <r>
    <x v="30"/>
    <x v="7"/>
    <x v="1"/>
    <n v="1569.76"/>
    <n v="0"/>
    <n v="0"/>
    <n v="1483.51"/>
    <n v="1656.02"/>
  </r>
  <r>
    <x v="30"/>
    <x v="8"/>
    <x v="1"/>
    <n v="2471.89"/>
    <n v="0"/>
    <n v="0"/>
    <n v="2336.07"/>
    <n v="2607.72"/>
  </r>
  <r>
    <x v="30"/>
    <x v="9"/>
    <x v="1"/>
    <n v="2242.13"/>
    <n v="0"/>
    <n v="0"/>
    <n v="2118.93"/>
    <n v="2365.33"/>
  </r>
  <r>
    <x v="30"/>
    <x v="10"/>
    <x v="1"/>
    <n v="9174.200000000001"/>
    <n v="0"/>
    <n v="0"/>
    <n v="8670.1"/>
    <n v="9678.299999999999"/>
  </r>
  <r>
    <x v="31"/>
    <x v="0"/>
    <x v="1"/>
    <n v="4965.97"/>
    <n v="0"/>
    <n v="0"/>
    <n v="4693.1"/>
    <n v="5238.84"/>
  </r>
  <r>
    <x v="31"/>
    <x v="1"/>
    <x v="1"/>
    <n v="7986.2"/>
    <n v="0"/>
    <n v="0"/>
    <n v="7547.37"/>
    <n v="8425.02"/>
  </r>
  <r>
    <x v="31"/>
    <x v="2"/>
    <x v="1"/>
    <n v="10676.49"/>
    <n v="0"/>
    <n v="0"/>
    <n v="10089.85"/>
    <n v="11263.14"/>
  </r>
  <r>
    <x v="31"/>
    <x v="3"/>
    <x v="1"/>
    <n v="14084.27"/>
    <n v="0"/>
    <n v="0"/>
    <n v="13310.38"/>
    <n v="14858.16"/>
  </r>
  <r>
    <x v="31"/>
    <x v="4"/>
    <x v="1"/>
    <n v="15416.75"/>
    <n v="0"/>
    <n v="0"/>
    <n v="14569.64"/>
    <n v="16263.86"/>
  </r>
  <r>
    <x v="31"/>
    <x v="5"/>
    <x v="1"/>
    <n v="5981.77"/>
    <n v="0"/>
    <n v="0"/>
    <n v="5653.08"/>
    <n v="6310.45"/>
  </r>
  <r>
    <x v="31"/>
    <x v="6"/>
    <x v="1"/>
    <n v="9206.469999999999"/>
    <n v="0"/>
    <n v="0"/>
    <n v="8700.6"/>
    <n v="9712.34"/>
  </r>
  <r>
    <x v="31"/>
    <x v="7"/>
    <x v="1"/>
    <n v="1381.92"/>
    <n v="0"/>
    <n v="0"/>
    <n v="1305.99"/>
    <n v="1457.85"/>
  </r>
  <r>
    <x v="31"/>
    <x v="8"/>
    <x v="1"/>
    <n v="2420.74"/>
    <n v="0"/>
    <n v="0"/>
    <n v="2287.72"/>
    <n v="2553.75"/>
  </r>
  <r>
    <x v="31"/>
    <x v="9"/>
    <x v="1"/>
    <n v="1808.68"/>
    <n v="0"/>
    <n v="0"/>
    <n v="1709.3"/>
    <n v="1908.06"/>
  </r>
  <r>
    <x v="31"/>
    <x v="10"/>
    <x v="1"/>
    <n v="9263.43"/>
    <n v="0"/>
    <n v="0"/>
    <n v="8754.43"/>
    <n v="9772.43"/>
  </r>
  <r>
    <x v="32"/>
    <x v="0"/>
    <x v="1"/>
    <n v="5483.85"/>
    <n v="0"/>
    <n v="0"/>
    <n v="5182.52"/>
    <n v="5785.17"/>
  </r>
  <r>
    <x v="32"/>
    <x v="1"/>
    <x v="1"/>
    <n v="8418.129999999999"/>
    <n v="0"/>
    <n v="0"/>
    <n v="7955.57"/>
    <n v="8880.68"/>
  </r>
  <r>
    <x v="32"/>
    <x v="2"/>
    <x v="1"/>
    <n v="10625.33"/>
    <n v="0"/>
    <n v="0"/>
    <n v="10041.5"/>
    <n v="11209.16"/>
  </r>
  <r>
    <x v="32"/>
    <x v="3"/>
    <x v="1"/>
    <n v="14869.97"/>
    <n v="0"/>
    <n v="0"/>
    <n v="14052.9"/>
    <n v="15687.03"/>
  </r>
  <r>
    <x v="32"/>
    <x v="4"/>
    <x v="1"/>
    <n v="15131.52"/>
    <n v="0"/>
    <n v="0"/>
    <n v="14300.08"/>
    <n v="15962.96"/>
  </r>
  <r>
    <x v="32"/>
    <x v="5"/>
    <x v="1"/>
    <n v="6479.61"/>
    <n v="0"/>
    <n v="0"/>
    <n v="6123.58"/>
    <n v="6835.65"/>
  </r>
  <r>
    <x v="32"/>
    <x v="6"/>
    <x v="1"/>
    <n v="9580.030000000001"/>
    <n v="0"/>
    <n v="0"/>
    <n v="9053.629999999999"/>
    <n v="10106.43"/>
  </r>
  <r>
    <x v="32"/>
    <x v="7"/>
    <x v="1"/>
    <n v="1522.38"/>
    <n v="0"/>
    <n v="0"/>
    <n v="1438.73"/>
    <n v="1606.03"/>
  </r>
  <r>
    <x v="32"/>
    <x v="8"/>
    <x v="1"/>
    <n v="2302.04"/>
    <n v="0"/>
    <n v="0"/>
    <n v="2175.55"/>
    <n v="2428.53"/>
  </r>
  <r>
    <x v="32"/>
    <x v="9"/>
    <x v="1"/>
    <n v="1964.61"/>
    <n v="0"/>
    <n v="0"/>
    <n v="1856.66"/>
    <n v="2072.57"/>
  </r>
  <r>
    <x v="32"/>
    <x v="10"/>
    <x v="1"/>
    <n v="9354.09"/>
    <n v="0"/>
    <n v="0"/>
    <n v="8840.110000000001"/>
    <n v="9868.07"/>
  </r>
  <r>
    <x v="33"/>
    <x v="0"/>
    <x v="1"/>
    <n v="4728.22"/>
    <n v="0"/>
    <n v="0"/>
    <n v="4468.41"/>
    <n v="4988.02"/>
  </r>
  <r>
    <x v="33"/>
    <x v="1"/>
    <x v="1"/>
    <n v="9182.85"/>
    <n v="0"/>
    <n v="0"/>
    <n v="8678.27"/>
    <n v="9687.42"/>
  </r>
  <r>
    <x v="33"/>
    <x v="2"/>
    <x v="1"/>
    <n v="11140.96"/>
    <n v="0"/>
    <n v="0"/>
    <n v="10528.79"/>
    <n v="11753.13"/>
  </r>
  <r>
    <x v="33"/>
    <x v="3"/>
    <x v="1"/>
    <n v="14333.38"/>
    <n v="0"/>
    <n v="0"/>
    <n v="13545.79"/>
    <n v="15120.96"/>
  </r>
  <r>
    <x v="33"/>
    <x v="4"/>
    <x v="1"/>
    <n v="15483.65"/>
    <n v="0"/>
    <n v="0"/>
    <n v="14632.87"/>
    <n v="16334.44"/>
  </r>
  <r>
    <x v="33"/>
    <x v="5"/>
    <x v="1"/>
    <n v="6683.63"/>
    <n v="0"/>
    <n v="0"/>
    <n v="6316.38"/>
    <n v="7050.87"/>
  </r>
  <r>
    <x v="33"/>
    <x v="6"/>
    <x v="1"/>
    <n v="9813.799999999999"/>
    <n v="0"/>
    <n v="0"/>
    <n v="9274.549999999999"/>
    <n v="10353.04"/>
  </r>
  <r>
    <x v="33"/>
    <x v="7"/>
    <x v="1"/>
    <n v="1474.52"/>
    <n v="0"/>
    <n v="0"/>
    <n v="1393.5"/>
    <n v="1555.54"/>
  </r>
  <r>
    <x v="33"/>
    <x v="8"/>
    <x v="1"/>
    <n v="2373.51"/>
    <n v="0"/>
    <n v="0"/>
    <n v="2243.1"/>
    <n v="2503.93"/>
  </r>
  <r>
    <x v="33"/>
    <x v="9"/>
    <x v="1"/>
    <n v="1894.89"/>
    <n v="0"/>
    <n v="0"/>
    <n v="1790.77"/>
    <n v="1999.01"/>
  </r>
  <r>
    <x v="33"/>
    <x v="10"/>
    <x v="1"/>
    <n v="9404.860000000001"/>
    <n v="0"/>
    <n v="0"/>
    <n v="8888.08"/>
    <n v="9921.629999999999"/>
  </r>
  <r>
    <x v="34"/>
    <x v="0"/>
    <x v="1"/>
    <n v="5043.2"/>
    <n v="0"/>
    <n v="0"/>
    <n v="4766.09"/>
    <n v="5320.31"/>
  </r>
  <r>
    <x v="34"/>
    <x v="1"/>
    <x v="1"/>
    <n v="9397.129999999999"/>
    <n v="0"/>
    <n v="0"/>
    <n v="8880.780000000001"/>
    <n v="9913.48"/>
  </r>
  <r>
    <x v="34"/>
    <x v="2"/>
    <x v="1"/>
    <n v="11908.91"/>
    <n v="0"/>
    <n v="0"/>
    <n v="11254.55"/>
    <n v="12563.28"/>
  </r>
  <r>
    <x v="34"/>
    <x v="3"/>
    <x v="1"/>
    <n v="14061"/>
    <n v="0"/>
    <n v="0"/>
    <n v="13288.39"/>
    <n v="14833.62"/>
  </r>
  <r>
    <x v="34"/>
    <x v="4"/>
    <x v="1"/>
    <n v="15304.64"/>
    <n v="0"/>
    <n v="0"/>
    <n v="14463.69"/>
    <n v="16145.59"/>
  </r>
  <r>
    <x v="34"/>
    <x v="5"/>
    <x v="1"/>
    <n v="6620.45"/>
    <n v="0"/>
    <n v="0"/>
    <n v="6256.68"/>
    <n v="6984.23"/>
  </r>
  <r>
    <x v="34"/>
    <x v="6"/>
    <x v="1"/>
    <n v="9872.209999999999"/>
    <n v="0"/>
    <n v="0"/>
    <n v="9329.76"/>
    <n v="10414.67"/>
  </r>
  <r>
    <x v="34"/>
    <x v="7"/>
    <x v="1"/>
    <n v="1613.87"/>
    <n v="0"/>
    <n v="0"/>
    <n v="1525.19"/>
    <n v="1702.55"/>
  </r>
  <r>
    <x v="34"/>
    <x v="8"/>
    <x v="1"/>
    <n v="2399.18"/>
    <n v="0"/>
    <n v="0"/>
    <n v="2267.35"/>
    <n v="2531"/>
  </r>
  <r>
    <x v="34"/>
    <x v="9"/>
    <x v="1"/>
    <n v="2024.71"/>
    <n v="0"/>
    <n v="0"/>
    <n v="1913.46"/>
    <n v="2135.96"/>
  </r>
  <r>
    <x v="34"/>
    <x v="10"/>
    <x v="1"/>
    <n v="9533.51"/>
    <n v="0"/>
    <n v="0"/>
    <n v="9009.67"/>
    <n v="10057.35"/>
  </r>
  <r>
    <x v="35"/>
    <x v="0"/>
    <x v="1"/>
    <n v="5073.85"/>
    <n v="0"/>
    <n v="0"/>
    <n v="4795.05"/>
    <n v="5352.64"/>
  </r>
  <r>
    <x v="35"/>
    <x v="1"/>
    <x v="1"/>
    <n v="10552.84"/>
    <n v="0"/>
    <n v="0"/>
    <n v="9972.99"/>
    <n v="11132.69"/>
  </r>
  <r>
    <x v="35"/>
    <x v="2"/>
    <x v="1"/>
    <n v="14357.54"/>
    <n v="0"/>
    <n v="0"/>
    <n v="13568.63"/>
    <n v="15146.45"/>
  </r>
  <r>
    <x v="35"/>
    <x v="3"/>
    <x v="1"/>
    <n v="14415.84"/>
    <n v="0"/>
    <n v="0"/>
    <n v="13623.73"/>
    <n v="15207.96"/>
  </r>
  <r>
    <x v="35"/>
    <x v="4"/>
    <x v="1"/>
    <n v="15742.03"/>
    <n v="0"/>
    <n v="0"/>
    <n v="14877.04"/>
    <n v="16607.01"/>
  </r>
  <r>
    <x v="35"/>
    <x v="5"/>
    <x v="1"/>
    <n v="6851.25"/>
    <n v="0"/>
    <n v="0"/>
    <n v="6474.79"/>
    <n v="7227.71"/>
  </r>
  <r>
    <x v="35"/>
    <x v="6"/>
    <x v="1"/>
    <n v="8862.700000000001"/>
    <n v="0"/>
    <n v="0"/>
    <n v="8375.709999999999"/>
    <n v="9349.68"/>
  </r>
  <r>
    <x v="35"/>
    <x v="7"/>
    <x v="1"/>
    <n v="1503.58"/>
    <n v="0"/>
    <n v="0"/>
    <n v="1420.96"/>
    <n v="1586.2"/>
  </r>
  <r>
    <x v="35"/>
    <x v="8"/>
    <x v="1"/>
    <n v="2547.41"/>
    <n v="0"/>
    <n v="0"/>
    <n v="2407.44"/>
    <n v="2687.38"/>
  </r>
  <r>
    <x v="35"/>
    <x v="9"/>
    <x v="1"/>
    <n v="2298.6"/>
    <n v="0"/>
    <n v="0"/>
    <n v="2172.3"/>
    <n v="2424.9"/>
  </r>
  <r>
    <x v="35"/>
    <x v="10"/>
    <x v="1"/>
    <n v="9577.98"/>
    <n v="0"/>
    <n v="0"/>
    <n v="9051.700000000001"/>
    <n v="10104.27"/>
  </r>
</pivotCacheRecords>
</file>

<file path=xl/pivotCache/pivotCacheRecords2.xml><?xml version="1.0" encoding="utf-8"?>
<pivotCacheRecords xmlns="http://schemas.openxmlformats.org/spreadsheetml/2006/main" count="396">
  <r>
    <x v="0"/>
    <x v="0"/>
    <x v="0"/>
    <n v="4266.73"/>
    <n v="1656.43"/>
    <n v="1037"/>
    <n v="0"/>
    <n v="0"/>
  </r>
  <r>
    <x v="0"/>
    <x v="1"/>
    <x v="0"/>
    <n v="10360.41"/>
    <n v="3486.51"/>
    <n v="539"/>
    <n v="0"/>
    <n v="0"/>
  </r>
  <r>
    <x v="0"/>
    <x v="2"/>
    <x v="0"/>
    <n v="13983.33"/>
    <n v="7084.88"/>
    <n v="3483"/>
    <n v="0"/>
    <n v="0"/>
  </r>
  <r>
    <x v="0"/>
    <x v="3"/>
    <x v="0"/>
    <n v="12950.12"/>
    <n v="3637.42"/>
    <n v="2216"/>
    <n v="0"/>
    <n v="0"/>
  </r>
  <r>
    <x v="0"/>
    <x v="4"/>
    <x v="0"/>
    <n v="14617.13"/>
    <n v="6943.53"/>
    <n v="1867"/>
    <n v="0"/>
    <n v="0"/>
  </r>
  <r>
    <x v="0"/>
    <x v="5"/>
    <x v="0"/>
    <n v="5248.55"/>
    <n v="2341.05"/>
    <n v="845"/>
    <n v="0"/>
    <n v="0"/>
  </r>
  <r>
    <x v="0"/>
    <x v="6"/>
    <x v="0"/>
    <n v="7957.65"/>
    <n v="2733.85"/>
    <n v="1285"/>
    <n v="0"/>
    <n v="0"/>
  </r>
  <r>
    <x v="0"/>
    <x v="7"/>
    <x v="0"/>
    <n v="1319.41"/>
    <n v="649.21"/>
    <n v="159"/>
    <n v="0"/>
    <n v="0"/>
  </r>
  <r>
    <x v="0"/>
    <x v="8"/>
    <x v="0"/>
    <n v="2038.57"/>
    <n v="846.67"/>
    <n v="243"/>
    <n v="0"/>
    <n v="0"/>
  </r>
  <r>
    <x v="0"/>
    <x v="9"/>
    <x v="0"/>
    <n v="2085.77"/>
    <n v="898.27"/>
    <n v="1379"/>
    <n v="0"/>
    <n v="0"/>
  </r>
  <r>
    <x v="0"/>
    <x v="10"/>
    <x v="0"/>
    <n v="8360.219999999999"/>
    <n v="3655.02"/>
    <n v="1940"/>
    <n v="0"/>
    <n v="0"/>
  </r>
  <r>
    <x v="1"/>
    <x v="0"/>
    <x v="0"/>
    <n v="4908.52"/>
    <n v="1909.72"/>
    <n v="1178"/>
    <n v="0"/>
    <n v="0"/>
  </r>
  <r>
    <x v="1"/>
    <x v="1"/>
    <x v="0"/>
    <n v="12386.56"/>
    <n v="4244.76"/>
    <n v="644"/>
    <n v="0"/>
    <n v="0"/>
  </r>
  <r>
    <x v="1"/>
    <x v="2"/>
    <x v="0"/>
    <n v="16002.2"/>
    <n v="8188.05"/>
    <n v="3916"/>
    <n v="0"/>
    <n v="0"/>
  </r>
  <r>
    <x v="1"/>
    <x v="3"/>
    <x v="0"/>
    <n v="14457.05"/>
    <n v="3982.35"/>
    <n v="2445"/>
    <n v="0"/>
    <n v="0"/>
  </r>
  <r>
    <x v="1"/>
    <x v="4"/>
    <x v="0"/>
    <n v="16863"/>
    <n v="7984.4"/>
    <n v="2100"/>
    <n v="0"/>
    <n v="0"/>
  </r>
  <r>
    <x v="1"/>
    <x v="5"/>
    <x v="0"/>
    <n v="6497.01"/>
    <n v="2886.81"/>
    <n v="999"/>
    <n v="0"/>
    <n v="0"/>
  </r>
  <r>
    <x v="1"/>
    <x v="6"/>
    <x v="0"/>
    <n v="8083.33"/>
    <n v="2801.43"/>
    <n v="1347"/>
    <n v="0"/>
    <n v="0"/>
  </r>
  <r>
    <x v="1"/>
    <x v="7"/>
    <x v="0"/>
    <n v="1663.21"/>
    <n v="769.61"/>
    <n v="179"/>
    <n v="0"/>
    <n v="0"/>
  </r>
  <r>
    <x v="1"/>
    <x v="8"/>
    <x v="0"/>
    <n v="2548.92"/>
    <n v="1073.12"/>
    <n v="308"/>
    <n v="0"/>
    <n v="0"/>
  </r>
  <r>
    <x v="1"/>
    <x v="9"/>
    <x v="0"/>
    <n v="2335.45"/>
    <n v="1010.73"/>
    <n v="1475"/>
    <n v="0"/>
    <n v="0"/>
  </r>
  <r>
    <x v="1"/>
    <x v="10"/>
    <x v="0"/>
    <n v="9010.629999999999"/>
    <n v="3996.33"/>
    <n v="2057"/>
    <n v="0"/>
    <n v="0"/>
  </r>
  <r>
    <x v="2"/>
    <x v="0"/>
    <x v="0"/>
    <n v="4208.96"/>
    <n v="1579.56"/>
    <n v="1044"/>
    <n v="0"/>
    <n v="0"/>
  </r>
  <r>
    <x v="2"/>
    <x v="1"/>
    <x v="0"/>
    <n v="11358.61"/>
    <n v="3842.21"/>
    <n v="579"/>
    <n v="0"/>
    <n v="0"/>
  </r>
  <r>
    <x v="2"/>
    <x v="2"/>
    <x v="0"/>
    <n v="14012.39"/>
    <n v="7063.94"/>
    <n v="3453"/>
    <n v="0"/>
    <n v="0"/>
  </r>
  <r>
    <x v="2"/>
    <x v="3"/>
    <x v="0"/>
    <n v="12421.77"/>
    <n v="3539.52"/>
    <n v="2173"/>
    <n v="0"/>
    <n v="0"/>
  </r>
  <r>
    <x v="2"/>
    <x v="4"/>
    <x v="0"/>
    <n v="14535.26"/>
    <n v="6725.16"/>
    <n v="1834"/>
    <n v="0"/>
    <n v="0"/>
  </r>
  <r>
    <x v="2"/>
    <x v="5"/>
    <x v="0"/>
    <n v="5031.45"/>
    <n v="2244.15"/>
    <n v="815"/>
    <n v="0"/>
    <n v="0"/>
  </r>
  <r>
    <x v="2"/>
    <x v="6"/>
    <x v="0"/>
    <n v="6643.86"/>
    <n v="2279.86"/>
    <n v="1044"/>
    <n v="0"/>
    <n v="0"/>
  </r>
  <r>
    <x v="2"/>
    <x v="7"/>
    <x v="0"/>
    <n v="1208.57"/>
    <n v="596.97"/>
    <n v="143"/>
    <n v="0"/>
    <n v="0"/>
  </r>
  <r>
    <x v="2"/>
    <x v="8"/>
    <x v="0"/>
    <n v="2051.3"/>
    <n v="839.9"/>
    <n v="250"/>
    <n v="0"/>
    <n v="0"/>
  </r>
  <r>
    <x v="2"/>
    <x v="9"/>
    <x v="0"/>
    <n v="2039.84"/>
    <n v="887.12"/>
    <n v="1296"/>
    <n v="0"/>
    <n v="0"/>
  </r>
  <r>
    <x v="2"/>
    <x v="10"/>
    <x v="0"/>
    <n v="7226.13"/>
    <n v="3242.73"/>
    <n v="1637"/>
    <n v="0"/>
    <n v="0"/>
  </r>
  <r>
    <x v="3"/>
    <x v="0"/>
    <x v="0"/>
    <n v="4155.27"/>
    <n v="1576.27"/>
    <n v="1019"/>
    <n v="0"/>
    <n v="0"/>
  </r>
  <r>
    <x v="3"/>
    <x v="1"/>
    <x v="0"/>
    <n v="10493.58"/>
    <n v="3614.18"/>
    <n v="542"/>
    <n v="0"/>
    <n v="0"/>
  </r>
  <r>
    <x v="3"/>
    <x v="2"/>
    <x v="0"/>
    <n v="13758.5"/>
    <n v="7017.8"/>
    <n v="3390"/>
    <n v="0"/>
    <n v="0"/>
  </r>
  <r>
    <x v="3"/>
    <x v="3"/>
    <x v="0"/>
    <n v="12986.12"/>
    <n v="3539.27"/>
    <n v="2230"/>
    <n v="0"/>
    <n v="0"/>
  </r>
  <r>
    <x v="3"/>
    <x v="4"/>
    <x v="0"/>
    <n v="14424.53"/>
    <n v="6736.33"/>
    <n v="1827"/>
    <n v="0"/>
    <n v="0"/>
  </r>
  <r>
    <x v="3"/>
    <x v="5"/>
    <x v="0"/>
    <n v="5253.45"/>
    <n v="2341.55"/>
    <n v="855"/>
    <n v="0"/>
    <n v="0"/>
  </r>
  <r>
    <x v="3"/>
    <x v="6"/>
    <x v="0"/>
    <n v="6955.59"/>
    <n v="2378.59"/>
    <n v="1091"/>
    <n v="0"/>
    <n v="0"/>
  </r>
  <r>
    <x v="3"/>
    <x v="7"/>
    <x v="0"/>
    <n v="1518.19"/>
    <n v="725.99"/>
    <n v="161"/>
    <n v="0"/>
    <n v="0"/>
  </r>
  <r>
    <x v="3"/>
    <x v="8"/>
    <x v="0"/>
    <n v="2270.18"/>
    <n v="914.1799999999999"/>
    <n v="282"/>
    <n v="0"/>
    <n v="0"/>
  </r>
  <r>
    <x v="3"/>
    <x v="9"/>
    <x v="0"/>
    <n v="2096.25"/>
    <n v="911.13"/>
    <n v="1305"/>
    <n v="0"/>
    <n v="0"/>
  </r>
  <r>
    <x v="3"/>
    <x v="10"/>
    <x v="0"/>
    <n v="7394.89"/>
    <n v="3290.59"/>
    <n v="1691"/>
    <n v="0"/>
    <n v="0"/>
  </r>
  <r>
    <x v="4"/>
    <x v="0"/>
    <x v="0"/>
    <n v="4599.9"/>
    <n v="1787.4"/>
    <n v="1110"/>
    <n v="0"/>
    <n v="0"/>
  </r>
  <r>
    <x v="4"/>
    <x v="1"/>
    <x v="0"/>
    <n v="9424.08"/>
    <n v="3205.78"/>
    <n v="492"/>
    <n v="0"/>
    <n v="0"/>
  </r>
  <r>
    <x v="4"/>
    <x v="2"/>
    <x v="0"/>
    <n v="14475.82"/>
    <n v="7391.27"/>
    <n v="3588"/>
    <n v="0"/>
    <n v="0"/>
  </r>
  <r>
    <x v="4"/>
    <x v="3"/>
    <x v="0"/>
    <n v="13571.89"/>
    <n v="3789.94"/>
    <n v="2359"/>
    <n v="0"/>
    <n v="0"/>
  </r>
  <r>
    <x v="4"/>
    <x v="4"/>
    <x v="0"/>
    <n v="15959.16"/>
    <n v="7574.16"/>
    <n v="2034"/>
    <n v="0"/>
    <n v="0"/>
  </r>
  <r>
    <x v="4"/>
    <x v="5"/>
    <x v="0"/>
    <n v="5477.57"/>
    <n v="2433.27"/>
    <n v="843"/>
    <n v="0"/>
    <n v="0"/>
  </r>
  <r>
    <x v="4"/>
    <x v="6"/>
    <x v="0"/>
    <n v="8066.77"/>
    <n v="2789.77"/>
    <n v="1299"/>
    <n v="0"/>
    <n v="0"/>
  </r>
  <r>
    <x v="4"/>
    <x v="7"/>
    <x v="0"/>
    <n v="1644.69"/>
    <n v="818.6900000000001"/>
    <n v="211"/>
    <n v="0"/>
    <n v="0"/>
  </r>
  <r>
    <x v="4"/>
    <x v="8"/>
    <x v="0"/>
    <n v="2250.23"/>
    <n v="903.73"/>
    <n v="277"/>
    <n v="0"/>
    <n v="0"/>
  </r>
  <r>
    <x v="4"/>
    <x v="9"/>
    <x v="0"/>
    <n v="2138.58"/>
    <n v="920.12"/>
    <n v="1382"/>
    <n v="0"/>
    <n v="0"/>
  </r>
  <r>
    <x v="4"/>
    <x v="10"/>
    <x v="0"/>
    <n v="8420.17"/>
    <n v="3785.07"/>
    <n v="1913"/>
    <n v="0"/>
    <n v="0"/>
  </r>
  <r>
    <x v="5"/>
    <x v="0"/>
    <x v="0"/>
    <n v="4475.71"/>
    <n v="1733.81"/>
    <n v="1079"/>
    <n v="0"/>
    <n v="0"/>
  </r>
  <r>
    <x v="5"/>
    <x v="1"/>
    <x v="0"/>
    <n v="9292.33"/>
    <n v="3182.03"/>
    <n v="487"/>
    <n v="0"/>
    <n v="0"/>
  </r>
  <r>
    <x v="5"/>
    <x v="2"/>
    <x v="0"/>
    <n v="11393.73"/>
    <n v="5817.58"/>
    <n v="2747"/>
    <n v="0"/>
    <n v="0"/>
  </r>
  <r>
    <x v="5"/>
    <x v="3"/>
    <x v="0"/>
    <n v="13071.43"/>
    <n v="3572.23"/>
    <n v="2291"/>
    <n v="0"/>
    <n v="0"/>
  </r>
  <r>
    <x v="5"/>
    <x v="4"/>
    <x v="0"/>
    <n v="14623.37"/>
    <n v="6985.07"/>
    <n v="1923"/>
    <n v="0"/>
    <n v="0"/>
  </r>
  <r>
    <x v="5"/>
    <x v="5"/>
    <x v="0"/>
    <n v="5652.04"/>
    <n v="2460.44"/>
    <n v="796"/>
    <n v="0"/>
    <n v="0"/>
  </r>
  <r>
    <x v="5"/>
    <x v="6"/>
    <x v="0"/>
    <n v="7377.57"/>
    <n v="2584.17"/>
    <n v="1233"/>
    <n v="0"/>
    <n v="0"/>
  </r>
  <r>
    <x v="5"/>
    <x v="7"/>
    <x v="0"/>
    <n v="1551.07"/>
    <n v="773.67"/>
    <n v="193"/>
    <n v="0"/>
    <n v="0"/>
  </r>
  <r>
    <x v="5"/>
    <x v="8"/>
    <x v="0"/>
    <n v="2145.4"/>
    <n v="902.4"/>
    <n v="260"/>
    <n v="0"/>
    <n v="0"/>
  </r>
  <r>
    <x v="5"/>
    <x v="9"/>
    <x v="0"/>
    <n v="1831.33"/>
    <n v="791.47"/>
    <n v="1257"/>
    <n v="0"/>
    <n v="0"/>
  </r>
  <r>
    <x v="5"/>
    <x v="10"/>
    <x v="0"/>
    <n v="7793.32"/>
    <n v="3486.02"/>
    <n v="1778"/>
    <n v="0"/>
    <n v="0"/>
  </r>
  <r>
    <x v="6"/>
    <x v="0"/>
    <x v="0"/>
    <n v="4671.65"/>
    <n v="1806.45"/>
    <n v="1135"/>
    <n v="0"/>
    <n v="0"/>
  </r>
  <r>
    <x v="6"/>
    <x v="1"/>
    <x v="0"/>
    <n v="9463.860000000001"/>
    <n v="3173.46"/>
    <n v="494"/>
    <n v="0"/>
    <n v="0"/>
  </r>
  <r>
    <x v="6"/>
    <x v="2"/>
    <x v="0"/>
    <n v="11043.81"/>
    <n v="5630.26"/>
    <n v="2739"/>
    <n v="0"/>
    <n v="0"/>
  </r>
  <r>
    <x v="6"/>
    <x v="3"/>
    <x v="0"/>
    <n v="13754.9"/>
    <n v="3894"/>
    <n v="2380"/>
    <n v="0"/>
    <n v="0"/>
  </r>
  <r>
    <x v="6"/>
    <x v="4"/>
    <x v="0"/>
    <n v="15203.35"/>
    <n v="7260.35"/>
    <n v="2025"/>
    <n v="0"/>
    <n v="0"/>
  </r>
  <r>
    <x v="6"/>
    <x v="5"/>
    <x v="0"/>
    <n v="6239.82"/>
    <n v="2644.62"/>
    <n v="858"/>
    <n v="0"/>
    <n v="0"/>
  </r>
  <r>
    <x v="6"/>
    <x v="6"/>
    <x v="0"/>
    <n v="8478.73"/>
    <n v="3013.73"/>
    <n v="1485"/>
    <n v="0"/>
    <n v="0"/>
  </r>
  <r>
    <x v="6"/>
    <x v="7"/>
    <x v="0"/>
    <n v="1309.29"/>
    <n v="659.49"/>
    <n v="171"/>
    <n v="0"/>
    <n v="0"/>
  </r>
  <r>
    <x v="6"/>
    <x v="8"/>
    <x v="0"/>
    <n v="2170.41"/>
    <n v="893.11"/>
    <n v="259"/>
    <n v="0"/>
    <n v="0"/>
  </r>
  <r>
    <x v="6"/>
    <x v="9"/>
    <x v="0"/>
    <n v="1715.88"/>
    <n v="745.4400000000001"/>
    <n v="1272"/>
    <n v="0"/>
    <n v="0"/>
  </r>
  <r>
    <x v="6"/>
    <x v="10"/>
    <x v="0"/>
    <n v="8552.41"/>
    <n v="3808.31"/>
    <n v="1943"/>
    <n v="0"/>
    <n v="0"/>
  </r>
  <r>
    <x v="7"/>
    <x v="0"/>
    <x v="0"/>
    <n v="4725.58"/>
    <n v="1835.78"/>
    <n v="1142"/>
    <n v="0"/>
    <n v="0"/>
  </r>
  <r>
    <x v="7"/>
    <x v="1"/>
    <x v="0"/>
    <n v="8844.139999999999"/>
    <n v="2939.84"/>
    <n v="466"/>
    <n v="0"/>
    <n v="0"/>
  </r>
  <r>
    <x v="7"/>
    <x v="2"/>
    <x v="0"/>
    <n v="9073.459999999999"/>
    <n v="4650.71"/>
    <n v="2204"/>
    <n v="0"/>
    <n v="0"/>
  </r>
  <r>
    <x v="7"/>
    <x v="3"/>
    <x v="0"/>
    <n v="12611.87"/>
    <n v="3517.77"/>
    <n v="2153"/>
    <n v="0"/>
    <n v="0"/>
  </r>
  <r>
    <x v="7"/>
    <x v="4"/>
    <x v="0"/>
    <n v="13548.52"/>
    <n v="6554.82"/>
    <n v="1848"/>
    <n v="0"/>
    <n v="0"/>
  </r>
  <r>
    <x v="7"/>
    <x v="5"/>
    <x v="0"/>
    <n v="5728.73"/>
    <n v="2453.03"/>
    <n v="767"/>
    <n v="0"/>
    <n v="0"/>
  </r>
  <r>
    <x v="7"/>
    <x v="6"/>
    <x v="0"/>
    <n v="8602.01"/>
    <n v="3038.41"/>
    <n v="1449"/>
    <n v="0"/>
    <n v="0"/>
  </r>
  <r>
    <x v="7"/>
    <x v="7"/>
    <x v="0"/>
    <n v="1252.06"/>
    <n v="638.0599999999999"/>
    <n v="194"/>
    <n v="0"/>
    <n v="0"/>
  </r>
  <r>
    <x v="7"/>
    <x v="8"/>
    <x v="0"/>
    <n v="2316.32"/>
    <n v="908.72"/>
    <n v="288"/>
    <n v="0"/>
    <n v="0"/>
  </r>
  <r>
    <x v="7"/>
    <x v="9"/>
    <x v="0"/>
    <n v="1317.62"/>
    <n v="577.5599999999999"/>
    <n v="1078"/>
    <n v="0"/>
    <n v="0"/>
  </r>
  <r>
    <x v="7"/>
    <x v="10"/>
    <x v="0"/>
    <n v="7732.32"/>
    <n v="3465.12"/>
    <n v="1748"/>
    <n v="0"/>
    <n v="0"/>
  </r>
  <r>
    <x v="8"/>
    <x v="0"/>
    <x v="0"/>
    <n v="4648.27"/>
    <n v="1742.37"/>
    <n v="1147"/>
    <n v="0"/>
    <n v="0"/>
  </r>
  <r>
    <x v="8"/>
    <x v="1"/>
    <x v="0"/>
    <n v="8437.68"/>
    <n v="2911.68"/>
    <n v="432"/>
    <n v="0"/>
    <n v="0"/>
  </r>
  <r>
    <x v="8"/>
    <x v="2"/>
    <x v="0"/>
    <n v="9648.940000000001"/>
    <n v="4861.24"/>
    <n v="2386"/>
    <n v="0"/>
    <n v="0"/>
  </r>
  <r>
    <x v="8"/>
    <x v="3"/>
    <x v="0"/>
    <n v="13491.79"/>
    <n v="3787.84"/>
    <n v="2331"/>
    <n v="0"/>
    <n v="0"/>
  </r>
  <r>
    <x v="8"/>
    <x v="4"/>
    <x v="0"/>
    <n v="14017.15"/>
    <n v="6905.95"/>
    <n v="1935"/>
    <n v="0"/>
    <n v="0"/>
  </r>
  <r>
    <x v="8"/>
    <x v="5"/>
    <x v="0"/>
    <n v="5938.95"/>
    <n v="2439.85"/>
    <n v="805"/>
    <n v="0"/>
    <n v="0"/>
  </r>
  <r>
    <x v="8"/>
    <x v="6"/>
    <x v="0"/>
    <n v="8919.4"/>
    <n v="3151.9"/>
    <n v="1590"/>
    <n v="0"/>
    <n v="0"/>
  </r>
  <r>
    <x v="8"/>
    <x v="7"/>
    <x v="0"/>
    <n v="1504.8"/>
    <n v="776.6"/>
    <n v="220"/>
    <n v="0"/>
    <n v="0"/>
  </r>
  <r>
    <x v="8"/>
    <x v="8"/>
    <x v="0"/>
    <n v="2272.54"/>
    <n v="943.34"/>
    <n v="266"/>
    <n v="0"/>
    <n v="0"/>
  </r>
  <r>
    <x v="8"/>
    <x v="9"/>
    <x v="0"/>
    <n v="1657.13"/>
    <n v="723.01"/>
    <n v="1217"/>
    <n v="0"/>
    <n v="0"/>
  </r>
  <r>
    <x v="8"/>
    <x v="10"/>
    <x v="0"/>
    <n v="8266.65"/>
    <n v="3712.35"/>
    <n v="1875"/>
    <n v="0"/>
    <n v="0"/>
  </r>
  <r>
    <x v="9"/>
    <x v="0"/>
    <x v="0"/>
    <n v="4842.95"/>
    <n v="1881.95"/>
    <n v="1175"/>
    <n v="0"/>
    <n v="0"/>
  </r>
  <r>
    <x v="9"/>
    <x v="1"/>
    <x v="0"/>
    <n v="8814.459999999999"/>
    <n v="3047.26"/>
    <n v="454"/>
    <n v="0"/>
    <n v="0"/>
  </r>
  <r>
    <x v="9"/>
    <x v="2"/>
    <x v="0"/>
    <n v="9585.290000000001"/>
    <n v="4923.19"/>
    <n v="2331"/>
    <n v="0"/>
    <n v="0"/>
  </r>
  <r>
    <x v="9"/>
    <x v="3"/>
    <x v="0"/>
    <n v="13061.18"/>
    <n v="3604.23"/>
    <n v="2226"/>
    <n v="0"/>
    <n v="0"/>
  </r>
  <r>
    <x v="9"/>
    <x v="4"/>
    <x v="0"/>
    <n v="15104.22"/>
    <n v="7320.12"/>
    <n v="2058"/>
    <n v="0"/>
    <n v="0"/>
  </r>
  <r>
    <x v="9"/>
    <x v="5"/>
    <x v="0"/>
    <n v="5363.27"/>
    <n v="2293.97"/>
    <n v="713"/>
    <n v="0"/>
    <n v="0"/>
  </r>
  <r>
    <x v="9"/>
    <x v="6"/>
    <x v="0"/>
    <n v="9053.09"/>
    <n v="3153.79"/>
    <n v="1531"/>
    <n v="0"/>
    <n v="0"/>
  </r>
  <r>
    <x v="9"/>
    <x v="7"/>
    <x v="0"/>
    <n v="1320.76"/>
    <n v="691.76"/>
    <n v="224"/>
    <n v="0"/>
    <n v="0"/>
  </r>
  <r>
    <x v="9"/>
    <x v="8"/>
    <x v="0"/>
    <n v="2345.83"/>
    <n v="911.13"/>
    <n v="297"/>
    <n v="0"/>
    <n v="0"/>
  </r>
  <r>
    <x v="9"/>
    <x v="9"/>
    <x v="0"/>
    <n v="1575.46"/>
    <n v="688.3"/>
    <n v="1194"/>
    <n v="0"/>
    <n v="0"/>
  </r>
  <r>
    <x v="9"/>
    <x v="10"/>
    <x v="0"/>
    <n v="8589.57"/>
    <n v="3809.37"/>
    <n v="1955"/>
    <n v="0"/>
    <n v="0"/>
  </r>
  <r>
    <x v="10"/>
    <x v="0"/>
    <x v="0"/>
    <n v="4690.63"/>
    <n v="1807.43"/>
    <n v="1147"/>
    <n v="0"/>
    <n v="0"/>
  </r>
  <r>
    <x v="10"/>
    <x v="1"/>
    <x v="0"/>
    <n v="9143.4"/>
    <n v="3127.8"/>
    <n v="480"/>
    <n v="0"/>
    <n v="0"/>
  </r>
  <r>
    <x v="10"/>
    <x v="2"/>
    <x v="0"/>
    <n v="10766.53"/>
    <n v="5444.23"/>
    <n v="2651"/>
    <n v="0"/>
    <n v="0"/>
  </r>
  <r>
    <x v="10"/>
    <x v="3"/>
    <x v="0"/>
    <n v="13637.6"/>
    <n v="3747.15"/>
    <n v="2422"/>
    <n v="0"/>
    <n v="0"/>
  </r>
  <r>
    <x v="10"/>
    <x v="4"/>
    <x v="0"/>
    <n v="14121.73"/>
    <n v="6853.53"/>
    <n v="1877"/>
    <n v="0"/>
    <n v="0"/>
  </r>
  <r>
    <x v="10"/>
    <x v="5"/>
    <x v="0"/>
    <n v="5453.21"/>
    <n v="2343.21"/>
    <n v="779"/>
    <n v="0"/>
    <n v="0"/>
  </r>
  <r>
    <x v="10"/>
    <x v="6"/>
    <x v="0"/>
    <n v="8386.450000000001"/>
    <n v="3002.35"/>
    <n v="1435"/>
    <n v="0"/>
    <n v="0"/>
  </r>
  <r>
    <x v="10"/>
    <x v="7"/>
    <x v="0"/>
    <n v="1351.99"/>
    <n v="700.39"/>
    <n v="201"/>
    <n v="0"/>
    <n v="0"/>
  </r>
  <r>
    <x v="10"/>
    <x v="8"/>
    <x v="0"/>
    <n v="2088.6"/>
    <n v="820"/>
    <n v="260"/>
    <n v="0"/>
    <n v="0"/>
  </r>
  <r>
    <x v="10"/>
    <x v="9"/>
    <x v="0"/>
    <n v="1572.62"/>
    <n v="671.24"/>
    <n v="1128"/>
    <n v="0"/>
    <n v="0"/>
  </r>
  <r>
    <x v="10"/>
    <x v="10"/>
    <x v="0"/>
    <n v="8181.49"/>
    <n v="3647.29"/>
    <n v="1859"/>
    <n v="0"/>
    <n v="0"/>
  </r>
  <r>
    <x v="11"/>
    <x v="0"/>
    <x v="0"/>
    <n v="4843.22"/>
    <n v="1861.32"/>
    <n v="1178"/>
    <n v="0"/>
    <n v="0"/>
  </r>
  <r>
    <x v="11"/>
    <x v="1"/>
    <x v="0"/>
    <n v="11075.1"/>
    <n v="3680.8"/>
    <n v="590"/>
    <n v="0"/>
    <n v="0"/>
  </r>
  <r>
    <x v="11"/>
    <x v="2"/>
    <x v="0"/>
    <n v="12848.37"/>
    <n v="6510.62"/>
    <n v="3173"/>
    <n v="0"/>
    <n v="0"/>
  </r>
  <r>
    <x v="11"/>
    <x v="3"/>
    <x v="0"/>
    <n v="13886.4"/>
    <n v="3881.9"/>
    <n v="2392"/>
    <n v="0"/>
    <n v="0"/>
  </r>
  <r>
    <x v="11"/>
    <x v="4"/>
    <x v="0"/>
    <n v="15861.45"/>
    <n v="7620.15"/>
    <n v="2055"/>
    <n v="0"/>
    <n v="0"/>
  </r>
  <r>
    <x v="11"/>
    <x v="5"/>
    <x v="0"/>
    <n v="6154.89"/>
    <n v="2679.89"/>
    <n v="891"/>
    <n v="0"/>
    <n v="0"/>
  </r>
  <r>
    <x v="11"/>
    <x v="6"/>
    <x v="0"/>
    <n v="8289.73"/>
    <n v="2914.53"/>
    <n v="1397"/>
    <n v="0"/>
    <n v="0"/>
  </r>
  <r>
    <x v="11"/>
    <x v="7"/>
    <x v="0"/>
    <n v="1220.21"/>
    <n v="630.21"/>
    <n v="179"/>
    <n v="0"/>
    <n v="0"/>
  </r>
  <r>
    <x v="11"/>
    <x v="8"/>
    <x v="0"/>
    <n v="2509.35"/>
    <n v="1032.05"/>
    <n v="285"/>
    <n v="0"/>
    <n v="0"/>
  </r>
  <r>
    <x v="11"/>
    <x v="9"/>
    <x v="0"/>
    <n v="1960.4"/>
    <n v="841.52"/>
    <n v="1320"/>
    <n v="0"/>
    <n v="0"/>
  </r>
  <r>
    <x v="11"/>
    <x v="10"/>
    <x v="0"/>
    <n v="8694.780000000001"/>
    <n v="3815.98"/>
    <n v="1992"/>
    <n v="0"/>
    <n v="0"/>
  </r>
  <r>
    <x v="12"/>
    <x v="0"/>
    <x v="0"/>
    <n v="4602.15"/>
    <n v="1692.85"/>
    <n v="1155"/>
    <n v="0"/>
    <n v="0"/>
  </r>
  <r>
    <x v="12"/>
    <x v="1"/>
    <x v="0"/>
    <n v="10505.53"/>
    <n v="3613.03"/>
    <n v="547"/>
    <n v="0"/>
    <n v="0"/>
  </r>
  <r>
    <x v="12"/>
    <x v="2"/>
    <x v="0"/>
    <n v="13854"/>
    <n v="7096.65"/>
    <n v="3400"/>
    <n v="0"/>
    <n v="0"/>
  </r>
  <r>
    <x v="12"/>
    <x v="3"/>
    <x v="0"/>
    <n v="14341.98"/>
    <n v="4087.98"/>
    <n v="2412"/>
    <n v="0"/>
    <n v="0"/>
  </r>
  <r>
    <x v="12"/>
    <x v="4"/>
    <x v="0"/>
    <n v="15347.1"/>
    <n v="7307.2"/>
    <n v="1940"/>
    <n v="0"/>
    <n v="0"/>
  </r>
  <r>
    <x v="12"/>
    <x v="5"/>
    <x v="0"/>
    <n v="5427.65"/>
    <n v="2364.25"/>
    <n v="815"/>
    <n v="0"/>
    <n v="0"/>
  </r>
  <r>
    <x v="12"/>
    <x v="6"/>
    <x v="0"/>
    <n v="7833.67"/>
    <n v="2694.17"/>
    <n v="1269"/>
    <n v="0"/>
    <n v="0"/>
  </r>
  <r>
    <x v="12"/>
    <x v="7"/>
    <x v="0"/>
    <n v="1343.37"/>
    <n v="666.77"/>
    <n v="163"/>
    <n v="0"/>
    <n v="0"/>
  </r>
  <r>
    <x v="12"/>
    <x v="8"/>
    <x v="0"/>
    <n v="2242.31"/>
    <n v="924.41"/>
    <n v="269"/>
    <n v="0"/>
    <n v="0"/>
  </r>
  <r>
    <x v="12"/>
    <x v="9"/>
    <x v="0"/>
    <n v="2016.36"/>
    <n v="877.72"/>
    <n v="1324"/>
    <n v="0"/>
    <n v="0"/>
  </r>
  <r>
    <x v="12"/>
    <x v="10"/>
    <x v="0"/>
    <n v="8124.94"/>
    <n v="3596.54"/>
    <n v="1866"/>
    <n v="0"/>
    <n v="0"/>
  </r>
  <r>
    <x v="13"/>
    <x v="0"/>
    <x v="0"/>
    <n v="5511.33"/>
    <n v="2136.03"/>
    <n v="1337"/>
    <n v="0"/>
    <n v="0"/>
  </r>
  <r>
    <x v="13"/>
    <x v="1"/>
    <x v="0"/>
    <n v="13317.28"/>
    <n v="4354.78"/>
    <n v="692"/>
    <n v="0"/>
    <n v="0"/>
  </r>
  <r>
    <x v="13"/>
    <x v="2"/>
    <x v="0"/>
    <n v="17451.44"/>
    <n v="8780.09"/>
    <n v="4386"/>
    <n v="0"/>
    <n v="0"/>
  </r>
  <r>
    <x v="13"/>
    <x v="3"/>
    <x v="0"/>
    <n v="15001.63"/>
    <n v="4260.58"/>
    <n v="2551"/>
    <n v="0"/>
    <n v="0"/>
  </r>
  <r>
    <x v="13"/>
    <x v="4"/>
    <x v="0"/>
    <n v="17693.85"/>
    <n v="8394.75"/>
    <n v="2215"/>
    <n v="0"/>
    <n v="0"/>
  </r>
  <r>
    <x v="13"/>
    <x v="5"/>
    <x v="0"/>
    <n v="5789.71"/>
    <n v="2604.51"/>
    <n v="929"/>
    <n v="0"/>
    <n v="0"/>
  </r>
  <r>
    <x v="13"/>
    <x v="6"/>
    <x v="0"/>
    <n v="8345.77"/>
    <n v="2864.07"/>
    <n v="1347"/>
    <n v="0"/>
    <n v="0"/>
  </r>
  <r>
    <x v="13"/>
    <x v="7"/>
    <x v="0"/>
    <n v="1284.47"/>
    <n v="630.47"/>
    <n v="153"/>
    <n v="0"/>
    <n v="0"/>
  </r>
  <r>
    <x v="13"/>
    <x v="8"/>
    <x v="0"/>
    <n v="2466.05"/>
    <n v="977.75"/>
    <n v="295"/>
    <n v="0"/>
    <n v="0"/>
  </r>
  <r>
    <x v="13"/>
    <x v="9"/>
    <x v="0"/>
    <n v="2416.57"/>
    <n v="1049.09"/>
    <n v="1513"/>
    <n v="0"/>
    <n v="0"/>
  </r>
  <r>
    <x v="13"/>
    <x v="10"/>
    <x v="0"/>
    <n v="8961.67"/>
    <n v="3969.67"/>
    <n v="2067"/>
    <n v="0"/>
    <n v="0"/>
  </r>
  <r>
    <x v="14"/>
    <x v="0"/>
    <x v="0"/>
    <n v="4281.44"/>
    <n v="1661.04"/>
    <n v="1036"/>
    <n v="0"/>
    <n v="0"/>
  </r>
  <r>
    <x v="14"/>
    <x v="1"/>
    <x v="0"/>
    <n v="11859.8"/>
    <n v="4086.5"/>
    <n v="620"/>
    <n v="0"/>
    <n v="0"/>
  </r>
  <r>
    <x v="14"/>
    <x v="2"/>
    <x v="0"/>
    <n v="14043.27"/>
    <n v="7192.42"/>
    <n v="3473"/>
    <n v="0"/>
    <n v="0"/>
  </r>
  <r>
    <x v="14"/>
    <x v="3"/>
    <x v="0"/>
    <n v="12543.02"/>
    <n v="3453.42"/>
    <n v="2196"/>
    <n v="0"/>
    <n v="0"/>
  </r>
  <r>
    <x v="14"/>
    <x v="4"/>
    <x v="0"/>
    <n v="15337.61"/>
    <n v="7200.11"/>
    <n v="1909"/>
    <n v="0"/>
    <n v="0"/>
  </r>
  <r>
    <x v="14"/>
    <x v="5"/>
    <x v="0"/>
    <n v="5467.39"/>
    <n v="2429.79"/>
    <n v="841"/>
    <n v="0"/>
    <n v="0"/>
  </r>
  <r>
    <x v="14"/>
    <x v="6"/>
    <x v="0"/>
    <n v="6720.75"/>
    <n v="2282.95"/>
    <n v="1055"/>
    <n v="0"/>
    <n v="0"/>
  </r>
  <r>
    <x v="14"/>
    <x v="7"/>
    <x v="0"/>
    <n v="1767.19"/>
    <n v="850.59"/>
    <n v="181"/>
    <n v="0"/>
    <n v="0"/>
  </r>
  <r>
    <x v="14"/>
    <x v="8"/>
    <x v="0"/>
    <n v="2340.06"/>
    <n v="945.86"/>
    <n v="294"/>
    <n v="0"/>
    <n v="0"/>
  </r>
  <r>
    <x v="14"/>
    <x v="9"/>
    <x v="0"/>
    <n v="2178.64"/>
    <n v="930.74"/>
    <n v="1336"/>
    <n v="0"/>
    <n v="0"/>
  </r>
  <r>
    <x v="14"/>
    <x v="10"/>
    <x v="0"/>
    <n v="7742.34"/>
    <n v="3349.84"/>
    <n v="1800"/>
    <n v="0"/>
    <n v="0"/>
  </r>
  <r>
    <x v="15"/>
    <x v="0"/>
    <x v="0"/>
    <n v="4381.72"/>
    <n v="1670.32"/>
    <n v="1076"/>
    <n v="0"/>
    <n v="0"/>
  </r>
  <r>
    <x v="15"/>
    <x v="1"/>
    <x v="0"/>
    <n v="11888.7"/>
    <n v="3934.9"/>
    <n v="630"/>
    <n v="0"/>
    <n v="0"/>
  </r>
  <r>
    <x v="15"/>
    <x v="2"/>
    <x v="0"/>
    <n v="14469.74"/>
    <n v="7424.19"/>
    <n v="3526"/>
    <n v="0"/>
    <n v="0"/>
  </r>
  <r>
    <x v="15"/>
    <x v="3"/>
    <x v="0"/>
    <n v="13028.62"/>
    <n v="3654.17"/>
    <n v="2218"/>
    <n v="0"/>
    <n v="0"/>
  </r>
  <r>
    <x v="15"/>
    <x v="4"/>
    <x v="0"/>
    <n v="14791.86"/>
    <n v="6986.16"/>
    <n v="1854"/>
    <n v="0"/>
    <n v="0"/>
  </r>
  <r>
    <x v="15"/>
    <x v="5"/>
    <x v="0"/>
    <n v="5652.48"/>
    <n v="2486.68"/>
    <n v="872"/>
    <n v="0"/>
    <n v="0"/>
  </r>
  <r>
    <x v="15"/>
    <x v="6"/>
    <x v="0"/>
    <n v="6726.77"/>
    <n v="2336.87"/>
    <n v="1123"/>
    <n v="0"/>
    <n v="0"/>
  </r>
  <r>
    <x v="15"/>
    <x v="7"/>
    <x v="0"/>
    <n v="1388.49"/>
    <n v="651.89"/>
    <n v="151"/>
    <n v="0"/>
    <n v="0"/>
  </r>
  <r>
    <x v="15"/>
    <x v="8"/>
    <x v="0"/>
    <n v="2040.5"/>
    <n v="816.5"/>
    <n v="250"/>
    <n v="0"/>
    <n v="0"/>
  </r>
  <r>
    <x v="15"/>
    <x v="9"/>
    <x v="0"/>
    <n v="1969.9"/>
    <n v="845.8"/>
    <n v="1260"/>
    <n v="0"/>
    <n v="0"/>
  </r>
  <r>
    <x v="15"/>
    <x v="10"/>
    <x v="0"/>
    <n v="7725.63"/>
    <n v="3456.63"/>
    <n v="1777"/>
    <n v="0"/>
    <n v="0"/>
  </r>
  <r>
    <x v="16"/>
    <x v="0"/>
    <x v="0"/>
    <n v="4648.97"/>
    <n v="1783.07"/>
    <n v="1127"/>
    <n v="0"/>
    <n v="0"/>
  </r>
  <r>
    <x v="16"/>
    <x v="1"/>
    <x v="0"/>
    <n v="11224.21"/>
    <n v="3873.51"/>
    <n v="579"/>
    <n v="0"/>
    <n v="0"/>
  </r>
  <r>
    <x v="16"/>
    <x v="2"/>
    <x v="0"/>
    <n v="15274.67"/>
    <n v="7823.52"/>
    <n v="3721"/>
    <n v="0"/>
    <n v="0"/>
  </r>
  <r>
    <x v="16"/>
    <x v="3"/>
    <x v="0"/>
    <n v="14328.13"/>
    <n v="3918.58"/>
    <n v="2523"/>
    <n v="0"/>
    <n v="0"/>
  </r>
  <r>
    <x v="16"/>
    <x v="4"/>
    <x v="0"/>
    <n v="16596.74"/>
    <n v="7893.54"/>
    <n v="2106"/>
    <n v="0"/>
    <n v="0"/>
  </r>
  <r>
    <x v="16"/>
    <x v="5"/>
    <x v="0"/>
    <n v="5556.4"/>
    <n v="2473.3"/>
    <n v="860"/>
    <n v="0"/>
    <n v="0"/>
  </r>
  <r>
    <x v="16"/>
    <x v="6"/>
    <x v="0"/>
    <n v="7658.37"/>
    <n v="2663.37"/>
    <n v="1289"/>
    <n v="0"/>
    <n v="0"/>
  </r>
  <r>
    <x v="16"/>
    <x v="7"/>
    <x v="0"/>
    <n v="1517.52"/>
    <n v="748.12"/>
    <n v="188"/>
    <n v="0"/>
    <n v="0"/>
  </r>
  <r>
    <x v="16"/>
    <x v="8"/>
    <x v="0"/>
    <n v="2350.21"/>
    <n v="994.11"/>
    <n v="279"/>
    <n v="0"/>
    <n v="0"/>
  </r>
  <r>
    <x v="16"/>
    <x v="9"/>
    <x v="0"/>
    <n v="2164.05"/>
    <n v="942.01"/>
    <n v="1405"/>
    <n v="0"/>
    <n v="0"/>
  </r>
  <r>
    <x v="16"/>
    <x v="10"/>
    <x v="0"/>
    <n v="8536.48"/>
    <n v="3832.08"/>
    <n v="1942"/>
    <n v="0"/>
    <n v="0"/>
  </r>
  <r>
    <x v="17"/>
    <x v="0"/>
    <x v="0"/>
    <n v="4625.79"/>
    <n v="1759.39"/>
    <n v="1141"/>
    <n v="0"/>
    <n v="0"/>
  </r>
  <r>
    <x v="17"/>
    <x v="1"/>
    <x v="0"/>
    <n v="9676.52"/>
    <n v="3215.02"/>
    <n v="508"/>
    <n v="0"/>
    <n v="0"/>
  </r>
  <r>
    <x v="17"/>
    <x v="2"/>
    <x v="0"/>
    <n v="12524.09"/>
    <n v="6374.14"/>
    <n v="3081"/>
    <n v="0"/>
    <n v="0"/>
  </r>
  <r>
    <x v="17"/>
    <x v="3"/>
    <x v="0"/>
    <n v="13860.95"/>
    <n v="3828.4"/>
    <n v="2379"/>
    <n v="0"/>
    <n v="0"/>
  </r>
  <r>
    <x v="17"/>
    <x v="4"/>
    <x v="0"/>
    <n v="14309.01"/>
    <n v="6794.51"/>
    <n v="1889"/>
    <n v="0"/>
    <n v="0"/>
  </r>
  <r>
    <x v="17"/>
    <x v="5"/>
    <x v="0"/>
    <n v="5627.75"/>
    <n v="2475.45"/>
    <n v="825"/>
    <n v="0"/>
    <n v="0"/>
  </r>
  <r>
    <x v="17"/>
    <x v="6"/>
    <x v="0"/>
    <n v="8187.63"/>
    <n v="2721.53"/>
    <n v="1315"/>
    <n v="0"/>
    <n v="0"/>
  </r>
  <r>
    <x v="17"/>
    <x v="7"/>
    <x v="0"/>
    <n v="1426.19"/>
    <n v="714.1900000000001"/>
    <n v="181"/>
    <n v="0"/>
    <n v="0"/>
  </r>
  <r>
    <x v="17"/>
    <x v="8"/>
    <x v="0"/>
    <n v="2181.87"/>
    <n v="846.37"/>
    <n v="273"/>
    <n v="0"/>
    <n v="0"/>
  </r>
  <r>
    <x v="17"/>
    <x v="9"/>
    <x v="0"/>
    <n v="1885.88"/>
    <n v="811.34"/>
    <n v="1272"/>
    <n v="0"/>
    <n v="0"/>
  </r>
  <r>
    <x v="17"/>
    <x v="10"/>
    <x v="0"/>
    <n v="8577.08"/>
    <n v="3835.98"/>
    <n v="1942"/>
    <n v="0"/>
    <n v="0"/>
  </r>
  <r>
    <x v="18"/>
    <x v="0"/>
    <x v="0"/>
    <n v="4688.82"/>
    <n v="1781.32"/>
    <n v="1158"/>
    <n v="0"/>
    <n v="0"/>
  </r>
  <r>
    <x v="18"/>
    <x v="1"/>
    <x v="0"/>
    <n v="9608.98"/>
    <n v="3326.18"/>
    <n v="502"/>
    <n v="0"/>
    <n v="0"/>
  </r>
  <r>
    <x v="18"/>
    <x v="2"/>
    <x v="0"/>
    <n v="11145.84"/>
    <n v="5598.39"/>
    <n v="2742"/>
    <n v="0"/>
    <n v="0"/>
  </r>
  <r>
    <x v="18"/>
    <x v="3"/>
    <x v="0"/>
    <n v="14187.93"/>
    <n v="3793.98"/>
    <n v="2491"/>
    <n v="0"/>
    <n v="0"/>
  </r>
  <r>
    <x v="18"/>
    <x v="4"/>
    <x v="0"/>
    <n v="16230.61"/>
    <n v="7717.71"/>
    <n v="2149"/>
    <n v="0"/>
    <n v="0"/>
  </r>
  <r>
    <x v="18"/>
    <x v="5"/>
    <x v="0"/>
    <n v="6031.23"/>
    <n v="2612.83"/>
    <n v="857"/>
    <n v="0"/>
    <n v="0"/>
  </r>
  <r>
    <x v="18"/>
    <x v="6"/>
    <x v="0"/>
    <n v="8359.299999999999"/>
    <n v="2962.4"/>
    <n v="1452"/>
    <n v="0"/>
    <n v="0"/>
  </r>
  <r>
    <x v="18"/>
    <x v="7"/>
    <x v="0"/>
    <n v="1441.44"/>
    <n v="739.4400000000001"/>
    <n v="216"/>
    <n v="0"/>
    <n v="0"/>
  </r>
  <r>
    <x v="18"/>
    <x v="8"/>
    <x v="0"/>
    <n v="2411.12"/>
    <n v="1016.92"/>
    <n v="288"/>
    <n v="0"/>
    <n v="0"/>
  </r>
  <r>
    <x v="18"/>
    <x v="9"/>
    <x v="0"/>
    <n v="2021.04"/>
    <n v="868.54"/>
    <n v="1438"/>
    <n v="0"/>
    <n v="0"/>
  </r>
  <r>
    <x v="18"/>
    <x v="10"/>
    <x v="0"/>
    <n v="8652.780000000001"/>
    <n v="3790.58"/>
    <n v="1992"/>
    <n v="0"/>
    <n v="0"/>
  </r>
  <r>
    <x v="19"/>
    <x v="0"/>
    <x v="0"/>
    <n v="4838.66"/>
    <n v="1820.96"/>
    <n v="1184"/>
    <n v="0"/>
    <n v="0"/>
  </r>
  <r>
    <x v="19"/>
    <x v="1"/>
    <x v="0"/>
    <n v="7951.81"/>
    <n v="2717.51"/>
    <n v="419"/>
    <n v="0"/>
    <n v="0"/>
  </r>
  <r>
    <x v="19"/>
    <x v="2"/>
    <x v="0"/>
    <n v="10068.78"/>
    <n v="5177.18"/>
    <n v="2442"/>
    <n v="0"/>
    <n v="0"/>
  </r>
  <r>
    <x v="19"/>
    <x v="3"/>
    <x v="0"/>
    <n v="13570.57"/>
    <n v="3746.32"/>
    <n v="2403"/>
    <n v="0"/>
    <n v="0"/>
  </r>
  <r>
    <x v="19"/>
    <x v="4"/>
    <x v="0"/>
    <n v="15092.24"/>
    <n v="7200.94"/>
    <n v="2056"/>
    <n v="0"/>
    <n v="0"/>
  </r>
  <r>
    <x v="19"/>
    <x v="5"/>
    <x v="0"/>
    <n v="5507.31"/>
    <n v="2396.91"/>
    <n v="769"/>
    <n v="0"/>
    <n v="0"/>
  </r>
  <r>
    <x v="19"/>
    <x v="6"/>
    <x v="0"/>
    <n v="8800.23"/>
    <n v="3110.03"/>
    <n v="1507"/>
    <n v="0"/>
    <n v="0"/>
  </r>
  <r>
    <x v="19"/>
    <x v="7"/>
    <x v="0"/>
    <n v="1268.95"/>
    <n v="670.35"/>
    <n v="205"/>
    <n v="0"/>
    <n v="0"/>
  </r>
  <r>
    <x v="19"/>
    <x v="8"/>
    <x v="0"/>
    <n v="2361.22"/>
    <n v="1005.82"/>
    <n v="278"/>
    <n v="0"/>
    <n v="0"/>
  </r>
  <r>
    <x v="19"/>
    <x v="9"/>
    <x v="0"/>
    <n v="1630.33"/>
    <n v="704.03"/>
    <n v="1327"/>
    <n v="0"/>
    <n v="0"/>
  </r>
  <r>
    <x v="19"/>
    <x v="10"/>
    <x v="0"/>
    <n v="8736.940000000001"/>
    <n v="3908.24"/>
    <n v="1996"/>
    <n v="0"/>
    <n v="0"/>
  </r>
  <r>
    <x v="20"/>
    <x v="0"/>
    <x v="0"/>
    <n v="5343.26"/>
    <n v="2066.06"/>
    <n v="1284"/>
    <n v="0"/>
    <n v="0"/>
  </r>
  <r>
    <x v="20"/>
    <x v="1"/>
    <x v="0"/>
    <n v="8381.879999999999"/>
    <n v="2876.28"/>
    <n v="432"/>
    <n v="0"/>
    <n v="0"/>
  </r>
  <r>
    <x v="20"/>
    <x v="2"/>
    <x v="0"/>
    <n v="10020.53"/>
    <n v="5173.08"/>
    <n v="2447"/>
    <n v="0"/>
    <n v="0"/>
  </r>
  <r>
    <x v="20"/>
    <x v="3"/>
    <x v="0"/>
    <n v="14327.61"/>
    <n v="3994.81"/>
    <n v="2529"/>
    <n v="0"/>
    <n v="0"/>
  </r>
  <r>
    <x v="20"/>
    <x v="4"/>
    <x v="0"/>
    <n v="14813.02"/>
    <n v="7198.92"/>
    <n v="2068"/>
    <n v="0"/>
    <n v="0"/>
  </r>
  <r>
    <x v="20"/>
    <x v="5"/>
    <x v="0"/>
    <n v="5965.67"/>
    <n v="2567.97"/>
    <n v="833"/>
    <n v="0"/>
    <n v="0"/>
  </r>
  <r>
    <x v="20"/>
    <x v="6"/>
    <x v="0"/>
    <n v="9157.309999999999"/>
    <n v="3235.91"/>
    <n v="1599"/>
    <n v="0"/>
    <n v="0"/>
  </r>
  <r>
    <x v="20"/>
    <x v="7"/>
    <x v="0"/>
    <n v="1397.93"/>
    <n v="723.53"/>
    <n v="207"/>
    <n v="0"/>
    <n v="0"/>
  </r>
  <r>
    <x v="20"/>
    <x v="8"/>
    <x v="0"/>
    <n v="2245.44"/>
    <n v="953.4400000000001"/>
    <n v="256"/>
    <n v="0"/>
    <n v="0"/>
  </r>
  <r>
    <x v="20"/>
    <x v="9"/>
    <x v="0"/>
    <n v="1770.89"/>
    <n v="752.47"/>
    <n v="1337"/>
    <n v="0"/>
    <n v="0"/>
  </r>
  <r>
    <x v="20"/>
    <x v="10"/>
    <x v="0"/>
    <n v="8822.450000000001"/>
    <n v="3901.05"/>
    <n v="2041"/>
    <n v="0"/>
    <n v="0"/>
  </r>
  <r>
    <x v="21"/>
    <x v="0"/>
    <x v="0"/>
    <n v="4607"/>
    <n v="1776.7"/>
    <n v="1110"/>
    <n v="0"/>
    <n v="0"/>
  </r>
  <r>
    <x v="21"/>
    <x v="1"/>
    <x v="0"/>
    <n v="9143.309999999999"/>
    <n v="3159.81"/>
    <n v="469"/>
    <n v="0"/>
    <n v="0"/>
  </r>
  <r>
    <x v="21"/>
    <x v="2"/>
    <x v="0"/>
    <n v="10506.81"/>
    <n v="5355.26"/>
    <n v="2613"/>
    <n v="0"/>
    <n v="0"/>
  </r>
  <r>
    <x v="21"/>
    <x v="3"/>
    <x v="0"/>
    <n v="13810.59"/>
    <n v="3889.64"/>
    <n v="2381"/>
    <n v="0"/>
    <n v="0"/>
  </r>
  <r>
    <x v="21"/>
    <x v="4"/>
    <x v="0"/>
    <n v="15157.74"/>
    <n v="7367.74"/>
    <n v="2076"/>
    <n v="0"/>
    <n v="0"/>
  </r>
  <r>
    <x v="21"/>
    <x v="5"/>
    <x v="0"/>
    <n v="6153.5"/>
    <n v="2664.3"/>
    <n v="850"/>
    <n v="0"/>
    <n v="0"/>
  </r>
  <r>
    <x v="21"/>
    <x v="6"/>
    <x v="0"/>
    <n v="9380.76"/>
    <n v="3282.46"/>
    <n v="1584"/>
    <n v="0"/>
    <n v="0"/>
  </r>
  <r>
    <x v="21"/>
    <x v="7"/>
    <x v="0"/>
    <n v="1353.98"/>
    <n v="687.58"/>
    <n v="202"/>
    <n v="0"/>
    <n v="0"/>
  </r>
  <r>
    <x v="21"/>
    <x v="8"/>
    <x v="0"/>
    <n v="2315.16"/>
    <n v="950.36"/>
    <n v="284"/>
    <n v="0"/>
    <n v="0"/>
  </r>
  <r>
    <x v="21"/>
    <x v="9"/>
    <x v="0"/>
    <n v="1708.04"/>
    <n v="737.36"/>
    <n v="1266"/>
    <n v="0"/>
    <n v="0"/>
  </r>
  <r>
    <x v="21"/>
    <x v="10"/>
    <x v="0"/>
    <n v="8870.33"/>
    <n v="3909.83"/>
    <n v="2007"/>
    <n v="0"/>
    <n v="0"/>
  </r>
  <r>
    <x v="22"/>
    <x v="0"/>
    <x v="0"/>
    <n v="4913.91"/>
    <n v="1891.61"/>
    <n v="1199"/>
    <n v="0"/>
    <n v="0"/>
  </r>
  <r>
    <x v="22"/>
    <x v="1"/>
    <x v="0"/>
    <n v="9356.67"/>
    <n v="3121.97"/>
    <n v="493"/>
    <n v="0"/>
    <n v="0"/>
  </r>
  <r>
    <x v="22"/>
    <x v="2"/>
    <x v="0"/>
    <n v="11231.05"/>
    <n v="5753.1"/>
    <n v="2755"/>
    <n v="0"/>
    <n v="0"/>
  </r>
  <r>
    <x v="22"/>
    <x v="3"/>
    <x v="0"/>
    <n v="13548.15"/>
    <n v="3703"/>
    <n v="2353"/>
    <n v="0"/>
    <n v="0"/>
  </r>
  <r>
    <x v="22"/>
    <x v="4"/>
    <x v="0"/>
    <n v="14982.49"/>
    <n v="7280.39"/>
    <n v="2001"/>
    <n v="0"/>
    <n v="0"/>
  </r>
  <r>
    <x v="22"/>
    <x v="5"/>
    <x v="0"/>
    <n v="6095.34"/>
    <n v="2541.44"/>
    <n v="866"/>
    <n v="0"/>
    <n v="0"/>
  </r>
  <r>
    <x v="22"/>
    <x v="6"/>
    <x v="0"/>
    <n v="9436.6"/>
    <n v="3300"/>
    <n v="1590"/>
    <n v="0"/>
    <n v="0"/>
  </r>
  <r>
    <x v="22"/>
    <x v="7"/>
    <x v="0"/>
    <n v="1481.94"/>
    <n v="756.34"/>
    <n v="206"/>
    <n v="0"/>
    <n v="0"/>
  </r>
  <r>
    <x v="22"/>
    <x v="8"/>
    <x v="0"/>
    <n v="2340.19"/>
    <n v="993.29"/>
    <n v="281"/>
    <n v="0"/>
    <n v="0"/>
  </r>
  <r>
    <x v="22"/>
    <x v="9"/>
    <x v="0"/>
    <n v="1825.06"/>
    <n v="796.8"/>
    <n v="1334"/>
    <n v="0"/>
    <n v="0"/>
  </r>
  <r>
    <x v="22"/>
    <x v="10"/>
    <x v="0"/>
    <n v="8991.67"/>
    <n v="3999.17"/>
    <n v="2069"/>
    <n v="0"/>
    <n v="0"/>
  </r>
  <r>
    <x v="23"/>
    <x v="0"/>
    <x v="2"/>
    <n v="4943.77"/>
    <n v="1888.52"/>
    <n v="0"/>
    <n v="4672.12"/>
    <n v="5215.42"/>
  </r>
  <r>
    <x v="23"/>
    <x v="1"/>
    <x v="2"/>
    <n v="10507.4"/>
    <n v="3551.5"/>
    <n v="0"/>
    <n v="9930.049999999999"/>
    <n v="11084.76"/>
  </r>
  <r>
    <x v="23"/>
    <x v="2"/>
    <x v="2"/>
    <n v="13540.3"/>
    <n v="6905.55"/>
    <n v="0"/>
    <n v="12796.3"/>
    <n v="14284.3"/>
  </r>
  <r>
    <x v="23"/>
    <x v="3"/>
    <x v="2"/>
    <n v="13890.05"/>
    <n v="3861.43"/>
    <n v="0"/>
    <n v="13126.83"/>
    <n v="14653.27"/>
  </r>
  <r>
    <x v="23"/>
    <x v="4"/>
    <x v="2"/>
    <n v="15410.67"/>
    <n v="7366.3"/>
    <n v="0"/>
    <n v="14563.9"/>
    <n v="16257.45"/>
  </r>
  <r>
    <x v="23"/>
    <x v="5"/>
    <x v="2"/>
    <n v="6307.83"/>
    <n v="2750.21"/>
    <n v="0"/>
    <n v="5961.23"/>
    <n v="6654.43"/>
  </r>
  <r>
    <x v="23"/>
    <x v="6"/>
    <x v="2"/>
    <n v="8471.629999999999"/>
    <n v="2948.13"/>
    <n v="0"/>
    <n v="8006.13"/>
    <n v="8937.120000000001"/>
  </r>
  <r>
    <x v="23"/>
    <x v="7"/>
    <x v="2"/>
    <n v="1380.67"/>
    <n v="691.71"/>
    <n v="0"/>
    <n v="1304.8"/>
    <n v="1456.53"/>
  </r>
  <r>
    <x v="23"/>
    <x v="8"/>
    <x v="2"/>
    <n v="2484.78"/>
    <n v="1023.73"/>
    <n v="0"/>
    <n v="2348.25"/>
    <n v="2621.31"/>
  </r>
  <r>
    <x v="23"/>
    <x v="9"/>
    <x v="2"/>
    <n v="2071.94"/>
    <n v="893.01"/>
    <n v="0"/>
    <n v="1958.09"/>
    <n v="2185.79"/>
  </r>
  <r>
    <x v="23"/>
    <x v="10"/>
    <x v="2"/>
    <n v="9033.620000000001"/>
    <n v="4001.89"/>
    <n v="0"/>
    <n v="8537.24"/>
    <n v="9529.99"/>
  </r>
  <r>
    <x v="24"/>
    <x v="0"/>
    <x v="1"/>
    <n v="4723.24"/>
    <n v="0"/>
    <n v="0"/>
    <n v="4463.71"/>
    <n v="4982.77"/>
  </r>
  <r>
    <x v="24"/>
    <x v="1"/>
    <x v="1"/>
    <n v="10550.96"/>
    <n v="0"/>
    <n v="0"/>
    <n v="9971.209999999999"/>
    <n v="11130.71"/>
  </r>
  <r>
    <x v="24"/>
    <x v="2"/>
    <x v="1"/>
    <n v="14690.17"/>
    <n v="0"/>
    <n v="0"/>
    <n v="13882.99"/>
    <n v="15497.36"/>
  </r>
  <r>
    <x v="24"/>
    <x v="3"/>
    <x v="1"/>
    <n v="14884.88"/>
    <n v="0"/>
    <n v="0"/>
    <n v="14067"/>
    <n v="15702.77"/>
  </r>
  <r>
    <x v="24"/>
    <x v="4"/>
    <x v="1"/>
    <n v="15677.09"/>
    <n v="0"/>
    <n v="0"/>
    <n v="14815.67"/>
    <n v="16538.5"/>
  </r>
  <r>
    <x v="24"/>
    <x v="5"/>
    <x v="1"/>
    <n v="5895.24"/>
    <n v="0"/>
    <n v="0"/>
    <n v="5571.31"/>
    <n v="6219.17"/>
  </r>
  <r>
    <x v="24"/>
    <x v="6"/>
    <x v="1"/>
    <n v="8195.290000000001"/>
    <n v="0"/>
    <n v="0"/>
    <n v="7744.98"/>
    <n v="8645.6"/>
  </r>
  <r>
    <x v="24"/>
    <x v="7"/>
    <x v="1"/>
    <n v="1462.96"/>
    <n v="0"/>
    <n v="0"/>
    <n v="1382.58"/>
    <n v="1543.35"/>
  </r>
  <r>
    <x v="24"/>
    <x v="8"/>
    <x v="1"/>
    <n v="2298.83"/>
    <n v="0"/>
    <n v="0"/>
    <n v="2172.51"/>
    <n v="2425.14"/>
  </r>
  <r>
    <x v="24"/>
    <x v="9"/>
    <x v="1"/>
    <n v="2236.94"/>
    <n v="0"/>
    <n v="0"/>
    <n v="2114.02"/>
    <n v="2359.85"/>
  </r>
  <r>
    <x v="24"/>
    <x v="10"/>
    <x v="1"/>
    <n v="8614.549999999999"/>
    <n v="0"/>
    <n v="0"/>
    <n v="8141.2"/>
    <n v="9087.9"/>
  </r>
  <r>
    <x v="25"/>
    <x v="0"/>
    <x v="1"/>
    <n v="5656.34"/>
    <n v="0"/>
    <n v="0"/>
    <n v="5345.54"/>
    <n v="5967.14"/>
  </r>
  <r>
    <x v="25"/>
    <x v="1"/>
    <x v="1"/>
    <n v="13374.87"/>
    <n v="0"/>
    <n v="0"/>
    <n v="12639.95"/>
    <n v="14109.78"/>
  </r>
  <r>
    <x v="25"/>
    <x v="2"/>
    <x v="1"/>
    <n v="18504.74"/>
    <n v="0"/>
    <n v="0"/>
    <n v="17487.95"/>
    <n v="19521.53"/>
  </r>
  <r>
    <x v="25"/>
    <x v="3"/>
    <x v="1"/>
    <n v="15569.5"/>
    <n v="0"/>
    <n v="0"/>
    <n v="14714"/>
    <n v="16425"/>
  </r>
  <r>
    <x v="25"/>
    <x v="4"/>
    <x v="1"/>
    <n v="18074.29"/>
    <n v="0"/>
    <n v="0"/>
    <n v="17081.16"/>
    <n v="19067.43"/>
  </r>
  <r>
    <x v="25"/>
    <x v="5"/>
    <x v="1"/>
    <n v="6288.49"/>
    <n v="0"/>
    <n v="0"/>
    <n v="5942.96"/>
    <n v="6634.03"/>
  </r>
  <r>
    <x v="25"/>
    <x v="6"/>
    <x v="1"/>
    <n v="8731.030000000001"/>
    <n v="0"/>
    <n v="0"/>
    <n v="8251.280000000001"/>
    <n v="9210.780000000001"/>
  </r>
  <r>
    <x v="25"/>
    <x v="7"/>
    <x v="1"/>
    <n v="1398.82"/>
    <n v="0"/>
    <n v="0"/>
    <n v="1321.96"/>
    <n v="1475.68"/>
  </r>
  <r>
    <x v="25"/>
    <x v="8"/>
    <x v="1"/>
    <n v="2528.21"/>
    <n v="0"/>
    <n v="0"/>
    <n v="2389.29"/>
    <n v="2667.13"/>
  </r>
  <r>
    <x v="25"/>
    <x v="9"/>
    <x v="1"/>
    <n v="2680.93"/>
    <n v="0"/>
    <n v="0"/>
    <n v="2533.62"/>
    <n v="2828.24"/>
  </r>
  <r>
    <x v="25"/>
    <x v="10"/>
    <x v="1"/>
    <n v="9501.700000000001"/>
    <n v="0"/>
    <n v="0"/>
    <n v="8979.610000000001"/>
    <n v="10023.79"/>
  </r>
  <r>
    <x v="26"/>
    <x v="0"/>
    <x v="1"/>
    <n v="4394.09"/>
    <n v="0"/>
    <n v="0"/>
    <n v="4152.65"/>
    <n v="4635.53"/>
  </r>
  <r>
    <x v="26"/>
    <x v="1"/>
    <x v="1"/>
    <n v="11911.08"/>
    <n v="0"/>
    <n v="0"/>
    <n v="11256.6"/>
    <n v="12565.57"/>
  </r>
  <r>
    <x v="26"/>
    <x v="2"/>
    <x v="1"/>
    <n v="14890.87"/>
    <n v="0"/>
    <n v="0"/>
    <n v="14072.65"/>
    <n v="15709.08"/>
  </r>
  <r>
    <x v="26"/>
    <x v="3"/>
    <x v="1"/>
    <n v="13017.82"/>
    <n v="0"/>
    <n v="0"/>
    <n v="12302.53"/>
    <n v="13733.12"/>
  </r>
  <r>
    <x v="26"/>
    <x v="4"/>
    <x v="1"/>
    <n v="15667.39"/>
    <n v="0"/>
    <n v="0"/>
    <n v="14806.51"/>
    <n v="16528.27"/>
  </r>
  <r>
    <x v="26"/>
    <x v="5"/>
    <x v="1"/>
    <n v="5938.41"/>
    <n v="0"/>
    <n v="0"/>
    <n v="5612.11"/>
    <n v="6264.71"/>
  </r>
  <r>
    <x v="26"/>
    <x v="6"/>
    <x v="1"/>
    <n v="7030.99"/>
    <n v="0"/>
    <n v="0"/>
    <n v="6644.66"/>
    <n v="7417.33"/>
  </r>
  <r>
    <x v="26"/>
    <x v="7"/>
    <x v="1"/>
    <n v="1924.51"/>
    <n v="0"/>
    <n v="0"/>
    <n v="1818.77"/>
    <n v="2030.26"/>
  </r>
  <r>
    <x v="26"/>
    <x v="8"/>
    <x v="1"/>
    <n v="2399.04"/>
    <n v="0"/>
    <n v="0"/>
    <n v="2267.22"/>
    <n v="2530.86"/>
  </r>
  <r>
    <x v="26"/>
    <x v="9"/>
    <x v="1"/>
    <n v="2416.97"/>
    <n v="0"/>
    <n v="0"/>
    <n v="2284.16"/>
    <n v="2549.78"/>
  </r>
  <r>
    <x v="26"/>
    <x v="10"/>
    <x v="1"/>
    <n v="8208.889999999999"/>
    <n v="0"/>
    <n v="0"/>
    <n v="7757.84"/>
    <n v="8659.950000000001"/>
  </r>
  <r>
    <x v="27"/>
    <x v="0"/>
    <x v="1"/>
    <n v="4497.01"/>
    <n v="0"/>
    <n v="0"/>
    <n v="4249.91"/>
    <n v="4744.11"/>
  </r>
  <r>
    <x v="27"/>
    <x v="1"/>
    <x v="1"/>
    <n v="11940.11"/>
    <n v="0"/>
    <n v="0"/>
    <n v="11284.03"/>
    <n v="12596.19"/>
  </r>
  <r>
    <x v="27"/>
    <x v="2"/>
    <x v="1"/>
    <n v="15343.08"/>
    <n v="0"/>
    <n v="0"/>
    <n v="14500.02"/>
    <n v="16186.14"/>
  </r>
  <r>
    <x v="27"/>
    <x v="3"/>
    <x v="1"/>
    <n v="13521.81"/>
    <n v="0"/>
    <n v="0"/>
    <n v="12778.82"/>
    <n v="14264.79"/>
  </r>
  <r>
    <x v="27"/>
    <x v="4"/>
    <x v="1"/>
    <n v="15109.91"/>
    <n v="0"/>
    <n v="0"/>
    <n v="14279.66"/>
    <n v="15940.16"/>
  </r>
  <r>
    <x v="27"/>
    <x v="5"/>
    <x v="1"/>
    <n v="6139.44"/>
    <n v="0"/>
    <n v="0"/>
    <n v="5802.1"/>
    <n v="6476.79"/>
  </r>
  <r>
    <x v="27"/>
    <x v="6"/>
    <x v="1"/>
    <n v="7037.29"/>
    <n v="0"/>
    <n v="0"/>
    <n v="6650.61"/>
    <n v="7423.97"/>
  </r>
  <r>
    <x v="27"/>
    <x v="7"/>
    <x v="1"/>
    <n v="1512.1"/>
    <n v="0"/>
    <n v="0"/>
    <n v="1429.01"/>
    <n v="1595.19"/>
  </r>
  <r>
    <x v="27"/>
    <x v="8"/>
    <x v="1"/>
    <n v="2091.93"/>
    <n v="0"/>
    <n v="0"/>
    <n v="1976.99"/>
    <n v="2206.88"/>
  </r>
  <r>
    <x v="27"/>
    <x v="9"/>
    <x v="1"/>
    <n v="2185.4"/>
    <n v="0"/>
    <n v="0"/>
    <n v="2065.31"/>
    <n v="2305.48"/>
  </r>
  <r>
    <x v="27"/>
    <x v="10"/>
    <x v="1"/>
    <n v="8191.18"/>
    <n v="0"/>
    <n v="0"/>
    <n v="7741.09"/>
    <n v="8641.26"/>
  </r>
  <r>
    <x v="28"/>
    <x v="0"/>
    <x v="1"/>
    <n v="4771.29"/>
    <n v="0"/>
    <n v="0"/>
    <n v="4509.12"/>
    <n v="5033.46"/>
  </r>
  <r>
    <x v="28"/>
    <x v="1"/>
    <x v="1"/>
    <n v="11272.75"/>
    <n v="0"/>
    <n v="0"/>
    <n v="10653.34"/>
    <n v="11892.15"/>
  </r>
  <r>
    <x v="28"/>
    <x v="2"/>
    <x v="1"/>
    <n v="16196.59"/>
    <n v="0"/>
    <n v="0"/>
    <n v="15306.63"/>
    <n v="17086.55"/>
  </r>
  <r>
    <x v="28"/>
    <x v="3"/>
    <x v="1"/>
    <n v="14870.51"/>
    <n v="0"/>
    <n v="0"/>
    <n v="14053.41"/>
    <n v="15687.6"/>
  </r>
  <r>
    <x v="28"/>
    <x v="4"/>
    <x v="1"/>
    <n v="16953.6"/>
    <n v="0"/>
    <n v="0"/>
    <n v="16022.04"/>
    <n v="17885.15"/>
  </r>
  <r>
    <x v="28"/>
    <x v="5"/>
    <x v="1"/>
    <n v="6035.08"/>
    <n v="0"/>
    <n v="0"/>
    <n v="5703.47"/>
    <n v="6366.7"/>
  </r>
  <r>
    <x v="28"/>
    <x v="6"/>
    <x v="1"/>
    <n v="8011.9"/>
    <n v="0"/>
    <n v="0"/>
    <n v="7571.66"/>
    <n v="8452.129999999999"/>
  </r>
  <r>
    <x v="28"/>
    <x v="7"/>
    <x v="1"/>
    <n v="1652.62"/>
    <n v="0"/>
    <n v="0"/>
    <n v="1561.81"/>
    <n v="1743.42"/>
  </r>
  <r>
    <x v="28"/>
    <x v="8"/>
    <x v="1"/>
    <n v="2409.45"/>
    <n v="0"/>
    <n v="0"/>
    <n v="2277.06"/>
    <n v="2541.84"/>
  </r>
  <r>
    <x v="28"/>
    <x v="9"/>
    <x v="1"/>
    <n v="2400.78"/>
    <n v="0"/>
    <n v="0"/>
    <n v="2268.87"/>
    <n v="2532.7"/>
  </r>
  <r>
    <x v="28"/>
    <x v="10"/>
    <x v="1"/>
    <n v="9050.889999999999"/>
    <n v="0"/>
    <n v="0"/>
    <n v="8553.57"/>
    <n v="9548.209999999999"/>
  </r>
  <r>
    <x v="29"/>
    <x v="0"/>
    <x v="1"/>
    <n v="4747.5"/>
    <n v="0"/>
    <n v="0"/>
    <n v="4486.64"/>
    <n v="5008.36"/>
  </r>
  <r>
    <x v="29"/>
    <x v="1"/>
    <x v="1"/>
    <n v="9718.360000000001"/>
    <n v="0"/>
    <n v="0"/>
    <n v="9184.360000000001"/>
    <n v="10252.36"/>
  </r>
  <r>
    <x v="29"/>
    <x v="2"/>
    <x v="1"/>
    <n v="13280"/>
    <n v="0"/>
    <n v="0"/>
    <n v="12550.29"/>
    <n v="14009.7"/>
  </r>
  <r>
    <x v="29"/>
    <x v="3"/>
    <x v="1"/>
    <n v="14385.64"/>
    <n v="0"/>
    <n v="0"/>
    <n v="13595.19"/>
    <n v="15176.1"/>
  </r>
  <r>
    <x v="29"/>
    <x v="4"/>
    <x v="1"/>
    <n v="14616.68"/>
    <n v="0"/>
    <n v="0"/>
    <n v="13813.53"/>
    <n v="15419.82"/>
  </r>
  <r>
    <x v="29"/>
    <x v="5"/>
    <x v="1"/>
    <n v="6112.58"/>
    <n v="0"/>
    <n v="0"/>
    <n v="5776.71"/>
    <n v="6448.45"/>
  </r>
  <r>
    <x v="29"/>
    <x v="6"/>
    <x v="1"/>
    <n v="8565.59"/>
    <n v="0"/>
    <n v="0"/>
    <n v="8094.93"/>
    <n v="9036.25"/>
  </r>
  <r>
    <x v="29"/>
    <x v="7"/>
    <x v="1"/>
    <n v="1553.16"/>
    <n v="0"/>
    <n v="0"/>
    <n v="1467.82"/>
    <n v="1638.5"/>
  </r>
  <r>
    <x v="29"/>
    <x v="8"/>
    <x v="1"/>
    <n v="2236.86"/>
    <n v="0"/>
    <n v="0"/>
    <n v="2113.96"/>
    <n v="2359.77"/>
  </r>
  <r>
    <x v="29"/>
    <x v="9"/>
    <x v="1"/>
    <n v="2092.18"/>
    <n v="0"/>
    <n v="0"/>
    <n v="1977.22"/>
    <n v="2207.14"/>
  </r>
  <r>
    <x v="29"/>
    <x v="10"/>
    <x v="1"/>
    <n v="9093.940000000001"/>
    <n v="0"/>
    <n v="0"/>
    <n v="8594.25"/>
    <n v="9593.620000000001"/>
  </r>
  <r>
    <x v="30"/>
    <x v="0"/>
    <x v="1"/>
    <n v="4812.19"/>
    <n v="0"/>
    <n v="0"/>
    <n v="4547.77"/>
    <n v="5076.61"/>
  </r>
  <r>
    <x v="30"/>
    <x v="1"/>
    <x v="1"/>
    <n v="9650.530000000001"/>
    <n v="0"/>
    <n v="0"/>
    <n v="9120.26"/>
    <n v="10180.8"/>
  </r>
  <r>
    <x v="30"/>
    <x v="2"/>
    <x v="1"/>
    <n v="11818.56"/>
    <n v="0"/>
    <n v="0"/>
    <n v="11169.16"/>
    <n v="12467.96"/>
  </r>
  <r>
    <x v="30"/>
    <x v="3"/>
    <x v="1"/>
    <n v="14725"/>
    <n v="0"/>
    <n v="0"/>
    <n v="13915.9"/>
    <n v="15534.1"/>
  </r>
  <r>
    <x v="30"/>
    <x v="4"/>
    <x v="1"/>
    <n v="16579.59"/>
    <n v="0"/>
    <n v="0"/>
    <n v="15668.59"/>
    <n v="17490.6"/>
  </r>
  <r>
    <x v="30"/>
    <x v="5"/>
    <x v="1"/>
    <n v="6550.82"/>
    <n v="0"/>
    <n v="0"/>
    <n v="6190.87"/>
    <n v="6910.77"/>
  </r>
  <r>
    <x v="30"/>
    <x v="6"/>
    <x v="1"/>
    <n v="8745.18"/>
    <n v="0"/>
    <n v="0"/>
    <n v="8264.66"/>
    <n v="9225.709999999999"/>
  </r>
  <r>
    <x v="30"/>
    <x v="7"/>
    <x v="1"/>
    <n v="1569.76"/>
    <n v="0"/>
    <n v="0"/>
    <n v="1483.51"/>
    <n v="1656.02"/>
  </r>
  <r>
    <x v="30"/>
    <x v="8"/>
    <x v="1"/>
    <n v="2471.89"/>
    <n v="0"/>
    <n v="0"/>
    <n v="2336.07"/>
    <n v="2607.72"/>
  </r>
  <r>
    <x v="30"/>
    <x v="9"/>
    <x v="1"/>
    <n v="2242.13"/>
    <n v="0"/>
    <n v="0"/>
    <n v="2118.93"/>
    <n v="2365.33"/>
  </r>
  <r>
    <x v="30"/>
    <x v="10"/>
    <x v="1"/>
    <n v="9174.200000000001"/>
    <n v="0"/>
    <n v="0"/>
    <n v="8670.1"/>
    <n v="9678.299999999999"/>
  </r>
  <r>
    <x v="31"/>
    <x v="0"/>
    <x v="1"/>
    <n v="4965.97"/>
    <n v="0"/>
    <n v="0"/>
    <n v="4693.1"/>
    <n v="5238.84"/>
  </r>
  <r>
    <x v="31"/>
    <x v="1"/>
    <x v="1"/>
    <n v="7986.2"/>
    <n v="0"/>
    <n v="0"/>
    <n v="7547.37"/>
    <n v="8425.02"/>
  </r>
  <r>
    <x v="31"/>
    <x v="2"/>
    <x v="1"/>
    <n v="10676.49"/>
    <n v="0"/>
    <n v="0"/>
    <n v="10089.85"/>
    <n v="11263.14"/>
  </r>
  <r>
    <x v="31"/>
    <x v="3"/>
    <x v="1"/>
    <n v="14084.27"/>
    <n v="0"/>
    <n v="0"/>
    <n v="13310.38"/>
    <n v="14858.16"/>
  </r>
  <r>
    <x v="31"/>
    <x v="4"/>
    <x v="1"/>
    <n v="15416.75"/>
    <n v="0"/>
    <n v="0"/>
    <n v="14569.64"/>
    <n v="16263.86"/>
  </r>
  <r>
    <x v="31"/>
    <x v="5"/>
    <x v="1"/>
    <n v="5981.77"/>
    <n v="0"/>
    <n v="0"/>
    <n v="5653.08"/>
    <n v="6310.45"/>
  </r>
  <r>
    <x v="31"/>
    <x v="6"/>
    <x v="1"/>
    <n v="9206.469999999999"/>
    <n v="0"/>
    <n v="0"/>
    <n v="8700.6"/>
    <n v="9712.34"/>
  </r>
  <r>
    <x v="31"/>
    <x v="7"/>
    <x v="1"/>
    <n v="1381.92"/>
    <n v="0"/>
    <n v="0"/>
    <n v="1305.99"/>
    <n v="1457.85"/>
  </r>
  <r>
    <x v="31"/>
    <x v="8"/>
    <x v="1"/>
    <n v="2420.74"/>
    <n v="0"/>
    <n v="0"/>
    <n v="2287.72"/>
    <n v="2553.75"/>
  </r>
  <r>
    <x v="31"/>
    <x v="9"/>
    <x v="1"/>
    <n v="1808.68"/>
    <n v="0"/>
    <n v="0"/>
    <n v="1709.3"/>
    <n v="1908.06"/>
  </r>
  <r>
    <x v="31"/>
    <x v="10"/>
    <x v="1"/>
    <n v="9263.43"/>
    <n v="0"/>
    <n v="0"/>
    <n v="8754.43"/>
    <n v="9772.43"/>
  </r>
  <r>
    <x v="32"/>
    <x v="0"/>
    <x v="1"/>
    <n v="5483.85"/>
    <n v="0"/>
    <n v="0"/>
    <n v="5182.52"/>
    <n v="5785.17"/>
  </r>
  <r>
    <x v="32"/>
    <x v="1"/>
    <x v="1"/>
    <n v="8418.129999999999"/>
    <n v="0"/>
    <n v="0"/>
    <n v="7955.57"/>
    <n v="8880.68"/>
  </r>
  <r>
    <x v="32"/>
    <x v="2"/>
    <x v="1"/>
    <n v="10625.33"/>
    <n v="0"/>
    <n v="0"/>
    <n v="10041.5"/>
    <n v="11209.16"/>
  </r>
  <r>
    <x v="32"/>
    <x v="3"/>
    <x v="1"/>
    <n v="14869.97"/>
    <n v="0"/>
    <n v="0"/>
    <n v="14052.9"/>
    <n v="15687.03"/>
  </r>
  <r>
    <x v="32"/>
    <x v="4"/>
    <x v="1"/>
    <n v="15131.52"/>
    <n v="0"/>
    <n v="0"/>
    <n v="14300.08"/>
    <n v="15962.96"/>
  </r>
  <r>
    <x v="32"/>
    <x v="5"/>
    <x v="1"/>
    <n v="6479.61"/>
    <n v="0"/>
    <n v="0"/>
    <n v="6123.58"/>
    <n v="6835.65"/>
  </r>
  <r>
    <x v="32"/>
    <x v="6"/>
    <x v="1"/>
    <n v="9580.030000000001"/>
    <n v="0"/>
    <n v="0"/>
    <n v="9053.629999999999"/>
    <n v="10106.43"/>
  </r>
  <r>
    <x v="32"/>
    <x v="7"/>
    <x v="1"/>
    <n v="1522.38"/>
    <n v="0"/>
    <n v="0"/>
    <n v="1438.73"/>
    <n v="1606.03"/>
  </r>
  <r>
    <x v="32"/>
    <x v="8"/>
    <x v="1"/>
    <n v="2302.04"/>
    <n v="0"/>
    <n v="0"/>
    <n v="2175.55"/>
    <n v="2428.53"/>
  </r>
  <r>
    <x v="32"/>
    <x v="9"/>
    <x v="1"/>
    <n v="1964.61"/>
    <n v="0"/>
    <n v="0"/>
    <n v="1856.66"/>
    <n v="2072.57"/>
  </r>
  <r>
    <x v="32"/>
    <x v="10"/>
    <x v="1"/>
    <n v="9354.09"/>
    <n v="0"/>
    <n v="0"/>
    <n v="8840.110000000001"/>
    <n v="9868.07"/>
  </r>
  <r>
    <x v="33"/>
    <x v="0"/>
    <x v="1"/>
    <n v="4728.22"/>
    <n v="0"/>
    <n v="0"/>
    <n v="4468.41"/>
    <n v="4988.02"/>
  </r>
  <r>
    <x v="33"/>
    <x v="1"/>
    <x v="1"/>
    <n v="9182.85"/>
    <n v="0"/>
    <n v="0"/>
    <n v="8678.27"/>
    <n v="9687.42"/>
  </r>
  <r>
    <x v="33"/>
    <x v="2"/>
    <x v="1"/>
    <n v="11140.96"/>
    <n v="0"/>
    <n v="0"/>
    <n v="10528.79"/>
    <n v="11753.13"/>
  </r>
  <r>
    <x v="33"/>
    <x v="3"/>
    <x v="1"/>
    <n v="14333.38"/>
    <n v="0"/>
    <n v="0"/>
    <n v="13545.79"/>
    <n v="15120.96"/>
  </r>
  <r>
    <x v="33"/>
    <x v="4"/>
    <x v="1"/>
    <n v="15483.65"/>
    <n v="0"/>
    <n v="0"/>
    <n v="14632.87"/>
    <n v="16334.44"/>
  </r>
  <r>
    <x v="33"/>
    <x v="5"/>
    <x v="1"/>
    <n v="6683.63"/>
    <n v="0"/>
    <n v="0"/>
    <n v="6316.38"/>
    <n v="7050.87"/>
  </r>
  <r>
    <x v="33"/>
    <x v="6"/>
    <x v="1"/>
    <n v="9813.799999999999"/>
    <n v="0"/>
    <n v="0"/>
    <n v="9274.549999999999"/>
    <n v="10353.04"/>
  </r>
  <r>
    <x v="33"/>
    <x v="7"/>
    <x v="1"/>
    <n v="1474.52"/>
    <n v="0"/>
    <n v="0"/>
    <n v="1393.5"/>
    <n v="1555.54"/>
  </r>
  <r>
    <x v="33"/>
    <x v="8"/>
    <x v="1"/>
    <n v="2373.51"/>
    <n v="0"/>
    <n v="0"/>
    <n v="2243.1"/>
    <n v="2503.93"/>
  </r>
  <r>
    <x v="33"/>
    <x v="9"/>
    <x v="1"/>
    <n v="1894.89"/>
    <n v="0"/>
    <n v="0"/>
    <n v="1790.77"/>
    <n v="1999.01"/>
  </r>
  <r>
    <x v="33"/>
    <x v="10"/>
    <x v="1"/>
    <n v="9404.860000000001"/>
    <n v="0"/>
    <n v="0"/>
    <n v="8888.08"/>
    <n v="9921.629999999999"/>
  </r>
  <r>
    <x v="34"/>
    <x v="0"/>
    <x v="1"/>
    <n v="5043.2"/>
    <n v="0"/>
    <n v="0"/>
    <n v="4766.09"/>
    <n v="5320.31"/>
  </r>
  <r>
    <x v="34"/>
    <x v="1"/>
    <x v="1"/>
    <n v="9397.129999999999"/>
    <n v="0"/>
    <n v="0"/>
    <n v="8880.780000000001"/>
    <n v="9913.48"/>
  </r>
  <r>
    <x v="34"/>
    <x v="2"/>
    <x v="1"/>
    <n v="11908.91"/>
    <n v="0"/>
    <n v="0"/>
    <n v="11254.55"/>
    <n v="12563.28"/>
  </r>
  <r>
    <x v="34"/>
    <x v="3"/>
    <x v="1"/>
    <n v="14061"/>
    <n v="0"/>
    <n v="0"/>
    <n v="13288.39"/>
    <n v="14833.62"/>
  </r>
  <r>
    <x v="34"/>
    <x v="4"/>
    <x v="1"/>
    <n v="15304.64"/>
    <n v="0"/>
    <n v="0"/>
    <n v="14463.69"/>
    <n v="16145.59"/>
  </r>
  <r>
    <x v="34"/>
    <x v="5"/>
    <x v="1"/>
    <n v="6620.45"/>
    <n v="0"/>
    <n v="0"/>
    <n v="6256.68"/>
    <n v="6984.23"/>
  </r>
  <r>
    <x v="34"/>
    <x v="6"/>
    <x v="1"/>
    <n v="9872.209999999999"/>
    <n v="0"/>
    <n v="0"/>
    <n v="9329.76"/>
    <n v="10414.67"/>
  </r>
  <r>
    <x v="34"/>
    <x v="7"/>
    <x v="1"/>
    <n v="1613.87"/>
    <n v="0"/>
    <n v="0"/>
    <n v="1525.19"/>
    <n v="1702.55"/>
  </r>
  <r>
    <x v="34"/>
    <x v="8"/>
    <x v="1"/>
    <n v="2399.18"/>
    <n v="0"/>
    <n v="0"/>
    <n v="2267.35"/>
    <n v="2531"/>
  </r>
  <r>
    <x v="34"/>
    <x v="9"/>
    <x v="1"/>
    <n v="2024.71"/>
    <n v="0"/>
    <n v="0"/>
    <n v="1913.46"/>
    <n v="2135.96"/>
  </r>
  <r>
    <x v="34"/>
    <x v="10"/>
    <x v="1"/>
    <n v="9533.51"/>
    <n v="0"/>
    <n v="0"/>
    <n v="9009.67"/>
    <n v="10057.35"/>
  </r>
  <r>
    <x v="35"/>
    <x v="0"/>
    <x v="1"/>
    <n v="5073.85"/>
    <n v="0"/>
    <n v="0"/>
    <n v="4795.05"/>
    <n v="5352.64"/>
  </r>
  <r>
    <x v="35"/>
    <x v="1"/>
    <x v="1"/>
    <n v="10552.84"/>
    <n v="0"/>
    <n v="0"/>
    <n v="9972.99"/>
    <n v="11132.69"/>
  </r>
  <r>
    <x v="35"/>
    <x v="2"/>
    <x v="1"/>
    <n v="14357.54"/>
    <n v="0"/>
    <n v="0"/>
    <n v="13568.63"/>
    <n v="15146.45"/>
  </r>
  <r>
    <x v="35"/>
    <x v="3"/>
    <x v="1"/>
    <n v="14415.84"/>
    <n v="0"/>
    <n v="0"/>
    <n v="13623.73"/>
    <n v="15207.96"/>
  </r>
  <r>
    <x v="35"/>
    <x v="4"/>
    <x v="1"/>
    <n v="15742.03"/>
    <n v="0"/>
    <n v="0"/>
    <n v="14877.04"/>
    <n v="16607.01"/>
  </r>
  <r>
    <x v="35"/>
    <x v="5"/>
    <x v="1"/>
    <n v="6851.25"/>
    <n v="0"/>
    <n v="0"/>
    <n v="6474.79"/>
    <n v="7227.71"/>
  </r>
  <r>
    <x v="35"/>
    <x v="6"/>
    <x v="1"/>
    <n v="8862.700000000001"/>
    <n v="0"/>
    <n v="0"/>
    <n v="8375.709999999999"/>
    <n v="9349.68"/>
  </r>
  <r>
    <x v="35"/>
    <x v="7"/>
    <x v="1"/>
    <n v="1503.58"/>
    <n v="0"/>
    <n v="0"/>
    <n v="1420.96"/>
    <n v="1586.2"/>
  </r>
  <r>
    <x v="35"/>
    <x v="8"/>
    <x v="1"/>
    <n v="2547.41"/>
    <n v="0"/>
    <n v="0"/>
    <n v="2407.44"/>
    <n v="2687.38"/>
  </r>
  <r>
    <x v="35"/>
    <x v="9"/>
    <x v="1"/>
    <n v="2298.6"/>
    <n v="0"/>
    <n v="0"/>
    <n v="2172.3"/>
    <n v="2424.9"/>
  </r>
  <r>
    <x v="35"/>
    <x v="10"/>
    <x v="1"/>
    <n v="9577.98"/>
    <n v="0"/>
    <n v="0"/>
    <n v="9051.700000000001"/>
    <n v="10104.27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1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8:B20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rowItems>
  <colItems count="1">
    <i t="data" r="0" i="0"/>
  </colItems>
  <pageFields count="1">
    <pageField fld="2" hier="-1"/>
  </pageFields>
  <dataFields count="1">
    <dataField name="Sales" fld="3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25:E63" firstHeaderRow="1" firstDataRow="2" firstDataCol="1"/>
  <pivotFields count="8">
    <pivotField axis="axisRow" showDropDowns="1" compact="1" outline="1" subtotalTop="1" dragToRow="1" dragToCol="1" dragToPage="1" dragToData="1" dragOff="1" showAll="0" topAutoShow="1" itemPageCount="10" sortType="manual" defaultSubtotal="1">
      <items count="3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3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grand" r="0" i="0">
      <x v="0"/>
    </i>
  </rowItems>
  <colFields count="1">
    <field x="2"/>
  </colFields>
  <colItems count="4">
    <i t="data" r="0" i="0">
      <x v="0"/>
    </i>
    <i t="data" r="0" i="0">
      <x v="1"/>
    </i>
    <i t="data" r="0" i="0">
      <x v="2"/>
    </i>
    <i t="grand" r="0" i="0">
      <x v="0"/>
    </i>
  </colItems>
  <dataFields count="1">
    <dataField name="Sales" fld="3" subtotal="sum" showDataAs="normal" baseField="0" baseItem="0" numFmtId="3"/>
  </dataField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RawData" displayName="RawData" ref="A1:H397" headerRowCount="1">
  <autoFilter ref="A1:H397"/>
  <tableColumns count="8">
    <tableColumn id="1" name="Month"/>
    <tableColumn id="2" name="Category"/>
    <tableColumn id="3" name="Type"/>
    <tableColumn id="4" name="Sales"/>
    <tableColumn id="5" name="Gross margin"/>
    <tableColumn id="6" name="Units"/>
    <tableColumn id="7" name="Low"/>
    <tableColumn id="8" name="Hig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2A8FB8"/>
    <outlinePr summaryBelow="1" summaryRight="1"/>
    <pageSetUpPr fitToPage="1"/>
  </sheetPr>
  <dimension ref="A1:N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3" t="inlineStr">
        <is>
          <t>Budget &amp; forecast plan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4" t="inlineStr">
        <is>
          <t>Demo Neighbourhood Store (Eden Terrace format) · 12 months from Nov 2026 · data to 11 Oct 2026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B5" s="5" t="inlineStr">
        <is>
          <t>Category</t>
        </is>
      </c>
    </row>
    <row r="6">
      <c r="B6" s="6" t="inlineStr">
        <is>
          <t>All</t>
        </is>
      </c>
    </row>
    <row r="7">
      <c r="B7" s="7" t="inlineStr">
        <is>
          <t>Change the blue cell to filter the whole workbook.</t>
        </is>
      </c>
    </row>
    <row r="9">
      <c r="B9" s="8" t="inlineStr">
        <is>
          <t>BUDGET (PLAN WINDOW)</t>
        </is>
      </c>
      <c r="D9" s="9" t="n"/>
      <c r="E9" s="8" t="inlineStr">
        <is>
          <t>FORECAST</t>
        </is>
      </c>
      <c r="G9" s="9" t="n"/>
      <c r="H9" s="8" t="inlineStr">
        <is>
          <t>GAP TO BUDGET</t>
        </is>
      </c>
      <c r="J9" s="9" t="n"/>
      <c r="K9" s="8" t="inlineStr">
        <is>
          <t>GAP %</t>
        </is>
      </c>
      <c r="M9" s="9" t="n"/>
    </row>
    <row r="10">
      <c r="B10" s="10">
        <f>SUMIFS(Model!$D$8:$D$19,Model!$L$8:$L$19,1)</f>
        <v>278886.7536</v>
      </c>
      <c r="D10" s="9" t="n"/>
      <c r="E10" s="10">
        <f>SUMIFS(Model!$E$8:$E$19,Model!$L$8:$L$19,1)</f>
        <v>279339.13</v>
      </c>
      <c r="G10" s="9" t="n"/>
      <c r="H10" s="10">
        <f>SUMIFS(Model!$H$8:$H$19,Model!$L$8:$L$19,1)</f>
        <v>452.376399999979</v>
      </c>
      <c r="J10" s="9" t="n"/>
      <c r="K10" s="11">
        <f>IFERROR(SUMIFS(Model!$H$8:$H$19,Model!$L$8:$L$19,1)/SUMIFS(Model!$D$8:$D$19,Model!$L$8:$L$19,1),0)</f>
        <v>0.00162207919221868</v>
      </c>
      <c r="M10" s="9" t="n"/>
    </row>
    <row r="11">
      <c r="B11" s="9" t="n"/>
      <c r="D11" s="9" t="n"/>
      <c r="E11" s="9" t="n"/>
      <c r="G11" s="9" t="n"/>
      <c r="H11" s="12" t="inlineStr">
        <is>
          <t>Forecast − budget</t>
        </is>
      </c>
      <c r="J11" s="9" t="n"/>
      <c r="K11" s="9" t="n"/>
      <c r="M11" s="9" t="n"/>
    </row>
    <row r="13">
      <c r="B13" s="8" t="inlineStr">
        <is>
          <t>LAST YEAR</t>
        </is>
      </c>
      <c r="D13" s="9" t="n"/>
      <c r="E13" s="8" t="inlineStr">
        <is>
          <t>BUDGET GM %</t>
        </is>
      </c>
      <c r="G13" s="9" t="n"/>
      <c r="H13" s="8" t="inlineStr">
        <is>
          <t>FORECAST LOW</t>
        </is>
      </c>
      <c r="J13" s="9" t="n"/>
      <c r="K13" s="8" t="inlineStr">
        <is>
          <t>FORECAST HIGH</t>
        </is>
      </c>
      <c r="M13" s="9" t="n"/>
    </row>
    <row r="14">
      <c r="B14" s="10">
        <f>SUMIFS(Model!$C$8:$C$19,Model!$L$8:$L$19,1)</f>
        <v>268160.34</v>
      </c>
      <c r="D14" s="9" t="n"/>
      <c r="E14" s="11">
        <f>IFERROR(SUMIFS(Model!$K$8:$K$19,Model!$L$8:$L$19,1)/SUMIFS(Model!$D$8:$D$19,Model!$L$8:$L$19,1),0)</f>
        <v>0.407691234281699</v>
      </c>
      <c r="G14" s="9" t="n"/>
      <c r="H14" s="10">
        <f>SUMIFS(Model!$F$8:$F$19,Model!$L$8:$L$19,1)</f>
        <v>263990.2</v>
      </c>
      <c r="J14" s="9" t="n"/>
      <c r="K14" s="10">
        <f>SUMIFS(Model!$G$8:$G$19,Model!$L$8:$L$19,1)</f>
        <v>294688.11</v>
      </c>
      <c r="M14" s="9" t="n"/>
    </row>
    <row r="15">
      <c r="B15" s="9" t="n"/>
      <c r="D15" s="9" t="n"/>
      <c r="E15" s="9" t="n"/>
      <c r="G15" s="9" t="n"/>
      <c r="H15" s="9" t="n"/>
      <c r="J15" s="9" t="n"/>
      <c r="K15" s="9" t="n"/>
      <c r="M15" s="9" t="n"/>
    </row>
  </sheetData>
  <mergeCells count="24">
    <mergeCell ref="H10:I10"/>
    <mergeCell ref="K15:L15"/>
    <mergeCell ref="K9:L9"/>
    <mergeCell ref="E14:F14"/>
    <mergeCell ref="H9:I9"/>
    <mergeCell ref="K11:L11"/>
    <mergeCell ref="B11:C11"/>
    <mergeCell ref="E10:F10"/>
    <mergeCell ref="B14:C14"/>
    <mergeCell ref="E13:F13"/>
    <mergeCell ref="E9:F9"/>
    <mergeCell ref="B13:C13"/>
    <mergeCell ref="H11:I11"/>
    <mergeCell ref="E15:F15"/>
    <mergeCell ref="B10:C10"/>
    <mergeCell ref="E11:F11"/>
    <mergeCell ref="B9:C9"/>
    <mergeCell ref="H13:I13"/>
    <mergeCell ref="K14:L14"/>
    <mergeCell ref="B15:C15"/>
    <mergeCell ref="K10:L10"/>
    <mergeCell ref="H15:I15"/>
    <mergeCell ref="H14:I14"/>
    <mergeCell ref="K13:L13"/>
  </mergeCells>
  <dataValidations count="1">
    <dataValidation sqref="B6" showDropDown="0" showInputMessage="0" showErrorMessage="0" allowBlank="0" promptTitle="Category" prompt="Pick a category or All" type="list">
      <formula1>=Lookup!$M$6:$M$17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B1220"/>
    <outlinePr summaryBelow="1" summaryRight="1"/>
    <pageSetUpPr fitToPage="1"/>
  </sheetPr>
  <dimension ref="A1:P3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" t="n"/>
      <c r="B2" s="3" t="inlineStr">
        <is>
          <t>Model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4" t="inlineStr">
        <is>
          <t>Live formulas over Raw, Lookup and Assumptions. Nothing on this sheet is typed in.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B5" s="13" t="inlineStr">
        <is>
          <t>Monthly plan (next 12 months)</t>
        </is>
      </c>
    </row>
    <row r="6">
      <c r="B6" s="7" t="inlineStr">
        <is>
          <t>Rows inside the plan window (Assumptions: start month + months in plan) are counted in the KPIs.</t>
        </is>
      </c>
    </row>
    <row r="7" ht="28" customHeight="1">
      <c r="B7" s="14" t="inlineStr">
        <is>
          <t>Month</t>
        </is>
      </c>
      <c r="C7" s="14" t="inlineStr">
        <is>
          <t>Last year</t>
        </is>
      </c>
      <c r="D7" s="14" t="inlineStr">
        <is>
          <t>Budget</t>
        </is>
      </c>
      <c r="E7" s="14" t="inlineStr">
        <is>
          <t>Forecast</t>
        </is>
      </c>
      <c r="F7" s="14" t="inlineStr">
        <is>
          <t>Low</t>
        </is>
      </c>
      <c r="G7" s="14" t="inlineStr">
        <is>
          <t>High</t>
        </is>
      </c>
      <c r="H7" s="14" t="inlineStr">
        <is>
          <t>Gap</t>
        </is>
      </c>
      <c r="I7" s="14" t="inlineStr">
        <is>
          <t>Gap %</t>
        </is>
      </c>
      <c r="J7" s="14" t="inlineStr">
        <is>
          <t>LY GM</t>
        </is>
      </c>
      <c r="K7" s="14" t="inlineStr">
        <is>
          <t>Budget GM</t>
        </is>
      </c>
      <c r="L7" s="14" t="inlineStr">
        <is>
          <t>In plan</t>
        </is>
      </c>
    </row>
    <row r="8">
      <c r="B8" s="15" t="n">
        <v>46327</v>
      </c>
      <c r="C8" s="16">
        <f>SUMIFS(Raw!$D$2:$D$397,Raw!$C$2:$C$397,"Actual",Raw!$B$2:$B$397,CatCrit,Raw!$A$2:$A$397,EDATE($B8,-12))+SUMIFS(Raw!$D$2:$D$397,Raw!$C$2:$C$397,"Outlook",Raw!$B$2:$B$397,CatCrit,Raw!$A$2:$A$397,EDATE($B8,-12))</f>
        <v>85639.06</v>
      </c>
      <c r="D8" s="16">
        <f>C8*(1+Assumptions!$C$6)</f>
        <v>89064.6224</v>
      </c>
      <c r="E8" s="16">
        <f>SUMIFS(Raw!$D$2:$D$397,Raw!$C$2:$C$397,"Forecast",Raw!$B$2:$B$397,CatCrit,Raw!$A$2:$A$397,$B8)</f>
        <v>89230.15</v>
      </c>
      <c r="F8" s="16">
        <f>SUMIFS(Raw!$G$2:$G$397,Raw!$C$2:$C$397,"Forecast",Raw!$B$2:$B$397,CatCrit,Raw!$A$2:$A$397,$B8)</f>
        <v>84327.18</v>
      </c>
      <c r="G8" s="16">
        <f>SUMIFS(Raw!$H$2:$H$397,Raw!$C$2:$C$397,"Forecast",Raw!$B$2:$B$397,CatCrit,Raw!$A$2:$A$397,$B8)</f>
        <v>94133.12</v>
      </c>
      <c r="H8" s="16">
        <f>E8-D8</f>
        <v>165.527599999987</v>
      </c>
      <c r="I8" s="17">
        <f>IFERROR(H8/D8,0)</f>
        <v>0.00185851121960168</v>
      </c>
      <c r="J8" s="16">
        <f>SUMIFS(Raw!$E$2:$E$397,Raw!$C$2:$C$397,"Actual",Raw!$B$2:$B$397,CatCrit,Raw!$A$2:$A$397,EDATE($B8,-12))+SUMIFS(Raw!$E$2:$E$397,Raw!$C$2:$C$397,"Outlook",Raw!$B$2:$B$397,CatCrit,Raw!$A$2:$A$397,EDATE($B8,-12))</f>
        <v>34921.57</v>
      </c>
      <c r="K8" s="16">
        <f>IFERROR(D8*J8/C8,0)</f>
        <v>36318.4328</v>
      </c>
      <c r="L8" s="18">
        <f>IF(AND($B8&gt;=Assumptions!$C$7,$B8&lt;=EDATE(Assumptions!$C$7,Assumptions!$C$8-1)),1,0)</f>
        <v>1</v>
      </c>
    </row>
    <row r="9">
      <c r="B9" s="15" t="n">
        <v>46357</v>
      </c>
      <c r="C9" s="16">
        <f>SUMIFS(Raw!$D$2:$D$397,Raw!$C$2:$C$397,"Actual",Raw!$B$2:$B$397,CatCrit,Raw!$A$2:$A$397,EDATE($B9,-12))+SUMIFS(Raw!$D$2:$D$397,Raw!$C$2:$C$397,"Outlook",Raw!$B$2:$B$397,CatCrit,Raw!$A$2:$A$397,EDATE($B9,-12))</f>
        <v>98239.77</v>
      </c>
      <c r="D9" s="16">
        <f>C9*(1+Assumptions!$C$6)</f>
        <v>102169.3608</v>
      </c>
      <c r="E9" s="16">
        <f>SUMIFS(Raw!$D$2:$D$397,Raw!$C$2:$C$397,"Forecast",Raw!$B$2:$B$397,CatCrit,Raw!$A$2:$A$397,$B9)</f>
        <v>102308.92</v>
      </c>
      <c r="F9" s="16">
        <f>SUMIFS(Raw!$G$2:$G$397,Raw!$C$2:$C$397,"Forecast",Raw!$B$2:$B$397,CatCrit,Raw!$A$2:$A$397,$B9)</f>
        <v>96687.32</v>
      </c>
      <c r="G9" s="16">
        <f>SUMIFS(Raw!$H$2:$H$397,Raw!$C$2:$C$397,"Forecast",Raw!$B$2:$B$397,CatCrit,Raw!$A$2:$A$397,$B9)</f>
        <v>107930.53</v>
      </c>
      <c r="H9" s="16">
        <f>E9-D9</f>
        <v>139.559199999989</v>
      </c>
      <c r="I9" s="17">
        <f>IFERROR(H9/D9,0)</f>
        <v>0.00136595941197264</v>
      </c>
      <c r="J9" s="16">
        <f>SUMIFS(Raw!$E$2:$E$397,Raw!$C$2:$C$397,"Actual",Raw!$B$2:$B$397,CatCrit,Raw!$A$2:$A$397,EDATE($B9,-12))+SUMIFS(Raw!$E$2:$E$397,Raw!$C$2:$C$397,"Outlook",Raw!$B$2:$B$397,CatCrit,Raw!$A$2:$A$397,EDATE($B9,-12))</f>
        <v>40021.79</v>
      </c>
      <c r="K9" s="16">
        <f>IFERROR(D9*J9/C9,0)</f>
        <v>41622.6616</v>
      </c>
      <c r="L9" s="18">
        <f>IF(AND($B9&gt;=Assumptions!$C$7,$B9&lt;=EDATE(Assumptions!$C$7,Assumptions!$C$8-1)),1,0)</f>
        <v>1</v>
      </c>
    </row>
    <row r="10">
      <c r="B10" s="15" t="n">
        <v>46388</v>
      </c>
      <c r="C10" s="16">
        <f>SUMIFS(Raw!$D$2:$D$397,Raw!$C$2:$C$397,"Actual",Raw!$B$2:$B$397,CatCrit,Raw!$A$2:$A$397,EDATE($B10,-12))+SUMIFS(Raw!$D$2:$D$397,Raw!$C$2:$C$397,"Outlook",Raw!$B$2:$B$397,CatCrit,Raw!$A$2:$A$397,EDATE($B10,-12))</f>
        <v>84281.51</v>
      </c>
      <c r="D10" s="16">
        <f>C10*(1+Assumptions!$C$6)</f>
        <v>87652.7704</v>
      </c>
      <c r="E10" s="16">
        <f>SUMIFS(Raw!$D$2:$D$397,Raw!$C$2:$C$397,"Forecast",Raw!$B$2:$B$397,CatCrit,Raw!$A$2:$A$397,$B10)</f>
        <v>87800.06</v>
      </c>
      <c r="F10" s="16">
        <f>SUMIFS(Raw!$G$2:$G$397,Raw!$C$2:$C$397,"Forecast",Raw!$B$2:$B$397,CatCrit,Raw!$A$2:$A$397,$B10)</f>
        <v>82975.7</v>
      </c>
      <c r="G10" s="16">
        <f>SUMIFS(Raw!$H$2:$H$397,Raw!$C$2:$C$397,"Forecast",Raw!$B$2:$B$397,CatCrit,Raw!$A$2:$A$397,$B10)</f>
        <v>92624.46</v>
      </c>
      <c r="H10" s="16">
        <f>E10-D10</f>
        <v>147.289600000004</v>
      </c>
      <c r="I10" s="17">
        <f>IFERROR(H10/D10,0)</f>
        <v>0.00168037586636285</v>
      </c>
      <c r="J10" s="16">
        <f>SUMIFS(Raw!$E$2:$E$397,Raw!$C$2:$C$397,"Actual",Raw!$B$2:$B$397,CatCrit,Raw!$A$2:$A$397,EDATE($B10,-12))+SUMIFS(Raw!$E$2:$E$397,Raw!$C$2:$C$397,"Outlook",Raw!$B$2:$B$397,CatCrit,Raw!$A$2:$A$397,EDATE($B10,-12))</f>
        <v>34383.26</v>
      </c>
      <c r="K10" s="16">
        <f>IFERROR(D10*J10/C10,0)</f>
        <v>35758.5904</v>
      </c>
      <c r="L10" s="18">
        <f>IF(AND($B10&gt;=Assumptions!$C$7,$B10&lt;=EDATE(Assumptions!$C$7,Assumptions!$C$8-1)),1,0)</f>
        <v>1</v>
      </c>
    </row>
    <row r="11">
      <c r="B11" s="15" t="n">
        <v>46419</v>
      </c>
      <c r="C11" s="16">
        <f>SUMIFS(Raw!$D$2:$D$397,Raw!$C$2:$C$397,"Actual",Raw!$B$2:$B$397,CatCrit,Raw!$A$2:$A$397,EDATE($B11,-12))+SUMIFS(Raw!$D$2:$D$397,Raw!$C$2:$C$397,"Outlook",Raw!$B$2:$B$397,CatCrit,Raw!$A$2:$A$397,EDATE($B11,-12))</f>
        <v>84064.41</v>
      </c>
      <c r="D11" s="16">
        <f>C11*(1+Assumptions!$C$6)</f>
        <v>87426.9864</v>
      </c>
      <c r="E11" s="16">
        <f>SUMIFS(Raw!$D$2:$D$397,Raw!$C$2:$C$397,"Forecast",Raw!$B$2:$B$397,CatCrit,Raw!$A$2:$A$397,$B11)</f>
        <v>87569.26</v>
      </c>
      <c r="F11" s="16">
        <f>SUMIFS(Raw!$G$2:$G$397,Raw!$C$2:$C$397,"Forecast",Raw!$B$2:$B$397,CatCrit,Raw!$A$2:$A$397,$B11)</f>
        <v>82757.55</v>
      </c>
      <c r="G11" s="16">
        <f>SUMIFS(Raw!$H$2:$H$397,Raw!$C$2:$C$397,"Forecast",Raw!$B$2:$B$397,CatCrit,Raw!$A$2:$A$397,$B11)</f>
        <v>92380.96</v>
      </c>
      <c r="H11" s="16">
        <f>E11-D11</f>
        <v>142.273599999986</v>
      </c>
      <c r="I11" s="17">
        <f>IFERROR(H11/D11,0)</f>
        <v>0.00162734192105226</v>
      </c>
      <c r="J11" s="16">
        <f>SUMIFS(Raw!$E$2:$E$397,Raw!$C$2:$C$397,"Actual",Raw!$B$2:$B$397,CatCrit,Raw!$A$2:$A$397,EDATE($B11,-12))+SUMIFS(Raw!$E$2:$E$397,Raw!$C$2:$C$397,"Outlook",Raw!$B$2:$B$397,CatCrit,Raw!$A$2:$A$397,EDATE($B11,-12))</f>
        <v>34264.11</v>
      </c>
      <c r="K11" s="16">
        <f>IFERROR(D11*J11/C11,0)</f>
        <v>35634.6744</v>
      </c>
      <c r="L11" s="18">
        <f>IF(AND($B11&gt;=Assumptions!$C$7,$B11&lt;=EDATE(Assumptions!$C$7,Assumptions!$C$8-1)),1,0)</f>
        <v>0</v>
      </c>
    </row>
    <row r="12">
      <c r="B12" s="15" t="n">
        <v>46447</v>
      </c>
      <c r="C12" s="16">
        <f>SUMIFS(Raw!$D$2:$D$397,Raw!$C$2:$C$397,"Actual",Raw!$B$2:$B$397,CatCrit,Raw!$A$2:$A$397,EDATE($B12,-12))+SUMIFS(Raw!$D$2:$D$397,Raw!$C$2:$C$397,"Outlook",Raw!$B$2:$B$397,CatCrit,Raw!$A$2:$A$397,EDATE($B12,-12))</f>
        <v>89855.75</v>
      </c>
      <c r="D12" s="16">
        <f>C12*(1+Assumptions!$C$6)</f>
        <v>93449.98</v>
      </c>
      <c r="E12" s="16">
        <f>SUMIFS(Raw!$D$2:$D$397,Raw!$C$2:$C$397,"Forecast",Raw!$B$2:$B$397,CatCrit,Raw!$A$2:$A$397,$B12)</f>
        <v>93625.46</v>
      </c>
      <c r="F12" s="16">
        <f>SUMIFS(Raw!$G$2:$G$397,Raw!$C$2:$C$397,"Forecast",Raw!$B$2:$B$397,CatCrit,Raw!$A$2:$A$397,$B12)</f>
        <v>88480.98</v>
      </c>
      <c r="G12" s="16">
        <f>SUMIFS(Raw!$H$2:$H$397,Raw!$C$2:$C$397,"Forecast",Raw!$B$2:$B$397,CatCrit,Raw!$A$2:$A$397,$B12)</f>
        <v>98769.91</v>
      </c>
      <c r="H12" s="16">
        <f>E12-D12</f>
        <v>175.479999999996</v>
      </c>
      <c r="I12" s="17">
        <f>IFERROR(H12/D12,0)</f>
        <v>0.00187779601450954</v>
      </c>
      <c r="J12" s="16">
        <f>SUMIFS(Raw!$E$2:$E$397,Raw!$C$2:$C$397,"Actual",Raw!$B$2:$B$397,CatCrit,Raw!$A$2:$A$397,EDATE($B12,-12))+SUMIFS(Raw!$E$2:$E$397,Raw!$C$2:$C$397,"Outlook",Raw!$B$2:$B$397,CatCrit,Raw!$A$2:$A$397,EDATE($B12,-12))</f>
        <v>36945.21</v>
      </c>
      <c r="K12" s="16">
        <f>IFERROR(D12*J12/C12,0)</f>
        <v>38423.0184</v>
      </c>
      <c r="L12" s="18">
        <f>IF(AND($B12&gt;=Assumptions!$C$7,$B12&lt;=EDATE(Assumptions!$C$7,Assumptions!$C$8-1)),1,0)</f>
        <v>0</v>
      </c>
    </row>
    <row r="13">
      <c r="B13" s="15" t="n">
        <v>46478</v>
      </c>
      <c r="C13" s="16">
        <f>SUMIFS(Raw!$D$2:$D$397,Raw!$C$2:$C$397,"Actual",Raw!$B$2:$B$397,CatCrit,Raw!$A$2:$A$397,EDATE($B13,-12))+SUMIFS(Raw!$D$2:$D$397,Raw!$C$2:$C$397,"Outlook",Raw!$B$2:$B$397,CatCrit,Raw!$A$2:$A$397,EDATE($B13,-12))</f>
        <v>82882.76</v>
      </c>
      <c r="D13" s="16">
        <f>C13*(1+Assumptions!$C$6)</f>
        <v>86198.0704</v>
      </c>
      <c r="E13" s="16">
        <f>SUMIFS(Raw!$D$2:$D$397,Raw!$C$2:$C$397,"Forecast",Raw!$B$2:$B$397,CatCrit,Raw!$A$2:$A$397,$B13)</f>
        <v>86402.49</v>
      </c>
      <c r="F13" s="16">
        <f>SUMIFS(Raw!$G$2:$G$397,Raw!$C$2:$C$397,"Forecast",Raw!$B$2:$B$397,CatCrit,Raw!$A$2:$A$397,$B13)</f>
        <v>81654.9</v>
      </c>
      <c r="G13" s="16">
        <f>SUMIFS(Raw!$H$2:$H$397,Raw!$C$2:$C$397,"Forecast",Raw!$B$2:$B$397,CatCrit,Raw!$A$2:$A$397,$B13)</f>
        <v>91150.07</v>
      </c>
      <c r="H13" s="16">
        <f>E13-D13</f>
        <v>204.419600000008</v>
      </c>
      <c r="I13" s="17">
        <f>IFERROR(H13/D13,0)</f>
        <v>0.00237151016317888</v>
      </c>
      <c r="J13" s="16">
        <f>SUMIFS(Raw!$E$2:$E$397,Raw!$C$2:$C$397,"Actual",Raw!$B$2:$B$397,CatCrit,Raw!$A$2:$A$397,EDATE($B13,-12))+SUMIFS(Raw!$E$2:$E$397,Raw!$C$2:$C$397,"Outlook",Raw!$B$2:$B$397,CatCrit,Raw!$A$2:$A$397,EDATE($B13,-12))</f>
        <v>33376.32</v>
      </c>
      <c r="K13" s="16">
        <f>IFERROR(D13*J13/C13,0)</f>
        <v>34711.3728</v>
      </c>
      <c r="L13" s="18">
        <f>IF(AND($B13&gt;=Assumptions!$C$7,$B13&lt;=EDATE(Assumptions!$C$7,Assumptions!$C$8-1)),1,0)</f>
        <v>0</v>
      </c>
    </row>
    <row r="14">
      <c r="B14" s="15" t="n">
        <v>46508</v>
      </c>
      <c r="C14" s="16">
        <f>SUMIFS(Raw!$D$2:$D$397,Raw!$C$2:$C$397,"Actual",Raw!$B$2:$B$397,CatCrit,Raw!$A$2:$A$397,EDATE($B14,-12))+SUMIFS(Raw!$D$2:$D$397,Raw!$C$2:$C$397,"Outlook",Raw!$B$2:$B$397,CatCrit,Raw!$A$2:$A$397,EDATE($B14,-12))</f>
        <v>84779.09</v>
      </c>
      <c r="D14" s="16">
        <f>C14*(1+Assumptions!$C$6)</f>
        <v>88170.2536</v>
      </c>
      <c r="E14" s="16">
        <f>SUMIFS(Raw!$D$2:$D$397,Raw!$C$2:$C$397,"Forecast",Raw!$B$2:$B$397,CatCrit,Raw!$A$2:$A$397,$B14)</f>
        <v>88339.85</v>
      </c>
      <c r="F14" s="16">
        <f>SUMIFS(Raw!$G$2:$G$397,Raw!$C$2:$C$397,"Forecast",Raw!$B$2:$B$397,CatCrit,Raw!$A$2:$A$397,$B14)</f>
        <v>83485.82</v>
      </c>
      <c r="G14" s="16">
        <f>SUMIFS(Raw!$H$2:$H$397,Raw!$C$2:$C$397,"Forecast",Raw!$B$2:$B$397,CatCrit,Raw!$A$2:$A$397,$B14)</f>
        <v>93193.92</v>
      </c>
      <c r="H14" s="16">
        <f>E14-D14</f>
        <v>169.596400000009</v>
      </c>
      <c r="I14" s="17">
        <f>IFERROR(H14/D14,0)</f>
        <v>0.001923510402606</v>
      </c>
      <c r="J14" s="16">
        <f>SUMIFS(Raw!$E$2:$E$397,Raw!$C$2:$C$397,"Actual",Raw!$B$2:$B$397,CatCrit,Raw!$A$2:$A$397,EDATE($B14,-12))+SUMIFS(Raw!$E$2:$E$397,Raw!$C$2:$C$397,"Outlook",Raw!$B$2:$B$397,CatCrit,Raw!$A$2:$A$397,EDATE($B14,-12))</f>
        <v>34208.29</v>
      </c>
      <c r="K14" s="16">
        <f>IFERROR(D14*J14/C14,0)</f>
        <v>35576.6216</v>
      </c>
      <c r="L14" s="18">
        <f>IF(AND($B14&gt;=Assumptions!$C$7,$B14&lt;=EDATE(Assumptions!$C$7,Assumptions!$C$8-1)),1,0)</f>
        <v>0</v>
      </c>
    </row>
    <row r="15">
      <c r="B15" s="15" t="n">
        <v>46539</v>
      </c>
      <c r="C15" s="16">
        <f>SUMIFS(Raw!$D$2:$D$397,Raw!$C$2:$C$397,"Actual",Raw!$B$2:$B$397,CatCrit,Raw!$A$2:$A$397,EDATE($B15,-12))+SUMIFS(Raw!$D$2:$D$397,Raw!$C$2:$C$397,"Outlook",Raw!$B$2:$B$397,CatCrit,Raw!$A$2:$A$397,EDATE($B15,-12))</f>
        <v>79827.04</v>
      </c>
      <c r="D15" s="16">
        <f>C15*(1+Assumptions!$C$6)</f>
        <v>83020.1216</v>
      </c>
      <c r="E15" s="16">
        <f>SUMIFS(Raw!$D$2:$D$397,Raw!$C$2:$C$397,"Forecast",Raw!$B$2:$B$397,CatCrit,Raw!$A$2:$A$397,$B15)</f>
        <v>83192.69</v>
      </c>
      <c r="F15" s="16">
        <f>SUMIFS(Raw!$G$2:$G$397,Raw!$C$2:$C$397,"Forecast",Raw!$B$2:$B$397,CatCrit,Raw!$A$2:$A$397,$B15)</f>
        <v>78621.46</v>
      </c>
      <c r="G15" s="16">
        <f>SUMIFS(Raw!$H$2:$H$397,Raw!$C$2:$C$397,"Forecast",Raw!$B$2:$B$397,CatCrit,Raw!$A$2:$A$397,$B15)</f>
        <v>87763.9</v>
      </c>
      <c r="H15" s="16">
        <f>E15-D15</f>
        <v>172.568400000004</v>
      </c>
      <c r="I15" s="17">
        <f>IFERROR(H15/D15,0)</f>
        <v>0.00207863342854949</v>
      </c>
      <c r="J15" s="16">
        <f>SUMIFS(Raw!$E$2:$E$397,Raw!$C$2:$C$397,"Actual",Raw!$B$2:$B$397,CatCrit,Raw!$A$2:$A$397,EDATE($B15,-12))+SUMIFS(Raw!$E$2:$E$397,Raw!$C$2:$C$397,"Outlook",Raw!$B$2:$B$397,CatCrit,Raw!$A$2:$A$397,EDATE($B15,-12))</f>
        <v>32458.29</v>
      </c>
      <c r="K15" s="16">
        <f>IFERROR(D15*J15/C15,0)</f>
        <v>33756.6216</v>
      </c>
      <c r="L15" s="18">
        <f>IF(AND($B15&gt;=Assumptions!$C$7,$B15&lt;=EDATE(Assumptions!$C$7,Assumptions!$C$8-1)),1,0)</f>
        <v>0</v>
      </c>
    </row>
    <row r="16">
      <c r="B16" s="15" t="n">
        <v>46569</v>
      </c>
      <c r="C16" s="16">
        <f>SUMIFS(Raw!$D$2:$D$397,Raw!$C$2:$C$397,"Actual",Raw!$B$2:$B$397,CatCrit,Raw!$A$2:$A$397,EDATE($B16,-12))+SUMIFS(Raw!$D$2:$D$397,Raw!$C$2:$C$397,"Outlook",Raw!$B$2:$B$397,CatCrit,Raw!$A$2:$A$397,EDATE($B16,-12))</f>
        <v>82245.99</v>
      </c>
      <c r="D16" s="16">
        <f>C16*(1+Assumptions!$C$6)</f>
        <v>85535.8296</v>
      </c>
      <c r="E16" s="16">
        <f>SUMIFS(Raw!$D$2:$D$397,Raw!$C$2:$C$397,"Forecast",Raw!$B$2:$B$397,CatCrit,Raw!$A$2:$A$397,$B16)</f>
        <v>85731.56</v>
      </c>
      <c r="F16" s="16">
        <f>SUMIFS(Raw!$G$2:$G$397,Raw!$C$2:$C$397,"Forecast",Raw!$B$2:$B$397,CatCrit,Raw!$A$2:$A$397,$B16)</f>
        <v>81020.83</v>
      </c>
      <c r="G16" s="16">
        <f>SUMIFS(Raw!$H$2:$H$397,Raw!$C$2:$C$397,"Forecast",Raw!$B$2:$B$397,CatCrit,Raw!$A$2:$A$397,$B16)</f>
        <v>90442.28</v>
      </c>
      <c r="H16" s="16">
        <f>E16-D16</f>
        <v>195.730399999986</v>
      </c>
      <c r="I16" s="17">
        <f>IFERROR(H16/D16,0)</f>
        <v>0.00228828551631872</v>
      </c>
      <c r="J16" s="16">
        <f>SUMIFS(Raw!$E$2:$E$397,Raw!$C$2:$C$397,"Actual",Raw!$B$2:$B$397,CatCrit,Raw!$A$2:$A$397,EDATE($B16,-12))+SUMIFS(Raw!$E$2:$E$397,Raw!$C$2:$C$397,"Outlook",Raw!$B$2:$B$397,CatCrit,Raw!$A$2:$A$397,EDATE($B16,-12))</f>
        <v>33443.52</v>
      </c>
      <c r="K16" s="16">
        <f>IFERROR(D16*J16/C16,0)</f>
        <v>34781.2608</v>
      </c>
      <c r="L16" s="18">
        <f>IF(AND($B16&gt;=Assumptions!$C$7,$B16&lt;=EDATE(Assumptions!$C$7,Assumptions!$C$8-1)),1,0)</f>
        <v>0</v>
      </c>
    </row>
    <row r="17">
      <c r="B17" s="15" t="n">
        <v>46600</v>
      </c>
      <c r="C17" s="16">
        <f>SUMIFS(Raw!$D$2:$D$397,Raw!$C$2:$C$397,"Actual",Raw!$B$2:$B$397,CatCrit,Raw!$A$2:$A$397,EDATE($B17,-12))+SUMIFS(Raw!$D$2:$D$397,Raw!$C$2:$C$397,"Outlook",Raw!$B$2:$B$397,CatCrit,Raw!$A$2:$A$397,EDATE($B17,-12))</f>
        <v>83007.22</v>
      </c>
      <c r="D17" s="16">
        <f>C17*(1+Assumptions!$C$6)</f>
        <v>86327.5088</v>
      </c>
      <c r="E17" s="16">
        <f>SUMIFS(Raw!$D$2:$D$397,Raw!$C$2:$C$397,"Forecast",Raw!$B$2:$B$397,CatCrit,Raw!$A$2:$A$397,$B17)</f>
        <v>86514.27</v>
      </c>
      <c r="F17" s="16">
        <f>SUMIFS(Raw!$G$2:$G$397,Raw!$C$2:$C$397,"Forecast",Raw!$B$2:$B$397,CatCrit,Raw!$A$2:$A$397,$B17)</f>
        <v>81760.51</v>
      </c>
      <c r="G17" s="16">
        <f>SUMIFS(Raw!$H$2:$H$397,Raw!$C$2:$C$397,"Forecast",Raw!$B$2:$B$397,CatCrit,Raw!$A$2:$A$397,$B17)</f>
        <v>91267.99</v>
      </c>
      <c r="H17" s="16">
        <f>E17-D17</f>
        <v>186.761199999994</v>
      </c>
      <c r="I17" s="17">
        <f>IFERROR(H17/D17,0)</f>
        <v>0.00216340309822532</v>
      </c>
      <c r="J17" s="16">
        <f>SUMIFS(Raw!$E$2:$E$397,Raw!$C$2:$C$397,"Actual",Raw!$B$2:$B$397,CatCrit,Raw!$A$2:$A$397,EDATE($B17,-12))+SUMIFS(Raw!$E$2:$E$397,Raw!$C$2:$C$397,"Outlook",Raw!$B$2:$B$397,CatCrit,Raw!$A$2:$A$397,EDATE($B17,-12))</f>
        <v>33781.04</v>
      </c>
      <c r="K17" s="16">
        <f>IFERROR(D17*J17/C17,0)</f>
        <v>35132.2816</v>
      </c>
      <c r="L17" s="18">
        <f>IF(AND($B17&gt;=Assumptions!$C$7,$B17&lt;=EDATE(Assumptions!$C$7,Assumptions!$C$8-1)),1,0)</f>
        <v>0</v>
      </c>
    </row>
    <row r="18">
      <c r="B18" s="15" t="n">
        <v>46631</v>
      </c>
      <c r="C18" s="16">
        <f>SUMIFS(Raw!$D$2:$D$397,Raw!$C$2:$C$397,"Actual",Raw!$B$2:$B$397,CatCrit,Raw!$A$2:$A$397,EDATE($B18,-12))+SUMIFS(Raw!$D$2:$D$397,Raw!$C$2:$C$397,"Outlook",Raw!$B$2:$B$397,CatCrit,Raw!$A$2:$A$397,EDATE($B18,-12))</f>
        <v>84203.07</v>
      </c>
      <c r="D18" s="16">
        <f>C18*(1+Assumptions!$C$6)</f>
        <v>87571.1928</v>
      </c>
      <c r="E18" s="16">
        <f>SUMIFS(Raw!$D$2:$D$397,Raw!$C$2:$C$397,"Forecast",Raw!$B$2:$B$397,CatCrit,Raw!$A$2:$A$397,$B18)</f>
        <v>87778.81</v>
      </c>
      <c r="F18" s="16">
        <f>SUMIFS(Raw!$G$2:$G$397,Raw!$C$2:$C$397,"Forecast",Raw!$B$2:$B$397,CatCrit,Raw!$A$2:$A$397,$B18)</f>
        <v>82955.61</v>
      </c>
      <c r="G18" s="16">
        <f>SUMIFS(Raw!$H$2:$H$397,Raw!$C$2:$C$397,"Forecast",Raw!$B$2:$B$397,CatCrit,Raw!$A$2:$A$397,$B18)</f>
        <v>92602.04</v>
      </c>
      <c r="H18" s="16">
        <f>E18-D18</f>
        <v>207.617200000008</v>
      </c>
      <c r="I18" s="17">
        <f>IFERROR(H18/D18,0)</f>
        <v>0.0023708390095151</v>
      </c>
      <c r="J18" s="16">
        <f>SUMIFS(Raw!$E$2:$E$397,Raw!$C$2:$C$397,"Actual",Raw!$B$2:$B$397,CatCrit,Raw!$A$2:$A$397,EDATE($B18,-12))+SUMIFS(Raw!$E$2:$E$397,Raw!$C$2:$C$397,"Outlook",Raw!$B$2:$B$397,CatCrit,Raw!$A$2:$A$397,EDATE($B18,-12))</f>
        <v>34137.11</v>
      </c>
      <c r="K18" s="16">
        <f>IFERROR(D18*J18/C18,0)</f>
        <v>35502.5944</v>
      </c>
      <c r="L18" s="18">
        <f>IF(AND($B18&gt;=Assumptions!$C$7,$B18&lt;=EDATE(Assumptions!$C$7,Assumptions!$C$8-1)),1,0)</f>
        <v>0</v>
      </c>
    </row>
    <row r="19">
      <c r="B19" s="15" t="n">
        <v>46661</v>
      </c>
      <c r="C19" s="16">
        <f>SUMIFS(Raw!$D$2:$D$397,Raw!$C$2:$C$397,"Actual",Raw!$B$2:$B$397,CatCrit,Raw!$A$2:$A$397,EDATE($B19,-12))+SUMIFS(Raw!$D$2:$D$397,Raw!$C$2:$C$397,"Outlook",Raw!$B$2:$B$397,CatCrit,Raw!$A$2:$A$397,EDATE($B19,-12))</f>
        <v>88042.66</v>
      </c>
      <c r="D19" s="16">
        <f>C19*(1+Assumptions!$C$6)</f>
        <v>91564.3664</v>
      </c>
      <c r="E19" s="16">
        <f>SUMIFS(Raw!$D$2:$D$397,Raw!$C$2:$C$397,"Forecast",Raw!$B$2:$B$397,CatCrit,Raw!$A$2:$A$397,$B19)</f>
        <v>91783.62</v>
      </c>
      <c r="F19" s="16">
        <f>SUMIFS(Raw!$G$2:$G$397,Raw!$C$2:$C$397,"Forecast",Raw!$B$2:$B$397,CatCrit,Raw!$A$2:$A$397,$B19)</f>
        <v>86740.34</v>
      </c>
      <c r="G19" s="16">
        <f>SUMIFS(Raw!$H$2:$H$397,Raw!$C$2:$C$397,"Forecast",Raw!$B$2:$B$397,CatCrit,Raw!$A$2:$A$397,$B19)</f>
        <v>96826.89</v>
      </c>
      <c r="H19" s="16">
        <f>E19-D19</f>
        <v>219.253599999982</v>
      </c>
      <c r="I19" s="17">
        <f>IFERROR(H19/D19,0)</f>
        <v>0.00239452975671966</v>
      </c>
      <c r="J19" s="16">
        <f>SUMIFS(Raw!$E$2:$E$397,Raw!$C$2:$C$397,"Actual",Raw!$B$2:$B$397,CatCrit,Raw!$A$2:$A$397,EDATE($B19,-12))+SUMIFS(Raw!$E$2:$E$397,Raw!$C$2:$C$397,"Outlook",Raw!$B$2:$B$397,CatCrit,Raw!$A$2:$A$397,EDATE($B19,-12))</f>
        <v>35881.98</v>
      </c>
      <c r="K19" s="16">
        <f>IFERROR(D19*J19/C19,0)</f>
        <v>37317.2592</v>
      </c>
      <c r="L19" s="18">
        <f>IF(AND($B19&gt;=Assumptions!$C$7,$B19&lt;=EDATE(Assumptions!$C$7,Assumptions!$C$8-1)),1,0)</f>
        <v>0</v>
      </c>
    </row>
    <row r="20">
      <c r="B20" s="19" t="inlineStr">
        <is>
          <t>Total</t>
        </is>
      </c>
      <c r="C20" s="20">
        <f>SUM(C8:C19)</f>
        <v>1027068.33</v>
      </c>
      <c r="D20" s="20">
        <f>SUM(D8:D19)</f>
        <v>1068151.0632</v>
      </c>
      <c r="E20" s="20">
        <f>SUM(E8:E19)</f>
        <v>1070277.14</v>
      </c>
      <c r="F20" s="20">
        <f>SUM(F8:F19)</f>
        <v>1011468.2</v>
      </c>
      <c r="G20" s="20">
        <f>SUM(G8:G19)</f>
        <v>1129086.07</v>
      </c>
      <c r="H20" s="20">
        <f>SUM(H8:H19)</f>
        <v>2126.07679999995</v>
      </c>
      <c r="I20" s="21">
        <f>IFERROR(H20/D20,0)</f>
        <v>0.00199042707838588</v>
      </c>
      <c r="J20" s="20">
        <f>SUM(J8:J19)</f>
        <v>417822.49</v>
      </c>
      <c r="K20" s="20">
        <f>SUM(K8:K19)</f>
        <v>434535.3896</v>
      </c>
      <c r="L20" s="22">
        <f>SUM(L8:L19)</f>
        <v>3</v>
      </c>
    </row>
    <row r="23">
      <c r="B23" s="13" t="inlineStr">
        <is>
          <t>Category plan (plan window)</t>
        </is>
      </c>
    </row>
    <row r="24">
      <c r="B24" s="7" t="inlineStr">
        <is>
          <t>Every category for the plan window, whatever the Category selector says. Targets and owners come from Lookup via INDEX-MATCH.</t>
        </is>
      </c>
    </row>
    <row r="25" ht="28" customHeight="1">
      <c r="B25" s="14" t="inlineStr">
        <is>
          <t>Category</t>
        </is>
      </c>
      <c r="C25" s="14" t="inlineStr">
        <is>
          <t>Last year</t>
        </is>
      </c>
      <c r="D25" s="14" t="inlineStr">
        <is>
          <t>Budget</t>
        </is>
      </c>
      <c r="E25" s="14" t="inlineStr">
        <is>
          <t>Forecast</t>
        </is>
      </c>
      <c r="F25" s="14" t="inlineStr">
        <is>
          <t>Gap</t>
        </is>
      </c>
      <c r="G25" s="14" t="inlineStr">
        <is>
          <t>Gap %</t>
        </is>
      </c>
      <c r="H25" s="14" t="inlineStr">
        <is>
          <t>LY GM %</t>
        </is>
      </c>
      <c r="I25" s="14" t="inlineStr">
        <is>
          <t>GM target</t>
        </is>
      </c>
      <c r="J25" s="14" t="inlineStr">
        <is>
          <t>Owner</t>
        </is>
      </c>
    </row>
    <row r="26">
      <c r="B26" s="23" t="inlineStr">
        <is>
          <t>Bakery</t>
        </is>
      </c>
      <c r="C26" s="16">
        <f>SUMIFS(Raw!$D$2:$D$397,Raw!$C$2:$C$397,"Actual",Raw!$B$2:$B$397,$B26,Raw!$A$2:$A$397,"&gt;="&amp;EDATE(Assumptions!$C$7,-12),Raw!$A$2:$A$397,"&lt;="&amp;EDATE(Assumptions!$C$7,Assumptions!$C$8-13))+SUMIFS(Raw!$D$2:$D$397,Raw!$C$2:$C$397,"Outlook",Raw!$B$2:$B$397,$B26,Raw!$A$2:$A$397,"&gt;="&amp;EDATE(Assumptions!$C$7,-12),Raw!$A$2:$A$397,"&lt;="&amp;EDATE(Assumptions!$C$7,Assumptions!$C$8-13))</f>
        <v>14394.92</v>
      </c>
      <c r="D26" s="16">
        <f>C26*(1+Assumptions!$C$6)</f>
        <v>14970.7168</v>
      </c>
      <c r="E26" s="16">
        <f>SUMIFS(Raw!$D$2:$D$397,Raw!$C$2:$C$397,"Forecast",Raw!$B$2:$B$397,$B26,Raw!$A$2:$A$397,"&gt;="&amp;Assumptions!$C$7,Raw!$A$2:$A$397,"&lt;="&amp;EDATE(Assumptions!$C$7,Assumptions!$C$8-1))</f>
        <v>14773.67</v>
      </c>
      <c r="F26" s="16">
        <f>E26-D26</f>
        <v>-197.046799999998</v>
      </c>
      <c r="G26" s="17">
        <f>IFERROR(F26/D26,0)</f>
        <v>-0.0131621486554337</v>
      </c>
      <c r="H26" s="17">
        <f>IFERROR((SUMIFS(Raw!$E$2:$E$397,Raw!$C$2:$C$397,"Actual",Raw!$B$2:$B$397,$B26,Raw!$A$2:$A$397,"&gt;="&amp;EDATE(Assumptions!$C$7,-12),Raw!$A$2:$A$397,"&lt;="&amp;EDATE(Assumptions!$C$7,Assumptions!$C$8-13))+SUMIFS(Raw!$E$2:$E$397,Raw!$C$2:$C$397,"Outlook",Raw!$B$2:$B$397,$B26,Raw!$A$2:$A$397,"&gt;="&amp;EDATE(Assumptions!$C$7,-12),Raw!$A$2:$A$397,"&lt;="&amp;EDATE(Assumptions!$C$7,Assumptions!$C$8-13)))/C26,0)</f>
        <v>0.381378986475785</v>
      </c>
      <c r="I26" s="17">
        <f>IFERROR(INDEX(Lookup!$C$7:$C$17,MATCH($B26,Lookup!$B$7:$B$17,0)),0)</f>
        <v>0.382</v>
      </c>
      <c r="J26" s="23" t="str">
        <f>IFERROR(INDEX(Lookup!$D$7:$D$17,MATCH($B26,Lookup!$B$7:$B$17,0)),"")</f>
        <v>Store Manager</v>
      </c>
    </row>
    <row r="27">
      <c r="B27" s="23" t="inlineStr">
        <is>
          <t>Beer &amp; Wine</t>
        </is>
      </c>
      <c r="C27" s="16">
        <f>SUMIFS(Raw!$D$2:$D$397,Raw!$C$2:$C$397,"Actual",Raw!$B$2:$B$397,$B27,Raw!$A$2:$A$397,"&gt;="&amp;EDATE(Assumptions!$C$7,-12),Raw!$A$2:$A$397,"&lt;="&amp;EDATE(Assumptions!$C$7,Assumptions!$C$8-13))+SUMIFS(Raw!$D$2:$D$397,Raw!$C$2:$C$397,"Outlook",Raw!$B$2:$B$397,$B27,Raw!$A$2:$A$397,"&gt;="&amp;EDATE(Assumptions!$C$7,-12),Raw!$A$2:$A$397,"&lt;="&amp;EDATE(Assumptions!$C$7,Assumptions!$C$8-13))</f>
        <v>35682.61</v>
      </c>
      <c r="D27" s="16">
        <f>C27*(1+Assumptions!$C$6)</f>
        <v>37109.9144</v>
      </c>
      <c r="E27" s="16">
        <f>SUMIFS(Raw!$D$2:$D$397,Raw!$C$2:$C$397,"Forecast",Raw!$B$2:$B$397,$B27,Raw!$A$2:$A$397,"&gt;="&amp;Assumptions!$C$7,Raw!$A$2:$A$397,"&lt;="&amp;EDATE(Assumptions!$C$7,Assumptions!$C$8-1))</f>
        <v>35836.91</v>
      </c>
      <c r="F27" s="16">
        <f>E27-D27</f>
        <v>-1273.0044</v>
      </c>
      <c r="G27" s="17">
        <f>IFERROR(F27/D27,0)</f>
        <v>-0.0343036199512225</v>
      </c>
      <c r="H27" s="17">
        <f>IFERROR((SUMIFS(Raw!$E$2:$E$397,Raw!$C$2:$C$397,"Actual",Raw!$B$2:$B$397,$B27,Raw!$A$2:$A$397,"&gt;="&amp;EDATE(Assumptions!$C$7,-12),Raw!$A$2:$A$397,"&lt;="&amp;EDATE(Assumptions!$C$7,Assumptions!$C$8-13))+SUMIFS(Raw!$E$2:$E$397,Raw!$C$2:$C$397,"Outlook",Raw!$B$2:$B$397,$B27,Raw!$A$2:$A$397,"&gt;="&amp;EDATE(Assumptions!$C$7,-12),Raw!$A$2:$A$397,"&lt;="&amp;EDATE(Assumptions!$C$7,Assumptions!$C$8-13)))/C27,0)</f>
        <v>0.337820299580104</v>
      </c>
      <c r="I27" s="17">
        <f>IFERROR(INDEX(Lookup!$C$7:$C$17,MATCH($B27,Lookup!$B$7:$B$17,0)),0)</f>
        <v>0.338</v>
      </c>
      <c r="J27" s="23" t="str">
        <f>IFERROR(INDEX(Lookup!$D$7:$D$17,MATCH($B27,Lookup!$B$7:$B$17,0)),"")</f>
        <v>Licence Manager</v>
      </c>
    </row>
    <row r="28">
      <c r="B28" s="23" t="inlineStr">
        <is>
          <t>Beverages</t>
        </is>
      </c>
      <c r="C28" s="16">
        <f>SUMIFS(Raw!$D$2:$D$397,Raw!$C$2:$C$397,"Actual",Raw!$B$2:$B$397,$B28,Raw!$A$2:$A$397,"&gt;="&amp;EDATE(Assumptions!$C$7,-12),Raw!$A$2:$A$397,"&lt;="&amp;EDATE(Assumptions!$C$7,Assumptions!$C$8-13))+SUMIFS(Raw!$D$2:$D$397,Raw!$C$2:$C$397,"Outlook",Raw!$B$2:$B$397,$B28,Raw!$A$2:$A$397,"&gt;="&amp;EDATE(Assumptions!$C$7,-12),Raw!$A$2:$A$397,"&lt;="&amp;EDATE(Assumptions!$C$7,Assumptions!$C$8-13))</f>
        <v>45348.71</v>
      </c>
      <c r="D28" s="16">
        <f>C28*(1+Assumptions!$C$6)</f>
        <v>47162.6584</v>
      </c>
      <c r="E28" s="16">
        <f>SUMIFS(Raw!$D$2:$D$397,Raw!$C$2:$C$397,"Forecast",Raw!$B$2:$B$397,$B28,Raw!$A$2:$A$397,"&gt;="&amp;Assumptions!$C$7,Raw!$A$2:$A$397,"&lt;="&amp;EDATE(Assumptions!$C$7,Assumptions!$C$8-1))</f>
        <v>48085.78</v>
      </c>
      <c r="F28" s="16">
        <f>E28-D28</f>
        <v>923.121599999999</v>
      </c>
      <c r="G28" s="17">
        <f>IFERROR(F28/D28,0)</f>
        <v>0.0195731460294443</v>
      </c>
      <c r="H28" s="17">
        <f>IFERROR((SUMIFS(Raw!$E$2:$E$397,Raw!$C$2:$C$397,"Actual",Raw!$B$2:$B$397,$B28,Raw!$A$2:$A$397,"&gt;="&amp;EDATE(Assumptions!$C$7,-12),Raw!$A$2:$A$397,"&lt;="&amp;EDATE(Assumptions!$C$7,Assumptions!$C$8-13))+SUMIFS(Raw!$E$2:$E$397,Raw!$C$2:$C$397,"Outlook",Raw!$B$2:$B$397,$B28,Raw!$A$2:$A$397,"&gt;="&amp;EDATE(Assumptions!$C$7,-12),Raw!$A$2:$A$397,"&lt;="&amp;EDATE(Assumptions!$C$7,Assumptions!$C$8-13)))/C28,0)</f>
        <v>0.508705980831649</v>
      </c>
      <c r="I28" s="17">
        <f>IFERROR(INDEX(Lookup!$C$7:$C$17,MATCH($B28,Lookup!$B$7:$B$17,0)),0)</f>
        <v>0.51</v>
      </c>
      <c r="J28" s="23" t="str">
        <f>IFERROR(INDEX(Lookup!$D$7:$D$17,MATCH($B28,Lookup!$B$7:$B$17,0)),"")</f>
        <v>Duty Manager</v>
      </c>
    </row>
    <row r="29">
      <c r="B29" s="23" t="inlineStr">
        <is>
          <t>Dairy</t>
        </is>
      </c>
      <c r="C29" s="16">
        <f>SUMIFS(Raw!$D$2:$D$397,Raw!$C$2:$C$397,"Actual",Raw!$B$2:$B$397,$B29,Raw!$A$2:$A$397,"&gt;="&amp;EDATE(Assumptions!$C$7,-12),Raw!$A$2:$A$397,"&lt;="&amp;EDATE(Assumptions!$C$7,Assumptions!$C$8-13))+SUMIFS(Raw!$D$2:$D$397,Raw!$C$2:$C$397,"Outlook",Raw!$B$2:$B$397,$B29,Raw!$A$2:$A$397,"&gt;="&amp;EDATE(Assumptions!$C$7,-12),Raw!$A$2:$A$397,"&lt;="&amp;EDATE(Assumptions!$C$7,Assumptions!$C$8-13))</f>
        <v>41886.63</v>
      </c>
      <c r="D29" s="16">
        <f>C29*(1+Assumptions!$C$6)</f>
        <v>43562.0952</v>
      </c>
      <c r="E29" s="16">
        <f>SUMIFS(Raw!$D$2:$D$397,Raw!$C$2:$C$397,"Forecast",Raw!$B$2:$B$397,$B29,Raw!$A$2:$A$397,"&gt;="&amp;Assumptions!$C$7,Raw!$A$2:$A$397,"&lt;="&amp;EDATE(Assumptions!$C$7,Assumptions!$C$8-1))</f>
        <v>43472.2</v>
      </c>
      <c r="F29" s="16">
        <f>E29-D29</f>
        <v>-89.895199999999</v>
      </c>
      <c r="G29" s="17">
        <f>IFERROR(F29/D29,0)</f>
        <v>-0.00206361056756515</v>
      </c>
      <c r="H29" s="17">
        <f>IFERROR((SUMIFS(Raw!$E$2:$E$397,Raw!$C$2:$C$397,"Actual",Raw!$B$2:$B$397,$B29,Raw!$A$2:$A$397,"&gt;="&amp;EDATE(Assumptions!$C$7,-12),Raw!$A$2:$A$397,"&lt;="&amp;EDATE(Assumptions!$C$7,Assumptions!$C$8-13))+SUMIFS(Raw!$E$2:$E$397,Raw!$C$2:$C$397,"Outlook",Raw!$B$2:$B$397,$B29,Raw!$A$2:$A$397,"&gt;="&amp;EDATE(Assumptions!$C$7,-12),Raw!$A$2:$A$397,"&lt;="&amp;EDATE(Assumptions!$C$7,Assumptions!$C$8-13)))/C29,0)</f>
        <v>0.281760074754164</v>
      </c>
      <c r="I29" s="17">
        <f>IFERROR(INDEX(Lookup!$C$7:$C$17,MATCH($B29,Lookup!$B$7:$B$17,0)),0)</f>
        <v>0.278</v>
      </c>
      <c r="J29" s="23" t="str">
        <f>IFERROR(INDEX(Lookup!$D$7:$D$17,MATCH($B29,Lookup!$B$7:$B$17,0)),"")</f>
        <v>Duty Manager</v>
      </c>
    </row>
    <row r="30">
      <c r="B30" s="23" t="inlineStr">
        <is>
          <t>Food To Go</t>
        </is>
      </c>
      <c r="C30" s="16">
        <f>SUMIFS(Raw!$D$2:$D$397,Raw!$C$2:$C$397,"Actual",Raw!$B$2:$B$397,$B30,Raw!$A$2:$A$397,"&gt;="&amp;EDATE(Assumptions!$C$7,-12),Raw!$A$2:$A$397,"&lt;="&amp;EDATE(Assumptions!$C$7,Assumptions!$C$8-13))+SUMIFS(Raw!$D$2:$D$397,Raw!$C$2:$C$397,"Outlook",Raw!$B$2:$B$397,$B30,Raw!$A$2:$A$397,"&gt;="&amp;EDATE(Assumptions!$C$7,-12),Raw!$A$2:$A$397,"&lt;="&amp;EDATE(Assumptions!$C$7,Assumptions!$C$8-13))</f>
        <v>48378.56</v>
      </c>
      <c r="D30" s="16">
        <f>C30*(1+Assumptions!$C$6)</f>
        <v>50313.7024</v>
      </c>
      <c r="E30" s="16">
        <f>SUMIFS(Raw!$D$2:$D$397,Raw!$C$2:$C$397,"Forecast",Raw!$B$2:$B$397,$B30,Raw!$A$2:$A$397,"&gt;="&amp;Assumptions!$C$7,Raw!$A$2:$A$397,"&lt;="&amp;EDATE(Assumptions!$C$7,Assumptions!$C$8-1))</f>
        <v>49418.77</v>
      </c>
      <c r="F30" s="16">
        <f>E30-D30</f>
        <v>-894.932399999998</v>
      </c>
      <c r="G30" s="17">
        <f>IFERROR(F30/D30,0)</f>
        <v>-0.0177870511870738</v>
      </c>
      <c r="H30" s="17">
        <f>IFERROR((SUMIFS(Raw!$E$2:$E$397,Raw!$C$2:$C$397,"Actual",Raw!$B$2:$B$397,$B30,Raw!$A$2:$A$397,"&gt;="&amp;EDATE(Assumptions!$C$7,-12),Raw!$A$2:$A$397,"&lt;="&amp;EDATE(Assumptions!$C$7,Assumptions!$C$8-13))+SUMIFS(Raw!$E$2:$E$397,Raw!$C$2:$C$397,"Outlook",Raw!$B$2:$B$397,$B30,Raw!$A$2:$A$397,"&gt;="&amp;EDATE(Assumptions!$C$7,-12),Raw!$A$2:$A$397,"&lt;="&amp;EDATE(Assumptions!$C$7,Assumptions!$C$8-13)))/C30,0)</f>
        <v>0.473392759106513</v>
      </c>
      <c r="I30" s="17">
        <f>IFERROR(INDEX(Lookup!$C$7:$C$17,MATCH($B30,Lookup!$B$7:$B$17,0)),0)</f>
        <v>0.478</v>
      </c>
      <c r="J30" s="23" t="str">
        <f>IFERROR(INDEX(Lookup!$D$7:$D$17,MATCH($B30,Lookup!$B$7:$B$17,0)),"")</f>
        <v>Store Manager</v>
      </c>
    </row>
    <row r="31">
      <c r="B31" s="23" t="inlineStr">
        <is>
          <t>Frozen</t>
        </is>
      </c>
      <c r="C31" s="16">
        <f>SUMIFS(Raw!$D$2:$D$397,Raw!$C$2:$C$397,"Actual",Raw!$B$2:$B$397,$B31,Raw!$A$2:$A$397,"&gt;="&amp;EDATE(Assumptions!$C$7,-12),Raw!$A$2:$A$397,"&lt;="&amp;EDATE(Assumptions!$C$7,Assumptions!$C$8-13))+SUMIFS(Raw!$D$2:$D$397,Raw!$C$2:$C$397,"Outlook",Raw!$B$2:$B$397,$B31,Raw!$A$2:$A$397,"&gt;="&amp;EDATE(Assumptions!$C$7,-12),Raw!$A$2:$A$397,"&lt;="&amp;EDATE(Assumptions!$C$7,Assumptions!$C$8-13))</f>
        <v>16684.75</v>
      </c>
      <c r="D31" s="16">
        <f>C31*(1+Assumptions!$C$6)</f>
        <v>17352.14</v>
      </c>
      <c r="E31" s="16">
        <f>SUMIFS(Raw!$D$2:$D$397,Raw!$C$2:$C$397,"Forecast",Raw!$B$2:$B$397,$B31,Raw!$A$2:$A$397,"&gt;="&amp;Assumptions!$C$7,Raw!$A$2:$A$397,"&lt;="&amp;EDATE(Assumptions!$C$7,Assumptions!$C$8-1))</f>
        <v>18122.14</v>
      </c>
      <c r="F31" s="16">
        <f>E31-D31</f>
        <v>770</v>
      </c>
      <c r="G31" s="17">
        <f>IFERROR(F31/D31,0)</f>
        <v>0.0443749301238925</v>
      </c>
      <c r="H31" s="17">
        <f>IFERROR((SUMIFS(Raw!$E$2:$E$397,Raw!$C$2:$C$397,"Actual",Raw!$B$2:$B$397,$B31,Raw!$A$2:$A$397,"&gt;="&amp;EDATE(Assumptions!$C$7,-12),Raw!$A$2:$A$397,"&lt;="&amp;EDATE(Assumptions!$C$7,Assumptions!$C$8-13))+SUMIFS(Raw!$E$2:$E$397,Raw!$C$2:$C$397,"Outlook",Raw!$B$2:$B$397,$B31,Raw!$A$2:$A$397,"&gt;="&amp;EDATE(Assumptions!$C$7,-12),Raw!$A$2:$A$397,"&lt;="&amp;EDATE(Assumptions!$C$7,Assumptions!$C$8-13)))/C31,0)</f>
        <v>0.443431876414091</v>
      </c>
      <c r="I31" s="17">
        <f>IFERROR(INDEX(Lookup!$C$7:$C$17,MATCH($B31,Lookup!$B$7:$B$17,0)),0)</f>
        <v>0.436</v>
      </c>
      <c r="J31" s="23" t="str">
        <f>IFERROR(INDEX(Lookup!$D$7:$D$17,MATCH($B31,Lookup!$B$7:$B$17,0)),"")</f>
        <v>Duty Manager</v>
      </c>
    </row>
    <row r="32">
      <c r="B32" s="23" t="inlineStr">
        <is>
          <t>Grocery</t>
        </is>
      </c>
      <c r="C32" s="16">
        <f>SUMIFS(Raw!$D$2:$D$397,Raw!$C$2:$C$397,"Actual",Raw!$B$2:$B$397,$B32,Raw!$A$2:$A$397,"&gt;="&amp;EDATE(Assumptions!$C$7,-12),Raw!$A$2:$A$397,"&lt;="&amp;EDATE(Assumptions!$C$7,Assumptions!$C$8-13))+SUMIFS(Raw!$D$2:$D$397,Raw!$C$2:$C$397,"Outlook",Raw!$B$2:$B$397,$B32,Raw!$A$2:$A$397,"&gt;="&amp;EDATE(Assumptions!$C$7,-12),Raw!$A$2:$A$397,"&lt;="&amp;EDATE(Assumptions!$C$7,Assumptions!$C$8-13))</f>
        <v>22900.19</v>
      </c>
      <c r="D32" s="16">
        <f>C32*(1+Assumptions!$C$6)</f>
        <v>23816.1976</v>
      </c>
      <c r="E32" s="16">
        <f>SUMIFS(Raw!$D$2:$D$397,Raw!$C$2:$C$397,"Forecast",Raw!$B$2:$B$397,$B32,Raw!$A$2:$A$397,"&gt;="&amp;Assumptions!$C$7,Raw!$A$2:$A$397,"&lt;="&amp;EDATE(Assumptions!$C$7,Assumptions!$C$8-1))</f>
        <v>23957.31</v>
      </c>
      <c r="F32" s="16">
        <f>E32-D32</f>
        <v>141.112399999998</v>
      </c>
      <c r="G32" s="17">
        <f>IFERROR(F32/D32,0)</f>
        <v>0.00592506001041905</v>
      </c>
      <c r="H32" s="17">
        <f>IFERROR((SUMIFS(Raw!$E$2:$E$397,Raw!$C$2:$C$397,"Actual",Raw!$B$2:$B$397,$B32,Raw!$A$2:$A$397,"&gt;="&amp;EDATE(Assumptions!$C$7,-12),Raw!$A$2:$A$397,"&lt;="&amp;EDATE(Assumptions!$C$7,Assumptions!$C$8-13))+SUMIFS(Raw!$E$2:$E$397,Raw!$C$2:$C$397,"Outlook",Raw!$B$2:$B$397,$B32,Raw!$A$2:$A$397,"&gt;="&amp;EDATE(Assumptions!$C$7,-12),Raw!$A$2:$A$397,"&lt;="&amp;EDATE(Assumptions!$C$7,Assumptions!$C$8-13)))/C32,0)</f>
        <v>0.342407202734999</v>
      </c>
      <c r="I32" s="17">
        <f>IFERROR(INDEX(Lookup!$C$7:$C$17,MATCH($B32,Lookup!$B$7:$B$17,0)),0)</f>
        <v>0.348</v>
      </c>
      <c r="J32" s="23" t="str">
        <f>IFERROR(INDEX(Lookup!$D$7:$D$17,MATCH($B32,Lookup!$B$7:$B$17,0)),"")</f>
        <v>Duty Manager</v>
      </c>
    </row>
    <row r="33">
      <c r="B33" s="23" t="inlineStr">
        <is>
          <t>Health &amp; Beauty</t>
        </is>
      </c>
      <c r="C33" s="16">
        <f>SUMIFS(Raw!$D$2:$D$397,Raw!$C$2:$C$397,"Actual",Raw!$B$2:$B$397,$B33,Raw!$A$2:$A$397,"&gt;="&amp;EDATE(Assumptions!$C$7,-12),Raw!$A$2:$A$397,"&lt;="&amp;EDATE(Assumptions!$C$7,Assumptions!$C$8-13))+SUMIFS(Raw!$D$2:$D$397,Raw!$C$2:$C$397,"Outlook",Raw!$B$2:$B$397,$B33,Raw!$A$2:$A$397,"&gt;="&amp;EDATE(Assumptions!$C$7,-12),Raw!$A$2:$A$397,"&lt;="&amp;EDATE(Assumptions!$C$7,Assumptions!$C$8-13))</f>
        <v>4395.03</v>
      </c>
      <c r="D33" s="16">
        <f>C33*(1+Assumptions!$C$6)</f>
        <v>4570.8312</v>
      </c>
      <c r="E33" s="16">
        <f>SUMIFS(Raw!$D$2:$D$397,Raw!$C$2:$C$397,"Forecast",Raw!$B$2:$B$397,$B33,Raw!$A$2:$A$397,"&gt;="&amp;Assumptions!$C$7,Raw!$A$2:$A$397,"&lt;="&amp;EDATE(Assumptions!$C$7,Assumptions!$C$8-1))</f>
        <v>4786.29</v>
      </c>
      <c r="F33" s="16">
        <f>E33-D33</f>
        <v>215.4588</v>
      </c>
      <c r="G33" s="17">
        <f>IFERROR(F33/D33,0)</f>
        <v>0.047137772228386</v>
      </c>
      <c r="H33" s="17">
        <f>IFERROR((SUMIFS(Raw!$E$2:$E$397,Raw!$C$2:$C$397,"Actual",Raw!$B$2:$B$397,$B33,Raw!$A$2:$A$397,"&gt;="&amp;EDATE(Assumptions!$C$7,-12),Raw!$A$2:$A$397,"&lt;="&amp;EDATE(Assumptions!$C$7,Assumptions!$C$8-13))+SUMIFS(Raw!$E$2:$E$397,Raw!$C$2:$C$397,"Outlook",Raw!$B$2:$B$397,$B33,Raw!$A$2:$A$397,"&gt;="&amp;EDATE(Assumptions!$C$7,-12),Raw!$A$2:$A$397,"&lt;="&amp;EDATE(Assumptions!$C$7,Assumptions!$C$8-13)))/C33,0)</f>
        <v>0.488695185243332</v>
      </c>
      <c r="I33" s="17">
        <f>IFERROR(INDEX(Lookup!$C$7:$C$17,MATCH($B33,Lookup!$B$7:$B$17,0)),0)</f>
        <v>0.501</v>
      </c>
      <c r="J33" s="23" t="str">
        <f>IFERROR(INDEX(Lookup!$D$7:$D$17,MATCH($B33,Lookup!$B$7:$B$17,0)),"")</f>
        <v>Store Manager</v>
      </c>
    </row>
    <row r="34">
      <c r="B34" s="23" t="inlineStr">
        <is>
          <t>Household</t>
        </is>
      </c>
      <c r="C34" s="16">
        <f>SUMIFS(Raw!$D$2:$D$397,Raw!$C$2:$C$397,"Actual",Raw!$B$2:$B$397,$B34,Raw!$A$2:$A$397,"&gt;="&amp;EDATE(Assumptions!$C$7,-12),Raw!$A$2:$A$397,"&lt;="&amp;EDATE(Assumptions!$C$7,Assumptions!$C$8-13))+SUMIFS(Raw!$D$2:$D$397,Raw!$C$2:$C$397,"Outlook",Raw!$B$2:$B$397,$B34,Raw!$A$2:$A$397,"&gt;="&amp;EDATE(Assumptions!$C$7,-12),Raw!$A$2:$A$397,"&lt;="&amp;EDATE(Assumptions!$C$7,Assumptions!$C$8-13))</f>
        <v>7048.42</v>
      </c>
      <c r="D34" s="16">
        <f>C34*(1+Assumptions!$C$6)</f>
        <v>7330.3568</v>
      </c>
      <c r="E34" s="16">
        <f>SUMIFS(Raw!$D$2:$D$397,Raw!$C$2:$C$397,"Forecast",Raw!$B$2:$B$397,$B34,Raw!$A$2:$A$397,"&gt;="&amp;Assumptions!$C$7,Raw!$A$2:$A$397,"&lt;="&amp;EDATE(Assumptions!$C$7,Assumptions!$C$8-1))</f>
        <v>7226.08</v>
      </c>
      <c r="F34" s="16">
        <f>E34-D34</f>
        <v>-104.276800000001</v>
      </c>
      <c r="G34" s="17">
        <f>IFERROR(F34/D34,0)</f>
        <v>-0.0142253375715628</v>
      </c>
      <c r="H34" s="17">
        <f>IFERROR((SUMIFS(Raw!$E$2:$E$397,Raw!$C$2:$C$397,"Actual",Raw!$B$2:$B$397,$B34,Raw!$A$2:$A$397,"&gt;="&amp;EDATE(Assumptions!$C$7,-12),Raw!$A$2:$A$397,"&lt;="&amp;EDATE(Assumptions!$C$7,Assumptions!$C$8-13))+SUMIFS(Raw!$E$2:$E$397,Raw!$C$2:$C$397,"Outlook",Raw!$B$2:$B$397,$B34,Raw!$A$2:$A$397,"&gt;="&amp;EDATE(Assumptions!$C$7,-12),Raw!$A$2:$A$397,"&lt;="&amp;EDATE(Assumptions!$C$7,Assumptions!$C$8-13)))/C34,0)</f>
        <v>0.404065024501945</v>
      </c>
      <c r="I34" s="17">
        <f>IFERROR(INDEX(Lookup!$C$7:$C$17,MATCH($B34,Lookup!$B$7:$B$17,0)),0)</f>
        <v>0.412</v>
      </c>
      <c r="J34" s="23" t="str">
        <f>IFERROR(INDEX(Lookup!$D$7:$D$17,MATCH($B34,Lookup!$B$7:$B$17,0)),"")</f>
        <v>Duty Manager</v>
      </c>
    </row>
    <row r="35">
      <c r="B35" s="23" t="inlineStr">
        <is>
          <t>Produce</t>
        </is>
      </c>
      <c r="C35" s="16">
        <f>SUMIFS(Raw!$D$2:$D$397,Raw!$C$2:$C$397,"Actual",Raw!$B$2:$B$397,$B35,Raw!$A$2:$A$397,"&gt;="&amp;EDATE(Assumptions!$C$7,-12),Raw!$A$2:$A$397,"&lt;="&amp;EDATE(Assumptions!$C$7,Assumptions!$C$8-13))+SUMIFS(Raw!$D$2:$D$397,Raw!$C$2:$C$397,"Outlook",Raw!$B$2:$B$397,$B35,Raw!$A$2:$A$397,"&gt;="&amp;EDATE(Assumptions!$C$7,-12),Raw!$A$2:$A$397,"&lt;="&amp;EDATE(Assumptions!$C$7,Assumptions!$C$8-13))</f>
        <v>6611.57</v>
      </c>
      <c r="D35" s="16">
        <f>C35*(1+Assumptions!$C$6)</f>
        <v>6876.0328</v>
      </c>
      <c r="E35" s="16">
        <f>SUMIFS(Raw!$D$2:$D$397,Raw!$C$2:$C$397,"Forecast",Raw!$B$2:$B$397,$B35,Raw!$A$2:$A$397,"&gt;="&amp;Assumptions!$C$7,Raw!$A$2:$A$397,"&lt;="&amp;EDATE(Assumptions!$C$7,Assumptions!$C$8-1))</f>
        <v>7334.84</v>
      </c>
      <c r="F35" s="16">
        <f>E35-D35</f>
        <v>458.8072</v>
      </c>
      <c r="G35" s="17">
        <f>IFERROR(F35/D35,0)</f>
        <v>0.0667255688483627</v>
      </c>
      <c r="H35" s="17">
        <f>IFERROR((SUMIFS(Raw!$E$2:$E$397,Raw!$C$2:$C$397,"Actual",Raw!$B$2:$B$397,$B35,Raw!$A$2:$A$397,"&gt;="&amp;EDATE(Assumptions!$C$7,-12),Raw!$A$2:$A$397,"&lt;="&amp;EDATE(Assumptions!$C$7,Assumptions!$C$8-13))+SUMIFS(Raw!$E$2:$E$397,Raw!$C$2:$C$397,"Outlook",Raw!$B$2:$B$397,$B35,Raw!$A$2:$A$397,"&gt;="&amp;EDATE(Assumptions!$C$7,-12),Raw!$A$2:$A$397,"&lt;="&amp;EDATE(Assumptions!$C$7,Assumptions!$C$8-13)))/C35,0)</f>
        <v>0.432204453707667</v>
      </c>
      <c r="I35" s="17">
        <f>IFERROR(INDEX(Lookup!$C$7:$C$17,MATCH($B35,Lookup!$B$7:$B$17,0)),0)</f>
        <v>0.431</v>
      </c>
      <c r="J35" s="23" t="str">
        <f>IFERROR(INDEX(Lookup!$D$7:$D$17,MATCH($B35,Lookup!$B$7:$B$17,0)),"")</f>
        <v>Duty Manager</v>
      </c>
    </row>
    <row r="36">
      <c r="B36" s="23" t="inlineStr">
        <is>
          <t>Snacks &amp; Confectionery</t>
        </is>
      </c>
      <c r="C36" s="16">
        <f>SUMIFS(Raw!$D$2:$D$397,Raw!$C$2:$C$397,"Actual",Raw!$B$2:$B$397,$B36,Raw!$A$2:$A$397,"&gt;="&amp;EDATE(Assumptions!$C$7,-12),Raw!$A$2:$A$397,"&lt;="&amp;EDATE(Assumptions!$C$7,Assumptions!$C$8-13))+SUMIFS(Raw!$D$2:$D$397,Raw!$C$2:$C$397,"Outlook",Raw!$B$2:$B$397,$B36,Raw!$A$2:$A$397,"&gt;="&amp;EDATE(Assumptions!$C$7,-12),Raw!$A$2:$A$397,"&lt;="&amp;EDATE(Assumptions!$C$7,Assumptions!$C$8-13))</f>
        <v>24828.95</v>
      </c>
      <c r="D36" s="16">
        <f>C36*(1+Assumptions!$C$6)</f>
        <v>25822.108</v>
      </c>
      <c r="E36" s="16">
        <f>SUMIFS(Raw!$D$2:$D$397,Raw!$C$2:$C$397,"Forecast",Raw!$B$2:$B$397,$B36,Raw!$A$2:$A$397,"&gt;="&amp;Assumptions!$C$7,Raw!$A$2:$A$397,"&lt;="&amp;EDATE(Assumptions!$C$7,Assumptions!$C$8-1))</f>
        <v>26325.14</v>
      </c>
      <c r="F36" s="16">
        <f>E36-D36</f>
        <v>503.031999999999</v>
      </c>
      <c r="G36" s="17">
        <f>IFERROR(F36/D36,0)</f>
        <v>0.0194806713688905</v>
      </c>
      <c r="H36" s="17">
        <f>IFERROR((SUMIFS(Raw!$E$2:$E$397,Raw!$C$2:$C$397,"Actual",Raw!$B$2:$B$397,$B36,Raw!$A$2:$A$397,"&gt;="&amp;EDATE(Assumptions!$C$7,-12),Raw!$A$2:$A$397,"&lt;="&amp;EDATE(Assumptions!$C$7,Assumptions!$C$8-13))+SUMIFS(Raw!$E$2:$E$397,Raw!$C$2:$C$397,"Outlook",Raw!$B$2:$B$397,$B36,Raw!$A$2:$A$397,"&gt;="&amp;EDATE(Assumptions!$C$7,-12),Raw!$A$2:$A$397,"&lt;="&amp;EDATE(Assumptions!$C$7,Assumptions!$C$8-13)))/C36,0)</f>
        <v>0.439650085887643</v>
      </c>
      <c r="I36" s="17">
        <f>IFERROR(INDEX(Lookup!$C$7:$C$17,MATCH($B36,Lookup!$B$7:$B$17,0)),0)</f>
        <v>0.443</v>
      </c>
      <c r="J36" s="23" t="str">
        <f>IFERROR(INDEX(Lookup!$D$7:$D$17,MATCH($B36,Lookup!$B$7:$B$17,0)),"")</f>
        <v>Duty Manager</v>
      </c>
    </row>
    <row r="37">
      <c r="B37" s="19" t="inlineStr">
        <is>
          <t>Total</t>
        </is>
      </c>
      <c r="C37" s="20">
        <f>SUM(C26:C36)</f>
        <v>268160.34</v>
      </c>
      <c r="D37" s="20">
        <f>SUM(D26:D36)</f>
        <v>278886.7536</v>
      </c>
      <c r="E37" s="20">
        <f>SUM(E26:E36)</f>
        <v>279339.13</v>
      </c>
      <c r="F37" s="20">
        <f>SUM(F26:F36)</f>
        <v>452.376400000003</v>
      </c>
      <c r="G37" s="21">
        <f>IFERROR(F37/D37,0)</f>
        <v>0.00162207919221877</v>
      </c>
      <c r="H37" s="21" t="n"/>
      <c r="I37" s="21" t="n"/>
      <c r="J37" s="24" t="n"/>
    </row>
  </sheetData>
  <conditionalFormatting sqref="H8:H19">
    <cfRule type="cellIs" priority="1" operator="lessThan" dxfId="0">
      <formula>0</formula>
    </cfRule>
  </conditionalFormatting>
  <conditionalFormatting sqref="F26:F36">
    <cfRule type="cellIs" priority="2" operator="lessThan" dxfId="0">
      <formula>0</formula>
    </cfRule>
  </conditionalFormatting>
  <conditionalFormatting sqref="E26:E36">
    <cfRule type="dataBar" priority="3">
      <dataBar>
        <cfvo type="min"/>
        <cfvo type="max"/>
        <color rgb="0063B6D8"/>
      </dataBar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0A43A"/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6" customHeight="1">
      <c r="A2" s="1" t="n"/>
      <c r="B2" s="3" t="inlineStr">
        <is>
          <t>Pivot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4" t="inlineStr">
        <is>
          <t>Real Excel PivotTables over the Raw sheet: drag fields in the PivotTable pane to explore. They refresh when the file opens.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" t="inlineStr">
        <is>
          <t>Sales by category and month (filter Type: Actual / Forecast)</t>
        </is>
      </c>
    </row>
    <row r="6">
      <c r="A6" t="inlineStr">
        <is>
          <t>Type</t>
        </is>
      </c>
      <c r="B6" t="inlineStr">
        <is>
          <t>(All)</t>
        </is>
      </c>
    </row>
    <row r="8">
      <c r="A8" t="inlineStr">
        <is>
          <t>Row Labels</t>
        </is>
      </c>
      <c r="B8" t="inlineStr">
        <is>
          <t>Sales</t>
        </is>
      </c>
    </row>
    <row r="9">
      <c r="A9" t="inlineStr">
        <is>
          <t>Bakery</t>
        </is>
      </c>
      <c r="B9" s="25" t="n">
        <v>171320.96</v>
      </c>
    </row>
    <row r="10">
      <c r="A10" t="inlineStr">
        <is>
          <t>Beer &amp; Wine</t>
        </is>
      </c>
      <c r="B10" s="25" t="n">
        <v>366472.11</v>
      </c>
    </row>
    <row r="11">
      <c r="A11" t="inlineStr">
        <is>
          <t>Beverages</t>
        </is>
      </c>
      <c r="B11" s="25" t="n">
        <v>464156.13</v>
      </c>
    </row>
    <row r="12">
      <c r="A12" t="inlineStr">
        <is>
          <t>Dairy</t>
        </is>
      </c>
      <c r="B12" s="25" t="n">
        <v>499080.97</v>
      </c>
    </row>
    <row r="13">
      <c r="A13" t="inlineStr">
        <is>
          <t>Food To Go</t>
        </is>
      </c>
      <c r="B13" s="25" t="n">
        <v>554398.95</v>
      </c>
    </row>
    <row r="14">
      <c r="A14" t="inlineStr">
        <is>
          <t>Frozen</t>
        </is>
      </c>
      <c r="B14" s="25" t="n">
        <v>213197.97</v>
      </c>
    </row>
    <row r="15">
      <c r="A15" t="inlineStr">
        <is>
          <t>Grocery</t>
        </is>
      </c>
      <c r="B15" s="25" t="n">
        <v>299545.45</v>
      </c>
    </row>
    <row r="16">
      <c r="A16" t="inlineStr">
        <is>
          <t>Health &amp; Beauty</t>
        </is>
      </c>
      <c r="B16" s="25" t="n">
        <v>52486.59</v>
      </c>
    </row>
    <row r="17">
      <c r="A17" t="inlineStr">
        <is>
          <t>Household</t>
        </is>
      </c>
      <c r="B17" s="25" t="n">
        <v>83265.64999999999</v>
      </c>
    </row>
    <row r="18">
      <c r="A18" t="inlineStr">
        <is>
          <t>Produce</t>
        </is>
      </c>
      <c r="B18" s="25" t="n">
        <v>72231.85000000001</v>
      </c>
    </row>
    <row r="19">
      <c r="A19" t="inlineStr">
        <is>
          <t>Snacks &amp; Confectionery</t>
        </is>
      </c>
      <c r="B19" s="25" t="n">
        <v>309967.73</v>
      </c>
    </row>
    <row r="20">
      <c r="A20" t="inlineStr">
        <is>
          <t>Grand Total</t>
        </is>
      </c>
      <c r="B20" s="25" t="n">
        <v>3086124.36</v>
      </c>
    </row>
    <row r="24">
      <c r="A24" s="13" t="inlineStr">
        <is>
          <t>Sales by month and type</t>
        </is>
      </c>
    </row>
    <row r="25">
      <c r="A25" t="inlineStr">
        <is>
          <t>Sales</t>
        </is>
      </c>
      <c r="B25" t="inlineStr">
        <is>
          <t>Column Labels</t>
        </is>
      </c>
    </row>
    <row r="26">
      <c r="A26" t="inlineStr">
        <is>
          <t>Row Labels</t>
        </is>
      </c>
      <c r="B26" t="inlineStr">
        <is>
          <t>Actual</t>
        </is>
      </c>
      <c r="C26" t="inlineStr">
        <is>
          <t>Forecast</t>
        </is>
      </c>
      <c r="D26" t="inlineStr">
        <is>
          <t>Outlook</t>
        </is>
      </c>
      <c r="E26" t="inlineStr">
        <is>
          <t>Grand Total</t>
        </is>
      </c>
    </row>
    <row r="27">
      <c r="A27" t="inlineStr">
        <is>
          <t>2024-11-01</t>
        </is>
      </c>
      <c r="B27" s="25" t="n">
        <v>83187.89</v>
      </c>
      <c r="C27" s="25" t="n">
        <v>0</v>
      </c>
      <c r="D27" s="25" t="n">
        <v>0</v>
      </c>
      <c r="E27" s="25" t="n">
        <v>83187.89</v>
      </c>
    </row>
    <row r="28">
      <c r="A28" t="inlineStr">
        <is>
          <t>2024-12-01</t>
        </is>
      </c>
      <c r="B28" s="25" t="n">
        <v>94755.88</v>
      </c>
      <c r="C28" s="25" t="n">
        <v>0</v>
      </c>
      <c r="D28" s="25" t="n">
        <v>0</v>
      </c>
      <c r="E28" s="25" t="n">
        <v>94755.88</v>
      </c>
    </row>
    <row r="29">
      <c r="A29" t="inlineStr">
        <is>
          <t>2025-01-01</t>
        </is>
      </c>
      <c r="B29" s="25" t="n">
        <v>80738.14</v>
      </c>
      <c r="C29" s="25" t="n">
        <v>0</v>
      </c>
      <c r="D29" s="25" t="n">
        <v>0</v>
      </c>
      <c r="E29" s="25" t="n">
        <v>80738.14</v>
      </c>
    </row>
    <row r="30">
      <c r="A30" t="inlineStr">
        <is>
          <t>2025-02-01</t>
        </is>
      </c>
      <c r="B30" s="25" t="n">
        <v>81306.55</v>
      </c>
      <c r="C30" s="25" t="n">
        <v>0</v>
      </c>
      <c r="D30" s="25" t="n">
        <v>0</v>
      </c>
      <c r="E30" s="25" t="n">
        <v>81306.55</v>
      </c>
    </row>
    <row r="31">
      <c r="A31" t="inlineStr">
        <is>
          <t>2025-03-01</t>
        </is>
      </c>
      <c r="B31" s="25" t="n">
        <v>86028.86</v>
      </c>
      <c r="C31" s="25" t="n">
        <v>0</v>
      </c>
      <c r="D31" s="25" t="n">
        <v>0</v>
      </c>
      <c r="E31" s="25" t="n">
        <v>86028.86</v>
      </c>
    </row>
    <row r="32">
      <c r="A32" t="inlineStr">
        <is>
          <t>2025-04-01</t>
        </is>
      </c>
      <c r="B32" s="25" t="n">
        <v>79207.3</v>
      </c>
      <c r="C32" s="25" t="n">
        <v>0</v>
      </c>
      <c r="D32" s="25" t="n">
        <v>0</v>
      </c>
      <c r="E32" s="25" t="n">
        <v>79207.3</v>
      </c>
    </row>
    <row r="33">
      <c r="A33" t="inlineStr">
        <is>
          <t>2025-05-01</t>
        </is>
      </c>
      <c r="B33" s="25" t="n">
        <v>82604.11</v>
      </c>
      <c r="C33" s="25" t="n">
        <v>0</v>
      </c>
      <c r="D33" s="25" t="n">
        <v>0</v>
      </c>
      <c r="E33" s="25" t="n">
        <v>82604.11</v>
      </c>
    </row>
    <row r="34">
      <c r="A34" t="inlineStr">
        <is>
          <t>2025-06-01</t>
        </is>
      </c>
      <c r="B34" s="25" t="n">
        <v>75752.63</v>
      </c>
      <c r="C34" s="25" t="n">
        <v>0</v>
      </c>
      <c r="D34" s="25" t="n">
        <v>0</v>
      </c>
      <c r="E34" s="25" t="n">
        <v>75752.63</v>
      </c>
    </row>
    <row r="35">
      <c r="A35" t="inlineStr">
        <is>
          <t>2025-07-01</t>
        </is>
      </c>
      <c r="B35" s="25" t="n">
        <v>78803.3</v>
      </c>
      <c r="C35" s="25" t="n">
        <v>0</v>
      </c>
      <c r="D35" s="25" t="n">
        <v>0</v>
      </c>
      <c r="E35" s="25" t="n">
        <v>78803.3</v>
      </c>
    </row>
    <row r="36">
      <c r="A36" t="inlineStr">
        <is>
          <t>2025-08-01</t>
        </is>
      </c>
      <c r="B36" s="25" t="n">
        <v>79656.08</v>
      </c>
      <c r="C36" s="25" t="n">
        <v>0</v>
      </c>
      <c r="D36" s="25" t="n">
        <v>0</v>
      </c>
      <c r="E36" s="25" t="n">
        <v>79656.08</v>
      </c>
    </row>
    <row r="37">
      <c r="A37" t="inlineStr">
        <is>
          <t>2025-09-01</t>
        </is>
      </c>
      <c r="B37" s="25" t="n">
        <v>79394.25</v>
      </c>
      <c r="C37" s="25" t="n">
        <v>0</v>
      </c>
      <c r="D37" s="25" t="n">
        <v>0</v>
      </c>
      <c r="E37" s="25" t="n">
        <v>79394.25</v>
      </c>
    </row>
    <row r="38">
      <c r="A38" t="inlineStr">
        <is>
          <t>2025-10-01</t>
        </is>
      </c>
      <c r="B38" s="25" t="n">
        <v>87343.90000000001</v>
      </c>
      <c r="C38" s="25" t="n">
        <v>0</v>
      </c>
      <c r="D38" s="25" t="n">
        <v>0</v>
      </c>
      <c r="E38" s="25" t="n">
        <v>87343.90000000001</v>
      </c>
    </row>
    <row r="39">
      <c r="A39" t="inlineStr">
        <is>
          <t>2025-11-01</t>
        </is>
      </c>
      <c r="B39" s="25" t="n">
        <v>85639.06</v>
      </c>
      <c r="C39" s="25" t="n">
        <v>0</v>
      </c>
      <c r="D39" s="25" t="n">
        <v>0</v>
      </c>
      <c r="E39" s="25" t="n">
        <v>85639.06</v>
      </c>
    </row>
    <row r="40">
      <c r="A40" t="inlineStr">
        <is>
          <t>2025-12-01</t>
        </is>
      </c>
      <c r="B40" s="25" t="n">
        <v>98239.77</v>
      </c>
      <c r="C40" s="25" t="n">
        <v>0</v>
      </c>
      <c r="D40" s="25" t="n">
        <v>0</v>
      </c>
      <c r="E40" s="25" t="n">
        <v>98239.77</v>
      </c>
    </row>
    <row r="41">
      <c r="A41" t="inlineStr">
        <is>
          <t>2026-01-01</t>
        </is>
      </c>
      <c r="B41" s="25" t="n">
        <v>84281.50999999999</v>
      </c>
      <c r="C41" s="25" t="n">
        <v>0</v>
      </c>
      <c r="D41" s="25" t="n">
        <v>0</v>
      </c>
      <c r="E41" s="25" t="n">
        <v>84281.50999999999</v>
      </c>
    </row>
    <row r="42">
      <c r="A42" t="inlineStr">
        <is>
          <t>2026-02-01</t>
        </is>
      </c>
      <c r="B42" s="25" t="n">
        <v>84064.41</v>
      </c>
      <c r="C42" s="25" t="n">
        <v>0</v>
      </c>
      <c r="D42" s="25" t="n">
        <v>0</v>
      </c>
      <c r="E42" s="25" t="n">
        <v>84064.41</v>
      </c>
    </row>
    <row r="43">
      <c r="A43" t="inlineStr">
        <is>
          <t>2026-03-01</t>
        </is>
      </c>
      <c r="B43" s="25" t="n">
        <v>89855.75</v>
      </c>
      <c r="C43" s="25" t="n">
        <v>0</v>
      </c>
      <c r="D43" s="25" t="n">
        <v>0</v>
      </c>
      <c r="E43" s="25" t="n">
        <v>89855.75</v>
      </c>
    </row>
    <row r="44">
      <c r="A44" t="inlineStr">
        <is>
          <t>2026-04-01</t>
        </is>
      </c>
      <c r="B44" s="25" t="n">
        <v>82882.76000000001</v>
      </c>
      <c r="C44" s="25" t="n">
        <v>0</v>
      </c>
      <c r="D44" s="25" t="n">
        <v>0</v>
      </c>
      <c r="E44" s="25" t="n">
        <v>82882.76000000001</v>
      </c>
    </row>
    <row r="45">
      <c r="A45" t="inlineStr">
        <is>
          <t>2026-05-01</t>
        </is>
      </c>
      <c r="B45" s="25" t="n">
        <v>84779.09</v>
      </c>
      <c r="C45" s="25" t="n">
        <v>0</v>
      </c>
      <c r="D45" s="25" t="n">
        <v>0</v>
      </c>
      <c r="E45" s="25" t="n">
        <v>84779.09</v>
      </c>
    </row>
    <row r="46">
      <c r="A46" t="inlineStr">
        <is>
          <t>2026-06-01</t>
        </is>
      </c>
      <c r="B46" s="25" t="n">
        <v>79827.03999999999</v>
      </c>
      <c r="C46" s="25" t="n">
        <v>0</v>
      </c>
      <c r="D46" s="25" t="n">
        <v>0</v>
      </c>
      <c r="E46" s="25" t="n">
        <v>79827.03999999999</v>
      </c>
    </row>
    <row r="47">
      <c r="A47" t="inlineStr">
        <is>
          <t>2026-07-01</t>
        </is>
      </c>
      <c r="B47" s="25" t="n">
        <v>82245.99000000001</v>
      </c>
      <c r="C47" s="25" t="n">
        <v>0</v>
      </c>
      <c r="D47" s="25" t="n">
        <v>0</v>
      </c>
      <c r="E47" s="25" t="n">
        <v>82245.99000000001</v>
      </c>
    </row>
    <row r="48">
      <c r="A48" t="inlineStr">
        <is>
          <t>2026-08-01</t>
        </is>
      </c>
      <c r="B48" s="25" t="n">
        <v>83007.22</v>
      </c>
      <c r="C48" s="25" t="n">
        <v>0</v>
      </c>
      <c r="D48" s="25" t="n">
        <v>0</v>
      </c>
      <c r="E48" s="25" t="n">
        <v>83007.22</v>
      </c>
    </row>
    <row r="49">
      <c r="A49" t="inlineStr">
        <is>
          <t>2026-09-01</t>
        </is>
      </c>
      <c r="B49" s="25" t="n">
        <v>84203.07000000001</v>
      </c>
      <c r="C49" s="25" t="n">
        <v>0</v>
      </c>
      <c r="D49" s="25" t="n">
        <v>0</v>
      </c>
      <c r="E49" s="25" t="n">
        <v>84203.07000000001</v>
      </c>
    </row>
    <row r="50">
      <c r="A50" t="inlineStr">
        <is>
          <t>2026-10-01</t>
        </is>
      </c>
      <c r="B50" s="25" t="n">
        <v>0</v>
      </c>
      <c r="C50" s="25" t="n">
        <v>0</v>
      </c>
      <c r="D50" s="25" t="n">
        <v>88042.66</v>
      </c>
      <c r="E50" s="25" t="n">
        <v>88042.66</v>
      </c>
    </row>
    <row r="51">
      <c r="A51" t="inlineStr">
        <is>
          <t>2026-11-01</t>
        </is>
      </c>
      <c r="B51" s="25" t="n">
        <v>0</v>
      </c>
      <c r="C51" s="25" t="n">
        <v>89230.14999999999</v>
      </c>
      <c r="D51" s="25" t="n">
        <v>0</v>
      </c>
      <c r="E51" s="25" t="n">
        <v>89230.14999999999</v>
      </c>
    </row>
    <row r="52">
      <c r="A52" t="inlineStr">
        <is>
          <t>2026-12-01</t>
        </is>
      </c>
      <c r="B52" s="25" t="n">
        <v>0</v>
      </c>
      <c r="C52" s="25" t="n">
        <v>102308.92</v>
      </c>
      <c r="D52" s="25" t="n">
        <v>0</v>
      </c>
      <c r="E52" s="25" t="n">
        <v>102308.92</v>
      </c>
    </row>
    <row r="53">
      <c r="A53" t="inlineStr">
        <is>
          <t>2027-01-01</t>
        </is>
      </c>
      <c r="B53" s="25" t="n">
        <v>0</v>
      </c>
      <c r="C53" s="25" t="n">
        <v>87800.06</v>
      </c>
      <c r="D53" s="25" t="n">
        <v>0</v>
      </c>
      <c r="E53" s="25" t="n">
        <v>87800.06</v>
      </c>
    </row>
    <row r="54">
      <c r="A54" t="inlineStr">
        <is>
          <t>2027-02-01</t>
        </is>
      </c>
      <c r="B54" s="25" t="n">
        <v>0</v>
      </c>
      <c r="C54" s="25" t="n">
        <v>87569.25999999999</v>
      </c>
      <c r="D54" s="25" t="n">
        <v>0</v>
      </c>
      <c r="E54" s="25" t="n">
        <v>87569.25999999999</v>
      </c>
    </row>
    <row r="55">
      <c r="A55" t="inlineStr">
        <is>
          <t>2027-03-01</t>
        </is>
      </c>
      <c r="B55" s="25" t="n">
        <v>0</v>
      </c>
      <c r="C55" s="25" t="n">
        <v>93625.45999999999</v>
      </c>
      <c r="D55" s="25" t="n">
        <v>0</v>
      </c>
      <c r="E55" s="25" t="n">
        <v>93625.45999999999</v>
      </c>
    </row>
    <row r="56">
      <c r="A56" t="inlineStr">
        <is>
          <t>2027-04-01</t>
        </is>
      </c>
      <c r="B56" s="25" t="n">
        <v>0</v>
      </c>
      <c r="C56" s="25" t="n">
        <v>86402.49000000001</v>
      </c>
      <c r="D56" s="25" t="n">
        <v>0</v>
      </c>
      <c r="E56" s="25" t="n">
        <v>86402.49000000001</v>
      </c>
    </row>
    <row r="57">
      <c r="A57" t="inlineStr">
        <is>
          <t>2027-05-01</t>
        </is>
      </c>
      <c r="B57" s="25" t="n">
        <v>0</v>
      </c>
      <c r="C57" s="25" t="n">
        <v>88339.85000000001</v>
      </c>
      <c r="D57" s="25" t="n">
        <v>0</v>
      </c>
      <c r="E57" s="25" t="n">
        <v>88339.85000000001</v>
      </c>
    </row>
    <row r="58">
      <c r="A58" t="inlineStr">
        <is>
          <t>2027-06-01</t>
        </is>
      </c>
      <c r="B58" s="25" t="n">
        <v>0</v>
      </c>
      <c r="C58" s="25" t="n">
        <v>83192.69</v>
      </c>
      <c r="D58" s="25" t="n">
        <v>0</v>
      </c>
      <c r="E58" s="25" t="n">
        <v>83192.69</v>
      </c>
    </row>
    <row r="59">
      <c r="A59" t="inlineStr">
        <is>
          <t>2027-07-01</t>
        </is>
      </c>
      <c r="B59" s="25" t="n">
        <v>0</v>
      </c>
      <c r="C59" s="25" t="n">
        <v>85731.56</v>
      </c>
      <c r="D59" s="25" t="n">
        <v>0</v>
      </c>
      <c r="E59" s="25" t="n">
        <v>85731.56</v>
      </c>
    </row>
    <row r="60">
      <c r="A60" t="inlineStr">
        <is>
          <t>2027-08-01</t>
        </is>
      </c>
      <c r="B60" s="25" t="n">
        <v>0</v>
      </c>
      <c r="C60" s="25" t="n">
        <v>86514.27</v>
      </c>
      <c r="D60" s="25" t="n">
        <v>0</v>
      </c>
      <c r="E60" s="25" t="n">
        <v>86514.27</v>
      </c>
    </row>
    <row r="61">
      <c r="A61" t="inlineStr">
        <is>
          <t>2027-09-01</t>
        </is>
      </c>
      <c r="B61" s="25" t="n">
        <v>0</v>
      </c>
      <c r="C61" s="25" t="n">
        <v>87778.81</v>
      </c>
      <c r="D61" s="25" t="n">
        <v>0</v>
      </c>
      <c r="E61" s="25" t="n">
        <v>87778.81</v>
      </c>
    </row>
    <row r="62">
      <c r="A62" t="inlineStr">
        <is>
          <t>2027-10-01</t>
        </is>
      </c>
      <c r="B62" s="25" t="n">
        <v>0</v>
      </c>
      <c r="C62" s="25" t="n">
        <v>91783.62</v>
      </c>
      <c r="D62" s="25" t="n">
        <v>0</v>
      </c>
      <c r="E62" s="25" t="n">
        <v>91783.62</v>
      </c>
    </row>
    <row r="63">
      <c r="A63" t="inlineStr">
        <is>
          <t>Grand Total</t>
        </is>
      </c>
      <c r="B63" s="25" t="n">
        <v>1927804.56</v>
      </c>
      <c r="C63" s="25" t="n">
        <v>1070277.14</v>
      </c>
      <c r="D63" s="25" t="n">
        <v>88042.66</v>
      </c>
      <c r="E63" s="25" t="n">
        <v>3086124.36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A5B1"/>
    <outlinePr summaryBelow="1" summaryRight="1"/>
    <pageSetUpPr/>
  </sheetPr>
  <dimension ref="A1:H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26" t="inlineStr">
        <is>
          <t>Month</t>
        </is>
      </c>
      <c r="B1" s="26" t="inlineStr">
        <is>
          <t>Category</t>
        </is>
      </c>
      <c r="C1" s="26" t="inlineStr">
        <is>
          <t>Type</t>
        </is>
      </c>
      <c r="D1" s="26" t="inlineStr">
        <is>
          <t>Sales</t>
        </is>
      </c>
      <c r="E1" s="26" t="inlineStr">
        <is>
          <t>Gross margin</t>
        </is>
      </c>
      <c r="F1" s="26" t="inlineStr">
        <is>
          <t>Units</t>
        </is>
      </c>
      <c r="G1" s="26" t="inlineStr">
        <is>
          <t>Low</t>
        </is>
      </c>
      <c r="H1" s="26" t="inlineStr">
        <is>
          <t>High</t>
        </is>
      </c>
    </row>
    <row r="2">
      <c r="A2" s="27" t="n">
        <v>45597</v>
      </c>
      <c r="B2" s="28" t="inlineStr">
        <is>
          <t>Bakery</t>
        </is>
      </c>
      <c r="C2" s="28" t="inlineStr">
        <is>
          <t>Actual</t>
        </is>
      </c>
      <c r="D2" s="29" t="n">
        <v>4266.73</v>
      </c>
      <c r="E2" s="29" t="n">
        <v>1656.43</v>
      </c>
      <c r="F2" s="30" t="n">
        <v>1037</v>
      </c>
      <c r="G2" s="29" t="n"/>
      <c r="H2" s="29" t="n"/>
    </row>
    <row r="3">
      <c r="A3" s="27" t="n">
        <v>45597</v>
      </c>
      <c r="B3" s="28" t="inlineStr">
        <is>
          <t>Beer &amp; Wine</t>
        </is>
      </c>
      <c r="C3" s="28" t="inlineStr">
        <is>
          <t>Actual</t>
        </is>
      </c>
      <c r="D3" s="29" t="n">
        <v>10360.41</v>
      </c>
      <c r="E3" s="29" t="n">
        <v>3486.51</v>
      </c>
      <c r="F3" s="30" t="n">
        <v>539</v>
      </c>
      <c r="G3" s="29" t="n"/>
      <c r="H3" s="29" t="n"/>
    </row>
    <row r="4">
      <c r="A4" s="27" t="n">
        <v>45597</v>
      </c>
      <c r="B4" s="28" t="inlineStr">
        <is>
          <t>Beverages</t>
        </is>
      </c>
      <c r="C4" s="28" t="inlineStr">
        <is>
          <t>Actual</t>
        </is>
      </c>
      <c r="D4" s="29" t="n">
        <v>13983.33</v>
      </c>
      <c r="E4" s="29" t="n">
        <v>7084.88</v>
      </c>
      <c r="F4" s="30" t="n">
        <v>3483</v>
      </c>
      <c r="G4" s="29" t="n"/>
      <c r="H4" s="29" t="n"/>
    </row>
    <row r="5">
      <c r="A5" s="27" t="n">
        <v>45597</v>
      </c>
      <c r="B5" s="28" t="inlineStr">
        <is>
          <t>Dairy</t>
        </is>
      </c>
      <c r="C5" s="28" t="inlineStr">
        <is>
          <t>Actual</t>
        </is>
      </c>
      <c r="D5" s="29" t="n">
        <v>12950.12</v>
      </c>
      <c r="E5" s="29" t="n">
        <v>3637.42</v>
      </c>
      <c r="F5" s="30" t="n">
        <v>2216</v>
      </c>
      <c r="G5" s="29" t="n"/>
      <c r="H5" s="29" t="n"/>
    </row>
    <row r="6">
      <c r="A6" s="27" t="n">
        <v>45597</v>
      </c>
      <c r="B6" s="28" t="inlineStr">
        <is>
          <t>Food To Go</t>
        </is>
      </c>
      <c r="C6" s="28" t="inlineStr">
        <is>
          <t>Actual</t>
        </is>
      </c>
      <c r="D6" s="29" t="n">
        <v>14617.13</v>
      </c>
      <c r="E6" s="29" t="n">
        <v>6943.53</v>
      </c>
      <c r="F6" s="30" t="n">
        <v>1867</v>
      </c>
      <c r="G6" s="29" t="n"/>
      <c r="H6" s="29" t="n"/>
    </row>
    <row r="7">
      <c r="A7" s="27" t="n">
        <v>45597</v>
      </c>
      <c r="B7" s="28" t="inlineStr">
        <is>
          <t>Frozen</t>
        </is>
      </c>
      <c r="C7" s="28" t="inlineStr">
        <is>
          <t>Actual</t>
        </is>
      </c>
      <c r="D7" s="29" t="n">
        <v>5248.55</v>
      </c>
      <c r="E7" s="29" t="n">
        <v>2341.05</v>
      </c>
      <c r="F7" s="30" t="n">
        <v>845</v>
      </c>
      <c r="G7" s="29" t="n"/>
      <c r="H7" s="29" t="n"/>
    </row>
    <row r="8">
      <c r="A8" s="27" t="n">
        <v>45597</v>
      </c>
      <c r="B8" s="28" t="inlineStr">
        <is>
          <t>Grocery</t>
        </is>
      </c>
      <c r="C8" s="28" t="inlineStr">
        <is>
          <t>Actual</t>
        </is>
      </c>
      <c r="D8" s="29" t="n">
        <v>7957.65</v>
      </c>
      <c r="E8" s="29" t="n">
        <v>2733.85</v>
      </c>
      <c r="F8" s="30" t="n">
        <v>1285</v>
      </c>
      <c r="G8" s="29" t="n"/>
      <c r="H8" s="29" t="n"/>
    </row>
    <row r="9">
      <c r="A9" s="27" t="n">
        <v>45597</v>
      </c>
      <c r="B9" s="28" t="inlineStr">
        <is>
          <t>Health &amp; Beauty</t>
        </is>
      </c>
      <c r="C9" s="28" t="inlineStr">
        <is>
          <t>Actual</t>
        </is>
      </c>
      <c r="D9" s="29" t="n">
        <v>1319.41</v>
      </c>
      <c r="E9" s="29" t="n">
        <v>649.21</v>
      </c>
      <c r="F9" s="30" t="n">
        <v>159</v>
      </c>
      <c r="G9" s="29" t="n"/>
      <c r="H9" s="29" t="n"/>
    </row>
    <row r="10">
      <c r="A10" s="27" t="n">
        <v>45597</v>
      </c>
      <c r="B10" s="28" t="inlineStr">
        <is>
          <t>Household</t>
        </is>
      </c>
      <c r="C10" s="28" t="inlineStr">
        <is>
          <t>Actual</t>
        </is>
      </c>
      <c r="D10" s="29" t="n">
        <v>2038.57</v>
      </c>
      <c r="E10" s="29" t="n">
        <v>846.67</v>
      </c>
      <c r="F10" s="30" t="n">
        <v>243</v>
      </c>
      <c r="G10" s="29" t="n"/>
      <c r="H10" s="29" t="n"/>
    </row>
    <row r="11">
      <c r="A11" s="27" t="n">
        <v>45597</v>
      </c>
      <c r="B11" s="28" t="inlineStr">
        <is>
          <t>Produce</t>
        </is>
      </c>
      <c r="C11" s="28" t="inlineStr">
        <is>
          <t>Actual</t>
        </is>
      </c>
      <c r="D11" s="29" t="n">
        <v>2085.77</v>
      </c>
      <c r="E11" s="29" t="n">
        <v>898.27</v>
      </c>
      <c r="F11" s="30" t="n">
        <v>1379</v>
      </c>
      <c r="G11" s="29" t="n"/>
      <c r="H11" s="29" t="n"/>
    </row>
    <row r="12">
      <c r="A12" s="27" t="n">
        <v>45597</v>
      </c>
      <c r="B12" s="28" t="inlineStr">
        <is>
          <t>Snacks &amp; Confectionery</t>
        </is>
      </c>
      <c r="C12" s="28" t="inlineStr">
        <is>
          <t>Actual</t>
        </is>
      </c>
      <c r="D12" s="29" t="n">
        <v>8360.219999999999</v>
      </c>
      <c r="E12" s="29" t="n">
        <v>3655.02</v>
      </c>
      <c r="F12" s="30" t="n">
        <v>1940</v>
      </c>
      <c r="G12" s="29" t="n"/>
      <c r="H12" s="29" t="n"/>
    </row>
    <row r="13">
      <c r="A13" s="27" t="n">
        <v>45627</v>
      </c>
      <c r="B13" s="28" t="inlineStr">
        <is>
          <t>Bakery</t>
        </is>
      </c>
      <c r="C13" s="28" t="inlineStr">
        <is>
          <t>Actual</t>
        </is>
      </c>
      <c r="D13" s="29" t="n">
        <v>4908.52</v>
      </c>
      <c r="E13" s="29" t="n">
        <v>1909.72</v>
      </c>
      <c r="F13" s="30" t="n">
        <v>1178</v>
      </c>
      <c r="G13" s="29" t="n"/>
      <c r="H13" s="29" t="n"/>
    </row>
    <row r="14">
      <c r="A14" s="27" t="n">
        <v>45627</v>
      </c>
      <c r="B14" s="28" t="inlineStr">
        <is>
          <t>Beer &amp; Wine</t>
        </is>
      </c>
      <c r="C14" s="28" t="inlineStr">
        <is>
          <t>Actual</t>
        </is>
      </c>
      <c r="D14" s="29" t="n">
        <v>12386.56</v>
      </c>
      <c r="E14" s="29" t="n">
        <v>4244.76</v>
      </c>
      <c r="F14" s="30" t="n">
        <v>644</v>
      </c>
      <c r="G14" s="29" t="n"/>
      <c r="H14" s="29" t="n"/>
    </row>
    <row r="15">
      <c r="A15" s="27" t="n">
        <v>45627</v>
      </c>
      <c r="B15" s="28" t="inlineStr">
        <is>
          <t>Beverages</t>
        </is>
      </c>
      <c r="C15" s="28" t="inlineStr">
        <is>
          <t>Actual</t>
        </is>
      </c>
      <c r="D15" s="29" t="n">
        <v>16002.2</v>
      </c>
      <c r="E15" s="29" t="n">
        <v>8188.05</v>
      </c>
      <c r="F15" s="30" t="n">
        <v>3916</v>
      </c>
      <c r="G15" s="29" t="n"/>
      <c r="H15" s="29" t="n"/>
    </row>
    <row r="16">
      <c r="A16" s="27" t="n">
        <v>45627</v>
      </c>
      <c r="B16" s="28" t="inlineStr">
        <is>
          <t>Dairy</t>
        </is>
      </c>
      <c r="C16" s="28" t="inlineStr">
        <is>
          <t>Actual</t>
        </is>
      </c>
      <c r="D16" s="29" t="n">
        <v>14457.05</v>
      </c>
      <c r="E16" s="29" t="n">
        <v>3982.35</v>
      </c>
      <c r="F16" s="30" t="n">
        <v>2445</v>
      </c>
      <c r="G16" s="29" t="n"/>
      <c r="H16" s="29" t="n"/>
    </row>
    <row r="17">
      <c r="A17" s="27" t="n">
        <v>45627</v>
      </c>
      <c r="B17" s="28" t="inlineStr">
        <is>
          <t>Food To Go</t>
        </is>
      </c>
      <c r="C17" s="28" t="inlineStr">
        <is>
          <t>Actual</t>
        </is>
      </c>
      <c r="D17" s="29" t="n">
        <v>16863</v>
      </c>
      <c r="E17" s="29" t="n">
        <v>7984.4</v>
      </c>
      <c r="F17" s="30" t="n">
        <v>2100</v>
      </c>
      <c r="G17" s="29" t="n"/>
      <c r="H17" s="29" t="n"/>
    </row>
    <row r="18">
      <c r="A18" s="27" t="n">
        <v>45627</v>
      </c>
      <c r="B18" s="28" t="inlineStr">
        <is>
          <t>Frozen</t>
        </is>
      </c>
      <c r="C18" s="28" t="inlineStr">
        <is>
          <t>Actual</t>
        </is>
      </c>
      <c r="D18" s="29" t="n">
        <v>6497.01</v>
      </c>
      <c r="E18" s="29" t="n">
        <v>2886.81</v>
      </c>
      <c r="F18" s="30" t="n">
        <v>999</v>
      </c>
      <c r="G18" s="29" t="n"/>
      <c r="H18" s="29" t="n"/>
    </row>
    <row r="19">
      <c r="A19" s="27" t="n">
        <v>45627</v>
      </c>
      <c r="B19" s="28" t="inlineStr">
        <is>
          <t>Grocery</t>
        </is>
      </c>
      <c r="C19" s="28" t="inlineStr">
        <is>
          <t>Actual</t>
        </is>
      </c>
      <c r="D19" s="29" t="n">
        <v>8083.33</v>
      </c>
      <c r="E19" s="29" t="n">
        <v>2801.43</v>
      </c>
      <c r="F19" s="30" t="n">
        <v>1347</v>
      </c>
      <c r="G19" s="29" t="n"/>
      <c r="H19" s="29" t="n"/>
    </row>
    <row r="20">
      <c r="A20" s="27" t="n">
        <v>45627</v>
      </c>
      <c r="B20" s="28" t="inlineStr">
        <is>
          <t>Health &amp; Beauty</t>
        </is>
      </c>
      <c r="C20" s="28" t="inlineStr">
        <is>
          <t>Actual</t>
        </is>
      </c>
      <c r="D20" s="29" t="n">
        <v>1663.21</v>
      </c>
      <c r="E20" s="29" t="n">
        <v>769.61</v>
      </c>
      <c r="F20" s="30" t="n">
        <v>179</v>
      </c>
      <c r="G20" s="29" t="n"/>
      <c r="H20" s="29" t="n"/>
    </row>
    <row r="21">
      <c r="A21" s="27" t="n">
        <v>45627</v>
      </c>
      <c r="B21" s="28" t="inlineStr">
        <is>
          <t>Household</t>
        </is>
      </c>
      <c r="C21" s="28" t="inlineStr">
        <is>
          <t>Actual</t>
        </is>
      </c>
      <c r="D21" s="29" t="n">
        <v>2548.92</v>
      </c>
      <c r="E21" s="29" t="n">
        <v>1073.12</v>
      </c>
      <c r="F21" s="30" t="n">
        <v>308</v>
      </c>
      <c r="G21" s="29" t="n"/>
      <c r="H21" s="29" t="n"/>
    </row>
    <row r="22">
      <c r="A22" s="27" t="n">
        <v>45627</v>
      </c>
      <c r="B22" s="28" t="inlineStr">
        <is>
          <t>Produce</t>
        </is>
      </c>
      <c r="C22" s="28" t="inlineStr">
        <is>
          <t>Actual</t>
        </is>
      </c>
      <c r="D22" s="29" t="n">
        <v>2335.45</v>
      </c>
      <c r="E22" s="29" t="n">
        <v>1010.73</v>
      </c>
      <c r="F22" s="30" t="n">
        <v>1475</v>
      </c>
      <c r="G22" s="29" t="n"/>
      <c r="H22" s="29" t="n"/>
    </row>
    <row r="23">
      <c r="A23" s="27" t="n">
        <v>45627</v>
      </c>
      <c r="B23" s="28" t="inlineStr">
        <is>
          <t>Snacks &amp; Confectionery</t>
        </is>
      </c>
      <c r="C23" s="28" t="inlineStr">
        <is>
          <t>Actual</t>
        </is>
      </c>
      <c r="D23" s="29" t="n">
        <v>9010.629999999999</v>
      </c>
      <c r="E23" s="29" t="n">
        <v>3996.33</v>
      </c>
      <c r="F23" s="30" t="n">
        <v>2057</v>
      </c>
      <c r="G23" s="29" t="n"/>
      <c r="H23" s="29" t="n"/>
    </row>
    <row r="24">
      <c r="A24" s="27" t="n">
        <v>45658</v>
      </c>
      <c r="B24" s="28" t="inlineStr">
        <is>
          <t>Bakery</t>
        </is>
      </c>
      <c r="C24" s="28" t="inlineStr">
        <is>
          <t>Actual</t>
        </is>
      </c>
      <c r="D24" s="29" t="n">
        <v>4208.96</v>
      </c>
      <c r="E24" s="29" t="n">
        <v>1579.56</v>
      </c>
      <c r="F24" s="30" t="n">
        <v>1044</v>
      </c>
      <c r="G24" s="29" t="n"/>
      <c r="H24" s="29" t="n"/>
    </row>
    <row r="25">
      <c r="A25" s="27" t="n">
        <v>45658</v>
      </c>
      <c r="B25" s="28" t="inlineStr">
        <is>
          <t>Beer &amp; Wine</t>
        </is>
      </c>
      <c r="C25" s="28" t="inlineStr">
        <is>
          <t>Actual</t>
        </is>
      </c>
      <c r="D25" s="29" t="n">
        <v>11358.61</v>
      </c>
      <c r="E25" s="29" t="n">
        <v>3842.21</v>
      </c>
      <c r="F25" s="30" t="n">
        <v>579</v>
      </c>
      <c r="G25" s="29" t="n"/>
      <c r="H25" s="29" t="n"/>
    </row>
    <row r="26">
      <c r="A26" s="27" t="n">
        <v>45658</v>
      </c>
      <c r="B26" s="28" t="inlineStr">
        <is>
          <t>Beverages</t>
        </is>
      </c>
      <c r="C26" s="28" t="inlineStr">
        <is>
          <t>Actual</t>
        </is>
      </c>
      <c r="D26" s="29" t="n">
        <v>14012.39</v>
      </c>
      <c r="E26" s="29" t="n">
        <v>7063.94</v>
      </c>
      <c r="F26" s="30" t="n">
        <v>3453</v>
      </c>
      <c r="G26" s="29" t="n"/>
      <c r="H26" s="29" t="n"/>
    </row>
    <row r="27">
      <c r="A27" s="27" t="n">
        <v>45658</v>
      </c>
      <c r="B27" s="28" t="inlineStr">
        <is>
          <t>Dairy</t>
        </is>
      </c>
      <c r="C27" s="28" t="inlineStr">
        <is>
          <t>Actual</t>
        </is>
      </c>
      <c r="D27" s="29" t="n">
        <v>12421.77</v>
      </c>
      <c r="E27" s="29" t="n">
        <v>3539.52</v>
      </c>
      <c r="F27" s="30" t="n">
        <v>2173</v>
      </c>
      <c r="G27" s="29" t="n"/>
      <c r="H27" s="29" t="n"/>
    </row>
    <row r="28">
      <c r="A28" s="27" t="n">
        <v>45658</v>
      </c>
      <c r="B28" s="28" t="inlineStr">
        <is>
          <t>Food To Go</t>
        </is>
      </c>
      <c r="C28" s="28" t="inlineStr">
        <is>
          <t>Actual</t>
        </is>
      </c>
      <c r="D28" s="29" t="n">
        <v>14535.26</v>
      </c>
      <c r="E28" s="29" t="n">
        <v>6725.16</v>
      </c>
      <c r="F28" s="30" t="n">
        <v>1834</v>
      </c>
      <c r="G28" s="29" t="n"/>
      <c r="H28" s="29" t="n"/>
    </row>
    <row r="29">
      <c r="A29" s="27" t="n">
        <v>45658</v>
      </c>
      <c r="B29" s="28" t="inlineStr">
        <is>
          <t>Frozen</t>
        </is>
      </c>
      <c r="C29" s="28" t="inlineStr">
        <is>
          <t>Actual</t>
        </is>
      </c>
      <c r="D29" s="29" t="n">
        <v>5031.45</v>
      </c>
      <c r="E29" s="29" t="n">
        <v>2244.15</v>
      </c>
      <c r="F29" s="30" t="n">
        <v>815</v>
      </c>
      <c r="G29" s="29" t="n"/>
      <c r="H29" s="29" t="n"/>
    </row>
    <row r="30">
      <c r="A30" s="27" t="n">
        <v>45658</v>
      </c>
      <c r="B30" s="28" t="inlineStr">
        <is>
          <t>Grocery</t>
        </is>
      </c>
      <c r="C30" s="28" t="inlineStr">
        <is>
          <t>Actual</t>
        </is>
      </c>
      <c r="D30" s="29" t="n">
        <v>6643.86</v>
      </c>
      <c r="E30" s="29" t="n">
        <v>2279.86</v>
      </c>
      <c r="F30" s="30" t="n">
        <v>1044</v>
      </c>
      <c r="G30" s="29" t="n"/>
      <c r="H30" s="29" t="n"/>
    </row>
    <row r="31">
      <c r="A31" s="27" t="n">
        <v>45658</v>
      </c>
      <c r="B31" s="28" t="inlineStr">
        <is>
          <t>Health &amp; Beauty</t>
        </is>
      </c>
      <c r="C31" s="28" t="inlineStr">
        <is>
          <t>Actual</t>
        </is>
      </c>
      <c r="D31" s="29" t="n">
        <v>1208.57</v>
      </c>
      <c r="E31" s="29" t="n">
        <v>596.97</v>
      </c>
      <c r="F31" s="30" t="n">
        <v>143</v>
      </c>
      <c r="G31" s="29" t="n"/>
      <c r="H31" s="29" t="n"/>
    </row>
    <row r="32">
      <c r="A32" s="27" t="n">
        <v>45658</v>
      </c>
      <c r="B32" s="28" t="inlineStr">
        <is>
          <t>Household</t>
        </is>
      </c>
      <c r="C32" s="28" t="inlineStr">
        <is>
          <t>Actual</t>
        </is>
      </c>
      <c r="D32" s="29" t="n">
        <v>2051.3</v>
      </c>
      <c r="E32" s="29" t="n">
        <v>839.9</v>
      </c>
      <c r="F32" s="30" t="n">
        <v>250</v>
      </c>
      <c r="G32" s="29" t="n"/>
      <c r="H32" s="29" t="n"/>
    </row>
    <row r="33">
      <c r="A33" s="27" t="n">
        <v>45658</v>
      </c>
      <c r="B33" s="28" t="inlineStr">
        <is>
          <t>Produce</t>
        </is>
      </c>
      <c r="C33" s="28" t="inlineStr">
        <is>
          <t>Actual</t>
        </is>
      </c>
      <c r="D33" s="29" t="n">
        <v>2039.84</v>
      </c>
      <c r="E33" s="29" t="n">
        <v>887.12</v>
      </c>
      <c r="F33" s="30" t="n">
        <v>1296</v>
      </c>
      <c r="G33" s="29" t="n"/>
      <c r="H33" s="29" t="n"/>
    </row>
    <row r="34">
      <c r="A34" s="27" t="n">
        <v>45658</v>
      </c>
      <c r="B34" s="28" t="inlineStr">
        <is>
          <t>Snacks &amp; Confectionery</t>
        </is>
      </c>
      <c r="C34" s="28" t="inlineStr">
        <is>
          <t>Actual</t>
        </is>
      </c>
      <c r="D34" s="29" t="n">
        <v>7226.13</v>
      </c>
      <c r="E34" s="29" t="n">
        <v>3242.73</v>
      </c>
      <c r="F34" s="30" t="n">
        <v>1637</v>
      </c>
      <c r="G34" s="29" t="n"/>
      <c r="H34" s="29" t="n"/>
    </row>
    <row r="35">
      <c r="A35" s="27" t="n">
        <v>45689</v>
      </c>
      <c r="B35" s="28" t="inlineStr">
        <is>
          <t>Bakery</t>
        </is>
      </c>
      <c r="C35" s="28" t="inlineStr">
        <is>
          <t>Actual</t>
        </is>
      </c>
      <c r="D35" s="29" t="n">
        <v>4155.27</v>
      </c>
      <c r="E35" s="29" t="n">
        <v>1576.27</v>
      </c>
      <c r="F35" s="30" t="n">
        <v>1019</v>
      </c>
      <c r="G35" s="29" t="n"/>
      <c r="H35" s="29" t="n"/>
    </row>
    <row r="36">
      <c r="A36" s="27" t="n">
        <v>45689</v>
      </c>
      <c r="B36" s="28" t="inlineStr">
        <is>
          <t>Beer &amp; Wine</t>
        </is>
      </c>
      <c r="C36" s="28" t="inlineStr">
        <is>
          <t>Actual</t>
        </is>
      </c>
      <c r="D36" s="29" t="n">
        <v>10493.58</v>
      </c>
      <c r="E36" s="29" t="n">
        <v>3614.18</v>
      </c>
      <c r="F36" s="30" t="n">
        <v>542</v>
      </c>
      <c r="G36" s="29" t="n"/>
      <c r="H36" s="29" t="n"/>
    </row>
    <row r="37">
      <c r="A37" s="27" t="n">
        <v>45689</v>
      </c>
      <c r="B37" s="28" t="inlineStr">
        <is>
          <t>Beverages</t>
        </is>
      </c>
      <c r="C37" s="28" t="inlineStr">
        <is>
          <t>Actual</t>
        </is>
      </c>
      <c r="D37" s="29" t="n">
        <v>13758.5</v>
      </c>
      <c r="E37" s="29" t="n">
        <v>7017.8</v>
      </c>
      <c r="F37" s="30" t="n">
        <v>3390</v>
      </c>
      <c r="G37" s="29" t="n"/>
      <c r="H37" s="29" t="n"/>
    </row>
    <row r="38">
      <c r="A38" s="27" t="n">
        <v>45689</v>
      </c>
      <c r="B38" s="28" t="inlineStr">
        <is>
          <t>Dairy</t>
        </is>
      </c>
      <c r="C38" s="28" t="inlineStr">
        <is>
          <t>Actual</t>
        </is>
      </c>
      <c r="D38" s="29" t="n">
        <v>12986.12</v>
      </c>
      <c r="E38" s="29" t="n">
        <v>3539.27</v>
      </c>
      <c r="F38" s="30" t="n">
        <v>2230</v>
      </c>
      <c r="G38" s="29" t="n"/>
      <c r="H38" s="29" t="n"/>
    </row>
    <row r="39">
      <c r="A39" s="27" t="n">
        <v>45689</v>
      </c>
      <c r="B39" s="28" t="inlineStr">
        <is>
          <t>Food To Go</t>
        </is>
      </c>
      <c r="C39" s="28" t="inlineStr">
        <is>
          <t>Actual</t>
        </is>
      </c>
      <c r="D39" s="29" t="n">
        <v>14424.53</v>
      </c>
      <c r="E39" s="29" t="n">
        <v>6736.33</v>
      </c>
      <c r="F39" s="30" t="n">
        <v>1827</v>
      </c>
      <c r="G39" s="29" t="n"/>
      <c r="H39" s="29" t="n"/>
    </row>
    <row r="40">
      <c r="A40" s="27" t="n">
        <v>45689</v>
      </c>
      <c r="B40" s="28" t="inlineStr">
        <is>
          <t>Frozen</t>
        </is>
      </c>
      <c r="C40" s="28" t="inlineStr">
        <is>
          <t>Actual</t>
        </is>
      </c>
      <c r="D40" s="29" t="n">
        <v>5253.45</v>
      </c>
      <c r="E40" s="29" t="n">
        <v>2341.55</v>
      </c>
      <c r="F40" s="30" t="n">
        <v>855</v>
      </c>
      <c r="G40" s="29" t="n"/>
      <c r="H40" s="29" t="n"/>
    </row>
    <row r="41">
      <c r="A41" s="27" t="n">
        <v>45689</v>
      </c>
      <c r="B41" s="28" t="inlineStr">
        <is>
          <t>Grocery</t>
        </is>
      </c>
      <c r="C41" s="28" t="inlineStr">
        <is>
          <t>Actual</t>
        </is>
      </c>
      <c r="D41" s="29" t="n">
        <v>6955.59</v>
      </c>
      <c r="E41" s="29" t="n">
        <v>2378.59</v>
      </c>
      <c r="F41" s="30" t="n">
        <v>1091</v>
      </c>
      <c r="G41" s="29" t="n"/>
      <c r="H41" s="29" t="n"/>
    </row>
    <row r="42">
      <c r="A42" s="27" t="n">
        <v>45689</v>
      </c>
      <c r="B42" s="28" t="inlineStr">
        <is>
          <t>Health &amp; Beauty</t>
        </is>
      </c>
      <c r="C42" s="28" t="inlineStr">
        <is>
          <t>Actual</t>
        </is>
      </c>
      <c r="D42" s="29" t="n">
        <v>1518.19</v>
      </c>
      <c r="E42" s="29" t="n">
        <v>725.99</v>
      </c>
      <c r="F42" s="30" t="n">
        <v>161</v>
      </c>
      <c r="G42" s="29" t="n"/>
      <c r="H42" s="29" t="n"/>
    </row>
    <row r="43">
      <c r="A43" s="27" t="n">
        <v>45689</v>
      </c>
      <c r="B43" s="28" t="inlineStr">
        <is>
          <t>Household</t>
        </is>
      </c>
      <c r="C43" s="28" t="inlineStr">
        <is>
          <t>Actual</t>
        </is>
      </c>
      <c r="D43" s="29" t="n">
        <v>2270.18</v>
      </c>
      <c r="E43" s="29" t="n">
        <v>914.1799999999999</v>
      </c>
      <c r="F43" s="30" t="n">
        <v>282</v>
      </c>
      <c r="G43" s="29" t="n"/>
      <c r="H43" s="29" t="n"/>
    </row>
    <row r="44">
      <c r="A44" s="27" t="n">
        <v>45689</v>
      </c>
      <c r="B44" s="28" t="inlineStr">
        <is>
          <t>Produce</t>
        </is>
      </c>
      <c r="C44" s="28" t="inlineStr">
        <is>
          <t>Actual</t>
        </is>
      </c>
      <c r="D44" s="29" t="n">
        <v>2096.25</v>
      </c>
      <c r="E44" s="29" t="n">
        <v>911.13</v>
      </c>
      <c r="F44" s="30" t="n">
        <v>1305</v>
      </c>
      <c r="G44" s="29" t="n"/>
      <c r="H44" s="29" t="n"/>
    </row>
    <row r="45">
      <c r="A45" s="27" t="n">
        <v>45689</v>
      </c>
      <c r="B45" s="28" t="inlineStr">
        <is>
          <t>Snacks &amp; Confectionery</t>
        </is>
      </c>
      <c r="C45" s="28" t="inlineStr">
        <is>
          <t>Actual</t>
        </is>
      </c>
      <c r="D45" s="29" t="n">
        <v>7394.89</v>
      </c>
      <c r="E45" s="29" t="n">
        <v>3290.59</v>
      </c>
      <c r="F45" s="30" t="n">
        <v>1691</v>
      </c>
      <c r="G45" s="29" t="n"/>
      <c r="H45" s="29" t="n"/>
    </row>
    <row r="46">
      <c r="A46" s="27" t="n">
        <v>45717</v>
      </c>
      <c r="B46" s="28" t="inlineStr">
        <is>
          <t>Bakery</t>
        </is>
      </c>
      <c r="C46" s="28" t="inlineStr">
        <is>
          <t>Actual</t>
        </is>
      </c>
      <c r="D46" s="29" t="n">
        <v>4599.9</v>
      </c>
      <c r="E46" s="29" t="n">
        <v>1787.4</v>
      </c>
      <c r="F46" s="30" t="n">
        <v>1110</v>
      </c>
      <c r="G46" s="29" t="n"/>
      <c r="H46" s="29" t="n"/>
    </row>
    <row r="47">
      <c r="A47" s="27" t="n">
        <v>45717</v>
      </c>
      <c r="B47" s="28" t="inlineStr">
        <is>
          <t>Beer &amp; Wine</t>
        </is>
      </c>
      <c r="C47" s="28" t="inlineStr">
        <is>
          <t>Actual</t>
        </is>
      </c>
      <c r="D47" s="29" t="n">
        <v>9424.08</v>
      </c>
      <c r="E47" s="29" t="n">
        <v>3205.78</v>
      </c>
      <c r="F47" s="30" t="n">
        <v>492</v>
      </c>
      <c r="G47" s="29" t="n"/>
      <c r="H47" s="29" t="n"/>
    </row>
    <row r="48">
      <c r="A48" s="27" t="n">
        <v>45717</v>
      </c>
      <c r="B48" s="28" t="inlineStr">
        <is>
          <t>Beverages</t>
        </is>
      </c>
      <c r="C48" s="28" t="inlineStr">
        <is>
          <t>Actual</t>
        </is>
      </c>
      <c r="D48" s="29" t="n">
        <v>14475.82</v>
      </c>
      <c r="E48" s="29" t="n">
        <v>7391.27</v>
      </c>
      <c r="F48" s="30" t="n">
        <v>3588</v>
      </c>
      <c r="G48" s="29" t="n"/>
      <c r="H48" s="29" t="n"/>
    </row>
    <row r="49">
      <c r="A49" s="27" t="n">
        <v>45717</v>
      </c>
      <c r="B49" s="28" t="inlineStr">
        <is>
          <t>Dairy</t>
        </is>
      </c>
      <c r="C49" s="28" t="inlineStr">
        <is>
          <t>Actual</t>
        </is>
      </c>
      <c r="D49" s="29" t="n">
        <v>13571.89</v>
      </c>
      <c r="E49" s="29" t="n">
        <v>3789.94</v>
      </c>
      <c r="F49" s="30" t="n">
        <v>2359</v>
      </c>
      <c r="G49" s="29" t="n"/>
      <c r="H49" s="29" t="n"/>
    </row>
    <row r="50">
      <c r="A50" s="27" t="n">
        <v>45717</v>
      </c>
      <c r="B50" s="28" t="inlineStr">
        <is>
          <t>Food To Go</t>
        </is>
      </c>
      <c r="C50" s="28" t="inlineStr">
        <is>
          <t>Actual</t>
        </is>
      </c>
      <c r="D50" s="29" t="n">
        <v>15959.16</v>
      </c>
      <c r="E50" s="29" t="n">
        <v>7574.16</v>
      </c>
      <c r="F50" s="30" t="n">
        <v>2034</v>
      </c>
      <c r="G50" s="29" t="n"/>
      <c r="H50" s="29" t="n"/>
    </row>
    <row r="51">
      <c r="A51" s="27" t="n">
        <v>45717</v>
      </c>
      <c r="B51" s="28" t="inlineStr">
        <is>
          <t>Frozen</t>
        </is>
      </c>
      <c r="C51" s="28" t="inlineStr">
        <is>
          <t>Actual</t>
        </is>
      </c>
      <c r="D51" s="29" t="n">
        <v>5477.57</v>
      </c>
      <c r="E51" s="29" t="n">
        <v>2433.27</v>
      </c>
      <c r="F51" s="30" t="n">
        <v>843</v>
      </c>
      <c r="G51" s="29" t="n"/>
      <c r="H51" s="29" t="n"/>
    </row>
    <row r="52">
      <c r="A52" s="27" t="n">
        <v>45717</v>
      </c>
      <c r="B52" s="28" t="inlineStr">
        <is>
          <t>Grocery</t>
        </is>
      </c>
      <c r="C52" s="28" t="inlineStr">
        <is>
          <t>Actual</t>
        </is>
      </c>
      <c r="D52" s="29" t="n">
        <v>8066.77</v>
      </c>
      <c r="E52" s="29" t="n">
        <v>2789.77</v>
      </c>
      <c r="F52" s="30" t="n">
        <v>1299</v>
      </c>
      <c r="G52" s="29" t="n"/>
      <c r="H52" s="29" t="n"/>
    </row>
    <row r="53">
      <c r="A53" s="27" t="n">
        <v>45717</v>
      </c>
      <c r="B53" s="28" t="inlineStr">
        <is>
          <t>Health &amp; Beauty</t>
        </is>
      </c>
      <c r="C53" s="28" t="inlineStr">
        <is>
          <t>Actual</t>
        </is>
      </c>
      <c r="D53" s="29" t="n">
        <v>1644.69</v>
      </c>
      <c r="E53" s="29" t="n">
        <v>818.6900000000001</v>
      </c>
      <c r="F53" s="30" t="n">
        <v>211</v>
      </c>
      <c r="G53" s="29" t="n"/>
      <c r="H53" s="29" t="n"/>
    </row>
    <row r="54">
      <c r="A54" s="27" t="n">
        <v>45717</v>
      </c>
      <c r="B54" s="28" t="inlineStr">
        <is>
          <t>Household</t>
        </is>
      </c>
      <c r="C54" s="28" t="inlineStr">
        <is>
          <t>Actual</t>
        </is>
      </c>
      <c r="D54" s="29" t="n">
        <v>2250.23</v>
      </c>
      <c r="E54" s="29" t="n">
        <v>903.73</v>
      </c>
      <c r="F54" s="30" t="n">
        <v>277</v>
      </c>
      <c r="G54" s="29" t="n"/>
      <c r="H54" s="29" t="n"/>
    </row>
    <row r="55">
      <c r="A55" s="27" t="n">
        <v>45717</v>
      </c>
      <c r="B55" s="28" t="inlineStr">
        <is>
          <t>Produce</t>
        </is>
      </c>
      <c r="C55" s="28" t="inlineStr">
        <is>
          <t>Actual</t>
        </is>
      </c>
      <c r="D55" s="29" t="n">
        <v>2138.58</v>
      </c>
      <c r="E55" s="29" t="n">
        <v>920.12</v>
      </c>
      <c r="F55" s="30" t="n">
        <v>1382</v>
      </c>
      <c r="G55" s="29" t="n"/>
      <c r="H55" s="29" t="n"/>
    </row>
    <row r="56">
      <c r="A56" s="27" t="n">
        <v>45717</v>
      </c>
      <c r="B56" s="28" t="inlineStr">
        <is>
          <t>Snacks &amp; Confectionery</t>
        </is>
      </c>
      <c r="C56" s="28" t="inlineStr">
        <is>
          <t>Actual</t>
        </is>
      </c>
      <c r="D56" s="29" t="n">
        <v>8420.17</v>
      </c>
      <c r="E56" s="29" t="n">
        <v>3785.07</v>
      </c>
      <c r="F56" s="30" t="n">
        <v>1913</v>
      </c>
      <c r="G56" s="29" t="n"/>
      <c r="H56" s="29" t="n"/>
    </row>
    <row r="57">
      <c r="A57" s="27" t="n">
        <v>45748</v>
      </c>
      <c r="B57" s="28" t="inlineStr">
        <is>
          <t>Bakery</t>
        </is>
      </c>
      <c r="C57" s="28" t="inlineStr">
        <is>
          <t>Actual</t>
        </is>
      </c>
      <c r="D57" s="29" t="n">
        <v>4475.71</v>
      </c>
      <c r="E57" s="29" t="n">
        <v>1733.81</v>
      </c>
      <c r="F57" s="30" t="n">
        <v>1079</v>
      </c>
      <c r="G57" s="29" t="n"/>
      <c r="H57" s="29" t="n"/>
    </row>
    <row r="58">
      <c r="A58" s="27" t="n">
        <v>45748</v>
      </c>
      <c r="B58" s="28" t="inlineStr">
        <is>
          <t>Beer &amp; Wine</t>
        </is>
      </c>
      <c r="C58" s="28" t="inlineStr">
        <is>
          <t>Actual</t>
        </is>
      </c>
      <c r="D58" s="29" t="n">
        <v>9292.33</v>
      </c>
      <c r="E58" s="29" t="n">
        <v>3182.03</v>
      </c>
      <c r="F58" s="30" t="n">
        <v>487</v>
      </c>
      <c r="G58" s="29" t="n"/>
      <c r="H58" s="29" t="n"/>
    </row>
    <row r="59">
      <c r="A59" s="27" t="n">
        <v>45748</v>
      </c>
      <c r="B59" s="28" t="inlineStr">
        <is>
          <t>Beverages</t>
        </is>
      </c>
      <c r="C59" s="28" t="inlineStr">
        <is>
          <t>Actual</t>
        </is>
      </c>
      <c r="D59" s="29" t="n">
        <v>11393.73</v>
      </c>
      <c r="E59" s="29" t="n">
        <v>5817.58</v>
      </c>
      <c r="F59" s="30" t="n">
        <v>2747</v>
      </c>
      <c r="G59" s="29" t="n"/>
      <c r="H59" s="29" t="n"/>
    </row>
    <row r="60">
      <c r="A60" s="27" t="n">
        <v>45748</v>
      </c>
      <c r="B60" s="28" t="inlineStr">
        <is>
          <t>Dairy</t>
        </is>
      </c>
      <c r="C60" s="28" t="inlineStr">
        <is>
          <t>Actual</t>
        </is>
      </c>
      <c r="D60" s="29" t="n">
        <v>13071.43</v>
      </c>
      <c r="E60" s="29" t="n">
        <v>3572.23</v>
      </c>
      <c r="F60" s="30" t="n">
        <v>2291</v>
      </c>
      <c r="G60" s="29" t="n"/>
      <c r="H60" s="29" t="n"/>
    </row>
    <row r="61">
      <c r="A61" s="27" t="n">
        <v>45748</v>
      </c>
      <c r="B61" s="28" t="inlineStr">
        <is>
          <t>Food To Go</t>
        </is>
      </c>
      <c r="C61" s="28" t="inlineStr">
        <is>
          <t>Actual</t>
        </is>
      </c>
      <c r="D61" s="29" t="n">
        <v>14623.37</v>
      </c>
      <c r="E61" s="29" t="n">
        <v>6985.07</v>
      </c>
      <c r="F61" s="30" t="n">
        <v>1923</v>
      </c>
      <c r="G61" s="29" t="n"/>
      <c r="H61" s="29" t="n"/>
    </row>
    <row r="62">
      <c r="A62" s="27" t="n">
        <v>45748</v>
      </c>
      <c r="B62" s="28" t="inlineStr">
        <is>
          <t>Frozen</t>
        </is>
      </c>
      <c r="C62" s="28" t="inlineStr">
        <is>
          <t>Actual</t>
        </is>
      </c>
      <c r="D62" s="29" t="n">
        <v>5652.04</v>
      </c>
      <c r="E62" s="29" t="n">
        <v>2460.44</v>
      </c>
      <c r="F62" s="30" t="n">
        <v>796</v>
      </c>
      <c r="G62" s="29" t="n"/>
      <c r="H62" s="29" t="n"/>
    </row>
    <row r="63">
      <c r="A63" s="27" t="n">
        <v>45748</v>
      </c>
      <c r="B63" s="28" t="inlineStr">
        <is>
          <t>Grocery</t>
        </is>
      </c>
      <c r="C63" s="28" t="inlineStr">
        <is>
          <t>Actual</t>
        </is>
      </c>
      <c r="D63" s="29" t="n">
        <v>7377.57</v>
      </c>
      <c r="E63" s="29" t="n">
        <v>2584.17</v>
      </c>
      <c r="F63" s="30" t="n">
        <v>1233</v>
      </c>
      <c r="G63" s="29" t="n"/>
      <c r="H63" s="29" t="n"/>
    </row>
    <row r="64">
      <c r="A64" s="27" t="n">
        <v>45748</v>
      </c>
      <c r="B64" s="28" t="inlineStr">
        <is>
          <t>Health &amp; Beauty</t>
        </is>
      </c>
      <c r="C64" s="28" t="inlineStr">
        <is>
          <t>Actual</t>
        </is>
      </c>
      <c r="D64" s="29" t="n">
        <v>1551.07</v>
      </c>
      <c r="E64" s="29" t="n">
        <v>773.67</v>
      </c>
      <c r="F64" s="30" t="n">
        <v>193</v>
      </c>
      <c r="G64" s="29" t="n"/>
      <c r="H64" s="29" t="n"/>
    </row>
    <row r="65">
      <c r="A65" s="27" t="n">
        <v>45748</v>
      </c>
      <c r="B65" s="28" t="inlineStr">
        <is>
          <t>Household</t>
        </is>
      </c>
      <c r="C65" s="28" t="inlineStr">
        <is>
          <t>Actual</t>
        </is>
      </c>
      <c r="D65" s="29" t="n">
        <v>2145.4</v>
      </c>
      <c r="E65" s="29" t="n">
        <v>902.4</v>
      </c>
      <c r="F65" s="30" t="n">
        <v>260</v>
      </c>
      <c r="G65" s="29" t="n"/>
      <c r="H65" s="29" t="n"/>
    </row>
    <row r="66">
      <c r="A66" s="27" t="n">
        <v>45748</v>
      </c>
      <c r="B66" s="28" t="inlineStr">
        <is>
          <t>Produce</t>
        </is>
      </c>
      <c r="C66" s="28" t="inlineStr">
        <is>
          <t>Actual</t>
        </is>
      </c>
      <c r="D66" s="29" t="n">
        <v>1831.33</v>
      </c>
      <c r="E66" s="29" t="n">
        <v>791.47</v>
      </c>
      <c r="F66" s="30" t="n">
        <v>1257</v>
      </c>
      <c r="G66" s="29" t="n"/>
      <c r="H66" s="29" t="n"/>
    </row>
    <row r="67">
      <c r="A67" s="27" t="n">
        <v>45748</v>
      </c>
      <c r="B67" s="28" t="inlineStr">
        <is>
          <t>Snacks &amp; Confectionery</t>
        </is>
      </c>
      <c r="C67" s="28" t="inlineStr">
        <is>
          <t>Actual</t>
        </is>
      </c>
      <c r="D67" s="29" t="n">
        <v>7793.32</v>
      </c>
      <c r="E67" s="29" t="n">
        <v>3486.02</v>
      </c>
      <c r="F67" s="30" t="n">
        <v>1778</v>
      </c>
      <c r="G67" s="29" t="n"/>
      <c r="H67" s="29" t="n"/>
    </row>
    <row r="68">
      <c r="A68" s="27" t="n">
        <v>45778</v>
      </c>
      <c r="B68" s="28" t="inlineStr">
        <is>
          <t>Bakery</t>
        </is>
      </c>
      <c r="C68" s="28" t="inlineStr">
        <is>
          <t>Actual</t>
        </is>
      </c>
      <c r="D68" s="29" t="n">
        <v>4671.65</v>
      </c>
      <c r="E68" s="29" t="n">
        <v>1806.45</v>
      </c>
      <c r="F68" s="30" t="n">
        <v>1135</v>
      </c>
      <c r="G68" s="29" t="n"/>
      <c r="H68" s="29" t="n"/>
    </row>
    <row r="69">
      <c r="A69" s="27" t="n">
        <v>45778</v>
      </c>
      <c r="B69" s="28" t="inlineStr">
        <is>
          <t>Beer &amp; Wine</t>
        </is>
      </c>
      <c r="C69" s="28" t="inlineStr">
        <is>
          <t>Actual</t>
        </is>
      </c>
      <c r="D69" s="29" t="n">
        <v>9463.860000000001</v>
      </c>
      <c r="E69" s="29" t="n">
        <v>3173.46</v>
      </c>
      <c r="F69" s="30" t="n">
        <v>494</v>
      </c>
      <c r="G69" s="29" t="n"/>
      <c r="H69" s="29" t="n"/>
    </row>
    <row r="70">
      <c r="A70" s="27" t="n">
        <v>45778</v>
      </c>
      <c r="B70" s="28" t="inlineStr">
        <is>
          <t>Beverages</t>
        </is>
      </c>
      <c r="C70" s="28" t="inlineStr">
        <is>
          <t>Actual</t>
        </is>
      </c>
      <c r="D70" s="29" t="n">
        <v>11043.81</v>
      </c>
      <c r="E70" s="29" t="n">
        <v>5630.26</v>
      </c>
      <c r="F70" s="30" t="n">
        <v>2739</v>
      </c>
      <c r="G70" s="29" t="n"/>
      <c r="H70" s="29" t="n"/>
    </row>
    <row r="71">
      <c r="A71" s="27" t="n">
        <v>45778</v>
      </c>
      <c r="B71" s="28" t="inlineStr">
        <is>
          <t>Dairy</t>
        </is>
      </c>
      <c r="C71" s="28" t="inlineStr">
        <is>
          <t>Actual</t>
        </is>
      </c>
      <c r="D71" s="29" t="n">
        <v>13754.9</v>
      </c>
      <c r="E71" s="29" t="n">
        <v>3894</v>
      </c>
      <c r="F71" s="30" t="n">
        <v>2380</v>
      </c>
      <c r="G71" s="29" t="n"/>
      <c r="H71" s="29" t="n"/>
    </row>
    <row r="72">
      <c r="A72" s="27" t="n">
        <v>45778</v>
      </c>
      <c r="B72" s="28" t="inlineStr">
        <is>
          <t>Food To Go</t>
        </is>
      </c>
      <c r="C72" s="28" t="inlineStr">
        <is>
          <t>Actual</t>
        </is>
      </c>
      <c r="D72" s="29" t="n">
        <v>15203.35</v>
      </c>
      <c r="E72" s="29" t="n">
        <v>7260.35</v>
      </c>
      <c r="F72" s="30" t="n">
        <v>2025</v>
      </c>
      <c r="G72" s="29" t="n"/>
      <c r="H72" s="29" t="n"/>
    </row>
    <row r="73">
      <c r="A73" s="27" t="n">
        <v>45778</v>
      </c>
      <c r="B73" s="28" t="inlineStr">
        <is>
          <t>Frozen</t>
        </is>
      </c>
      <c r="C73" s="28" t="inlineStr">
        <is>
          <t>Actual</t>
        </is>
      </c>
      <c r="D73" s="29" t="n">
        <v>6239.82</v>
      </c>
      <c r="E73" s="29" t="n">
        <v>2644.62</v>
      </c>
      <c r="F73" s="30" t="n">
        <v>858</v>
      </c>
      <c r="G73" s="29" t="n"/>
      <c r="H73" s="29" t="n"/>
    </row>
    <row r="74">
      <c r="A74" s="27" t="n">
        <v>45778</v>
      </c>
      <c r="B74" s="28" t="inlineStr">
        <is>
          <t>Grocery</t>
        </is>
      </c>
      <c r="C74" s="28" t="inlineStr">
        <is>
          <t>Actual</t>
        </is>
      </c>
      <c r="D74" s="29" t="n">
        <v>8478.73</v>
      </c>
      <c r="E74" s="29" t="n">
        <v>3013.73</v>
      </c>
      <c r="F74" s="30" t="n">
        <v>1485</v>
      </c>
      <c r="G74" s="29" t="n"/>
      <c r="H74" s="29" t="n"/>
    </row>
    <row r="75">
      <c r="A75" s="27" t="n">
        <v>45778</v>
      </c>
      <c r="B75" s="28" t="inlineStr">
        <is>
          <t>Health &amp; Beauty</t>
        </is>
      </c>
      <c r="C75" s="28" t="inlineStr">
        <is>
          <t>Actual</t>
        </is>
      </c>
      <c r="D75" s="29" t="n">
        <v>1309.29</v>
      </c>
      <c r="E75" s="29" t="n">
        <v>659.49</v>
      </c>
      <c r="F75" s="30" t="n">
        <v>171</v>
      </c>
      <c r="G75" s="29" t="n"/>
      <c r="H75" s="29" t="n"/>
    </row>
    <row r="76">
      <c r="A76" s="27" t="n">
        <v>45778</v>
      </c>
      <c r="B76" s="28" t="inlineStr">
        <is>
          <t>Household</t>
        </is>
      </c>
      <c r="C76" s="28" t="inlineStr">
        <is>
          <t>Actual</t>
        </is>
      </c>
      <c r="D76" s="29" t="n">
        <v>2170.41</v>
      </c>
      <c r="E76" s="29" t="n">
        <v>893.11</v>
      </c>
      <c r="F76" s="30" t="n">
        <v>259</v>
      </c>
      <c r="G76" s="29" t="n"/>
      <c r="H76" s="29" t="n"/>
    </row>
    <row r="77">
      <c r="A77" s="27" t="n">
        <v>45778</v>
      </c>
      <c r="B77" s="28" t="inlineStr">
        <is>
          <t>Produce</t>
        </is>
      </c>
      <c r="C77" s="28" t="inlineStr">
        <is>
          <t>Actual</t>
        </is>
      </c>
      <c r="D77" s="29" t="n">
        <v>1715.88</v>
      </c>
      <c r="E77" s="29" t="n">
        <v>745.4400000000001</v>
      </c>
      <c r="F77" s="30" t="n">
        <v>1272</v>
      </c>
      <c r="G77" s="29" t="n"/>
      <c r="H77" s="29" t="n"/>
    </row>
    <row r="78">
      <c r="A78" s="27" t="n">
        <v>45778</v>
      </c>
      <c r="B78" s="28" t="inlineStr">
        <is>
          <t>Snacks &amp; Confectionery</t>
        </is>
      </c>
      <c r="C78" s="28" t="inlineStr">
        <is>
          <t>Actual</t>
        </is>
      </c>
      <c r="D78" s="29" t="n">
        <v>8552.41</v>
      </c>
      <c r="E78" s="29" t="n">
        <v>3808.31</v>
      </c>
      <c r="F78" s="30" t="n">
        <v>1943</v>
      </c>
      <c r="G78" s="29" t="n"/>
      <c r="H78" s="29" t="n"/>
    </row>
    <row r="79">
      <c r="A79" s="27" t="n">
        <v>45809</v>
      </c>
      <c r="B79" s="28" t="inlineStr">
        <is>
          <t>Bakery</t>
        </is>
      </c>
      <c r="C79" s="28" t="inlineStr">
        <is>
          <t>Actual</t>
        </is>
      </c>
      <c r="D79" s="29" t="n">
        <v>4725.58</v>
      </c>
      <c r="E79" s="29" t="n">
        <v>1835.78</v>
      </c>
      <c r="F79" s="30" t="n">
        <v>1142</v>
      </c>
      <c r="G79" s="29" t="n"/>
      <c r="H79" s="29" t="n"/>
    </row>
    <row r="80">
      <c r="A80" s="27" t="n">
        <v>45809</v>
      </c>
      <c r="B80" s="28" t="inlineStr">
        <is>
          <t>Beer &amp; Wine</t>
        </is>
      </c>
      <c r="C80" s="28" t="inlineStr">
        <is>
          <t>Actual</t>
        </is>
      </c>
      <c r="D80" s="29" t="n">
        <v>8844.139999999999</v>
      </c>
      <c r="E80" s="29" t="n">
        <v>2939.84</v>
      </c>
      <c r="F80" s="30" t="n">
        <v>466</v>
      </c>
      <c r="G80" s="29" t="n"/>
      <c r="H80" s="29" t="n"/>
    </row>
    <row r="81">
      <c r="A81" s="27" t="n">
        <v>45809</v>
      </c>
      <c r="B81" s="28" t="inlineStr">
        <is>
          <t>Beverages</t>
        </is>
      </c>
      <c r="C81" s="28" t="inlineStr">
        <is>
          <t>Actual</t>
        </is>
      </c>
      <c r="D81" s="29" t="n">
        <v>9073.459999999999</v>
      </c>
      <c r="E81" s="29" t="n">
        <v>4650.71</v>
      </c>
      <c r="F81" s="30" t="n">
        <v>2204</v>
      </c>
      <c r="G81" s="29" t="n"/>
      <c r="H81" s="29" t="n"/>
    </row>
    <row r="82">
      <c r="A82" s="27" t="n">
        <v>45809</v>
      </c>
      <c r="B82" s="28" t="inlineStr">
        <is>
          <t>Dairy</t>
        </is>
      </c>
      <c r="C82" s="28" t="inlineStr">
        <is>
          <t>Actual</t>
        </is>
      </c>
      <c r="D82" s="29" t="n">
        <v>12611.87</v>
      </c>
      <c r="E82" s="29" t="n">
        <v>3517.77</v>
      </c>
      <c r="F82" s="30" t="n">
        <v>2153</v>
      </c>
      <c r="G82" s="29" t="n"/>
      <c r="H82" s="29" t="n"/>
    </row>
    <row r="83">
      <c r="A83" s="27" t="n">
        <v>45809</v>
      </c>
      <c r="B83" s="28" t="inlineStr">
        <is>
          <t>Food To Go</t>
        </is>
      </c>
      <c r="C83" s="28" t="inlineStr">
        <is>
          <t>Actual</t>
        </is>
      </c>
      <c r="D83" s="29" t="n">
        <v>13548.52</v>
      </c>
      <c r="E83" s="29" t="n">
        <v>6554.82</v>
      </c>
      <c r="F83" s="30" t="n">
        <v>1848</v>
      </c>
      <c r="G83" s="29" t="n"/>
      <c r="H83" s="29" t="n"/>
    </row>
    <row r="84">
      <c r="A84" s="27" t="n">
        <v>45809</v>
      </c>
      <c r="B84" s="28" t="inlineStr">
        <is>
          <t>Frozen</t>
        </is>
      </c>
      <c r="C84" s="28" t="inlineStr">
        <is>
          <t>Actual</t>
        </is>
      </c>
      <c r="D84" s="29" t="n">
        <v>5728.73</v>
      </c>
      <c r="E84" s="29" t="n">
        <v>2453.03</v>
      </c>
      <c r="F84" s="30" t="n">
        <v>767</v>
      </c>
      <c r="G84" s="29" t="n"/>
      <c r="H84" s="29" t="n"/>
    </row>
    <row r="85">
      <c r="A85" s="27" t="n">
        <v>45809</v>
      </c>
      <c r="B85" s="28" t="inlineStr">
        <is>
          <t>Grocery</t>
        </is>
      </c>
      <c r="C85" s="28" t="inlineStr">
        <is>
          <t>Actual</t>
        </is>
      </c>
      <c r="D85" s="29" t="n">
        <v>8602.01</v>
      </c>
      <c r="E85" s="29" t="n">
        <v>3038.41</v>
      </c>
      <c r="F85" s="30" t="n">
        <v>1449</v>
      </c>
      <c r="G85" s="29" t="n"/>
      <c r="H85" s="29" t="n"/>
    </row>
    <row r="86">
      <c r="A86" s="27" t="n">
        <v>45809</v>
      </c>
      <c r="B86" s="28" t="inlineStr">
        <is>
          <t>Health &amp; Beauty</t>
        </is>
      </c>
      <c r="C86" s="28" t="inlineStr">
        <is>
          <t>Actual</t>
        </is>
      </c>
      <c r="D86" s="29" t="n">
        <v>1252.06</v>
      </c>
      <c r="E86" s="29" t="n">
        <v>638.0599999999999</v>
      </c>
      <c r="F86" s="30" t="n">
        <v>194</v>
      </c>
      <c r="G86" s="29" t="n"/>
      <c r="H86" s="29" t="n"/>
    </row>
    <row r="87">
      <c r="A87" s="27" t="n">
        <v>45809</v>
      </c>
      <c r="B87" s="28" t="inlineStr">
        <is>
          <t>Household</t>
        </is>
      </c>
      <c r="C87" s="28" t="inlineStr">
        <is>
          <t>Actual</t>
        </is>
      </c>
      <c r="D87" s="29" t="n">
        <v>2316.32</v>
      </c>
      <c r="E87" s="29" t="n">
        <v>908.72</v>
      </c>
      <c r="F87" s="30" t="n">
        <v>288</v>
      </c>
      <c r="G87" s="29" t="n"/>
      <c r="H87" s="29" t="n"/>
    </row>
    <row r="88">
      <c r="A88" s="27" t="n">
        <v>45809</v>
      </c>
      <c r="B88" s="28" t="inlineStr">
        <is>
          <t>Produce</t>
        </is>
      </c>
      <c r="C88" s="28" t="inlineStr">
        <is>
          <t>Actual</t>
        </is>
      </c>
      <c r="D88" s="29" t="n">
        <v>1317.62</v>
      </c>
      <c r="E88" s="29" t="n">
        <v>577.5599999999999</v>
      </c>
      <c r="F88" s="30" t="n">
        <v>1078</v>
      </c>
      <c r="G88" s="29" t="n"/>
      <c r="H88" s="29" t="n"/>
    </row>
    <row r="89">
      <c r="A89" s="27" t="n">
        <v>45809</v>
      </c>
      <c r="B89" s="28" t="inlineStr">
        <is>
          <t>Snacks &amp; Confectionery</t>
        </is>
      </c>
      <c r="C89" s="28" t="inlineStr">
        <is>
          <t>Actual</t>
        </is>
      </c>
      <c r="D89" s="29" t="n">
        <v>7732.32</v>
      </c>
      <c r="E89" s="29" t="n">
        <v>3465.12</v>
      </c>
      <c r="F89" s="30" t="n">
        <v>1748</v>
      </c>
      <c r="G89" s="29" t="n"/>
      <c r="H89" s="29" t="n"/>
    </row>
    <row r="90">
      <c r="A90" s="27" t="n">
        <v>45839</v>
      </c>
      <c r="B90" s="28" t="inlineStr">
        <is>
          <t>Bakery</t>
        </is>
      </c>
      <c r="C90" s="28" t="inlineStr">
        <is>
          <t>Actual</t>
        </is>
      </c>
      <c r="D90" s="29" t="n">
        <v>4648.27</v>
      </c>
      <c r="E90" s="29" t="n">
        <v>1742.37</v>
      </c>
      <c r="F90" s="30" t="n">
        <v>1147</v>
      </c>
      <c r="G90" s="29" t="n"/>
      <c r="H90" s="29" t="n"/>
    </row>
    <row r="91">
      <c r="A91" s="27" t="n">
        <v>45839</v>
      </c>
      <c r="B91" s="28" t="inlineStr">
        <is>
          <t>Beer &amp; Wine</t>
        </is>
      </c>
      <c r="C91" s="28" t="inlineStr">
        <is>
          <t>Actual</t>
        </is>
      </c>
      <c r="D91" s="29" t="n">
        <v>8437.68</v>
      </c>
      <c r="E91" s="29" t="n">
        <v>2911.68</v>
      </c>
      <c r="F91" s="30" t="n">
        <v>432</v>
      </c>
      <c r="G91" s="29" t="n"/>
      <c r="H91" s="29" t="n"/>
    </row>
    <row r="92">
      <c r="A92" s="27" t="n">
        <v>45839</v>
      </c>
      <c r="B92" s="28" t="inlineStr">
        <is>
          <t>Beverages</t>
        </is>
      </c>
      <c r="C92" s="28" t="inlineStr">
        <is>
          <t>Actual</t>
        </is>
      </c>
      <c r="D92" s="29" t="n">
        <v>9648.940000000001</v>
      </c>
      <c r="E92" s="29" t="n">
        <v>4861.24</v>
      </c>
      <c r="F92" s="30" t="n">
        <v>2386</v>
      </c>
      <c r="G92" s="29" t="n"/>
      <c r="H92" s="29" t="n"/>
    </row>
    <row r="93">
      <c r="A93" s="27" t="n">
        <v>45839</v>
      </c>
      <c r="B93" s="28" t="inlineStr">
        <is>
          <t>Dairy</t>
        </is>
      </c>
      <c r="C93" s="28" t="inlineStr">
        <is>
          <t>Actual</t>
        </is>
      </c>
      <c r="D93" s="29" t="n">
        <v>13491.79</v>
      </c>
      <c r="E93" s="29" t="n">
        <v>3787.84</v>
      </c>
      <c r="F93" s="30" t="n">
        <v>2331</v>
      </c>
      <c r="G93" s="29" t="n"/>
      <c r="H93" s="29" t="n"/>
    </row>
    <row r="94">
      <c r="A94" s="27" t="n">
        <v>45839</v>
      </c>
      <c r="B94" s="28" t="inlineStr">
        <is>
          <t>Food To Go</t>
        </is>
      </c>
      <c r="C94" s="28" t="inlineStr">
        <is>
          <t>Actual</t>
        </is>
      </c>
      <c r="D94" s="29" t="n">
        <v>14017.15</v>
      </c>
      <c r="E94" s="29" t="n">
        <v>6905.95</v>
      </c>
      <c r="F94" s="30" t="n">
        <v>1935</v>
      </c>
      <c r="G94" s="29" t="n"/>
      <c r="H94" s="29" t="n"/>
    </row>
    <row r="95">
      <c r="A95" s="27" t="n">
        <v>45839</v>
      </c>
      <c r="B95" s="28" t="inlineStr">
        <is>
          <t>Frozen</t>
        </is>
      </c>
      <c r="C95" s="28" t="inlineStr">
        <is>
          <t>Actual</t>
        </is>
      </c>
      <c r="D95" s="29" t="n">
        <v>5938.95</v>
      </c>
      <c r="E95" s="29" t="n">
        <v>2439.85</v>
      </c>
      <c r="F95" s="30" t="n">
        <v>805</v>
      </c>
      <c r="G95" s="29" t="n"/>
      <c r="H95" s="29" t="n"/>
    </row>
    <row r="96">
      <c r="A96" s="27" t="n">
        <v>45839</v>
      </c>
      <c r="B96" s="28" t="inlineStr">
        <is>
          <t>Grocery</t>
        </is>
      </c>
      <c r="C96" s="28" t="inlineStr">
        <is>
          <t>Actual</t>
        </is>
      </c>
      <c r="D96" s="29" t="n">
        <v>8919.4</v>
      </c>
      <c r="E96" s="29" t="n">
        <v>3151.9</v>
      </c>
      <c r="F96" s="30" t="n">
        <v>1590</v>
      </c>
      <c r="G96" s="29" t="n"/>
      <c r="H96" s="29" t="n"/>
    </row>
    <row r="97">
      <c r="A97" s="27" t="n">
        <v>45839</v>
      </c>
      <c r="B97" s="28" t="inlineStr">
        <is>
          <t>Health &amp; Beauty</t>
        </is>
      </c>
      <c r="C97" s="28" t="inlineStr">
        <is>
          <t>Actual</t>
        </is>
      </c>
      <c r="D97" s="29" t="n">
        <v>1504.8</v>
      </c>
      <c r="E97" s="29" t="n">
        <v>776.6</v>
      </c>
      <c r="F97" s="30" t="n">
        <v>220</v>
      </c>
      <c r="G97" s="29" t="n"/>
      <c r="H97" s="29" t="n"/>
    </row>
    <row r="98">
      <c r="A98" s="27" t="n">
        <v>45839</v>
      </c>
      <c r="B98" s="28" t="inlineStr">
        <is>
          <t>Household</t>
        </is>
      </c>
      <c r="C98" s="28" t="inlineStr">
        <is>
          <t>Actual</t>
        </is>
      </c>
      <c r="D98" s="29" t="n">
        <v>2272.54</v>
      </c>
      <c r="E98" s="29" t="n">
        <v>943.34</v>
      </c>
      <c r="F98" s="30" t="n">
        <v>266</v>
      </c>
      <c r="G98" s="29" t="n"/>
      <c r="H98" s="29" t="n"/>
    </row>
    <row r="99">
      <c r="A99" s="27" t="n">
        <v>45839</v>
      </c>
      <c r="B99" s="28" t="inlineStr">
        <is>
          <t>Produce</t>
        </is>
      </c>
      <c r="C99" s="28" t="inlineStr">
        <is>
          <t>Actual</t>
        </is>
      </c>
      <c r="D99" s="29" t="n">
        <v>1657.13</v>
      </c>
      <c r="E99" s="29" t="n">
        <v>723.01</v>
      </c>
      <c r="F99" s="30" t="n">
        <v>1217</v>
      </c>
      <c r="G99" s="29" t="n"/>
      <c r="H99" s="29" t="n"/>
    </row>
    <row r="100">
      <c r="A100" s="27" t="n">
        <v>45839</v>
      </c>
      <c r="B100" s="28" t="inlineStr">
        <is>
          <t>Snacks &amp; Confectionery</t>
        </is>
      </c>
      <c r="C100" s="28" t="inlineStr">
        <is>
          <t>Actual</t>
        </is>
      </c>
      <c r="D100" s="29" t="n">
        <v>8266.65</v>
      </c>
      <c r="E100" s="29" t="n">
        <v>3712.35</v>
      </c>
      <c r="F100" s="30" t="n">
        <v>1875</v>
      </c>
      <c r="G100" s="29" t="n"/>
      <c r="H100" s="29" t="n"/>
    </row>
    <row r="101">
      <c r="A101" s="27" t="n">
        <v>45870</v>
      </c>
      <c r="B101" s="28" t="inlineStr">
        <is>
          <t>Bakery</t>
        </is>
      </c>
      <c r="C101" s="28" t="inlineStr">
        <is>
          <t>Actual</t>
        </is>
      </c>
      <c r="D101" s="29" t="n">
        <v>4842.95</v>
      </c>
      <c r="E101" s="29" t="n">
        <v>1881.95</v>
      </c>
      <c r="F101" s="30" t="n">
        <v>1175</v>
      </c>
      <c r="G101" s="29" t="n"/>
      <c r="H101" s="29" t="n"/>
    </row>
    <row r="102">
      <c r="A102" s="27" t="n">
        <v>45870</v>
      </c>
      <c r="B102" s="28" t="inlineStr">
        <is>
          <t>Beer &amp; Wine</t>
        </is>
      </c>
      <c r="C102" s="28" t="inlineStr">
        <is>
          <t>Actual</t>
        </is>
      </c>
      <c r="D102" s="29" t="n">
        <v>8814.459999999999</v>
      </c>
      <c r="E102" s="29" t="n">
        <v>3047.26</v>
      </c>
      <c r="F102" s="30" t="n">
        <v>454</v>
      </c>
      <c r="G102" s="29" t="n"/>
      <c r="H102" s="29" t="n"/>
    </row>
    <row r="103">
      <c r="A103" s="27" t="n">
        <v>45870</v>
      </c>
      <c r="B103" s="28" t="inlineStr">
        <is>
          <t>Beverages</t>
        </is>
      </c>
      <c r="C103" s="28" t="inlineStr">
        <is>
          <t>Actual</t>
        </is>
      </c>
      <c r="D103" s="29" t="n">
        <v>9585.290000000001</v>
      </c>
      <c r="E103" s="29" t="n">
        <v>4923.19</v>
      </c>
      <c r="F103" s="30" t="n">
        <v>2331</v>
      </c>
      <c r="G103" s="29" t="n"/>
      <c r="H103" s="29" t="n"/>
    </row>
    <row r="104">
      <c r="A104" s="27" t="n">
        <v>45870</v>
      </c>
      <c r="B104" s="28" t="inlineStr">
        <is>
          <t>Dairy</t>
        </is>
      </c>
      <c r="C104" s="28" t="inlineStr">
        <is>
          <t>Actual</t>
        </is>
      </c>
      <c r="D104" s="29" t="n">
        <v>13061.18</v>
      </c>
      <c r="E104" s="29" t="n">
        <v>3604.23</v>
      </c>
      <c r="F104" s="30" t="n">
        <v>2226</v>
      </c>
      <c r="G104" s="29" t="n"/>
      <c r="H104" s="29" t="n"/>
    </row>
    <row r="105">
      <c r="A105" s="27" t="n">
        <v>45870</v>
      </c>
      <c r="B105" s="28" t="inlineStr">
        <is>
          <t>Food To Go</t>
        </is>
      </c>
      <c r="C105" s="28" t="inlineStr">
        <is>
          <t>Actual</t>
        </is>
      </c>
      <c r="D105" s="29" t="n">
        <v>15104.22</v>
      </c>
      <c r="E105" s="29" t="n">
        <v>7320.12</v>
      </c>
      <c r="F105" s="30" t="n">
        <v>2058</v>
      </c>
      <c r="G105" s="29" t="n"/>
      <c r="H105" s="29" t="n"/>
    </row>
    <row r="106">
      <c r="A106" s="27" t="n">
        <v>45870</v>
      </c>
      <c r="B106" s="28" t="inlineStr">
        <is>
          <t>Frozen</t>
        </is>
      </c>
      <c r="C106" s="28" t="inlineStr">
        <is>
          <t>Actual</t>
        </is>
      </c>
      <c r="D106" s="29" t="n">
        <v>5363.27</v>
      </c>
      <c r="E106" s="29" t="n">
        <v>2293.97</v>
      </c>
      <c r="F106" s="30" t="n">
        <v>713</v>
      </c>
      <c r="G106" s="29" t="n"/>
      <c r="H106" s="29" t="n"/>
    </row>
    <row r="107">
      <c r="A107" s="27" t="n">
        <v>45870</v>
      </c>
      <c r="B107" s="28" t="inlineStr">
        <is>
          <t>Grocery</t>
        </is>
      </c>
      <c r="C107" s="28" t="inlineStr">
        <is>
          <t>Actual</t>
        </is>
      </c>
      <c r="D107" s="29" t="n">
        <v>9053.09</v>
      </c>
      <c r="E107" s="29" t="n">
        <v>3153.79</v>
      </c>
      <c r="F107" s="30" t="n">
        <v>1531</v>
      </c>
      <c r="G107" s="29" t="n"/>
      <c r="H107" s="29" t="n"/>
    </row>
    <row r="108">
      <c r="A108" s="27" t="n">
        <v>45870</v>
      </c>
      <c r="B108" s="28" t="inlineStr">
        <is>
          <t>Health &amp; Beauty</t>
        </is>
      </c>
      <c r="C108" s="28" t="inlineStr">
        <is>
          <t>Actual</t>
        </is>
      </c>
      <c r="D108" s="29" t="n">
        <v>1320.76</v>
      </c>
      <c r="E108" s="29" t="n">
        <v>691.76</v>
      </c>
      <c r="F108" s="30" t="n">
        <v>224</v>
      </c>
      <c r="G108" s="29" t="n"/>
      <c r="H108" s="29" t="n"/>
    </row>
    <row r="109">
      <c r="A109" s="27" t="n">
        <v>45870</v>
      </c>
      <c r="B109" s="28" t="inlineStr">
        <is>
          <t>Household</t>
        </is>
      </c>
      <c r="C109" s="28" t="inlineStr">
        <is>
          <t>Actual</t>
        </is>
      </c>
      <c r="D109" s="29" t="n">
        <v>2345.83</v>
      </c>
      <c r="E109" s="29" t="n">
        <v>911.13</v>
      </c>
      <c r="F109" s="30" t="n">
        <v>297</v>
      </c>
      <c r="G109" s="29" t="n"/>
      <c r="H109" s="29" t="n"/>
    </row>
    <row r="110">
      <c r="A110" s="27" t="n">
        <v>45870</v>
      </c>
      <c r="B110" s="28" t="inlineStr">
        <is>
          <t>Produce</t>
        </is>
      </c>
      <c r="C110" s="28" t="inlineStr">
        <is>
          <t>Actual</t>
        </is>
      </c>
      <c r="D110" s="29" t="n">
        <v>1575.46</v>
      </c>
      <c r="E110" s="29" t="n">
        <v>688.3</v>
      </c>
      <c r="F110" s="30" t="n">
        <v>1194</v>
      </c>
      <c r="G110" s="29" t="n"/>
      <c r="H110" s="29" t="n"/>
    </row>
    <row r="111">
      <c r="A111" s="27" t="n">
        <v>45870</v>
      </c>
      <c r="B111" s="28" t="inlineStr">
        <is>
          <t>Snacks &amp; Confectionery</t>
        </is>
      </c>
      <c r="C111" s="28" t="inlineStr">
        <is>
          <t>Actual</t>
        </is>
      </c>
      <c r="D111" s="29" t="n">
        <v>8589.57</v>
      </c>
      <c r="E111" s="29" t="n">
        <v>3809.37</v>
      </c>
      <c r="F111" s="30" t="n">
        <v>1955</v>
      </c>
      <c r="G111" s="29" t="n"/>
      <c r="H111" s="29" t="n"/>
    </row>
    <row r="112">
      <c r="A112" s="27" t="n">
        <v>45901</v>
      </c>
      <c r="B112" s="28" t="inlineStr">
        <is>
          <t>Bakery</t>
        </is>
      </c>
      <c r="C112" s="28" t="inlineStr">
        <is>
          <t>Actual</t>
        </is>
      </c>
      <c r="D112" s="29" t="n">
        <v>4690.63</v>
      </c>
      <c r="E112" s="29" t="n">
        <v>1807.43</v>
      </c>
      <c r="F112" s="30" t="n">
        <v>1147</v>
      </c>
      <c r="G112" s="29" t="n"/>
      <c r="H112" s="29" t="n"/>
    </row>
    <row r="113">
      <c r="A113" s="27" t="n">
        <v>45901</v>
      </c>
      <c r="B113" s="28" t="inlineStr">
        <is>
          <t>Beer &amp; Wine</t>
        </is>
      </c>
      <c r="C113" s="28" t="inlineStr">
        <is>
          <t>Actual</t>
        </is>
      </c>
      <c r="D113" s="29" t="n">
        <v>9143.4</v>
      </c>
      <c r="E113" s="29" t="n">
        <v>3127.8</v>
      </c>
      <c r="F113" s="30" t="n">
        <v>480</v>
      </c>
      <c r="G113" s="29" t="n"/>
      <c r="H113" s="29" t="n"/>
    </row>
    <row r="114">
      <c r="A114" s="27" t="n">
        <v>45901</v>
      </c>
      <c r="B114" s="28" t="inlineStr">
        <is>
          <t>Beverages</t>
        </is>
      </c>
      <c r="C114" s="28" t="inlineStr">
        <is>
          <t>Actual</t>
        </is>
      </c>
      <c r="D114" s="29" t="n">
        <v>10766.53</v>
      </c>
      <c r="E114" s="29" t="n">
        <v>5444.23</v>
      </c>
      <c r="F114" s="30" t="n">
        <v>2651</v>
      </c>
      <c r="G114" s="29" t="n"/>
      <c r="H114" s="29" t="n"/>
    </row>
    <row r="115">
      <c r="A115" s="27" t="n">
        <v>45901</v>
      </c>
      <c r="B115" s="28" t="inlineStr">
        <is>
          <t>Dairy</t>
        </is>
      </c>
      <c r="C115" s="28" t="inlineStr">
        <is>
          <t>Actual</t>
        </is>
      </c>
      <c r="D115" s="29" t="n">
        <v>13637.6</v>
      </c>
      <c r="E115" s="29" t="n">
        <v>3747.15</v>
      </c>
      <c r="F115" s="30" t="n">
        <v>2422</v>
      </c>
      <c r="G115" s="29" t="n"/>
      <c r="H115" s="29" t="n"/>
    </row>
    <row r="116">
      <c r="A116" s="27" t="n">
        <v>45901</v>
      </c>
      <c r="B116" s="28" t="inlineStr">
        <is>
          <t>Food To Go</t>
        </is>
      </c>
      <c r="C116" s="28" t="inlineStr">
        <is>
          <t>Actual</t>
        </is>
      </c>
      <c r="D116" s="29" t="n">
        <v>14121.73</v>
      </c>
      <c r="E116" s="29" t="n">
        <v>6853.53</v>
      </c>
      <c r="F116" s="30" t="n">
        <v>1877</v>
      </c>
      <c r="G116" s="29" t="n"/>
      <c r="H116" s="29" t="n"/>
    </row>
    <row r="117">
      <c r="A117" s="27" t="n">
        <v>45901</v>
      </c>
      <c r="B117" s="28" t="inlineStr">
        <is>
          <t>Frozen</t>
        </is>
      </c>
      <c r="C117" s="28" t="inlineStr">
        <is>
          <t>Actual</t>
        </is>
      </c>
      <c r="D117" s="29" t="n">
        <v>5453.21</v>
      </c>
      <c r="E117" s="29" t="n">
        <v>2343.21</v>
      </c>
      <c r="F117" s="30" t="n">
        <v>779</v>
      </c>
      <c r="G117" s="29" t="n"/>
      <c r="H117" s="29" t="n"/>
    </row>
    <row r="118">
      <c r="A118" s="27" t="n">
        <v>45901</v>
      </c>
      <c r="B118" s="28" t="inlineStr">
        <is>
          <t>Grocery</t>
        </is>
      </c>
      <c r="C118" s="28" t="inlineStr">
        <is>
          <t>Actual</t>
        </is>
      </c>
      <c r="D118" s="29" t="n">
        <v>8386.450000000001</v>
      </c>
      <c r="E118" s="29" t="n">
        <v>3002.35</v>
      </c>
      <c r="F118" s="30" t="n">
        <v>1435</v>
      </c>
      <c r="G118" s="29" t="n"/>
      <c r="H118" s="29" t="n"/>
    </row>
    <row r="119">
      <c r="A119" s="27" t="n">
        <v>45901</v>
      </c>
      <c r="B119" s="28" t="inlineStr">
        <is>
          <t>Health &amp; Beauty</t>
        </is>
      </c>
      <c r="C119" s="28" t="inlineStr">
        <is>
          <t>Actual</t>
        </is>
      </c>
      <c r="D119" s="29" t="n">
        <v>1351.99</v>
      </c>
      <c r="E119" s="29" t="n">
        <v>700.39</v>
      </c>
      <c r="F119" s="30" t="n">
        <v>201</v>
      </c>
      <c r="G119" s="29" t="n"/>
      <c r="H119" s="29" t="n"/>
    </row>
    <row r="120">
      <c r="A120" s="27" t="n">
        <v>45901</v>
      </c>
      <c r="B120" s="28" t="inlineStr">
        <is>
          <t>Household</t>
        </is>
      </c>
      <c r="C120" s="28" t="inlineStr">
        <is>
          <t>Actual</t>
        </is>
      </c>
      <c r="D120" s="29" t="n">
        <v>2088.6</v>
      </c>
      <c r="E120" s="29" t="n">
        <v>820</v>
      </c>
      <c r="F120" s="30" t="n">
        <v>260</v>
      </c>
      <c r="G120" s="29" t="n"/>
      <c r="H120" s="29" t="n"/>
    </row>
    <row r="121">
      <c r="A121" s="27" t="n">
        <v>45901</v>
      </c>
      <c r="B121" s="28" t="inlineStr">
        <is>
          <t>Produce</t>
        </is>
      </c>
      <c r="C121" s="28" t="inlineStr">
        <is>
          <t>Actual</t>
        </is>
      </c>
      <c r="D121" s="29" t="n">
        <v>1572.62</v>
      </c>
      <c r="E121" s="29" t="n">
        <v>671.24</v>
      </c>
      <c r="F121" s="30" t="n">
        <v>1128</v>
      </c>
      <c r="G121" s="29" t="n"/>
      <c r="H121" s="29" t="n"/>
    </row>
    <row r="122">
      <c r="A122" s="27" t="n">
        <v>45901</v>
      </c>
      <c r="B122" s="28" t="inlineStr">
        <is>
          <t>Snacks &amp; Confectionery</t>
        </is>
      </c>
      <c r="C122" s="28" t="inlineStr">
        <is>
          <t>Actual</t>
        </is>
      </c>
      <c r="D122" s="29" t="n">
        <v>8181.49</v>
      </c>
      <c r="E122" s="29" t="n">
        <v>3647.29</v>
      </c>
      <c r="F122" s="30" t="n">
        <v>1859</v>
      </c>
      <c r="G122" s="29" t="n"/>
      <c r="H122" s="29" t="n"/>
    </row>
    <row r="123">
      <c r="A123" s="27" t="n">
        <v>45931</v>
      </c>
      <c r="B123" s="28" t="inlineStr">
        <is>
          <t>Bakery</t>
        </is>
      </c>
      <c r="C123" s="28" t="inlineStr">
        <is>
          <t>Actual</t>
        </is>
      </c>
      <c r="D123" s="29" t="n">
        <v>4843.22</v>
      </c>
      <c r="E123" s="29" t="n">
        <v>1861.32</v>
      </c>
      <c r="F123" s="30" t="n">
        <v>1178</v>
      </c>
      <c r="G123" s="29" t="n"/>
      <c r="H123" s="29" t="n"/>
    </row>
    <row r="124">
      <c r="A124" s="27" t="n">
        <v>45931</v>
      </c>
      <c r="B124" s="28" t="inlineStr">
        <is>
          <t>Beer &amp; Wine</t>
        </is>
      </c>
      <c r="C124" s="28" t="inlineStr">
        <is>
          <t>Actual</t>
        </is>
      </c>
      <c r="D124" s="29" t="n">
        <v>11075.1</v>
      </c>
      <c r="E124" s="29" t="n">
        <v>3680.8</v>
      </c>
      <c r="F124" s="30" t="n">
        <v>590</v>
      </c>
      <c r="G124" s="29" t="n"/>
      <c r="H124" s="29" t="n"/>
    </row>
    <row r="125">
      <c r="A125" s="27" t="n">
        <v>45931</v>
      </c>
      <c r="B125" s="28" t="inlineStr">
        <is>
          <t>Beverages</t>
        </is>
      </c>
      <c r="C125" s="28" t="inlineStr">
        <is>
          <t>Actual</t>
        </is>
      </c>
      <c r="D125" s="29" t="n">
        <v>12848.37</v>
      </c>
      <c r="E125" s="29" t="n">
        <v>6510.62</v>
      </c>
      <c r="F125" s="30" t="n">
        <v>3173</v>
      </c>
      <c r="G125" s="29" t="n"/>
      <c r="H125" s="29" t="n"/>
    </row>
    <row r="126">
      <c r="A126" s="27" t="n">
        <v>45931</v>
      </c>
      <c r="B126" s="28" t="inlineStr">
        <is>
          <t>Dairy</t>
        </is>
      </c>
      <c r="C126" s="28" t="inlineStr">
        <is>
          <t>Actual</t>
        </is>
      </c>
      <c r="D126" s="29" t="n">
        <v>13886.4</v>
      </c>
      <c r="E126" s="29" t="n">
        <v>3881.9</v>
      </c>
      <c r="F126" s="30" t="n">
        <v>2392</v>
      </c>
      <c r="G126" s="29" t="n"/>
      <c r="H126" s="29" t="n"/>
    </row>
    <row r="127">
      <c r="A127" s="27" t="n">
        <v>45931</v>
      </c>
      <c r="B127" s="28" t="inlineStr">
        <is>
          <t>Food To Go</t>
        </is>
      </c>
      <c r="C127" s="28" t="inlineStr">
        <is>
          <t>Actual</t>
        </is>
      </c>
      <c r="D127" s="29" t="n">
        <v>15861.45</v>
      </c>
      <c r="E127" s="29" t="n">
        <v>7620.15</v>
      </c>
      <c r="F127" s="30" t="n">
        <v>2055</v>
      </c>
      <c r="G127" s="29" t="n"/>
      <c r="H127" s="29" t="n"/>
    </row>
    <row r="128">
      <c r="A128" s="27" t="n">
        <v>45931</v>
      </c>
      <c r="B128" s="28" t="inlineStr">
        <is>
          <t>Frozen</t>
        </is>
      </c>
      <c r="C128" s="28" t="inlineStr">
        <is>
          <t>Actual</t>
        </is>
      </c>
      <c r="D128" s="29" t="n">
        <v>6154.89</v>
      </c>
      <c r="E128" s="29" t="n">
        <v>2679.89</v>
      </c>
      <c r="F128" s="30" t="n">
        <v>891</v>
      </c>
      <c r="G128" s="29" t="n"/>
      <c r="H128" s="29" t="n"/>
    </row>
    <row r="129">
      <c r="A129" s="27" t="n">
        <v>45931</v>
      </c>
      <c r="B129" s="28" t="inlineStr">
        <is>
          <t>Grocery</t>
        </is>
      </c>
      <c r="C129" s="28" t="inlineStr">
        <is>
          <t>Actual</t>
        </is>
      </c>
      <c r="D129" s="29" t="n">
        <v>8289.73</v>
      </c>
      <c r="E129" s="29" t="n">
        <v>2914.53</v>
      </c>
      <c r="F129" s="30" t="n">
        <v>1397</v>
      </c>
      <c r="G129" s="29" t="n"/>
      <c r="H129" s="29" t="n"/>
    </row>
    <row r="130">
      <c r="A130" s="27" t="n">
        <v>45931</v>
      </c>
      <c r="B130" s="28" t="inlineStr">
        <is>
          <t>Health &amp; Beauty</t>
        </is>
      </c>
      <c r="C130" s="28" t="inlineStr">
        <is>
          <t>Actual</t>
        </is>
      </c>
      <c r="D130" s="29" t="n">
        <v>1220.21</v>
      </c>
      <c r="E130" s="29" t="n">
        <v>630.21</v>
      </c>
      <c r="F130" s="30" t="n">
        <v>179</v>
      </c>
      <c r="G130" s="29" t="n"/>
      <c r="H130" s="29" t="n"/>
    </row>
    <row r="131">
      <c r="A131" s="27" t="n">
        <v>45931</v>
      </c>
      <c r="B131" s="28" t="inlineStr">
        <is>
          <t>Household</t>
        </is>
      </c>
      <c r="C131" s="28" t="inlineStr">
        <is>
          <t>Actual</t>
        </is>
      </c>
      <c r="D131" s="29" t="n">
        <v>2509.35</v>
      </c>
      <c r="E131" s="29" t="n">
        <v>1032.05</v>
      </c>
      <c r="F131" s="30" t="n">
        <v>285</v>
      </c>
      <c r="G131" s="29" t="n"/>
      <c r="H131" s="29" t="n"/>
    </row>
    <row r="132">
      <c r="A132" s="27" t="n">
        <v>45931</v>
      </c>
      <c r="B132" s="28" t="inlineStr">
        <is>
          <t>Produce</t>
        </is>
      </c>
      <c r="C132" s="28" t="inlineStr">
        <is>
          <t>Actual</t>
        </is>
      </c>
      <c r="D132" s="29" t="n">
        <v>1960.4</v>
      </c>
      <c r="E132" s="29" t="n">
        <v>841.52</v>
      </c>
      <c r="F132" s="30" t="n">
        <v>1320</v>
      </c>
      <c r="G132" s="29" t="n"/>
      <c r="H132" s="29" t="n"/>
    </row>
    <row r="133">
      <c r="A133" s="27" t="n">
        <v>45931</v>
      </c>
      <c r="B133" s="28" t="inlineStr">
        <is>
          <t>Snacks &amp; Confectionery</t>
        </is>
      </c>
      <c r="C133" s="28" t="inlineStr">
        <is>
          <t>Actual</t>
        </is>
      </c>
      <c r="D133" s="29" t="n">
        <v>8694.780000000001</v>
      </c>
      <c r="E133" s="29" t="n">
        <v>3815.98</v>
      </c>
      <c r="F133" s="30" t="n">
        <v>1992</v>
      </c>
      <c r="G133" s="29" t="n"/>
      <c r="H133" s="29" t="n"/>
    </row>
    <row r="134">
      <c r="A134" s="27" t="n">
        <v>45962</v>
      </c>
      <c r="B134" s="28" t="inlineStr">
        <is>
          <t>Bakery</t>
        </is>
      </c>
      <c r="C134" s="28" t="inlineStr">
        <is>
          <t>Actual</t>
        </is>
      </c>
      <c r="D134" s="29" t="n">
        <v>4602.15</v>
      </c>
      <c r="E134" s="29" t="n">
        <v>1692.85</v>
      </c>
      <c r="F134" s="30" t="n">
        <v>1155</v>
      </c>
      <c r="G134" s="29" t="n"/>
      <c r="H134" s="29" t="n"/>
    </row>
    <row r="135">
      <c r="A135" s="27" t="n">
        <v>45962</v>
      </c>
      <c r="B135" s="28" t="inlineStr">
        <is>
          <t>Beer &amp; Wine</t>
        </is>
      </c>
      <c r="C135" s="28" t="inlineStr">
        <is>
          <t>Actual</t>
        </is>
      </c>
      <c r="D135" s="29" t="n">
        <v>10505.53</v>
      </c>
      <c r="E135" s="29" t="n">
        <v>3613.03</v>
      </c>
      <c r="F135" s="30" t="n">
        <v>547</v>
      </c>
      <c r="G135" s="29" t="n"/>
      <c r="H135" s="29" t="n"/>
    </row>
    <row r="136">
      <c r="A136" s="27" t="n">
        <v>45962</v>
      </c>
      <c r="B136" s="28" t="inlineStr">
        <is>
          <t>Beverages</t>
        </is>
      </c>
      <c r="C136" s="28" t="inlineStr">
        <is>
          <t>Actual</t>
        </is>
      </c>
      <c r="D136" s="29" t="n">
        <v>13854</v>
      </c>
      <c r="E136" s="29" t="n">
        <v>7096.65</v>
      </c>
      <c r="F136" s="30" t="n">
        <v>3400</v>
      </c>
      <c r="G136" s="29" t="n"/>
      <c r="H136" s="29" t="n"/>
    </row>
    <row r="137">
      <c r="A137" s="27" t="n">
        <v>45962</v>
      </c>
      <c r="B137" s="28" t="inlineStr">
        <is>
          <t>Dairy</t>
        </is>
      </c>
      <c r="C137" s="28" t="inlineStr">
        <is>
          <t>Actual</t>
        </is>
      </c>
      <c r="D137" s="29" t="n">
        <v>14341.98</v>
      </c>
      <c r="E137" s="29" t="n">
        <v>4087.98</v>
      </c>
      <c r="F137" s="30" t="n">
        <v>2412</v>
      </c>
      <c r="G137" s="29" t="n"/>
      <c r="H137" s="29" t="n"/>
    </row>
    <row r="138">
      <c r="A138" s="27" t="n">
        <v>45962</v>
      </c>
      <c r="B138" s="28" t="inlineStr">
        <is>
          <t>Food To Go</t>
        </is>
      </c>
      <c r="C138" s="28" t="inlineStr">
        <is>
          <t>Actual</t>
        </is>
      </c>
      <c r="D138" s="29" t="n">
        <v>15347.1</v>
      </c>
      <c r="E138" s="29" t="n">
        <v>7307.2</v>
      </c>
      <c r="F138" s="30" t="n">
        <v>1940</v>
      </c>
      <c r="G138" s="29" t="n"/>
      <c r="H138" s="29" t="n"/>
    </row>
    <row r="139">
      <c r="A139" s="27" t="n">
        <v>45962</v>
      </c>
      <c r="B139" s="28" t="inlineStr">
        <is>
          <t>Frozen</t>
        </is>
      </c>
      <c r="C139" s="28" t="inlineStr">
        <is>
          <t>Actual</t>
        </is>
      </c>
      <c r="D139" s="29" t="n">
        <v>5427.65</v>
      </c>
      <c r="E139" s="29" t="n">
        <v>2364.25</v>
      </c>
      <c r="F139" s="30" t="n">
        <v>815</v>
      </c>
      <c r="G139" s="29" t="n"/>
      <c r="H139" s="29" t="n"/>
    </row>
    <row r="140">
      <c r="A140" s="27" t="n">
        <v>45962</v>
      </c>
      <c r="B140" s="28" t="inlineStr">
        <is>
          <t>Grocery</t>
        </is>
      </c>
      <c r="C140" s="28" t="inlineStr">
        <is>
          <t>Actual</t>
        </is>
      </c>
      <c r="D140" s="29" t="n">
        <v>7833.67</v>
      </c>
      <c r="E140" s="29" t="n">
        <v>2694.17</v>
      </c>
      <c r="F140" s="30" t="n">
        <v>1269</v>
      </c>
      <c r="G140" s="29" t="n"/>
      <c r="H140" s="29" t="n"/>
    </row>
    <row r="141">
      <c r="A141" s="27" t="n">
        <v>45962</v>
      </c>
      <c r="B141" s="28" t="inlineStr">
        <is>
          <t>Health &amp; Beauty</t>
        </is>
      </c>
      <c r="C141" s="28" t="inlineStr">
        <is>
          <t>Actual</t>
        </is>
      </c>
      <c r="D141" s="29" t="n">
        <v>1343.37</v>
      </c>
      <c r="E141" s="29" t="n">
        <v>666.77</v>
      </c>
      <c r="F141" s="30" t="n">
        <v>163</v>
      </c>
      <c r="G141" s="29" t="n"/>
      <c r="H141" s="29" t="n"/>
    </row>
    <row r="142">
      <c r="A142" s="27" t="n">
        <v>45962</v>
      </c>
      <c r="B142" s="28" t="inlineStr">
        <is>
          <t>Household</t>
        </is>
      </c>
      <c r="C142" s="28" t="inlineStr">
        <is>
          <t>Actual</t>
        </is>
      </c>
      <c r="D142" s="29" t="n">
        <v>2242.31</v>
      </c>
      <c r="E142" s="29" t="n">
        <v>924.41</v>
      </c>
      <c r="F142" s="30" t="n">
        <v>269</v>
      </c>
      <c r="G142" s="29" t="n"/>
      <c r="H142" s="29" t="n"/>
    </row>
    <row r="143">
      <c r="A143" s="27" t="n">
        <v>45962</v>
      </c>
      <c r="B143" s="28" t="inlineStr">
        <is>
          <t>Produce</t>
        </is>
      </c>
      <c r="C143" s="28" t="inlineStr">
        <is>
          <t>Actual</t>
        </is>
      </c>
      <c r="D143" s="29" t="n">
        <v>2016.36</v>
      </c>
      <c r="E143" s="29" t="n">
        <v>877.72</v>
      </c>
      <c r="F143" s="30" t="n">
        <v>1324</v>
      </c>
      <c r="G143" s="29" t="n"/>
      <c r="H143" s="29" t="n"/>
    </row>
    <row r="144">
      <c r="A144" s="27" t="n">
        <v>45962</v>
      </c>
      <c r="B144" s="28" t="inlineStr">
        <is>
          <t>Snacks &amp; Confectionery</t>
        </is>
      </c>
      <c r="C144" s="28" t="inlineStr">
        <is>
          <t>Actual</t>
        </is>
      </c>
      <c r="D144" s="29" t="n">
        <v>8124.94</v>
      </c>
      <c r="E144" s="29" t="n">
        <v>3596.54</v>
      </c>
      <c r="F144" s="30" t="n">
        <v>1866</v>
      </c>
      <c r="G144" s="29" t="n"/>
      <c r="H144" s="29" t="n"/>
    </row>
    <row r="145">
      <c r="A145" s="27" t="n">
        <v>45992</v>
      </c>
      <c r="B145" s="28" t="inlineStr">
        <is>
          <t>Bakery</t>
        </is>
      </c>
      <c r="C145" s="28" t="inlineStr">
        <is>
          <t>Actual</t>
        </is>
      </c>
      <c r="D145" s="29" t="n">
        <v>5511.33</v>
      </c>
      <c r="E145" s="29" t="n">
        <v>2136.03</v>
      </c>
      <c r="F145" s="30" t="n">
        <v>1337</v>
      </c>
      <c r="G145" s="29" t="n"/>
      <c r="H145" s="29" t="n"/>
    </row>
    <row r="146">
      <c r="A146" s="27" t="n">
        <v>45992</v>
      </c>
      <c r="B146" s="28" t="inlineStr">
        <is>
          <t>Beer &amp; Wine</t>
        </is>
      </c>
      <c r="C146" s="28" t="inlineStr">
        <is>
          <t>Actual</t>
        </is>
      </c>
      <c r="D146" s="29" t="n">
        <v>13317.28</v>
      </c>
      <c r="E146" s="29" t="n">
        <v>4354.78</v>
      </c>
      <c r="F146" s="30" t="n">
        <v>692</v>
      </c>
      <c r="G146" s="29" t="n"/>
      <c r="H146" s="29" t="n"/>
    </row>
    <row r="147">
      <c r="A147" s="27" t="n">
        <v>45992</v>
      </c>
      <c r="B147" s="28" t="inlineStr">
        <is>
          <t>Beverages</t>
        </is>
      </c>
      <c r="C147" s="28" t="inlineStr">
        <is>
          <t>Actual</t>
        </is>
      </c>
      <c r="D147" s="29" t="n">
        <v>17451.44</v>
      </c>
      <c r="E147" s="29" t="n">
        <v>8780.09</v>
      </c>
      <c r="F147" s="30" t="n">
        <v>4386</v>
      </c>
      <c r="G147" s="29" t="n"/>
      <c r="H147" s="29" t="n"/>
    </row>
    <row r="148">
      <c r="A148" s="27" t="n">
        <v>45992</v>
      </c>
      <c r="B148" s="28" t="inlineStr">
        <is>
          <t>Dairy</t>
        </is>
      </c>
      <c r="C148" s="28" t="inlineStr">
        <is>
          <t>Actual</t>
        </is>
      </c>
      <c r="D148" s="29" t="n">
        <v>15001.63</v>
      </c>
      <c r="E148" s="29" t="n">
        <v>4260.58</v>
      </c>
      <c r="F148" s="30" t="n">
        <v>2551</v>
      </c>
      <c r="G148" s="29" t="n"/>
      <c r="H148" s="29" t="n"/>
    </row>
    <row r="149">
      <c r="A149" s="27" t="n">
        <v>45992</v>
      </c>
      <c r="B149" s="28" t="inlineStr">
        <is>
          <t>Food To Go</t>
        </is>
      </c>
      <c r="C149" s="28" t="inlineStr">
        <is>
          <t>Actual</t>
        </is>
      </c>
      <c r="D149" s="29" t="n">
        <v>17693.85</v>
      </c>
      <c r="E149" s="29" t="n">
        <v>8394.75</v>
      </c>
      <c r="F149" s="30" t="n">
        <v>2215</v>
      </c>
      <c r="G149" s="29" t="n"/>
      <c r="H149" s="29" t="n"/>
    </row>
    <row r="150">
      <c r="A150" s="27" t="n">
        <v>45992</v>
      </c>
      <c r="B150" s="28" t="inlineStr">
        <is>
          <t>Frozen</t>
        </is>
      </c>
      <c r="C150" s="28" t="inlineStr">
        <is>
          <t>Actual</t>
        </is>
      </c>
      <c r="D150" s="29" t="n">
        <v>5789.71</v>
      </c>
      <c r="E150" s="29" t="n">
        <v>2604.51</v>
      </c>
      <c r="F150" s="30" t="n">
        <v>929</v>
      </c>
      <c r="G150" s="29" t="n"/>
      <c r="H150" s="29" t="n"/>
    </row>
    <row r="151">
      <c r="A151" s="27" t="n">
        <v>45992</v>
      </c>
      <c r="B151" s="28" t="inlineStr">
        <is>
          <t>Grocery</t>
        </is>
      </c>
      <c r="C151" s="28" t="inlineStr">
        <is>
          <t>Actual</t>
        </is>
      </c>
      <c r="D151" s="29" t="n">
        <v>8345.77</v>
      </c>
      <c r="E151" s="29" t="n">
        <v>2864.07</v>
      </c>
      <c r="F151" s="30" t="n">
        <v>1347</v>
      </c>
      <c r="G151" s="29" t="n"/>
      <c r="H151" s="29" t="n"/>
    </row>
    <row r="152">
      <c r="A152" s="27" t="n">
        <v>45992</v>
      </c>
      <c r="B152" s="28" t="inlineStr">
        <is>
          <t>Health &amp; Beauty</t>
        </is>
      </c>
      <c r="C152" s="28" t="inlineStr">
        <is>
          <t>Actual</t>
        </is>
      </c>
      <c r="D152" s="29" t="n">
        <v>1284.47</v>
      </c>
      <c r="E152" s="29" t="n">
        <v>630.47</v>
      </c>
      <c r="F152" s="30" t="n">
        <v>153</v>
      </c>
      <c r="G152" s="29" t="n"/>
      <c r="H152" s="29" t="n"/>
    </row>
    <row r="153">
      <c r="A153" s="27" t="n">
        <v>45992</v>
      </c>
      <c r="B153" s="28" t="inlineStr">
        <is>
          <t>Household</t>
        </is>
      </c>
      <c r="C153" s="28" t="inlineStr">
        <is>
          <t>Actual</t>
        </is>
      </c>
      <c r="D153" s="29" t="n">
        <v>2466.05</v>
      </c>
      <c r="E153" s="29" t="n">
        <v>977.75</v>
      </c>
      <c r="F153" s="30" t="n">
        <v>295</v>
      </c>
      <c r="G153" s="29" t="n"/>
      <c r="H153" s="29" t="n"/>
    </row>
    <row r="154">
      <c r="A154" s="27" t="n">
        <v>45992</v>
      </c>
      <c r="B154" s="28" t="inlineStr">
        <is>
          <t>Produce</t>
        </is>
      </c>
      <c r="C154" s="28" t="inlineStr">
        <is>
          <t>Actual</t>
        </is>
      </c>
      <c r="D154" s="29" t="n">
        <v>2416.57</v>
      </c>
      <c r="E154" s="29" t="n">
        <v>1049.09</v>
      </c>
      <c r="F154" s="30" t="n">
        <v>1513</v>
      </c>
      <c r="G154" s="29" t="n"/>
      <c r="H154" s="29" t="n"/>
    </row>
    <row r="155">
      <c r="A155" s="27" t="n">
        <v>45992</v>
      </c>
      <c r="B155" s="28" t="inlineStr">
        <is>
          <t>Snacks &amp; Confectionery</t>
        </is>
      </c>
      <c r="C155" s="28" t="inlineStr">
        <is>
          <t>Actual</t>
        </is>
      </c>
      <c r="D155" s="29" t="n">
        <v>8961.67</v>
      </c>
      <c r="E155" s="29" t="n">
        <v>3969.67</v>
      </c>
      <c r="F155" s="30" t="n">
        <v>2067</v>
      </c>
      <c r="G155" s="29" t="n"/>
      <c r="H155" s="29" t="n"/>
    </row>
    <row r="156">
      <c r="A156" s="27" t="n">
        <v>46023</v>
      </c>
      <c r="B156" s="28" t="inlineStr">
        <is>
          <t>Bakery</t>
        </is>
      </c>
      <c r="C156" s="28" t="inlineStr">
        <is>
          <t>Actual</t>
        </is>
      </c>
      <c r="D156" s="29" t="n">
        <v>4281.44</v>
      </c>
      <c r="E156" s="29" t="n">
        <v>1661.04</v>
      </c>
      <c r="F156" s="30" t="n">
        <v>1036</v>
      </c>
      <c r="G156" s="29" t="n"/>
      <c r="H156" s="29" t="n"/>
    </row>
    <row r="157">
      <c r="A157" s="27" t="n">
        <v>46023</v>
      </c>
      <c r="B157" s="28" t="inlineStr">
        <is>
          <t>Beer &amp; Wine</t>
        </is>
      </c>
      <c r="C157" s="28" t="inlineStr">
        <is>
          <t>Actual</t>
        </is>
      </c>
      <c r="D157" s="29" t="n">
        <v>11859.8</v>
      </c>
      <c r="E157" s="29" t="n">
        <v>4086.5</v>
      </c>
      <c r="F157" s="30" t="n">
        <v>620</v>
      </c>
      <c r="G157" s="29" t="n"/>
      <c r="H157" s="29" t="n"/>
    </row>
    <row r="158">
      <c r="A158" s="27" t="n">
        <v>46023</v>
      </c>
      <c r="B158" s="28" t="inlineStr">
        <is>
          <t>Beverages</t>
        </is>
      </c>
      <c r="C158" s="28" t="inlineStr">
        <is>
          <t>Actual</t>
        </is>
      </c>
      <c r="D158" s="29" t="n">
        <v>14043.27</v>
      </c>
      <c r="E158" s="29" t="n">
        <v>7192.42</v>
      </c>
      <c r="F158" s="30" t="n">
        <v>3473</v>
      </c>
      <c r="G158" s="29" t="n"/>
      <c r="H158" s="29" t="n"/>
    </row>
    <row r="159">
      <c r="A159" s="27" t="n">
        <v>46023</v>
      </c>
      <c r="B159" s="28" t="inlineStr">
        <is>
          <t>Dairy</t>
        </is>
      </c>
      <c r="C159" s="28" t="inlineStr">
        <is>
          <t>Actual</t>
        </is>
      </c>
      <c r="D159" s="29" t="n">
        <v>12543.02</v>
      </c>
      <c r="E159" s="29" t="n">
        <v>3453.42</v>
      </c>
      <c r="F159" s="30" t="n">
        <v>2196</v>
      </c>
      <c r="G159" s="29" t="n"/>
      <c r="H159" s="29" t="n"/>
    </row>
    <row r="160">
      <c r="A160" s="27" t="n">
        <v>46023</v>
      </c>
      <c r="B160" s="28" t="inlineStr">
        <is>
          <t>Food To Go</t>
        </is>
      </c>
      <c r="C160" s="28" t="inlineStr">
        <is>
          <t>Actual</t>
        </is>
      </c>
      <c r="D160" s="29" t="n">
        <v>15337.61</v>
      </c>
      <c r="E160" s="29" t="n">
        <v>7200.11</v>
      </c>
      <c r="F160" s="30" t="n">
        <v>1909</v>
      </c>
      <c r="G160" s="29" t="n"/>
      <c r="H160" s="29" t="n"/>
    </row>
    <row r="161">
      <c r="A161" s="27" t="n">
        <v>46023</v>
      </c>
      <c r="B161" s="28" t="inlineStr">
        <is>
          <t>Frozen</t>
        </is>
      </c>
      <c r="C161" s="28" t="inlineStr">
        <is>
          <t>Actual</t>
        </is>
      </c>
      <c r="D161" s="29" t="n">
        <v>5467.39</v>
      </c>
      <c r="E161" s="29" t="n">
        <v>2429.79</v>
      </c>
      <c r="F161" s="30" t="n">
        <v>841</v>
      </c>
      <c r="G161" s="29" t="n"/>
      <c r="H161" s="29" t="n"/>
    </row>
    <row r="162">
      <c r="A162" s="27" t="n">
        <v>46023</v>
      </c>
      <c r="B162" s="28" t="inlineStr">
        <is>
          <t>Grocery</t>
        </is>
      </c>
      <c r="C162" s="28" t="inlineStr">
        <is>
          <t>Actual</t>
        </is>
      </c>
      <c r="D162" s="29" t="n">
        <v>6720.75</v>
      </c>
      <c r="E162" s="29" t="n">
        <v>2282.95</v>
      </c>
      <c r="F162" s="30" t="n">
        <v>1055</v>
      </c>
      <c r="G162" s="29" t="n"/>
      <c r="H162" s="29" t="n"/>
    </row>
    <row r="163">
      <c r="A163" s="27" t="n">
        <v>46023</v>
      </c>
      <c r="B163" s="28" t="inlineStr">
        <is>
          <t>Health &amp; Beauty</t>
        </is>
      </c>
      <c r="C163" s="28" t="inlineStr">
        <is>
          <t>Actual</t>
        </is>
      </c>
      <c r="D163" s="29" t="n">
        <v>1767.19</v>
      </c>
      <c r="E163" s="29" t="n">
        <v>850.59</v>
      </c>
      <c r="F163" s="30" t="n">
        <v>181</v>
      </c>
      <c r="G163" s="29" t="n"/>
      <c r="H163" s="29" t="n"/>
    </row>
    <row r="164">
      <c r="A164" s="27" t="n">
        <v>46023</v>
      </c>
      <c r="B164" s="28" t="inlineStr">
        <is>
          <t>Household</t>
        </is>
      </c>
      <c r="C164" s="28" t="inlineStr">
        <is>
          <t>Actual</t>
        </is>
      </c>
      <c r="D164" s="29" t="n">
        <v>2340.06</v>
      </c>
      <c r="E164" s="29" t="n">
        <v>945.86</v>
      </c>
      <c r="F164" s="30" t="n">
        <v>294</v>
      </c>
      <c r="G164" s="29" t="n"/>
      <c r="H164" s="29" t="n"/>
    </row>
    <row r="165">
      <c r="A165" s="27" t="n">
        <v>46023</v>
      </c>
      <c r="B165" s="28" t="inlineStr">
        <is>
          <t>Produce</t>
        </is>
      </c>
      <c r="C165" s="28" t="inlineStr">
        <is>
          <t>Actual</t>
        </is>
      </c>
      <c r="D165" s="29" t="n">
        <v>2178.64</v>
      </c>
      <c r="E165" s="29" t="n">
        <v>930.74</v>
      </c>
      <c r="F165" s="30" t="n">
        <v>1336</v>
      </c>
      <c r="G165" s="29" t="n"/>
      <c r="H165" s="29" t="n"/>
    </row>
    <row r="166">
      <c r="A166" s="27" t="n">
        <v>46023</v>
      </c>
      <c r="B166" s="28" t="inlineStr">
        <is>
          <t>Snacks &amp; Confectionery</t>
        </is>
      </c>
      <c r="C166" s="28" t="inlineStr">
        <is>
          <t>Actual</t>
        </is>
      </c>
      <c r="D166" s="29" t="n">
        <v>7742.34</v>
      </c>
      <c r="E166" s="29" t="n">
        <v>3349.84</v>
      </c>
      <c r="F166" s="30" t="n">
        <v>1800</v>
      </c>
      <c r="G166" s="29" t="n"/>
      <c r="H166" s="29" t="n"/>
    </row>
    <row r="167">
      <c r="A167" s="27" t="n">
        <v>46054</v>
      </c>
      <c r="B167" s="28" t="inlineStr">
        <is>
          <t>Bakery</t>
        </is>
      </c>
      <c r="C167" s="28" t="inlineStr">
        <is>
          <t>Actual</t>
        </is>
      </c>
      <c r="D167" s="29" t="n">
        <v>4381.72</v>
      </c>
      <c r="E167" s="29" t="n">
        <v>1670.32</v>
      </c>
      <c r="F167" s="30" t="n">
        <v>1076</v>
      </c>
      <c r="G167" s="29" t="n"/>
      <c r="H167" s="29" t="n"/>
    </row>
    <row r="168">
      <c r="A168" s="27" t="n">
        <v>46054</v>
      </c>
      <c r="B168" s="28" t="inlineStr">
        <is>
          <t>Beer &amp; Wine</t>
        </is>
      </c>
      <c r="C168" s="28" t="inlineStr">
        <is>
          <t>Actual</t>
        </is>
      </c>
      <c r="D168" s="29" t="n">
        <v>11888.7</v>
      </c>
      <c r="E168" s="29" t="n">
        <v>3934.9</v>
      </c>
      <c r="F168" s="30" t="n">
        <v>630</v>
      </c>
      <c r="G168" s="29" t="n"/>
      <c r="H168" s="29" t="n"/>
    </row>
    <row r="169">
      <c r="A169" s="27" t="n">
        <v>46054</v>
      </c>
      <c r="B169" s="28" t="inlineStr">
        <is>
          <t>Beverages</t>
        </is>
      </c>
      <c r="C169" s="28" t="inlineStr">
        <is>
          <t>Actual</t>
        </is>
      </c>
      <c r="D169" s="29" t="n">
        <v>14469.74</v>
      </c>
      <c r="E169" s="29" t="n">
        <v>7424.19</v>
      </c>
      <c r="F169" s="30" t="n">
        <v>3526</v>
      </c>
      <c r="G169" s="29" t="n"/>
      <c r="H169" s="29" t="n"/>
    </row>
    <row r="170">
      <c r="A170" s="27" t="n">
        <v>46054</v>
      </c>
      <c r="B170" s="28" t="inlineStr">
        <is>
          <t>Dairy</t>
        </is>
      </c>
      <c r="C170" s="28" t="inlineStr">
        <is>
          <t>Actual</t>
        </is>
      </c>
      <c r="D170" s="29" t="n">
        <v>13028.62</v>
      </c>
      <c r="E170" s="29" t="n">
        <v>3654.17</v>
      </c>
      <c r="F170" s="30" t="n">
        <v>2218</v>
      </c>
      <c r="G170" s="29" t="n"/>
      <c r="H170" s="29" t="n"/>
    </row>
    <row r="171">
      <c r="A171" s="27" t="n">
        <v>46054</v>
      </c>
      <c r="B171" s="28" t="inlineStr">
        <is>
          <t>Food To Go</t>
        </is>
      </c>
      <c r="C171" s="28" t="inlineStr">
        <is>
          <t>Actual</t>
        </is>
      </c>
      <c r="D171" s="29" t="n">
        <v>14791.86</v>
      </c>
      <c r="E171" s="29" t="n">
        <v>6986.16</v>
      </c>
      <c r="F171" s="30" t="n">
        <v>1854</v>
      </c>
      <c r="G171" s="29" t="n"/>
      <c r="H171" s="29" t="n"/>
    </row>
    <row r="172">
      <c r="A172" s="27" t="n">
        <v>46054</v>
      </c>
      <c r="B172" s="28" t="inlineStr">
        <is>
          <t>Frozen</t>
        </is>
      </c>
      <c r="C172" s="28" t="inlineStr">
        <is>
          <t>Actual</t>
        </is>
      </c>
      <c r="D172" s="29" t="n">
        <v>5652.48</v>
      </c>
      <c r="E172" s="29" t="n">
        <v>2486.68</v>
      </c>
      <c r="F172" s="30" t="n">
        <v>872</v>
      </c>
      <c r="G172" s="29" t="n"/>
      <c r="H172" s="29" t="n"/>
    </row>
    <row r="173">
      <c r="A173" s="27" t="n">
        <v>46054</v>
      </c>
      <c r="B173" s="28" t="inlineStr">
        <is>
          <t>Grocery</t>
        </is>
      </c>
      <c r="C173" s="28" t="inlineStr">
        <is>
          <t>Actual</t>
        </is>
      </c>
      <c r="D173" s="29" t="n">
        <v>6726.77</v>
      </c>
      <c r="E173" s="29" t="n">
        <v>2336.87</v>
      </c>
      <c r="F173" s="30" t="n">
        <v>1123</v>
      </c>
      <c r="G173" s="29" t="n"/>
      <c r="H173" s="29" t="n"/>
    </row>
    <row r="174">
      <c r="A174" s="27" t="n">
        <v>46054</v>
      </c>
      <c r="B174" s="28" t="inlineStr">
        <is>
          <t>Health &amp; Beauty</t>
        </is>
      </c>
      <c r="C174" s="28" t="inlineStr">
        <is>
          <t>Actual</t>
        </is>
      </c>
      <c r="D174" s="29" t="n">
        <v>1388.49</v>
      </c>
      <c r="E174" s="29" t="n">
        <v>651.89</v>
      </c>
      <c r="F174" s="30" t="n">
        <v>151</v>
      </c>
      <c r="G174" s="29" t="n"/>
      <c r="H174" s="29" t="n"/>
    </row>
    <row r="175">
      <c r="A175" s="27" t="n">
        <v>46054</v>
      </c>
      <c r="B175" s="28" t="inlineStr">
        <is>
          <t>Household</t>
        </is>
      </c>
      <c r="C175" s="28" t="inlineStr">
        <is>
          <t>Actual</t>
        </is>
      </c>
      <c r="D175" s="29" t="n">
        <v>2040.5</v>
      </c>
      <c r="E175" s="29" t="n">
        <v>816.5</v>
      </c>
      <c r="F175" s="30" t="n">
        <v>250</v>
      </c>
      <c r="G175" s="29" t="n"/>
      <c r="H175" s="29" t="n"/>
    </row>
    <row r="176">
      <c r="A176" s="27" t="n">
        <v>46054</v>
      </c>
      <c r="B176" s="28" t="inlineStr">
        <is>
          <t>Produce</t>
        </is>
      </c>
      <c r="C176" s="28" t="inlineStr">
        <is>
          <t>Actual</t>
        </is>
      </c>
      <c r="D176" s="29" t="n">
        <v>1969.9</v>
      </c>
      <c r="E176" s="29" t="n">
        <v>845.8</v>
      </c>
      <c r="F176" s="30" t="n">
        <v>1260</v>
      </c>
      <c r="G176" s="29" t="n"/>
      <c r="H176" s="29" t="n"/>
    </row>
    <row r="177">
      <c r="A177" s="27" t="n">
        <v>46054</v>
      </c>
      <c r="B177" s="28" t="inlineStr">
        <is>
          <t>Snacks &amp; Confectionery</t>
        </is>
      </c>
      <c r="C177" s="28" t="inlineStr">
        <is>
          <t>Actual</t>
        </is>
      </c>
      <c r="D177" s="29" t="n">
        <v>7725.63</v>
      </c>
      <c r="E177" s="29" t="n">
        <v>3456.63</v>
      </c>
      <c r="F177" s="30" t="n">
        <v>1777</v>
      </c>
      <c r="G177" s="29" t="n"/>
      <c r="H177" s="29" t="n"/>
    </row>
    <row r="178">
      <c r="A178" s="27" t="n">
        <v>46082</v>
      </c>
      <c r="B178" s="28" t="inlineStr">
        <is>
          <t>Bakery</t>
        </is>
      </c>
      <c r="C178" s="28" t="inlineStr">
        <is>
          <t>Actual</t>
        </is>
      </c>
      <c r="D178" s="29" t="n">
        <v>4648.97</v>
      </c>
      <c r="E178" s="29" t="n">
        <v>1783.07</v>
      </c>
      <c r="F178" s="30" t="n">
        <v>1127</v>
      </c>
      <c r="G178" s="29" t="n"/>
      <c r="H178" s="29" t="n"/>
    </row>
    <row r="179">
      <c r="A179" s="27" t="n">
        <v>46082</v>
      </c>
      <c r="B179" s="28" t="inlineStr">
        <is>
          <t>Beer &amp; Wine</t>
        </is>
      </c>
      <c r="C179" s="28" t="inlineStr">
        <is>
          <t>Actual</t>
        </is>
      </c>
      <c r="D179" s="29" t="n">
        <v>11224.21</v>
      </c>
      <c r="E179" s="29" t="n">
        <v>3873.51</v>
      </c>
      <c r="F179" s="30" t="n">
        <v>579</v>
      </c>
      <c r="G179" s="29" t="n"/>
      <c r="H179" s="29" t="n"/>
    </row>
    <row r="180">
      <c r="A180" s="27" t="n">
        <v>46082</v>
      </c>
      <c r="B180" s="28" t="inlineStr">
        <is>
          <t>Beverages</t>
        </is>
      </c>
      <c r="C180" s="28" t="inlineStr">
        <is>
          <t>Actual</t>
        </is>
      </c>
      <c r="D180" s="29" t="n">
        <v>15274.67</v>
      </c>
      <c r="E180" s="29" t="n">
        <v>7823.52</v>
      </c>
      <c r="F180" s="30" t="n">
        <v>3721</v>
      </c>
      <c r="G180" s="29" t="n"/>
      <c r="H180" s="29" t="n"/>
    </row>
    <row r="181">
      <c r="A181" s="27" t="n">
        <v>46082</v>
      </c>
      <c r="B181" s="28" t="inlineStr">
        <is>
          <t>Dairy</t>
        </is>
      </c>
      <c r="C181" s="28" t="inlineStr">
        <is>
          <t>Actual</t>
        </is>
      </c>
      <c r="D181" s="29" t="n">
        <v>14328.13</v>
      </c>
      <c r="E181" s="29" t="n">
        <v>3918.58</v>
      </c>
      <c r="F181" s="30" t="n">
        <v>2523</v>
      </c>
      <c r="G181" s="29" t="n"/>
      <c r="H181" s="29" t="n"/>
    </row>
    <row r="182">
      <c r="A182" s="27" t="n">
        <v>46082</v>
      </c>
      <c r="B182" s="28" t="inlineStr">
        <is>
          <t>Food To Go</t>
        </is>
      </c>
      <c r="C182" s="28" t="inlineStr">
        <is>
          <t>Actual</t>
        </is>
      </c>
      <c r="D182" s="29" t="n">
        <v>16596.74</v>
      </c>
      <c r="E182" s="29" t="n">
        <v>7893.54</v>
      </c>
      <c r="F182" s="30" t="n">
        <v>2106</v>
      </c>
      <c r="G182" s="29" t="n"/>
      <c r="H182" s="29" t="n"/>
    </row>
    <row r="183">
      <c r="A183" s="27" t="n">
        <v>46082</v>
      </c>
      <c r="B183" s="28" t="inlineStr">
        <is>
          <t>Frozen</t>
        </is>
      </c>
      <c r="C183" s="28" t="inlineStr">
        <is>
          <t>Actual</t>
        </is>
      </c>
      <c r="D183" s="29" t="n">
        <v>5556.4</v>
      </c>
      <c r="E183" s="29" t="n">
        <v>2473.3</v>
      </c>
      <c r="F183" s="30" t="n">
        <v>860</v>
      </c>
      <c r="G183" s="29" t="n"/>
      <c r="H183" s="29" t="n"/>
    </row>
    <row r="184">
      <c r="A184" s="27" t="n">
        <v>46082</v>
      </c>
      <c r="B184" s="28" t="inlineStr">
        <is>
          <t>Grocery</t>
        </is>
      </c>
      <c r="C184" s="28" t="inlineStr">
        <is>
          <t>Actual</t>
        </is>
      </c>
      <c r="D184" s="29" t="n">
        <v>7658.37</v>
      </c>
      <c r="E184" s="29" t="n">
        <v>2663.37</v>
      </c>
      <c r="F184" s="30" t="n">
        <v>1289</v>
      </c>
      <c r="G184" s="29" t="n"/>
      <c r="H184" s="29" t="n"/>
    </row>
    <row r="185">
      <c r="A185" s="27" t="n">
        <v>46082</v>
      </c>
      <c r="B185" s="28" t="inlineStr">
        <is>
          <t>Health &amp; Beauty</t>
        </is>
      </c>
      <c r="C185" s="28" t="inlineStr">
        <is>
          <t>Actual</t>
        </is>
      </c>
      <c r="D185" s="29" t="n">
        <v>1517.52</v>
      </c>
      <c r="E185" s="29" t="n">
        <v>748.12</v>
      </c>
      <c r="F185" s="30" t="n">
        <v>188</v>
      </c>
      <c r="G185" s="29" t="n"/>
      <c r="H185" s="29" t="n"/>
    </row>
    <row r="186">
      <c r="A186" s="27" t="n">
        <v>46082</v>
      </c>
      <c r="B186" s="28" t="inlineStr">
        <is>
          <t>Household</t>
        </is>
      </c>
      <c r="C186" s="28" t="inlineStr">
        <is>
          <t>Actual</t>
        </is>
      </c>
      <c r="D186" s="29" t="n">
        <v>2350.21</v>
      </c>
      <c r="E186" s="29" t="n">
        <v>994.11</v>
      </c>
      <c r="F186" s="30" t="n">
        <v>279</v>
      </c>
      <c r="G186" s="29" t="n"/>
      <c r="H186" s="29" t="n"/>
    </row>
    <row r="187">
      <c r="A187" s="27" t="n">
        <v>46082</v>
      </c>
      <c r="B187" s="28" t="inlineStr">
        <is>
          <t>Produce</t>
        </is>
      </c>
      <c r="C187" s="28" t="inlineStr">
        <is>
          <t>Actual</t>
        </is>
      </c>
      <c r="D187" s="29" t="n">
        <v>2164.05</v>
      </c>
      <c r="E187" s="29" t="n">
        <v>942.01</v>
      </c>
      <c r="F187" s="30" t="n">
        <v>1405</v>
      </c>
      <c r="G187" s="29" t="n"/>
      <c r="H187" s="29" t="n"/>
    </row>
    <row r="188">
      <c r="A188" s="27" t="n">
        <v>46082</v>
      </c>
      <c r="B188" s="28" t="inlineStr">
        <is>
          <t>Snacks &amp; Confectionery</t>
        </is>
      </c>
      <c r="C188" s="28" t="inlineStr">
        <is>
          <t>Actual</t>
        </is>
      </c>
      <c r="D188" s="29" t="n">
        <v>8536.48</v>
      </c>
      <c r="E188" s="29" t="n">
        <v>3832.08</v>
      </c>
      <c r="F188" s="30" t="n">
        <v>1942</v>
      </c>
      <c r="G188" s="29" t="n"/>
      <c r="H188" s="29" t="n"/>
    </row>
    <row r="189">
      <c r="A189" s="27" t="n">
        <v>46113</v>
      </c>
      <c r="B189" s="28" t="inlineStr">
        <is>
          <t>Bakery</t>
        </is>
      </c>
      <c r="C189" s="28" t="inlineStr">
        <is>
          <t>Actual</t>
        </is>
      </c>
      <c r="D189" s="29" t="n">
        <v>4625.79</v>
      </c>
      <c r="E189" s="29" t="n">
        <v>1759.39</v>
      </c>
      <c r="F189" s="30" t="n">
        <v>1141</v>
      </c>
      <c r="G189" s="29" t="n"/>
      <c r="H189" s="29" t="n"/>
    </row>
    <row r="190">
      <c r="A190" s="27" t="n">
        <v>46113</v>
      </c>
      <c r="B190" s="28" t="inlineStr">
        <is>
          <t>Beer &amp; Wine</t>
        </is>
      </c>
      <c r="C190" s="28" t="inlineStr">
        <is>
          <t>Actual</t>
        </is>
      </c>
      <c r="D190" s="29" t="n">
        <v>9676.52</v>
      </c>
      <c r="E190" s="29" t="n">
        <v>3215.02</v>
      </c>
      <c r="F190" s="30" t="n">
        <v>508</v>
      </c>
      <c r="G190" s="29" t="n"/>
      <c r="H190" s="29" t="n"/>
    </row>
    <row r="191">
      <c r="A191" s="27" t="n">
        <v>46113</v>
      </c>
      <c r="B191" s="28" t="inlineStr">
        <is>
          <t>Beverages</t>
        </is>
      </c>
      <c r="C191" s="28" t="inlineStr">
        <is>
          <t>Actual</t>
        </is>
      </c>
      <c r="D191" s="29" t="n">
        <v>12524.09</v>
      </c>
      <c r="E191" s="29" t="n">
        <v>6374.14</v>
      </c>
      <c r="F191" s="30" t="n">
        <v>3081</v>
      </c>
      <c r="G191" s="29" t="n"/>
      <c r="H191" s="29" t="n"/>
    </row>
    <row r="192">
      <c r="A192" s="27" t="n">
        <v>46113</v>
      </c>
      <c r="B192" s="28" t="inlineStr">
        <is>
          <t>Dairy</t>
        </is>
      </c>
      <c r="C192" s="28" t="inlineStr">
        <is>
          <t>Actual</t>
        </is>
      </c>
      <c r="D192" s="29" t="n">
        <v>13860.95</v>
      </c>
      <c r="E192" s="29" t="n">
        <v>3828.4</v>
      </c>
      <c r="F192" s="30" t="n">
        <v>2379</v>
      </c>
      <c r="G192" s="29" t="n"/>
      <c r="H192" s="29" t="n"/>
    </row>
    <row r="193">
      <c r="A193" s="27" t="n">
        <v>46113</v>
      </c>
      <c r="B193" s="28" t="inlineStr">
        <is>
          <t>Food To Go</t>
        </is>
      </c>
      <c r="C193" s="28" t="inlineStr">
        <is>
          <t>Actual</t>
        </is>
      </c>
      <c r="D193" s="29" t="n">
        <v>14309.01</v>
      </c>
      <c r="E193" s="29" t="n">
        <v>6794.51</v>
      </c>
      <c r="F193" s="30" t="n">
        <v>1889</v>
      </c>
      <c r="G193" s="29" t="n"/>
      <c r="H193" s="29" t="n"/>
    </row>
    <row r="194">
      <c r="A194" s="27" t="n">
        <v>46113</v>
      </c>
      <c r="B194" s="28" t="inlineStr">
        <is>
          <t>Frozen</t>
        </is>
      </c>
      <c r="C194" s="28" t="inlineStr">
        <is>
          <t>Actual</t>
        </is>
      </c>
      <c r="D194" s="29" t="n">
        <v>5627.75</v>
      </c>
      <c r="E194" s="29" t="n">
        <v>2475.45</v>
      </c>
      <c r="F194" s="30" t="n">
        <v>825</v>
      </c>
      <c r="G194" s="29" t="n"/>
      <c r="H194" s="29" t="n"/>
    </row>
    <row r="195">
      <c r="A195" s="27" t="n">
        <v>46113</v>
      </c>
      <c r="B195" s="28" t="inlineStr">
        <is>
          <t>Grocery</t>
        </is>
      </c>
      <c r="C195" s="28" t="inlineStr">
        <is>
          <t>Actual</t>
        </is>
      </c>
      <c r="D195" s="29" t="n">
        <v>8187.63</v>
      </c>
      <c r="E195" s="29" t="n">
        <v>2721.53</v>
      </c>
      <c r="F195" s="30" t="n">
        <v>1315</v>
      </c>
      <c r="G195" s="29" t="n"/>
      <c r="H195" s="29" t="n"/>
    </row>
    <row r="196">
      <c r="A196" s="27" t="n">
        <v>46113</v>
      </c>
      <c r="B196" s="28" t="inlineStr">
        <is>
          <t>Health &amp; Beauty</t>
        </is>
      </c>
      <c r="C196" s="28" t="inlineStr">
        <is>
          <t>Actual</t>
        </is>
      </c>
      <c r="D196" s="29" t="n">
        <v>1426.19</v>
      </c>
      <c r="E196" s="29" t="n">
        <v>714.1900000000001</v>
      </c>
      <c r="F196" s="30" t="n">
        <v>181</v>
      </c>
      <c r="G196" s="29" t="n"/>
      <c r="H196" s="29" t="n"/>
    </row>
    <row r="197">
      <c r="A197" s="27" t="n">
        <v>46113</v>
      </c>
      <c r="B197" s="28" t="inlineStr">
        <is>
          <t>Household</t>
        </is>
      </c>
      <c r="C197" s="28" t="inlineStr">
        <is>
          <t>Actual</t>
        </is>
      </c>
      <c r="D197" s="29" t="n">
        <v>2181.87</v>
      </c>
      <c r="E197" s="29" t="n">
        <v>846.37</v>
      </c>
      <c r="F197" s="30" t="n">
        <v>273</v>
      </c>
      <c r="G197" s="29" t="n"/>
      <c r="H197" s="29" t="n"/>
    </row>
    <row r="198">
      <c r="A198" s="27" t="n">
        <v>46113</v>
      </c>
      <c r="B198" s="28" t="inlineStr">
        <is>
          <t>Produce</t>
        </is>
      </c>
      <c r="C198" s="28" t="inlineStr">
        <is>
          <t>Actual</t>
        </is>
      </c>
      <c r="D198" s="29" t="n">
        <v>1885.88</v>
      </c>
      <c r="E198" s="29" t="n">
        <v>811.34</v>
      </c>
      <c r="F198" s="30" t="n">
        <v>1272</v>
      </c>
      <c r="G198" s="29" t="n"/>
      <c r="H198" s="29" t="n"/>
    </row>
    <row r="199">
      <c r="A199" s="27" t="n">
        <v>46113</v>
      </c>
      <c r="B199" s="28" t="inlineStr">
        <is>
          <t>Snacks &amp; Confectionery</t>
        </is>
      </c>
      <c r="C199" s="28" t="inlineStr">
        <is>
          <t>Actual</t>
        </is>
      </c>
      <c r="D199" s="29" t="n">
        <v>8577.08</v>
      </c>
      <c r="E199" s="29" t="n">
        <v>3835.98</v>
      </c>
      <c r="F199" s="30" t="n">
        <v>1942</v>
      </c>
      <c r="G199" s="29" t="n"/>
      <c r="H199" s="29" t="n"/>
    </row>
    <row r="200">
      <c r="A200" s="27" t="n">
        <v>46143</v>
      </c>
      <c r="B200" s="28" t="inlineStr">
        <is>
          <t>Bakery</t>
        </is>
      </c>
      <c r="C200" s="28" t="inlineStr">
        <is>
          <t>Actual</t>
        </is>
      </c>
      <c r="D200" s="29" t="n">
        <v>4688.82</v>
      </c>
      <c r="E200" s="29" t="n">
        <v>1781.32</v>
      </c>
      <c r="F200" s="30" t="n">
        <v>1158</v>
      </c>
      <c r="G200" s="29" t="n"/>
      <c r="H200" s="29" t="n"/>
    </row>
    <row r="201">
      <c r="A201" s="27" t="n">
        <v>46143</v>
      </c>
      <c r="B201" s="28" t="inlineStr">
        <is>
          <t>Beer &amp; Wine</t>
        </is>
      </c>
      <c r="C201" s="28" t="inlineStr">
        <is>
          <t>Actual</t>
        </is>
      </c>
      <c r="D201" s="29" t="n">
        <v>9608.98</v>
      </c>
      <c r="E201" s="29" t="n">
        <v>3326.18</v>
      </c>
      <c r="F201" s="30" t="n">
        <v>502</v>
      </c>
      <c r="G201" s="29" t="n"/>
      <c r="H201" s="29" t="n"/>
    </row>
    <row r="202">
      <c r="A202" s="27" t="n">
        <v>46143</v>
      </c>
      <c r="B202" s="28" t="inlineStr">
        <is>
          <t>Beverages</t>
        </is>
      </c>
      <c r="C202" s="28" t="inlineStr">
        <is>
          <t>Actual</t>
        </is>
      </c>
      <c r="D202" s="29" t="n">
        <v>11145.84</v>
      </c>
      <c r="E202" s="29" t="n">
        <v>5598.39</v>
      </c>
      <c r="F202" s="30" t="n">
        <v>2742</v>
      </c>
      <c r="G202" s="29" t="n"/>
      <c r="H202" s="29" t="n"/>
    </row>
    <row r="203">
      <c r="A203" s="27" t="n">
        <v>46143</v>
      </c>
      <c r="B203" s="28" t="inlineStr">
        <is>
          <t>Dairy</t>
        </is>
      </c>
      <c r="C203" s="28" t="inlineStr">
        <is>
          <t>Actual</t>
        </is>
      </c>
      <c r="D203" s="29" t="n">
        <v>14187.93</v>
      </c>
      <c r="E203" s="29" t="n">
        <v>3793.98</v>
      </c>
      <c r="F203" s="30" t="n">
        <v>2491</v>
      </c>
      <c r="G203" s="29" t="n"/>
      <c r="H203" s="29" t="n"/>
    </row>
    <row r="204">
      <c r="A204" s="27" t="n">
        <v>46143</v>
      </c>
      <c r="B204" s="28" t="inlineStr">
        <is>
          <t>Food To Go</t>
        </is>
      </c>
      <c r="C204" s="28" t="inlineStr">
        <is>
          <t>Actual</t>
        </is>
      </c>
      <c r="D204" s="29" t="n">
        <v>16230.61</v>
      </c>
      <c r="E204" s="29" t="n">
        <v>7717.71</v>
      </c>
      <c r="F204" s="30" t="n">
        <v>2149</v>
      </c>
      <c r="G204" s="29" t="n"/>
      <c r="H204" s="29" t="n"/>
    </row>
    <row r="205">
      <c r="A205" s="27" t="n">
        <v>46143</v>
      </c>
      <c r="B205" s="28" t="inlineStr">
        <is>
          <t>Frozen</t>
        </is>
      </c>
      <c r="C205" s="28" t="inlineStr">
        <is>
          <t>Actual</t>
        </is>
      </c>
      <c r="D205" s="29" t="n">
        <v>6031.23</v>
      </c>
      <c r="E205" s="29" t="n">
        <v>2612.83</v>
      </c>
      <c r="F205" s="30" t="n">
        <v>857</v>
      </c>
      <c r="G205" s="29" t="n"/>
      <c r="H205" s="29" t="n"/>
    </row>
    <row r="206">
      <c r="A206" s="27" t="n">
        <v>46143</v>
      </c>
      <c r="B206" s="28" t="inlineStr">
        <is>
          <t>Grocery</t>
        </is>
      </c>
      <c r="C206" s="28" t="inlineStr">
        <is>
          <t>Actual</t>
        </is>
      </c>
      <c r="D206" s="29" t="n">
        <v>8359.299999999999</v>
      </c>
      <c r="E206" s="29" t="n">
        <v>2962.4</v>
      </c>
      <c r="F206" s="30" t="n">
        <v>1452</v>
      </c>
      <c r="G206" s="29" t="n"/>
      <c r="H206" s="29" t="n"/>
    </row>
    <row r="207">
      <c r="A207" s="27" t="n">
        <v>46143</v>
      </c>
      <c r="B207" s="28" t="inlineStr">
        <is>
          <t>Health &amp; Beauty</t>
        </is>
      </c>
      <c r="C207" s="28" t="inlineStr">
        <is>
          <t>Actual</t>
        </is>
      </c>
      <c r="D207" s="29" t="n">
        <v>1441.44</v>
      </c>
      <c r="E207" s="29" t="n">
        <v>739.4400000000001</v>
      </c>
      <c r="F207" s="30" t="n">
        <v>216</v>
      </c>
      <c r="G207" s="29" t="n"/>
      <c r="H207" s="29" t="n"/>
    </row>
    <row r="208">
      <c r="A208" s="27" t="n">
        <v>46143</v>
      </c>
      <c r="B208" s="28" t="inlineStr">
        <is>
          <t>Household</t>
        </is>
      </c>
      <c r="C208" s="28" t="inlineStr">
        <is>
          <t>Actual</t>
        </is>
      </c>
      <c r="D208" s="29" t="n">
        <v>2411.12</v>
      </c>
      <c r="E208" s="29" t="n">
        <v>1016.92</v>
      </c>
      <c r="F208" s="30" t="n">
        <v>288</v>
      </c>
      <c r="G208" s="29" t="n"/>
      <c r="H208" s="29" t="n"/>
    </row>
    <row r="209">
      <c r="A209" s="27" t="n">
        <v>46143</v>
      </c>
      <c r="B209" s="28" t="inlineStr">
        <is>
          <t>Produce</t>
        </is>
      </c>
      <c r="C209" s="28" t="inlineStr">
        <is>
          <t>Actual</t>
        </is>
      </c>
      <c r="D209" s="29" t="n">
        <v>2021.04</v>
      </c>
      <c r="E209" s="29" t="n">
        <v>868.54</v>
      </c>
      <c r="F209" s="30" t="n">
        <v>1438</v>
      </c>
      <c r="G209" s="29" t="n"/>
      <c r="H209" s="29" t="n"/>
    </row>
    <row r="210">
      <c r="A210" s="27" t="n">
        <v>46143</v>
      </c>
      <c r="B210" s="28" t="inlineStr">
        <is>
          <t>Snacks &amp; Confectionery</t>
        </is>
      </c>
      <c r="C210" s="28" t="inlineStr">
        <is>
          <t>Actual</t>
        </is>
      </c>
      <c r="D210" s="29" t="n">
        <v>8652.780000000001</v>
      </c>
      <c r="E210" s="29" t="n">
        <v>3790.58</v>
      </c>
      <c r="F210" s="30" t="n">
        <v>1992</v>
      </c>
      <c r="G210" s="29" t="n"/>
      <c r="H210" s="29" t="n"/>
    </row>
    <row r="211">
      <c r="A211" s="27" t="n">
        <v>46174</v>
      </c>
      <c r="B211" s="28" t="inlineStr">
        <is>
          <t>Bakery</t>
        </is>
      </c>
      <c r="C211" s="28" t="inlineStr">
        <is>
          <t>Actual</t>
        </is>
      </c>
      <c r="D211" s="29" t="n">
        <v>4838.66</v>
      </c>
      <c r="E211" s="29" t="n">
        <v>1820.96</v>
      </c>
      <c r="F211" s="30" t="n">
        <v>1184</v>
      </c>
      <c r="G211" s="29" t="n"/>
      <c r="H211" s="29" t="n"/>
    </row>
    <row r="212">
      <c r="A212" s="27" t="n">
        <v>46174</v>
      </c>
      <c r="B212" s="28" t="inlineStr">
        <is>
          <t>Beer &amp; Wine</t>
        </is>
      </c>
      <c r="C212" s="28" t="inlineStr">
        <is>
          <t>Actual</t>
        </is>
      </c>
      <c r="D212" s="29" t="n">
        <v>7951.81</v>
      </c>
      <c r="E212" s="29" t="n">
        <v>2717.51</v>
      </c>
      <c r="F212" s="30" t="n">
        <v>419</v>
      </c>
      <c r="G212" s="29" t="n"/>
      <c r="H212" s="29" t="n"/>
    </row>
    <row r="213">
      <c r="A213" s="27" t="n">
        <v>46174</v>
      </c>
      <c r="B213" s="28" t="inlineStr">
        <is>
          <t>Beverages</t>
        </is>
      </c>
      <c r="C213" s="28" t="inlineStr">
        <is>
          <t>Actual</t>
        </is>
      </c>
      <c r="D213" s="29" t="n">
        <v>10068.78</v>
      </c>
      <c r="E213" s="29" t="n">
        <v>5177.18</v>
      </c>
      <c r="F213" s="30" t="n">
        <v>2442</v>
      </c>
      <c r="G213" s="29" t="n"/>
      <c r="H213" s="29" t="n"/>
    </row>
    <row r="214">
      <c r="A214" s="27" t="n">
        <v>46174</v>
      </c>
      <c r="B214" s="28" t="inlineStr">
        <is>
          <t>Dairy</t>
        </is>
      </c>
      <c r="C214" s="28" t="inlineStr">
        <is>
          <t>Actual</t>
        </is>
      </c>
      <c r="D214" s="29" t="n">
        <v>13570.57</v>
      </c>
      <c r="E214" s="29" t="n">
        <v>3746.32</v>
      </c>
      <c r="F214" s="30" t="n">
        <v>2403</v>
      </c>
      <c r="G214" s="29" t="n"/>
      <c r="H214" s="29" t="n"/>
    </row>
    <row r="215">
      <c r="A215" s="27" t="n">
        <v>46174</v>
      </c>
      <c r="B215" s="28" t="inlineStr">
        <is>
          <t>Food To Go</t>
        </is>
      </c>
      <c r="C215" s="28" t="inlineStr">
        <is>
          <t>Actual</t>
        </is>
      </c>
      <c r="D215" s="29" t="n">
        <v>15092.24</v>
      </c>
      <c r="E215" s="29" t="n">
        <v>7200.94</v>
      </c>
      <c r="F215" s="30" t="n">
        <v>2056</v>
      </c>
      <c r="G215" s="29" t="n"/>
      <c r="H215" s="29" t="n"/>
    </row>
    <row r="216">
      <c r="A216" s="27" t="n">
        <v>46174</v>
      </c>
      <c r="B216" s="28" t="inlineStr">
        <is>
          <t>Frozen</t>
        </is>
      </c>
      <c r="C216" s="28" t="inlineStr">
        <is>
          <t>Actual</t>
        </is>
      </c>
      <c r="D216" s="29" t="n">
        <v>5507.31</v>
      </c>
      <c r="E216" s="29" t="n">
        <v>2396.91</v>
      </c>
      <c r="F216" s="30" t="n">
        <v>769</v>
      </c>
      <c r="G216" s="29" t="n"/>
      <c r="H216" s="29" t="n"/>
    </row>
    <row r="217">
      <c r="A217" s="27" t="n">
        <v>46174</v>
      </c>
      <c r="B217" s="28" t="inlineStr">
        <is>
          <t>Grocery</t>
        </is>
      </c>
      <c r="C217" s="28" t="inlineStr">
        <is>
          <t>Actual</t>
        </is>
      </c>
      <c r="D217" s="29" t="n">
        <v>8800.23</v>
      </c>
      <c r="E217" s="29" t="n">
        <v>3110.03</v>
      </c>
      <c r="F217" s="30" t="n">
        <v>1507</v>
      </c>
      <c r="G217" s="29" t="n"/>
      <c r="H217" s="29" t="n"/>
    </row>
    <row r="218">
      <c r="A218" s="27" t="n">
        <v>46174</v>
      </c>
      <c r="B218" s="28" t="inlineStr">
        <is>
          <t>Health &amp; Beauty</t>
        </is>
      </c>
      <c r="C218" s="28" t="inlineStr">
        <is>
          <t>Actual</t>
        </is>
      </c>
      <c r="D218" s="29" t="n">
        <v>1268.95</v>
      </c>
      <c r="E218" s="29" t="n">
        <v>670.35</v>
      </c>
      <c r="F218" s="30" t="n">
        <v>205</v>
      </c>
      <c r="G218" s="29" t="n"/>
      <c r="H218" s="29" t="n"/>
    </row>
    <row r="219">
      <c r="A219" s="27" t="n">
        <v>46174</v>
      </c>
      <c r="B219" s="28" t="inlineStr">
        <is>
          <t>Household</t>
        </is>
      </c>
      <c r="C219" s="28" t="inlineStr">
        <is>
          <t>Actual</t>
        </is>
      </c>
      <c r="D219" s="29" t="n">
        <v>2361.22</v>
      </c>
      <c r="E219" s="29" t="n">
        <v>1005.82</v>
      </c>
      <c r="F219" s="30" t="n">
        <v>278</v>
      </c>
      <c r="G219" s="29" t="n"/>
      <c r="H219" s="29" t="n"/>
    </row>
    <row r="220">
      <c r="A220" s="27" t="n">
        <v>46174</v>
      </c>
      <c r="B220" s="28" t="inlineStr">
        <is>
          <t>Produce</t>
        </is>
      </c>
      <c r="C220" s="28" t="inlineStr">
        <is>
          <t>Actual</t>
        </is>
      </c>
      <c r="D220" s="29" t="n">
        <v>1630.33</v>
      </c>
      <c r="E220" s="29" t="n">
        <v>704.03</v>
      </c>
      <c r="F220" s="30" t="n">
        <v>1327</v>
      </c>
      <c r="G220" s="29" t="n"/>
      <c r="H220" s="29" t="n"/>
    </row>
    <row r="221">
      <c r="A221" s="27" t="n">
        <v>46174</v>
      </c>
      <c r="B221" s="28" t="inlineStr">
        <is>
          <t>Snacks &amp; Confectionery</t>
        </is>
      </c>
      <c r="C221" s="28" t="inlineStr">
        <is>
          <t>Actual</t>
        </is>
      </c>
      <c r="D221" s="29" t="n">
        <v>8736.940000000001</v>
      </c>
      <c r="E221" s="29" t="n">
        <v>3908.24</v>
      </c>
      <c r="F221" s="30" t="n">
        <v>1996</v>
      </c>
      <c r="G221" s="29" t="n"/>
      <c r="H221" s="29" t="n"/>
    </row>
    <row r="222">
      <c r="A222" s="27" t="n">
        <v>46204</v>
      </c>
      <c r="B222" s="28" t="inlineStr">
        <is>
          <t>Bakery</t>
        </is>
      </c>
      <c r="C222" s="28" t="inlineStr">
        <is>
          <t>Actual</t>
        </is>
      </c>
      <c r="D222" s="29" t="n">
        <v>5343.26</v>
      </c>
      <c r="E222" s="29" t="n">
        <v>2066.06</v>
      </c>
      <c r="F222" s="30" t="n">
        <v>1284</v>
      </c>
      <c r="G222" s="29" t="n"/>
      <c r="H222" s="29" t="n"/>
    </row>
    <row r="223">
      <c r="A223" s="27" t="n">
        <v>46204</v>
      </c>
      <c r="B223" s="28" t="inlineStr">
        <is>
          <t>Beer &amp; Wine</t>
        </is>
      </c>
      <c r="C223" s="28" t="inlineStr">
        <is>
          <t>Actual</t>
        </is>
      </c>
      <c r="D223" s="29" t="n">
        <v>8381.879999999999</v>
      </c>
      <c r="E223" s="29" t="n">
        <v>2876.28</v>
      </c>
      <c r="F223" s="30" t="n">
        <v>432</v>
      </c>
      <c r="G223" s="29" t="n"/>
      <c r="H223" s="29" t="n"/>
    </row>
    <row r="224">
      <c r="A224" s="27" t="n">
        <v>46204</v>
      </c>
      <c r="B224" s="28" t="inlineStr">
        <is>
          <t>Beverages</t>
        </is>
      </c>
      <c r="C224" s="28" t="inlineStr">
        <is>
          <t>Actual</t>
        </is>
      </c>
      <c r="D224" s="29" t="n">
        <v>10020.53</v>
      </c>
      <c r="E224" s="29" t="n">
        <v>5173.08</v>
      </c>
      <c r="F224" s="30" t="n">
        <v>2447</v>
      </c>
      <c r="G224" s="29" t="n"/>
      <c r="H224" s="29" t="n"/>
    </row>
    <row r="225">
      <c r="A225" s="27" t="n">
        <v>46204</v>
      </c>
      <c r="B225" s="28" t="inlineStr">
        <is>
          <t>Dairy</t>
        </is>
      </c>
      <c r="C225" s="28" t="inlineStr">
        <is>
          <t>Actual</t>
        </is>
      </c>
      <c r="D225" s="29" t="n">
        <v>14327.61</v>
      </c>
      <c r="E225" s="29" t="n">
        <v>3994.81</v>
      </c>
      <c r="F225" s="30" t="n">
        <v>2529</v>
      </c>
      <c r="G225" s="29" t="n"/>
      <c r="H225" s="29" t="n"/>
    </row>
    <row r="226">
      <c r="A226" s="27" t="n">
        <v>46204</v>
      </c>
      <c r="B226" s="28" t="inlineStr">
        <is>
          <t>Food To Go</t>
        </is>
      </c>
      <c r="C226" s="28" t="inlineStr">
        <is>
          <t>Actual</t>
        </is>
      </c>
      <c r="D226" s="29" t="n">
        <v>14813.02</v>
      </c>
      <c r="E226" s="29" t="n">
        <v>7198.92</v>
      </c>
      <c r="F226" s="30" t="n">
        <v>2068</v>
      </c>
      <c r="G226" s="29" t="n"/>
      <c r="H226" s="29" t="n"/>
    </row>
    <row r="227">
      <c r="A227" s="27" t="n">
        <v>46204</v>
      </c>
      <c r="B227" s="28" t="inlineStr">
        <is>
          <t>Frozen</t>
        </is>
      </c>
      <c r="C227" s="28" t="inlineStr">
        <is>
          <t>Actual</t>
        </is>
      </c>
      <c r="D227" s="29" t="n">
        <v>5965.67</v>
      </c>
      <c r="E227" s="29" t="n">
        <v>2567.97</v>
      </c>
      <c r="F227" s="30" t="n">
        <v>833</v>
      </c>
      <c r="G227" s="29" t="n"/>
      <c r="H227" s="29" t="n"/>
    </row>
    <row r="228">
      <c r="A228" s="27" t="n">
        <v>46204</v>
      </c>
      <c r="B228" s="28" t="inlineStr">
        <is>
          <t>Grocery</t>
        </is>
      </c>
      <c r="C228" s="28" t="inlineStr">
        <is>
          <t>Actual</t>
        </is>
      </c>
      <c r="D228" s="29" t="n">
        <v>9157.309999999999</v>
      </c>
      <c r="E228" s="29" t="n">
        <v>3235.91</v>
      </c>
      <c r="F228" s="30" t="n">
        <v>1599</v>
      </c>
      <c r="G228" s="29" t="n"/>
      <c r="H228" s="29" t="n"/>
    </row>
    <row r="229">
      <c r="A229" s="27" t="n">
        <v>46204</v>
      </c>
      <c r="B229" s="28" t="inlineStr">
        <is>
          <t>Health &amp; Beauty</t>
        </is>
      </c>
      <c r="C229" s="28" t="inlineStr">
        <is>
          <t>Actual</t>
        </is>
      </c>
      <c r="D229" s="29" t="n">
        <v>1397.93</v>
      </c>
      <c r="E229" s="29" t="n">
        <v>723.53</v>
      </c>
      <c r="F229" s="30" t="n">
        <v>207</v>
      </c>
      <c r="G229" s="29" t="n"/>
      <c r="H229" s="29" t="n"/>
    </row>
    <row r="230">
      <c r="A230" s="27" t="n">
        <v>46204</v>
      </c>
      <c r="B230" s="28" t="inlineStr">
        <is>
          <t>Household</t>
        </is>
      </c>
      <c r="C230" s="28" t="inlineStr">
        <is>
          <t>Actual</t>
        </is>
      </c>
      <c r="D230" s="29" t="n">
        <v>2245.44</v>
      </c>
      <c r="E230" s="29" t="n">
        <v>953.4400000000001</v>
      </c>
      <c r="F230" s="30" t="n">
        <v>256</v>
      </c>
      <c r="G230" s="29" t="n"/>
      <c r="H230" s="29" t="n"/>
    </row>
    <row r="231">
      <c r="A231" s="27" t="n">
        <v>46204</v>
      </c>
      <c r="B231" s="28" t="inlineStr">
        <is>
          <t>Produce</t>
        </is>
      </c>
      <c r="C231" s="28" t="inlineStr">
        <is>
          <t>Actual</t>
        </is>
      </c>
      <c r="D231" s="29" t="n">
        <v>1770.89</v>
      </c>
      <c r="E231" s="29" t="n">
        <v>752.47</v>
      </c>
      <c r="F231" s="30" t="n">
        <v>1337</v>
      </c>
      <c r="G231" s="29" t="n"/>
      <c r="H231" s="29" t="n"/>
    </row>
    <row r="232">
      <c r="A232" s="27" t="n">
        <v>46204</v>
      </c>
      <c r="B232" s="28" t="inlineStr">
        <is>
          <t>Snacks &amp; Confectionery</t>
        </is>
      </c>
      <c r="C232" s="28" t="inlineStr">
        <is>
          <t>Actual</t>
        </is>
      </c>
      <c r="D232" s="29" t="n">
        <v>8822.450000000001</v>
      </c>
      <c r="E232" s="29" t="n">
        <v>3901.05</v>
      </c>
      <c r="F232" s="30" t="n">
        <v>2041</v>
      </c>
      <c r="G232" s="29" t="n"/>
      <c r="H232" s="29" t="n"/>
    </row>
    <row r="233">
      <c r="A233" s="27" t="n">
        <v>46235</v>
      </c>
      <c r="B233" s="28" t="inlineStr">
        <is>
          <t>Bakery</t>
        </is>
      </c>
      <c r="C233" s="28" t="inlineStr">
        <is>
          <t>Actual</t>
        </is>
      </c>
      <c r="D233" s="29" t="n">
        <v>4607</v>
      </c>
      <c r="E233" s="29" t="n">
        <v>1776.7</v>
      </c>
      <c r="F233" s="30" t="n">
        <v>1110</v>
      </c>
      <c r="G233" s="29" t="n"/>
      <c r="H233" s="29" t="n"/>
    </row>
    <row r="234">
      <c r="A234" s="27" t="n">
        <v>46235</v>
      </c>
      <c r="B234" s="28" t="inlineStr">
        <is>
          <t>Beer &amp; Wine</t>
        </is>
      </c>
      <c r="C234" s="28" t="inlineStr">
        <is>
          <t>Actual</t>
        </is>
      </c>
      <c r="D234" s="29" t="n">
        <v>9143.309999999999</v>
      </c>
      <c r="E234" s="29" t="n">
        <v>3159.81</v>
      </c>
      <c r="F234" s="30" t="n">
        <v>469</v>
      </c>
      <c r="G234" s="29" t="n"/>
      <c r="H234" s="29" t="n"/>
    </row>
    <row r="235">
      <c r="A235" s="27" t="n">
        <v>46235</v>
      </c>
      <c r="B235" s="28" t="inlineStr">
        <is>
          <t>Beverages</t>
        </is>
      </c>
      <c r="C235" s="28" t="inlineStr">
        <is>
          <t>Actual</t>
        </is>
      </c>
      <c r="D235" s="29" t="n">
        <v>10506.81</v>
      </c>
      <c r="E235" s="29" t="n">
        <v>5355.26</v>
      </c>
      <c r="F235" s="30" t="n">
        <v>2613</v>
      </c>
      <c r="G235" s="29" t="n"/>
      <c r="H235" s="29" t="n"/>
    </row>
    <row r="236">
      <c r="A236" s="27" t="n">
        <v>46235</v>
      </c>
      <c r="B236" s="28" t="inlineStr">
        <is>
          <t>Dairy</t>
        </is>
      </c>
      <c r="C236" s="28" t="inlineStr">
        <is>
          <t>Actual</t>
        </is>
      </c>
      <c r="D236" s="29" t="n">
        <v>13810.59</v>
      </c>
      <c r="E236" s="29" t="n">
        <v>3889.64</v>
      </c>
      <c r="F236" s="30" t="n">
        <v>2381</v>
      </c>
      <c r="G236" s="29" t="n"/>
      <c r="H236" s="29" t="n"/>
    </row>
    <row r="237">
      <c r="A237" s="27" t="n">
        <v>46235</v>
      </c>
      <c r="B237" s="28" t="inlineStr">
        <is>
          <t>Food To Go</t>
        </is>
      </c>
      <c r="C237" s="28" t="inlineStr">
        <is>
          <t>Actual</t>
        </is>
      </c>
      <c r="D237" s="29" t="n">
        <v>15157.74</v>
      </c>
      <c r="E237" s="29" t="n">
        <v>7367.74</v>
      </c>
      <c r="F237" s="30" t="n">
        <v>2076</v>
      </c>
      <c r="G237" s="29" t="n"/>
      <c r="H237" s="29" t="n"/>
    </row>
    <row r="238">
      <c r="A238" s="27" t="n">
        <v>46235</v>
      </c>
      <c r="B238" s="28" t="inlineStr">
        <is>
          <t>Frozen</t>
        </is>
      </c>
      <c r="C238" s="28" t="inlineStr">
        <is>
          <t>Actual</t>
        </is>
      </c>
      <c r="D238" s="29" t="n">
        <v>6153.5</v>
      </c>
      <c r="E238" s="29" t="n">
        <v>2664.3</v>
      </c>
      <c r="F238" s="30" t="n">
        <v>850</v>
      </c>
      <c r="G238" s="29" t="n"/>
      <c r="H238" s="29" t="n"/>
    </row>
    <row r="239">
      <c r="A239" s="27" t="n">
        <v>46235</v>
      </c>
      <c r="B239" s="28" t="inlineStr">
        <is>
          <t>Grocery</t>
        </is>
      </c>
      <c r="C239" s="28" t="inlineStr">
        <is>
          <t>Actual</t>
        </is>
      </c>
      <c r="D239" s="29" t="n">
        <v>9380.76</v>
      </c>
      <c r="E239" s="29" t="n">
        <v>3282.46</v>
      </c>
      <c r="F239" s="30" t="n">
        <v>1584</v>
      </c>
      <c r="G239" s="29" t="n"/>
      <c r="H239" s="29" t="n"/>
    </row>
    <row r="240">
      <c r="A240" s="27" t="n">
        <v>46235</v>
      </c>
      <c r="B240" s="28" t="inlineStr">
        <is>
          <t>Health &amp; Beauty</t>
        </is>
      </c>
      <c r="C240" s="28" t="inlineStr">
        <is>
          <t>Actual</t>
        </is>
      </c>
      <c r="D240" s="29" t="n">
        <v>1353.98</v>
      </c>
      <c r="E240" s="29" t="n">
        <v>687.58</v>
      </c>
      <c r="F240" s="30" t="n">
        <v>202</v>
      </c>
      <c r="G240" s="29" t="n"/>
      <c r="H240" s="29" t="n"/>
    </row>
    <row r="241">
      <c r="A241" s="27" t="n">
        <v>46235</v>
      </c>
      <c r="B241" s="28" t="inlineStr">
        <is>
          <t>Household</t>
        </is>
      </c>
      <c r="C241" s="28" t="inlineStr">
        <is>
          <t>Actual</t>
        </is>
      </c>
      <c r="D241" s="29" t="n">
        <v>2315.16</v>
      </c>
      <c r="E241" s="29" t="n">
        <v>950.36</v>
      </c>
      <c r="F241" s="30" t="n">
        <v>284</v>
      </c>
      <c r="G241" s="29" t="n"/>
      <c r="H241" s="29" t="n"/>
    </row>
    <row r="242">
      <c r="A242" s="27" t="n">
        <v>46235</v>
      </c>
      <c r="B242" s="28" t="inlineStr">
        <is>
          <t>Produce</t>
        </is>
      </c>
      <c r="C242" s="28" t="inlineStr">
        <is>
          <t>Actual</t>
        </is>
      </c>
      <c r="D242" s="29" t="n">
        <v>1708.04</v>
      </c>
      <c r="E242" s="29" t="n">
        <v>737.36</v>
      </c>
      <c r="F242" s="30" t="n">
        <v>1266</v>
      </c>
      <c r="G242" s="29" t="n"/>
      <c r="H242" s="29" t="n"/>
    </row>
    <row r="243">
      <c r="A243" s="27" t="n">
        <v>46235</v>
      </c>
      <c r="B243" s="28" t="inlineStr">
        <is>
          <t>Snacks &amp; Confectionery</t>
        </is>
      </c>
      <c r="C243" s="28" t="inlineStr">
        <is>
          <t>Actual</t>
        </is>
      </c>
      <c r="D243" s="29" t="n">
        <v>8870.33</v>
      </c>
      <c r="E243" s="29" t="n">
        <v>3909.83</v>
      </c>
      <c r="F243" s="30" t="n">
        <v>2007</v>
      </c>
      <c r="G243" s="29" t="n"/>
      <c r="H243" s="29" t="n"/>
    </row>
    <row r="244">
      <c r="A244" s="27" t="n">
        <v>46266</v>
      </c>
      <c r="B244" s="28" t="inlineStr">
        <is>
          <t>Bakery</t>
        </is>
      </c>
      <c r="C244" s="28" t="inlineStr">
        <is>
          <t>Actual</t>
        </is>
      </c>
      <c r="D244" s="29" t="n">
        <v>4913.91</v>
      </c>
      <c r="E244" s="29" t="n">
        <v>1891.61</v>
      </c>
      <c r="F244" s="30" t="n">
        <v>1199</v>
      </c>
      <c r="G244" s="29" t="n"/>
      <c r="H244" s="29" t="n"/>
    </row>
    <row r="245">
      <c r="A245" s="27" t="n">
        <v>46266</v>
      </c>
      <c r="B245" s="28" t="inlineStr">
        <is>
          <t>Beer &amp; Wine</t>
        </is>
      </c>
      <c r="C245" s="28" t="inlineStr">
        <is>
          <t>Actual</t>
        </is>
      </c>
      <c r="D245" s="29" t="n">
        <v>9356.67</v>
      </c>
      <c r="E245" s="29" t="n">
        <v>3121.97</v>
      </c>
      <c r="F245" s="30" t="n">
        <v>493</v>
      </c>
      <c r="G245" s="29" t="n"/>
      <c r="H245" s="29" t="n"/>
    </row>
    <row r="246">
      <c r="A246" s="27" t="n">
        <v>46266</v>
      </c>
      <c r="B246" s="28" t="inlineStr">
        <is>
          <t>Beverages</t>
        </is>
      </c>
      <c r="C246" s="28" t="inlineStr">
        <is>
          <t>Actual</t>
        </is>
      </c>
      <c r="D246" s="29" t="n">
        <v>11231.05</v>
      </c>
      <c r="E246" s="29" t="n">
        <v>5753.1</v>
      </c>
      <c r="F246" s="30" t="n">
        <v>2755</v>
      </c>
      <c r="G246" s="29" t="n"/>
      <c r="H246" s="29" t="n"/>
    </row>
    <row r="247">
      <c r="A247" s="27" t="n">
        <v>46266</v>
      </c>
      <c r="B247" s="28" t="inlineStr">
        <is>
          <t>Dairy</t>
        </is>
      </c>
      <c r="C247" s="28" t="inlineStr">
        <is>
          <t>Actual</t>
        </is>
      </c>
      <c r="D247" s="29" t="n">
        <v>13548.15</v>
      </c>
      <c r="E247" s="29" t="n">
        <v>3703</v>
      </c>
      <c r="F247" s="30" t="n">
        <v>2353</v>
      </c>
      <c r="G247" s="29" t="n"/>
      <c r="H247" s="29" t="n"/>
    </row>
    <row r="248">
      <c r="A248" s="27" t="n">
        <v>46266</v>
      </c>
      <c r="B248" s="28" t="inlineStr">
        <is>
          <t>Food To Go</t>
        </is>
      </c>
      <c r="C248" s="28" t="inlineStr">
        <is>
          <t>Actual</t>
        </is>
      </c>
      <c r="D248" s="29" t="n">
        <v>14982.49</v>
      </c>
      <c r="E248" s="29" t="n">
        <v>7280.39</v>
      </c>
      <c r="F248" s="30" t="n">
        <v>2001</v>
      </c>
      <c r="G248" s="29" t="n"/>
      <c r="H248" s="29" t="n"/>
    </row>
    <row r="249">
      <c r="A249" s="27" t="n">
        <v>46266</v>
      </c>
      <c r="B249" s="28" t="inlineStr">
        <is>
          <t>Frozen</t>
        </is>
      </c>
      <c r="C249" s="28" t="inlineStr">
        <is>
          <t>Actual</t>
        </is>
      </c>
      <c r="D249" s="29" t="n">
        <v>6095.34</v>
      </c>
      <c r="E249" s="29" t="n">
        <v>2541.44</v>
      </c>
      <c r="F249" s="30" t="n">
        <v>866</v>
      </c>
      <c r="G249" s="29" t="n"/>
      <c r="H249" s="29" t="n"/>
    </row>
    <row r="250">
      <c r="A250" s="27" t="n">
        <v>46266</v>
      </c>
      <c r="B250" s="28" t="inlineStr">
        <is>
          <t>Grocery</t>
        </is>
      </c>
      <c r="C250" s="28" t="inlineStr">
        <is>
          <t>Actual</t>
        </is>
      </c>
      <c r="D250" s="29" t="n">
        <v>9436.6</v>
      </c>
      <c r="E250" s="29" t="n">
        <v>3300</v>
      </c>
      <c r="F250" s="30" t="n">
        <v>1590</v>
      </c>
      <c r="G250" s="29" t="n"/>
      <c r="H250" s="29" t="n"/>
    </row>
    <row r="251">
      <c r="A251" s="27" t="n">
        <v>46266</v>
      </c>
      <c r="B251" s="28" t="inlineStr">
        <is>
          <t>Health &amp; Beauty</t>
        </is>
      </c>
      <c r="C251" s="28" t="inlineStr">
        <is>
          <t>Actual</t>
        </is>
      </c>
      <c r="D251" s="29" t="n">
        <v>1481.94</v>
      </c>
      <c r="E251" s="29" t="n">
        <v>756.34</v>
      </c>
      <c r="F251" s="30" t="n">
        <v>206</v>
      </c>
      <c r="G251" s="29" t="n"/>
      <c r="H251" s="29" t="n"/>
    </row>
    <row r="252">
      <c r="A252" s="27" t="n">
        <v>46266</v>
      </c>
      <c r="B252" s="28" t="inlineStr">
        <is>
          <t>Household</t>
        </is>
      </c>
      <c r="C252" s="28" t="inlineStr">
        <is>
          <t>Actual</t>
        </is>
      </c>
      <c r="D252" s="29" t="n">
        <v>2340.19</v>
      </c>
      <c r="E252" s="29" t="n">
        <v>993.29</v>
      </c>
      <c r="F252" s="30" t="n">
        <v>281</v>
      </c>
      <c r="G252" s="29" t="n"/>
      <c r="H252" s="29" t="n"/>
    </row>
    <row r="253">
      <c r="A253" s="27" t="n">
        <v>46266</v>
      </c>
      <c r="B253" s="28" t="inlineStr">
        <is>
          <t>Produce</t>
        </is>
      </c>
      <c r="C253" s="28" t="inlineStr">
        <is>
          <t>Actual</t>
        </is>
      </c>
      <c r="D253" s="29" t="n">
        <v>1825.06</v>
      </c>
      <c r="E253" s="29" t="n">
        <v>796.8</v>
      </c>
      <c r="F253" s="30" t="n">
        <v>1334</v>
      </c>
      <c r="G253" s="29" t="n"/>
      <c r="H253" s="29" t="n"/>
    </row>
    <row r="254">
      <c r="A254" s="27" t="n">
        <v>46266</v>
      </c>
      <c r="B254" s="28" t="inlineStr">
        <is>
          <t>Snacks &amp; Confectionery</t>
        </is>
      </c>
      <c r="C254" s="28" t="inlineStr">
        <is>
          <t>Actual</t>
        </is>
      </c>
      <c r="D254" s="29" t="n">
        <v>8991.67</v>
      </c>
      <c r="E254" s="29" t="n">
        <v>3999.17</v>
      </c>
      <c r="F254" s="30" t="n">
        <v>2069</v>
      </c>
      <c r="G254" s="29" t="n"/>
      <c r="H254" s="29" t="n"/>
    </row>
    <row r="255">
      <c r="A255" s="27" t="n">
        <v>46296</v>
      </c>
      <c r="B255" s="28" t="inlineStr">
        <is>
          <t>Bakery</t>
        </is>
      </c>
      <c r="C255" s="28" t="inlineStr">
        <is>
          <t>Outlook</t>
        </is>
      </c>
      <c r="D255" s="29" t="n">
        <v>4943.77</v>
      </c>
      <c r="E255" s="29" t="n">
        <v>1888.52</v>
      </c>
      <c r="F255" s="30" t="n"/>
      <c r="G255" s="29" t="n">
        <v>4672.12</v>
      </c>
      <c r="H255" s="29" t="n">
        <v>5215.42</v>
      </c>
    </row>
    <row r="256">
      <c r="A256" s="27" t="n">
        <v>46296</v>
      </c>
      <c r="B256" s="28" t="inlineStr">
        <is>
          <t>Beer &amp; Wine</t>
        </is>
      </c>
      <c r="C256" s="28" t="inlineStr">
        <is>
          <t>Outlook</t>
        </is>
      </c>
      <c r="D256" s="29" t="n">
        <v>10507.4</v>
      </c>
      <c r="E256" s="29" t="n">
        <v>3551.5</v>
      </c>
      <c r="F256" s="30" t="n"/>
      <c r="G256" s="29" t="n">
        <v>9930.049999999999</v>
      </c>
      <c r="H256" s="29" t="n">
        <v>11084.76</v>
      </c>
    </row>
    <row r="257">
      <c r="A257" s="27" t="n">
        <v>46296</v>
      </c>
      <c r="B257" s="28" t="inlineStr">
        <is>
          <t>Beverages</t>
        </is>
      </c>
      <c r="C257" s="28" t="inlineStr">
        <is>
          <t>Outlook</t>
        </is>
      </c>
      <c r="D257" s="29" t="n">
        <v>13540.3</v>
      </c>
      <c r="E257" s="29" t="n">
        <v>6905.55</v>
      </c>
      <c r="F257" s="30" t="n"/>
      <c r="G257" s="29" t="n">
        <v>12796.3</v>
      </c>
      <c r="H257" s="29" t="n">
        <v>14284.3</v>
      </c>
    </row>
    <row r="258">
      <c r="A258" s="27" t="n">
        <v>46296</v>
      </c>
      <c r="B258" s="28" t="inlineStr">
        <is>
          <t>Dairy</t>
        </is>
      </c>
      <c r="C258" s="28" t="inlineStr">
        <is>
          <t>Outlook</t>
        </is>
      </c>
      <c r="D258" s="29" t="n">
        <v>13890.05</v>
      </c>
      <c r="E258" s="29" t="n">
        <v>3861.43</v>
      </c>
      <c r="F258" s="30" t="n"/>
      <c r="G258" s="29" t="n">
        <v>13126.83</v>
      </c>
      <c r="H258" s="29" t="n">
        <v>14653.27</v>
      </c>
    </row>
    <row r="259">
      <c r="A259" s="27" t="n">
        <v>46296</v>
      </c>
      <c r="B259" s="28" t="inlineStr">
        <is>
          <t>Food To Go</t>
        </is>
      </c>
      <c r="C259" s="28" t="inlineStr">
        <is>
          <t>Outlook</t>
        </is>
      </c>
      <c r="D259" s="29" t="n">
        <v>15410.67</v>
      </c>
      <c r="E259" s="29" t="n">
        <v>7366.3</v>
      </c>
      <c r="F259" s="30" t="n"/>
      <c r="G259" s="29" t="n">
        <v>14563.9</v>
      </c>
      <c r="H259" s="29" t="n">
        <v>16257.45</v>
      </c>
    </row>
    <row r="260">
      <c r="A260" s="27" t="n">
        <v>46296</v>
      </c>
      <c r="B260" s="28" t="inlineStr">
        <is>
          <t>Frozen</t>
        </is>
      </c>
      <c r="C260" s="28" t="inlineStr">
        <is>
          <t>Outlook</t>
        </is>
      </c>
      <c r="D260" s="29" t="n">
        <v>6307.83</v>
      </c>
      <c r="E260" s="29" t="n">
        <v>2750.21</v>
      </c>
      <c r="F260" s="30" t="n"/>
      <c r="G260" s="29" t="n">
        <v>5961.23</v>
      </c>
      <c r="H260" s="29" t="n">
        <v>6654.43</v>
      </c>
    </row>
    <row r="261">
      <c r="A261" s="27" t="n">
        <v>46296</v>
      </c>
      <c r="B261" s="28" t="inlineStr">
        <is>
          <t>Grocery</t>
        </is>
      </c>
      <c r="C261" s="28" t="inlineStr">
        <is>
          <t>Outlook</t>
        </is>
      </c>
      <c r="D261" s="29" t="n">
        <v>8471.629999999999</v>
      </c>
      <c r="E261" s="29" t="n">
        <v>2948.13</v>
      </c>
      <c r="F261" s="30" t="n"/>
      <c r="G261" s="29" t="n">
        <v>8006.13</v>
      </c>
      <c r="H261" s="29" t="n">
        <v>8937.120000000001</v>
      </c>
    </row>
    <row r="262">
      <c r="A262" s="27" t="n">
        <v>46296</v>
      </c>
      <c r="B262" s="28" t="inlineStr">
        <is>
          <t>Health &amp; Beauty</t>
        </is>
      </c>
      <c r="C262" s="28" t="inlineStr">
        <is>
          <t>Outlook</t>
        </is>
      </c>
      <c r="D262" s="29" t="n">
        <v>1380.67</v>
      </c>
      <c r="E262" s="29" t="n">
        <v>691.71</v>
      </c>
      <c r="F262" s="30" t="n"/>
      <c r="G262" s="29" t="n">
        <v>1304.8</v>
      </c>
      <c r="H262" s="29" t="n">
        <v>1456.53</v>
      </c>
    </row>
    <row r="263">
      <c r="A263" s="27" t="n">
        <v>46296</v>
      </c>
      <c r="B263" s="28" t="inlineStr">
        <is>
          <t>Household</t>
        </is>
      </c>
      <c r="C263" s="28" t="inlineStr">
        <is>
          <t>Outlook</t>
        </is>
      </c>
      <c r="D263" s="29" t="n">
        <v>2484.78</v>
      </c>
      <c r="E263" s="29" t="n">
        <v>1023.73</v>
      </c>
      <c r="F263" s="30" t="n"/>
      <c r="G263" s="29" t="n">
        <v>2348.25</v>
      </c>
      <c r="H263" s="29" t="n">
        <v>2621.31</v>
      </c>
    </row>
    <row r="264">
      <c r="A264" s="27" t="n">
        <v>46296</v>
      </c>
      <c r="B264" s="28" t="inlineStr">
        <is>
          <t>Produce</t>
        </is>
      </c>
      <c r="C264" s="28" t="inlineStr">
        <is>
          <t>Outlook</t>
        </is>
      </c>
      <c r="D264" s="29" t="n">
        <v>2071.94</v>
      </c>
      <c r="E264" s="29" t="n">
        <v>893.01</v>
      </c>
      <c r="F264" s="30" t="n"/>
      <c r="G264" s="29" t="n">
        <v>1958.09</v>
      </c>
      <c r="H264" s="29" t="n">
        <v>2185.79</v>
      </c>
    </row>
    <row r="265">
      <c r="A265" s="27" t="n">
        <v>46296</v>
      </c>
      <c r="B265" s="28" t="inlineStr">
        <is>
          <t>Snacks &amp; Confectionery</t>
        </is>
      </c>
      <c r="C265" s="28" t="inlineStr">
        <is>
          <t>Outlook</t>
        </is>
      </c>
      <c r="D265" s="29" t="n">
        <v>9033.620000000001</v>
      </c>
      <c r="E265" s="29" t="n">
        <v>4001.89</v>
      </c>
      <c r="F265" s="30" t="n"/>
      <c r="G265" s="29" t="n">
        <v>8537.24</v>
      </c>
      <c r="H265" s="29" t="n">
        <v>9529.99</v>
      </c>
    </row>
    <row r="266">
      <c r="A266" s="27" t="n">
        <v>46327</v>
      </c>
      <c r="B266" s="28" t="inlineStr">
        <is>
          <t>Bakery</t>
        </is>
      </c>
      <c r="C266" s="28" t="inlineStr">
        <is>
          <t>Forecast</t>
        </is>
      </c>
      <c r="D266" s="29" t="n">
        <v>4723.24</v>
      </c>
      <c r="E266" s="29" t="n"/>
      <c r="F266" s="30" t="n"/>
      <c r="G266" s="29" t="n">
        <v>4463.71</v>
      </c>
      <c r="H266" s="29" t="n">
        <v>4982.77</v>
      </c>
    </row>
    <row r="267">
      <c r="A267" s="27" t="n">
        <v>46327</v>
      </c>
      <c r="B267" s="28" t="inlineStr">
        <is>
          <t>Beer &amp; Wine</t>
        </is>
      </c>
      <c r="C267" s="28" t="inlineStr">
        <is>
          <t>Forecast</t>
        </is>
      </c>
      <c r="D267" s="29" t="n">
        <v>10550.96</v>
      </c>
      <c r="E267" s="29" t="n"/>
      <c r="F267" s="30" t="n"/>
      <c r="G267" s="29" t="n">
        <v>9971.209999999999</v>
      </c>
      <c r="H267" s="29" t="n">
        <v>11130.71</v>
      </c>
    </row>
    <row r="268">
      <c r="A268" s="27" t="n">
        <v>46327</v>
      </c>
      <c r="B268" s="28" t="inlineStr">
        <is>
          <t>Beverages</t>
        </is>
      </c>
      <c r="C268" s="28" t="inlineStr">
        <is>
          <t>Forecast</t>
        </is>
      </c>
      <c r="D268" s="29" t="n">
        <v>14690.17</v>
      </c>
      <c r="E268" s="29" t="n"/>
      <c r="F268" s="30" t="n"/>
      <c r="G268" s="29" t="n">
        <v>13882.99</v>
      </c>
      <c r="H268" s="29" t="n">
        <v>15497.36</v>
      </c>
    </row>
    <row r="269">
      <c r="A269" s="27" t="n">
        <v>46327</v>
      </c>
      <c r="B269" s="28" t="inlineStr">
        <is>
          <t>Dairy</t>
        </is>
      </c>
      <c r="C269" s="28" t="inlineStr">
        <is>
          <t>Forecast</t>
        </is>
      </c>
      <c r="D269" s="29" t="n">
        <v>14884.88</v>
      </c>
      <c r="E269" s="29" t="n"/>
      <c r="F269" s="30" t="n"/>
      <c r="G269" s="29" t="n">
        <v>14067</v>
      </c>
      <c r="H269" s="29" t="n">
        <v>15702.77</v>
      </c>
    </row>
    <row r="270">
      <c r="A270" s="27" t="n">
        <v>46327</v>
      </c>
      <c r="B270" s="28" t="inlineStr">
        <is>
          <t>Food To Go</t>
        </is>
      </c>
      <c r="C270" s="28" t="inlineStr">
        <is>
          <t>Forecast</t>
        </is>
      </c>
      <c r="D270" s="29" t="n">
        <v>15677.09</v>
      </c>
      <c r="E270" s="29" t="n"/>
      <c r="F270" s="30" t="n"/>
      <c r="G270" s="29" t="n">
        <v>14815.67</v>
      </c>
      <c r="H270" s="29" t="n">
        <v>16538.5</v>
      </c>
    </row>
    <row r="271">
      <c r="A271" s="27" t="n">
        <v>46327</v>
      </c>
      <c r="B271" s="28" t="inlineStr">
        <is>
          <t>Frozen</t>
        </is>
      </c>
      <c r="C271" s="28" t="inlineStr">
        <is>
          <t>Forecast</t>
        </is>
      </c>
      <c r="D271" s="29" t="n">
        <v>5895.24</v>
      </c>
      <c r="E271" s="29" t="n"/>
      <c r="F271" s="30" t="n"/>
      <c r="G271" s="29" t="n">
        <v>5571.31</v>
      </c>
      <c r="H271" s="29" t="n">
        <v>6219.17</v>
      </c>
    </row>
    <row r="272">
      <c r="A272" s="27" t="n">
        <v>46327</v>
      </c>
      <c r="B272" s="28" t="inlineStr">
        <is>
          <t>Grocery</t>
        </is>
      </c>
      <c r="C272" s="28" t="inlineStr">
        <is>
          <t>Forecast</t>
        </is>
      </c>
      <c r="D272" s="29" t="n">
        <v>8195.290000000001</v>
      </c>
      <c r="E272" s="29" t="n"/>
      <c r="F272" s="30" t="n"/>
      <c r="G272" s="29" t="n">
        <v>7744.98</v>
      </c>
      <c r="H272" s="29" t="n">
        <v>8645.6</v>
      </c>
    </row>
    <row r="273">
      <c r="A273" s="27" t="n">
        <v>46327</v>
      </c>
      <c r="B273" s="28" t="inlineStr">
        <is>
          <t>Health &amp; Beauty</t>
        </is>
      </c>
      <c r="C273" s="28" t="inlineStr">
        <is>
          <t>Forecast</t>
        </is>
      </c>
      <c r="D273" s="29" t="n">
        <v>1462.96</v>
      </c>
      <c r="E273" s="29" t="n"/>
      <c r="F273" s="30" t="n"/>
      <c r="G273" s="29" t="n">
        <v>1382.58</v>
      </c>
      <c r="H273" s="29" t="n">
        <v>1543.35</v>
      </c>
    </row>
    <row r="274">
      <c r="A274" s="27" t="n">
        <v>46327</v>
      </c>
      <c r="B274" s="28" t="inlineStr">
        <is>
          <t>Household</t>
        </is>
      </c>
      <c r="C274" s="28" t="inlineStr">
        <is>
          <t>Forecast</t>
        </is>
      </c>
      <c r="D274" s="29" t="n">
        <v>2298.83</v>
      </c>
      <c r="E274" s="29" t="n"/>
      <c r="F274" s="30" t="n"/>
      <c r="G274" s="29" t="n">
        <v>2172.51</v>
      </c>
      <c r="H274" s="29" t="n">
        <v>2425.14</v>
      </c>
    </row>
    <row r="275">
      <c r="A275" s="27" t="n">
        <v>46327</v>
      </c>
      <c r="B275" s="28" t="inlineStr">
        <is>
          <t>Produce</t>
        </is>
      </c>
      <c r="C275" s="28" t="inlineStr">
        <is>
          <t>Forecast</t>
        </is>
      </c>
      <c r="D275" s="29" t="n">
        <v>2236.94</v>
      </c>
      <c r="E275" s="29" t="n"/>
      <c r="F275" s="30" t="n"/>
      <c r="G275" s="29" t="n">
        <v>2114.02</v>
      </c>
      <c r="H275" s="29" t="n">
        <v>2359.85</v>
      </c>
    </row>
    <row r="276">
      <c r="A276" s="27" t="n">
        <v>46327</v>
      </c>
      <c r="B276" s="28" t="inlineStr">
        <is>
          <t>Snacks &amp; Confectionery</t>
        </is>
      </c>
      <c r="C276" s="28" t="inlineStr">
        <is>
          <t>Forecast</t>
        </is>
      </c>
      <c r="D276" s="29" t="n">
        <v>8614.549999999999</v>
      </c>
      <c r="E276" s="29" t="n"/>
      <c r="F276" s="30" t="n"/>
      <c r="G276" s="29" t="n">
        <v>8141.2</v>
      </c>
      <c r="H276" s="29" t="n">
        <v>9087.9</v>
      </c>
    </row>
    <row r="277">
      <c r="A277" s="27" t="n">
        <v>46357</v>
      </c>
      <c r="B277" s="28" t="inlineStr">
        <is>
          <t>Bakery</t>
        </is>
      </c>
      <c r="C277" s="28" t="inlineStr">
        <is>
          <t>Forecast</t>
        </is>
      </c>
      <c r="D277" s="29" t="n">
        <v>5656.34</v>
      </c>
      <c r="E277" s="29" t="n"/>
      <c r="F277" s="30" t="n"/>
      <c r="G277" s="29" t="n">
        <v>5345.54</v>
      </c>
      <c r="H277" s="29" t="n">
        <v>5967.14</v>
      </c>
    </row>
    <row r="278">
      <c r="A278" s="27" t="n">
        <v>46357</v>
      </c>
      <c r="B278" s="28" t="inlineStr">
        <is>
          <t>Beer &amp; Wine</t>
        </is>
      </c>
      <c r="C278" s="28" t="inlineStr">
        <is>
          <t>Forecast</t>
        </is>
      </c>
      <c r="D278" s="29" t="n">
        <v>13374.87</v>
      </c>
      <c r="E278" s="29" t="n"/>
      <c r="F278" s="30" t="n"/>
      <c r="G278" s="29" t="n">
        <v>12639.95</v>
      </c>
      <c r="H278" s="29" t="n">
        <v>14109.78</v>
      </c>
    </row>
    <row r="279">
      <c r="A279" s="27" t="n">
        <v>46357</v>
      </c>
      <c r="B279" s="28" t="inlineStr">
        <is>
          <t>Beverages</t>
        </is>
      </c>
      <c r="C279" s="28" t="inlineStr">
        <is>
          <t>Forecast</t>
        </is>
      </c>
      <c r="D279" s="29" t="n">
        <v>18504.74</v>
      </c>
      <c r="E279" s="29" t="n"/>
      <c r="F279" s="30" t="n"/>
      <c r="G279" s="29" t="n">
        <v>17487.95</v>
      </c>
      <c r="H279" s="29" t="n">
        <v>19521.53</v>
      </c>
    </row>
    <row r="280">
      <c r="A280" s="27" t="n">
        <v>46357</v>
      </c>
      <c r="B280" s="28" t="inlineStr">
        <is>
          <t>Dairy</t>
        </is>
      </c>
      <c r="C280" s="28" t="inlineStr">
        <is>
          <t>Forecast</t>
        </is>
      </c>
      <c r="D280" s="29" t="n">
        <v>15569.5</v>
      </c>
      <c r="E280" s="29" t="n"/>
      <c r="F280" s="30" t="n"/>
      <c r="G280" s="29" t="n">
        <v>14714</v>
      </c>
      <c r="H280" s="29" t="n">
        <v>16425</v>
      </c>
    </row>
    <row r="281">
      <c r="A281" s="27" t="n">
        <v>46357</v>
      </c>
      <c r="B281" s="28" t="inlineStr">
        <is>
          <t>Food To Go</t>
        </is>
      </c>
      <c r="C281" s="28" t="inlineStr">
        <is>
          <t>Forecast</t>
        </is>
      </c>
      <c r="D281" s="29" t="n">
        <v>18074.29</v>
      </c>
      <c r="E281" s="29" t="n"/>
      <c r="F281" s="30" t="n"/>
      <c r="G281" s="29" t="n">
        <v>17081.16</v>
      </c>
      <c r="H281" s="29" t="n">
        <v>19067.43</v>
      </c>
    </row>
    <row r="282">
      <c r="A282" s="27" t="n">
        <v>46357</v>
      </c>
      <c r="B282" s="28" t="inlineStr">
        <is>
          <t>Frozen</t>
        </is>
      </c>
      <c r="C282" s="28" t="inlineStr">
        <is>
          <t>Forecast</t>
        </is>
      </c>
      <c r="D282" s="29" t="n">
        <v>6288.49</v>
      </c>
      <c r="E282" s="29" t="n"/>
      <c r="F282" s="30" t="n"/>
      <c r="G282" s="29" t="n">
        <v>5942.96</v>
      </c>
      <c r="H282" s="29" t="n">
        <v>6634.03</v>
      </c>
    </row>
    <row r="283">
      <c r="A283" s="27" t="n">
        <v>46357</v>
      </c>
      <c r="B283" s="28" t="inlineStr">
        <is>
          <t>Grocery</t>
        </is>
      </c>
      <c r="C283" s="28" t="inlineStr">
        <is>
          <t>Forecast</t>
        </is>
      </c>
      <c r="D283" s="29" t="n">
        <v>8731.030000000001</v>
      </c>
      <c r="E283" s="29" t="n"/>
      <c r="F283" s="30" t="n"/>
      <c r="G283" s="29" t="n">
        <v>8251.280000000001</v>
      </c>
      <c r="H283" s="29" t="n">
        <v>9210.780000000001</v>
      </c>
    </row>
    <row r="284">
      <c r="A284" s="27" t="n">
        <v>46357</v>
      </c>
      <c r="B284" s="28" t="inlineStr">
        <is>
          <t>Health &amp; Beauty</t>
        </is>
      </c>
      <c r="C284" s="28" t="inlineStr">
        <is>
          <t>Forecast</t>
        </is>
      </c>
      <c r="D284" s="29" t="n">
        <v>1398.82</v>
      </c>
      <c r="E284" s="29" t="n"/>
      <c r="F284" s="30" t="n"/>
      <c r="G284" s="29" t="n">
        <v>1321.96</v>
      </c>
      <c r="H284" s="29" t="n">
        <v>1475.68</v>
      </c>
    </row>
    <row r="285">
      <c r="A285" s="27" t="n">
        <v>46357</v>
      </c>
      <c r="B285" s="28" t="inlineStr">
        <is>
          <t>Household</t>
        </is>
      </c>
      <c r="C285" s="28" t="inlineStr">
        <is>
          <t>Forecast</t>
        </is>
      </c>
      <c r="D285" s="29" t="n">
        <v>2528.21</v>
      </c>
      <c r="E285" s="29" t="n"/>
      <c r="F285" s="30" t="n"/>
      <c r="G285" s="29" t="n">
        <v>2389.29</v>
      </c>
      <c r="H285" s="29" t="n">
        <v>2667.13</v>
      </c>
    </row>
    <row r="286">
      <c r="A286" s="27" t="n">
        <v>46357</v>
      </c>
      <c r="B286" s="28" t="inlineStr">
        <is>
          <t>Produce</t>
        </is>
      </c>
      <c r="C286" s="28" t="inlineStr">
        <is>
          <t>Forecast</t>
        </is>
      </c>
      <c r="D286" s="29" t="n">
        <v>2680.93</v>
      </c>
      <c r="E286" s="29" t="n"/>
      <c r="F286" s="30" t="n"/>
      <c r="G286" s="29" t="n">
        <v>2533.62</v>
      </c>
      <c r="H286" s="29" t="n">
        <v>2828.24</v>
      </c>
    </row>
    <row r="287">
      <c r="A287" s="27" t="n">
        <v>46357</v>
      </c>
      <c r="B287" s="28" t="inlineStr">
        <is>
          <t>Snacks &amp; Confectionery</t>
        </is>
      </c>
      <c r="C287" s="28" t="inlineStr">
        <is>
          <t>Forecast</t>
        </is>
      </c>
      <c r="D287" s="29" t="n">
        <v>9501.700000000001</v>
      </c>
      <c r="E287" s="29" t="n"/>
      <c r="F287" s="30" t="n"/>
      <c r="G287" s="29" t="n">
        <v>8979.610000000001</v>
      </c>
      <c r="H287" s="29" t="n">
        <v>10023.79</v>
      </c>
    </row>
    <row r="288">
      <c r="A288" s="27" t="n">
        <v>46388</v>
      </c>
      <c r="B288" s="28" t="inlineStr">
        <is>
          <t>Bakery</t>
        </is>
      </c>
      <c r="C288" s="28" t="inlineStr">
        <is>
          <t>Forecast</t>
        </is>
      </c>
      <c r="D288" s="29" t="n">
        <v>4394.09</v>
      </c>
      <c r="E288" s="29" t="n"/>
      <c r="F288" s="30" t="n"/>
      <c r="G288" s="29" t="n">
        <v>4152.65</v>
      </c>
      <c r="H288" s="29" t="n">
        <v>4635.53</v>
      </c>
    </row>
    <row r="289">
      <c r="A289" s="27" t="n">
        <v>46388</v>
      </c>
      <c r="B289" s="28" t="inlineStr">
        <is>
          <t>Beer &amp; Wine</t>
        </is>
      </c>
      <c r="C289" s="28" t="inlineStr">
        <is>
          <t>Forecast</t>
        </is>
      </c>
      <c r="D289" s="29" t="n">
        <v>11911.08</v>
      </c>
      <c r="E289" s="29" t="n"/>
      <c r="F289" s="30" t="n"/>
      <c r="G289" s="29" t="n">
        <v>11256.6</v>
      </c>
      <c r="H289" s="29" t="n">
        <v>12565.57</v>
      </c>
    </row>
    <row r="290">
      <c r="A290" s="27" t="n">
        <v>46388</v>
      </c>
      <c r="B290" s="28" t="inlineStr">
        <is>
          <t>Beverages</t>
        </is>
      </c>
      <c r="C290" s="28" t="inlineStr">
        <is>
          <t>Forecast</t>
        </is>
      </c>
      <c r="D290" s="29" t="n">
        <v>14890.87</v>
      </c>
      <c r="E290" s="29" t="n"/>
      <c r="F290" s="30" t="n"/>
      <c r="G290" s="29" t="n">
        <v>14072.65</v>
      </c>
      <c r="H290" s="29" t="n">
        <v>15709.08</v>
      </c>
    </row>
    <row r="291">
      <c r="A291" s="27" t="n">
        <v>46388</v>
      </c>
      <c r="B291" s="28" t="inlineStr">
        <is>
          <t>Dairy</t>
        </is>
      </c>
      <c r="C291" s="28" t="inlineStr">
        <is>
          <t>Forecast</t>
        </is>
      </c>
      <c r="D291" s="29" t="n">
        <v>13017.82</v>
      </c>
      <c r="E291" s="29" t="n"/>
      <c r="F291" s="30" t="n"/>
      <c r="G291" s="29" t="n">
        <v>12302.53</v>
      </c>
      <c r="H291" s="29" t="n">
        <v>13733.12</v>
      </c>
    </row>
    <row r="292">
      <c r="A292" s="27" t="n">
        <v>46388</v>
      </c>
      <c r="B292" s="28" t="inlineStr">
        <is>
          <t>Food To Go</t>
        </is>
      </c>
      <c r="C292" s="28" t="inlineStr">
        <is>
          <t>Forecast</t>
        </is>
      </c>
      <c r="D292" s="29" t="n">
        <v>15667.39</v>
      </c>
      <c r="E292" s="29" t="n"/>
      <c r="F292" s="30" t="n"/>
      <c r="G292" s="29" t="n">
        <v>14806.51</v>
      </c>
      <c r="H292" s="29" t="n">
        <v>16528.27</v>
      </c>
    </row>
    <row r="293">
      <c r="A293" s="27" t="n">
        <v>46388</v>
      </c>
      <c r="B293" s="28" t="inlineStr">
        <is>
          <t>Frozen</t>
        </is>
      </c>
      <c r="C293" s="28" t="inlineStr">
        <is>
          <t>Forecast</t>
        </is>
      </c>
      <c r="D293" s="29" t="n">
        <v>5938.41</v>
      </c>
      <c r="E293" s="29" t="n"/>
      <c r="F293" s="30" t="n"/>
      <c r="G293" s="29" t="n">
        <v>5612.11</v>
      </c>
      <c r="H293" s="29" t="n">
        <v>6264.71</v>
      </c>
    </row>
    <row r="294">
      <c r="A294" s="27" t="n">
        <v>46388</v>
      </c>
      <c r="B294" s="28" t="inlineStr">
        <is>
          <t>Grocery</t>
        </is>
      </c>
      <c r="C294" s="28" t="inlineStr">
        <is>
          <t>Forecast</t>
        </is>
      </c>
      <c r="D294" s="29" t="n">
        <v>7030.99</v>
      </c>
      <c r="E294" s="29" t="n"/>
      <c r="F294" s="30" t="n"/>
      <c r="G294" s="29" t="n">
        <v>6644.66</v>
      </c>
      <c r="H294" s="29" t="n">
        <v>7417.33</v>
      </c>
    </row>
    <row r="295">
      <c r="A295" s="27" t="n">
        <v>46388</v>
      </c>
      <c r="B295" s="28" t="inlineStr">
        <is>
          <t>Health &amp; Beauty</t>
        </is>
      </c>
      <c r="C295" s="28" t="inlineStr">
        <is>
          <t>Forecast</t>
        </is>
      </c>
      <c r="D295" s="29" t="n">
        <v>1924.51</v>
      </c>
      <c r="E295" s="29" t="n"/>
      <c r="F295" s="30" t="n"/>
      <c r="G295" s="29" t="n">
        <v>1818.77</v>
      </c>
      <c r="H295" s="29" t="n">
        <v>2030.26</v>
      </c>
    </row>
    <row r="296">
      <c r="A296" s="27" t="n">
        <v>46388</v>
      </c>
      <c r="B296" s="28" t="inlineStr">
        <is>
          <t>Household</t>
        </is>
      </c>
      <c r="C296" s="28" t="inlineStr">
        <is>
          <t>Forecast</t>
        </is>
      </c>
      <c r="D296" s="29" t="n">
        <v>2399.04</v>
      </c>
      <c r="E296" s="29" t="n"/>
      <c r="F296" s="30" t="n"/>
      <c r="G296" s="29" t="n">
        <v>2267.22</v>
      </c>
      <c r="H296" s="29" t="n">
        <v>2530.86</v>
      </c>
    </row>
    <row r="297">
      <c r="A297" s="27" t="n">
        <v>46388</v>
      </c>
      <c r="B297" s="28" t="inlineStr">
        <is>
          <t>Produce</t>
        </is>
      </c>
      <c r="C297" s="28" t="inlineStr">
        <is>
          <t>Forecast</t>
        </is>
      </c>
      <c r="D297" s="29" t="n">
        <v>2416.97</v>
      </c>
      <c r="E297" s="29" t="n"/>
      <c r="F297" s="30" t="n"/>
      <c r="G297" s="29" t="n">
        <v>2284.16</v>
      </c>
      <c r="H297" s="29" t="n">
        <v>2549.78</v>
      </c>
    </row>
    <row r="298">
      <c r="A298" s="27" t="n">
        <v>46388</v>
      </c>
      <c r="B298" s="28" t="inlineStr">
        <is>
          <t>Snacks &amp; Confectionery</t>
        </is>
      </c>
      <c r="C298" s="28" t="inlineStr">
        <is>
          <t>Forecast</t>
        </is>
      </c>
      <c r="D298" s="29" t="n">
        <v>8208.889999999999</v>
      </c>
      <c r="E298" s="29" t="n"/>
      <c r="F298" s="30" t="n"/>
      <c r="G298" s="29" t="n">
        <v>7757.84</v>
      </c>
      <c r="H298" s="29" t="n">
        <v>8659.950000000001</v>
      </c>
    </row>
    <row r="299">
      <c r="A299" s="27" t="n">
        <v>46419</v>
      </c>
      <c r="B299" s="28" t="inlineStr">
        <is>
          <t>Bakery</t>
        </is>
      </c>
      <c r="C299" s="28" t="inlineStr">
        <is>
          <t>Forecast</t>
        </is>
      </c>
      <c r="D299" s="29" t="n">
        <v>4497.01</v>
      </c>
      <c r="E299" s="29" t="n"/>
      <c r="F299" s="30" t="n"/>
      <c r="G299" s="29" t="n">
        <v>4249.91</v>
      </c>
      <c r="H299" s="29" t="n">
        <v>4744.11</v>
      </c>
    </row>
    <row r="300">
      <c r="A300" s="27" t="n">
        <v>46419</v>
      </c>
      <c r="B300" s="28" t="inlineStr">
        <is>
          <t>Beer &amp; Wine</t>
        </is>
      </c>
      <c r="C300" s="28" t="inlineStr">
        <is>
          <t>Forecast</t>
        </is>
      </c>
      <c r="D300" s="29" t="n">
        <v>11940.11</v>
      </c>
      <c r="E300" s="29" t="n"/>
      <c r="F300" s="30" t="n"/>
      <c r="G300" s="29" t="n">
        <v>11284.03</v>
      </c>
      <c r="H300" s="29" t="n">
        <v>12596.19</v>
      </c>
    </row>
    <row r="301">
      <c r="A301" s="27" t="n">
        <v>46419</v>
      </c>
      <c r="B301" s="28" t="inlineStr">
        <is>
          <t>Beverages</t>
        </is>
      </c>
      <c r="C301" s="28" t="inlineStr">
        <is>
          <t>Forecast</t>
        </is>
      </c>
      <c r="D301" s="29" t="n">
        <v>15343.08</v>
      </c>
      <c r="E301" s="29" t="n"/>
      <c r="F301" s="30" t="n"/>
      <c r="G301" s="29" t="n">
        <v>14500.02</v>
      </c>
      <c r="H301" s="29" t="n">
        <v>16186.14</v>
      </c>
    </row>
    <row r="302">
      <c r="A302" s="27" t="n">
        <v>46419</v>
      </c>
      <c r="B302" s="28" t="inlineStr">
        <is>
          <t>Dairy</t>
        </is>
      </c>
      <c r="C302" s="28" t="inlineStr">
        <is>
          <t>Forecast</t>
        </is>
      </c>
      <c r="D302" s="29" t="n">
        <v>13521.81</v>
      </c>
      <c r="E302" s="29" t="n"/>
      <c r="F302" s="30" t="n"/>
      <c r="G302" s="29" t="n">
        <v>12778.82</v>
      </c>
      <c r="H302" s="29" t="n">
        <v>14264.79</v>
      </c>
    </row>
    <row r="303">
      <c r="A303" s="27" t="n">
        <v>46419</v>
      </c>
      <c r="B303" s="28" t="inlineStr">
        <is>
          <t>Food To Go</t>
        </is>
      </c>
      <c r="C303" s="28" t="inlineStr">
        <is>
          <t>Forecast</t>
        </is>
      </c>
      <c r="D303" s="29" t="n">
        <v>15109.91</v>
      </c>
      <c r="E303" s="29" t="n"/>
      <c r="F303" s="30" t="n"/>
      <c r="G303" s="29" t="n">
        <v>14279.66</v>
      </c>
      <c r="H303" s="29" t="n">
        <v>15940.16</v>
      </c>
    </row>
    <row r="304">
      <c r="A304" s="27" t="n">
        <v>46419</v>
      </c>
      <c r="B304" s="28" t="inlineStr">
        <is>
          <t>Frozen</t>
        </is>
      </c>
      <c r="C304" s="28" t="inlineStr">
        <is>
          <t>Forecast</t>
        </is>
      </c>
      <c r="D304" s="29" t="n">
        <v>6139.44</v>
      </c>
      <c r="E304" s="29" t="n"/>
      <c r="F304" s="30" t="n"/>
      <c r="G304" s="29" t="n">
        <v>5802.1</v>
      </c>
      <c r="H304" s="29" t="n">
        <v>6476.79</v>
      </c>
    </row>
    <row r="305">
      <c r="A305" s="27" t="n">
        <v>46419</v>
      </c>
      <c r="B305" s="28" t="inlineStr">
        <is>
          <t>Grocery</t>
        </is>
      </c>
      <c r="C305" s="28" t="inlineStr">
        <is>
          <t>Forecast</t>
        </is>
      </c>
      <c r="D305" s="29" t="n">
        <v>7037.29</v>
      </c>
      <c r="E305" s="29" t="n"/>
      <c r="F305" s="30" t="n"/>
      <c r="G305" s="29" t="n">
        <v>6650.61</v>
      </c>
      <c r="H305" s="29" t="n">
        <v>7423.97</v>
      </c>
    </row>
    <row r="306">
      <c r="A306" s="27" t="n">
        <v>46419</v>
      </c>
      <c r="B306" s="28" t="inlineStr">
        <is>
          <t>Health &amp; Beauty</t>
        </is>
      </c>
      <c r="C306" s="28" t="inlineStr">
        <is>
          <t>Forecast</t>
        </is>
      </c>
      <c r="D306" s="29" t="n">
        <v>1512.1</v>
      </c>
      <c r="E306" s="29" t="n"/>
      <c r="F306" s="30" t="n"/>
      <c r="G306" s="29" t="n">
        <v>1429.01</v>
      </c>
      <c r="H306" s="29" t="n">
        <v>1595.19</v>
      </c>
    </row>
    <row r="307">
      <c r="A307" s="27" t="n">
        <v>46419</v>
      </c>
      <c r="B307" s="28" t="inlineStr">
        <is>
          <t>Household</t>
        </is>
      </c>
      <c r="C307" s="28" t="inlineStr">
        <is>
          <t>Forecast</t>
        </is>
      </c>
      <c r="D307" s="29" t="n">
        <v>2091.93</v>
      </c>
      <c r="E307" s="29" t="n"/>
      <c r="F307" s="30" t="n"/>
      <c r="G307" s="29" t="n">
        <v>1976.99</v>
      </c>
      <c r="H307" s="29" t="n">
        <v>2206.88</v>
      </c>
    </row>
    <row r="308">
      <c r="A308" s="27" t="n">
        <v>46419</v>
      </c>
      <c r="B308" s="28" t="inlineStr">
        <is>
          <t>Produce</t>
        </is>
      </c>
      <c r="C308" s="28" t="inlineStr">
        <is>
          <t>Forecast</t>
        </is>
      </c>
      <c r="D308" s="29" t="n">
        <v>2185.4</v>
      </c>
      <c r="E308" s="29" t="n"/>
      <c r="F308" s="30" t="n"/>
      <c r="G308" s="29" t="n">
        <v>2065.31</v>
      </c>
      <c r="H308" s="29" t="n">
        <v>2305.48</v>
      </c>
    </row>
    <row r="309">
      <c r="A309" s="27" t="n">
        <v>46419</v>
      </c>
      <c r="B309" s="28" t="inlineStr">
        <is>
          <t>Snacks &amp; Confectionery</t>
        </is>
      </c>
      <c r="C309" s="28" t="inlineStr">
        <is>
          <t>Forecast</t>
        </is>
      </c>
      <c r="D309" s="29" t="n">
        <v>8191.18</v>
      </c>
      <c r="E309" s="29" t="n"/>
      <c r="F309" s="30" t="n"/>
      <c r="G309" s="29" t="n">
        <v>7741.09</v>
      </c>
      <c r="H309" s="29" t="n">
        <v>8641.26</v>
      </c>
    </row>
    <row r="310">
      <c r="A310" s="27" t="n">
        <v>46447</v>
      </c>
      <c r="B310" s="28" t="inlineStr">
        <is>
          <t>Bakery</t>
        </is>
      </c>
      <c r="C310" s="28" t="inlineStr">
        <is>
          <t>Forecast</t>
        </is>
      </c>
      <c r="D310" s="29" t="n">
        <v>4771.29</v>
      </c>
      <c r="E310" s="29" t="n"/>
      <c r="F310" s="30" t="n"/>
      <c r="G310" s="29" t="n">
        <v>4509.12</v>
      </c>
      <c r="H310" s="29" t="n">
        <v>5033.46</v>
      </c>
    </row>
    <row r="311">
      <c r="A311" s="27" t="n">
        <v>46447</v>
      </c>
      <c r="B311" s="28" t="inlineStr">
        <is>
          <t>Beer &amp; Wine</t>
        </is>
      </c>
      <c r="C311" s="28" t="inlineStr">
        <is>
          <t>Forecast</t>
        </is>
      </c>
      <c r="D311" s="29" t="n">
        <v>11272.75</v>
      </c>
      <c r="E311" s="29" t="n"/>
      <c r="F311" s="30" t="n"/>
      <c r="G311" s="29" t="n">
        <v>10653.34</v>
      </c>
      <c r="H311" s="29" t="n">
        <v>11892.15</v>
      </c>
    </row>
    <row r="312">
      <c r="A312" s="27" t="n">
        <v>46447</v>
      </c>
      <c r="B312" s="28" t="inlineStr">
        <is>
          <t>Beverages</t>
        </is>
      </c>
      <c r="C312" s="28" t="inlineStr">
        <is>
          <t>Forecast</t>
        </is>
      </c>
      <c r="D312" s="29" t="n">
        <v>16196.59</v>
      </c>
      <c r="E312" s="29" t="n"/>
      <c r="F312" s="30" t="n"/>
      <c r="G312" s="29" t="n">
        <v>15306.63</v>
      </c>
      <c r="H312" s="29" t="n">
        <v>17086.55</v>
      </c>
    </row>
    <row r="313">
      <c r="A313" s="27" t="n">
        <v>46447</v>
      </c>
      <c r="B313" s="28" t="inlineStr">
        <is>
          <t>Dairy</t>
        </is>
      </c>
      <c r="C313" s="28" t="inlineStr">
        <is>
          <t>Forecast</t>
        </is>
      </c>
      <c r="D313" s="29" t="n">
        <v>14870.51</v>
      </c>
      <c r="E313" s="29" t="n"/>
      <c r="F313" s="30" t="n"/>
      <c r="G313" s="29" t="n">
        <v>14053.41</v>
      </c>
      <c r="H313" s="29" t="n">
        <v>15687.6</v>
      </c>
    </row>
    <row r="314">
      <c r="A314" s="27" t="n">
        <v>46447</v>
      </c>
      <c r="B314" s="28" t="inlineStr">
        <is>
          <t>Food To Go</t>
        </is>
      </c>
      <c r="C314" s="28" t="inlineStr">
        <is>
          <t>Forecast</t>
        </is>
      </c>
      <c r="D314" s="29" t="n">
        <v>16953.6</v>
      </c>
      <c r="E314" s="29" t="n"/>
      <c r="F314" s="30" t="n"/>
      <c r="G314" s="29" t="n">
        <v>16022.04</v>
      </c>
      <c r="H314" s="29" t="n">
        <v>17885.15</v>
      </c>
    </row>
    <row r="315">
      <c r="A315" s="27" t="n">
        <v>46447</v>
      </c>
      <c r="B315" s="28" t="inlineStr">
        <is>
          <t>Frozen</t>
        </is>
      </c>
      <c r="C315" s="28" t="inlineStr">
        <is>
          <t>Forecast</t>
        </is>
      </c>
      <c r="D315" s="29" t="n">
        <v>6035.08</v>
      </c>
      <c r="E315" s="29" t="n"/>
      <c r="F315" s="30" t="n"/>
      <c r="G315" s="29" t="n">
        <v>5703.47</v>
      </c>
      <c r="H315" s="29" t="n">
        <v>6366.7</v>
      </c>
    </row>
    <row r="316">
      <c r="A316" s="27" t="n">
        <v>46447</v>
      </c>
      <c r="B316" s="28" t="inlineStr">
        <is>
          <t>Grocery</t>
        </is>
      </c>
      <c r="C316" s="28" t="inlineStr">
        <is>
          <t>Forecast</t>
        </is>
      </c>
      <c r="D316" s="29" t="n">
        <v>8011.9</v>
      </c>
      <c r="E316" s="29" t="n"/>
      <c r="F316" s="30" t="n"/>
      <c r="G316" s="29" t="n">
        <v>7571.66</v>
      </c>
      <c r="H316" s="29" t="n">
        <v>8452.129999999999</v>
      </c>
    </row>
    <row r="317">
      <c r="A317" s="27" t="n">
        <v>46447</v>
      </c>
      <c r="B317" s="28" t="inlineStr">
        <is>
          <t>Health &amp; Beauty</t>
        </is>
      </c>
      <c r="C317" s="28" t="inlineStr">
        <is>
          <t>Forecast</t>
        </is>
      </c>
      <c r="D317" s="29" t="n">
        <v>1652.62</v>
      </c>
      <c r="E317" s="29" t="n"/>
      <c r="F317" s="30" t="n"/>
      <c r="G317" s="29" t="n">
        <v>1561.81</v>
      </c>
      <c r="H317" s="29" t="n">
        <v>1743.42</v>
      </c>
    </row>
    <row r="318">
      <c r="A318" s="27" t="n">
        <v>46447</v>
      </c>
      <c r="B318" s="28" t="inlineStr">
        <is>
          <t>Household</t>
        </is>
      </c>
      <c r="C318" s="28" t="inlineStr">
        <is>
          <t>Forecast</t>
        </is>
      </c>
      <c r="D318" s="29" t="n">
        <v>2409.45</v>
      </c>
      <c r="E318" s="29" t="n"/>
      <c r="F318" s="30" t="n"/>
      <c r="G318" s="29" t="n">
        <v>2277.06</v>
      </c>
      <c r="H318" s="29" t="n">
        <v>2541.84</v>
      </c>
    </row>
    <row r="319">
      <c r="A319" s="27" t="n">
        <v>46447</v>
      </c>
      <c r="B319" s="28" t="inlineStr">
        <is>
          <t>Produce</t>
        </is>
      </c>
      <c r="C319" s="28" t="inlineStr">
        <is>
          <t>Forecast</t>
        </is>
      </c>
      <c r="D319" s="29" t="n">
        <v>2400.78</v>
      </c>
      <c r="E319" s="29" t="n"/>
      <c r="F319" s="30" t="n"/>
      <c r="G319" s="29" t="n">
        <v>2268.87</v>
      </c>
      <c r="H319" s="29" t="n">
        <v>2532.7</v>
      </c>
    </row>
    <row r="320">
      <c r="A320" s="27" t="n">
        <v>46447</v>
      </c>
      <c r="B320" s="28" t="inlineStr">
        <is>
          <t>Snacks &amp; Confectionery</t>
        </is>
      </c>
      <c r="C320" s="28" t="inlineStr">
        <is>
          <t>Forecast</t>
        </is>
      </c>
      <c r="D320" s="29" t="n">
        <v>9050.889999999999</v>
      </c>
      <c r="E320" s="29" t="n"/>
      <c r="F320" s="30" t="n"/>
      <c r="G320" s="29" t="n">
        <v>8553.57</v>
      </c>
      <c r="H320" s="29" t="n">
        <v>9548.209999999999</v>
      </c>
    </row>
    <row r="321">
      <c r="A321" s="27" t="n">
        <v>46478</v>
      </c>
      <c r="B321" s="28" t="inlineStr">
        <is>
          <t>Bakery</t>
        </is>
      </c>
      <c r="C321" s="28" t="inlineStr">
        <is>
          <t>Forecast</t>
        </is>
      </c>
      <c r="D321" s="29" t="n">
        <v>4747.5</v>
      </c>
      <c r="E321" s="29" t="n"/>
      <c r="F321" s="30" t="n"/>
      <c r="G321" s="29" t="n">
        <v>4486.64</v>
      </c>
      <c r="H321" s="29" t="n">
        <v>5008.36</v>
      </c>
    </row>
    <row r="322">
      <c r="A322" s="27" t="n">
        <v>46478</v>
      </c>
      <c r="B322" s="28" t="inlineStr">
        <is>
          <t>Beer &amp; Wine</t>
        </is>
      </c>
      <c r="C322" s="28" t="inlineStr">
        <is>
          <t>Forecast</t>
        </is>
      </c>
      <c r="D322" s="29" t="n">
        <v>9718.360000000001</v>
      </c>
      <c r="E322" s="29" t="n"/>
      <c r="F322" s="30" t="n"/>
      <c r="G322" s="29" t="n">
        <v>9184.360000000001</v>
      </c>
      <c r="H322" s="29" t="n">
        <v>10252.36</v>
      </c>
    </row>
    <row r="323">
      <c r="A323" s="27" t="n">
        <v>46478</v>
      </c>
      <c r="B323" s="28" t="inlineStr">
        <is>
          <t>Beverages</t>
        </is>
      </c>
      <c r="C323" s="28" t="inlineStr">
        <is>
          <t>Forecast</t>
        </is>
      </c>
      <c r="D323" s="29" t="n">
        <v>13280</v>
      </c>
      <c r="E323" s="29" t="n"/>
      <c r="F323" s="30" t="n"/>
      <c r="G323" s="29" t="n">
        <v>12550.29</v>
      </c>
      <c r="H323" s="29" t="n">
        <v>14009.7</v>
      </c>
    </row>
    <row r="324">
      <c r="A324" s="27" t="n">
        <v>46478</v>
      </c>
      <c r="B324" s="28" t="inlineStr">
        <is>
          <t>Dairy</t>
        </is>
      </c>
      <c r="C324" s="28" t="inlineStr">
        <is>
          <t>Forecast</t>
        </is>
      </c>
      <c r="D324" s="29" t="n">
        <v>14385.64</v>
      </c>
      <c r="E324" s="29" t="n"/>
      <c r="F324" s="30" t="n"/>
      <c r="G324" s="29" t="n">
        <v>13595.19</v>
      </c>
      <c r="H324" s="29" t="n">
        <v>15176.1</v>
      </c>
    </row>
    <row r="325">
      <c r="A325" s="27" t="n">
        <v>46478</v>
      </c>
      <c r="B325" s="28" t="inlineStr">
        <is>
          <t>Food To Go</t>
        </is>
      </c>
      <c r="C325" s="28" t="inlineStr">
        <is>
          <t>Forecast</t>
        </is>
      </c>
      <c r="D325" s="29" t="n">
        <v>14616.68</v>
      </c>
      <c r="E325" s="29" t="n"/>
      <c r="F325" s="30" t="n"/>
      <c r="G325" s="29" t="n">
        <v>13813.53</v>
      </c>
      <c r="H325" s="29" t="n">
        <v>15419.82</v>
      </c>
    </row>
    <row r="326">
      <c r="A326" s="27" t="n">
        <v>46478</v>
      </c>
      <c r="B326" s="28" t="inlineStr">
        <is>
          <t>Frozen</t>
        </is>
      </c>
      <c r="C326" s="28" t="inlineStr">
        <is>
          <t>Forecast</t>
        </is>
      </c>
      <c r="D326" s="29" t="n">
        <v>6112.58</v>
      </c>
      <c r="E326" s="29" t="n"/>
      <c r="F326" s="30" t="n"/>
      <c r="G326" s="29" t="n">
        <v>5776.71</v>
      </c>
      <c r="H326" s="29" t="n">
        <v>6448.45</v>
      </c>
    </row>
    <row r="327">
      <c r="A327" s="27" t="n">
        <v>46478</v>
      </c>
      <c r="B327" s="28" t="inlineStr">
        <is>
          <t>Grocery</t>
        </is>
      </c>
      <c r="C327" s="28" t="inlineStr">
        <is>
          <t>Forecast</t>
        </is>
      </c>
      <c r="D327" s="29" t="n">
        <v>8565.59</v>
      </c>
      <c r="E327" s="29" t="n"/>
      <c r="F327" s="30" t="n"/>
      <c r="G327" s="29" t="n">
        <v>8094.93</v>
      </c>
      <c r="H327" s="29" t="n">
        <v>9036.25</v>
      </c>
    </row>
    <row r="328">
      <c r="A328" s="27" t="n">
        <v>46478</v>
      </c>
      <c r="B328" s="28" t="inlineStr">
        <is>
          <t>Health &amp; Beauty</t>
        </is>
      </c>
      <c r="C328" s="28" t="inlineStr">
        <is>
          <t>Forecast</t>
        </is>
      </c>
      <c r="D328" s="29" t="n">
        <v>1553.16</v>
      </c>
      <c r="E328" s="29" t="n"/>
      <c r="F328" s="30" t="n"/>
      <c r="G328" s="29" t="n">
        <v>1467.82</v>
      </c>
      <c r="H328" s="29" t="n">
        <v>1638.5</v>
      </c>
    </row>
    <row r="329">
      <c r="A329" s="27" t="n">
        <v>46478</v>
      </c>
      <c r="B329" s="28" t="inlineStr">
        <is>
          <t>Household</t>
        </is>
      </c>
      <c r="C329" s="28" t="inlineStr">
        <is>
          <t>Forecast</t>
        </is>
      </c>
      <c r="D329" s="29" t="n">
        <v>2236.86</v>
      </c>
      <c r="E329" s="29" t="n"/>
      <c r="F329" s="30" t="n"/>
      <c r="G329" s="29" t="n">
        <v>2113.96</v>
      </c>
      <c r="H329" s="29" t="n">
        <v>2359.77</v>
      </c>
    </row>
    <row r="330">
      <c r="A330" s="27" t="n">
        <v>46478</v>
      </c>
      <c r="B330" s="28" t="inlineStr">
        <is>
          <t>Produce</t>
        </is>
      </c>
      <c r="C330" s="28" t="inlineStr">
        <is>
          <t>Forecast</t>
        </is>
      </c>
      <c r="D330" s="29" t="n">
        <v>2092.18</v>
      </c>
      <c r="E330" s="29" t="n"/>
      <c r="F330" s="30" t="n"/>
      <c r="G330" s="29" t="n">
        <v>1977.22</v>
      </c>
      <c r="H330" s="29" t="n">
        <v>2207.14</v>
      </c>
    </row>
    <row r="331">
      <c r="A331" s="27" t="n">
        <v>46478</v>
      </c>
      <c r="B331" s="28" t="inlineStr">
        <is>
          <t>Snacks &amp; Confectionery</t>
        </is>
      </c>
      <c r="C331" s="28" t="inlineStr">
        <is>
          <t>Forecast</t>
        </is>
      </c>
      <c r="D331" s="29" t="n">
        <v>9093.940000000001</v>
      </c>
      <c r="E331" s="29" t="n"/>
      <c r="F331" s="30" t="n"/>
      <c r="G331" s="29" t="n">
        <v>8594.25</v>
      </c>
      <c r="H331" s="29" t="n">
        <v>9593.620000000001</v>
      </c>
    </row>
    <row r="332">
      <c r="A332" s="27" t="n">
        <v>46508</v>
      </c>
      <c r="B332" s="28" t="inlineStr">
        <is>
          <t>Bakery</t>
        </is>
      </c>
      <c r="C332" s="28" t="inlineStr">
        <is>
          <t>Forecast</t>
        </is>
      </c>
      <c r="D332" s="29" t="n">
        <v>4812.19</v>
      </c>
      <c r="E332" s="29" t="n"/>
      <c r="F332" s="30" t="n"/>
      <c r="G332" s="29" t="n">
        <v>4547.77</v>
      </c>
      <c r="H332" s="29" t="n">
        <v>5076.61</v>
      </c>
    </row>
    <row r="333">
      <c r="A333" s="27" t="n">
        <v>46508</v>
      </c>
      <c r="B333" s="28" t="inlineStr">
        <is>
          <t>Beer &amp; Wine</t>
        </is>
      </c>
      <c r="C333" s="28" t="inlineStr">
        <is>
          <t>Forecast</t>
        </is>
      </c>
      <c r="D333" s="29" t="n">
        <v>9650.530000000001</v>
      </c>
      <c r="E333" s="29" t="n"/>
      <c r="F333" s="30" t="n"/>
      <c r="G333" s="29" t="n">
        <v>9120.26</v>
      </c>
      <c r="H333" s="29" t="n">
        <v>10180.8</v>
      </c>
    </row>
    <row r="334">
      <c r="A334" s="27" t="n">
        <v>46508</v>
      </c>
      <c r="B334" s="28" t="inlineStr">
        <is>
          <t>Beverages</t>
        </is>
      </c>
      <c r="C334" s="28" t="inlineStr">
        <is>
          <t>Forecast</t>
        </is>
      </c>
      <c r="D334" s="29" t="n">
        <v>11818.56</v>
      </c>
      <c r="E334" s="29" t="n"/>
      <c r="F334" s="30" t="n"/>
      <c r="G334" s="29" t="n">
        <v>11169.16</v>
      </c>
      <c r="H334" s="29" t="n">
        <v>12467.96</v>
      </c>
    </row>
    <row r="335">
      <c r="A335" s="27" t="n">
        <v>46508</v>
      </c>
      <c r="B335" s="28" t="inlineStr">
        <is>
          <t>Dairy</t>
        </is>
      </c>
      <c r="C335" s="28" t="inlineStr">
        <is>
          <t>Forecast</t>
        </is>
      </c>
      <c r="D335" s="29" t="n">
        <v>14725</v>
      </c>
      <c r="E335" s="29" t="n"/>
      <c r="F335" s="30" t="n"/>
      <c r="G335" s="29" t="n">
        <v>13915.9</v>
      </c>
      <c r="H335" s="29" t="n">
        <v>15534.1</v>
      </c>
    </row>
    <row r="336">
      <c r="A336" s="27" t="n">
        <v>46508</v>
      </c>
      <c r="B336" s="28" t="inlineStr">
        <is>
          <t>Food To Go</t>
        </is>
      </c>
      <c r="C336" s="28" t="inlineStr">
        <is>
          <t>Forecast</t>
        </is>
      </c>
      <c r="D336" s="29" t="n">
        <v>16579.59</v>
      </c>
      <c r="E336" s="29" t="n"/>
      <c r="F336" s="30" t="n"/>
      <c r="G336" s="29" t="n">
        <v>15668.59</v>
      </c>
      <c r="H336" s="29" t="n">
        <v>17490.6</v>
      </c>
    </row>
    <row r="337">
      <c r="A337" s="27" t="n">
        <v>46508</v>
      </c>
      <c r="B337" s="28" t="inlineStr">
        <is>
          <t>Frozen</t>
        </is>
      </c>
      <c r="C337" s="28" t="inlineStr">
        <is>
          <t>Forecast</t>
        </is>
      </c>
      <c r="D337" s="29" t="n">
        <v>6550.82</v>
      </c>
      <c r="E337" s="29" t="n"/>
      <c r="F337" s="30" t="n"/>
      <c r="G337" s="29" t="n">
        <v>6190.87</v>
      </c>
      <c r="H337" s="29" t="n">
        <v>6910.77</v>
      </c>
    </row>
    <row r="338">
      <c r="A338" s="27" t="n">
        <v>46508</v>
      </c>
      <c r="B338" s="28" t="inlineStr">
        <is>
          <t>Grocery</t>
        </is>
      </c>
      <c r="C338" s="28" t="inlineStr">
        <is>
          <t>Forecast</t>
        </is>
      </c>
      <c r="D338" s="29" t="n">
        <v>8745.18</v>
      </c>
      <c r="E338" s="29" t="n"/>
      <c r="F338" s="30" t="n"/>
      <c r="G338" s="29" t="n">
        <v>8264.66</v>
      </c>
      <c r="H338" s="29" t="n">
        <v>9225.709999999999</v>
      </c>
    </row>
    <row r="339">
      <c r="A339" s="27" t="n">
        <v>46508</v>
      </c>
      <c r="B339" s="28" t="inlineStr">
        <is>
          <t>Health &amp; Beauty</t>
        </is>
      </c>
      <c r="C339" s="28" t="inlineStr">
        <is>
          <t>Forecast</t>
        </is>
      </c>
      <c r="D339" s="29" t="n">
        <v>1569.76</v>
      </c>
      <c r="E339" s="29" t="n"/>
      <c r="F339" s="30" t="n"/>
      <c r="G339" s="29" t="n">
        <v>1483.51</v>
      </c>
      <c r="H339" s="29" t="n">
        <v>1656.02</v>
      </c>
    </row>
    <row r="340">
      <c r="A340" s="27" t="n">
        <v>46508</v>
      </c>
      <c r="B340" s="28" t="inlineStr">
        <is>
          <t>Household</t>
        </is>
      </c>
      <c r="C340" s="28" t="inlineStr">
        <is>
          <t>Forecast</t>
        </is>
      </c>
      <c r="D340" s="29" t="n">
        <v>2471.89</v>
      </c>
      <c r="E340" s="29" t="n"/>
      <c r="F340" s="30" t="n"/>
      <c r="G340" s="29" t="n">
        <v>2336.07</v>
      </c>
      <c r="H340" s="29" t="n">
        <v>2607.72</v>
      </c>
    </row>
    <row r="341">
      <c r="A341" s="27" t="n">
        <v>46508</v>
      </c>
      <c r="B341" s="28" t="inlineStr">
        <is>
          <t>Produce</t>
        </is>
      </c>
      <c r="C341" s="28" t="inlineStr">
        <is>
          <t>Forecast</t>
        </is>
      </c>
      <c r="D341" s="29" t="n">
        <v>2242.13</v>
      </c>
      <c r="E341" s="29" t="n"/>
      <c r="F341" s="30" t="n"/>
      <c r="G341" s="29" t="n">
        <v>2118.93</v>
      </c>
      <c r="H341" s="29" t="n">
        <v>2365.33</v>
      </c>
    </row>
    <row r="342">
      <c r="A342" s="27" t="n">
        <v>46508</v>
      </c>
      <c r="B342" s="28" t="inlineStr">
        <is>
          <t>Snacks &amp; Confectionery</t>
        </is>
      </c>
      <c r="C342" s="28" t="inlineStr">
        <is>
          <t>Forecast</t>
        </is>
      </c>
      <c r="D342" s="29" t="n">
        <v>9174.200000000001</v>
      </c>
      <c r="E342" s="29" t="n"/>
      <c r="F342" s="30" t="n"/>
      <c r="G342" s="29" t="n">
        <v>8670.1</v>
      </c>
      <c r="H342" s="29" t="n">
        <v>9678.299999999999</v>
      </c>
    </row>
    <row r="343">
      <c r="A343" s="27" t="n">
        <v>46539</v>
      </c>
      <c r="B343" s="28" t="inlineStr">
        <is>
          <t>Bakery</t>
        </is>
      </c>
      <c r="C343" s="28" t="inlineStr">
        <is>
          <t>Forecast</t>
        </is>
      </c>
      <c r="D343" s="29" t="n">
        <v>4965.97</v>
      </c>
      <c r="E343" s="29" t="n"/>
      <c r="F343" s="30" t="n"/>
      <c r="G343" s="29" t="n">
        <v>4693.1</v>
      </c>
      <c r="H343" s="29" t="n">
        <v>5238.84</v>
      </c>
    </row>
    <row r="344">
      <c r="A344" s="27" t="n">
        <v>46539</v>
      </c>
      <c r="B344" s="28" t="inlineStr">
        <is>
          <t>Beer &amp; Wine</t>
        </is>
      </c>
      <c r="C344" s="28" t="inlineStr">
        <is>
          <t>Forecast</t>
        </is>
      </c>
      <c r="D344" s="29" t="n">
        <v>7986.2</v>
      </c>
      <c r="E344" s="29" t="n"/>
      <c r="F344" s="30" t="n"/>
      <c r="G344" s="29" t="n">
        <v>7547.37</v>
      </c>
      <c r="H344" s="29" t="n">
        <v>8425.02</v>
      </c>
    </row>
    <row r="345">
      <c r="A345" s="27" t="n">
        <v>46539</v>
      </c>
      <c r="B345" s="28" t="inlineStr">
        <is>
          <t>Beverages</t>
        </is>
      </c>
      <c r="C345" s="28" t="inlineStr">
        <is>
          <t>Forecast</t>
        </is>
      </c>
      <c r="D345" s="29" t="n">
        <v>10676.49</v>
      </c>
      <c r="E345" s="29" t="n"/>
      <c r="F345" s="30" t="n"/>
      <c r="G345" s="29" t="n">
        <v>10089.85</v>
      </c>
      <c r="H345" s="29" t="n">
        <v>11263.14</v>
      </c>
    </row>
    <row r="346">
      <c r="A346" s="27" t="n">
        <v>46539</v>
      </c>
      <c r="B346" s="28" t="inlineStr">
        <is>
          <t>Dairy</t>
        </is>
      </c>
      <c r="C346" s="28" t="inlineStr">
        <is>
          <t>Forecast</t>
        </is>
      </c>
      <c r="D346" s="29" t="n">
        <v>14084.27</v>
      </c>
      <c r="E346" s="29" t="n"/>
      <c r="F346" s="30" t="n"/>
      <c r="G346" s="29" t="n">
        <v>13310.38</v>
      </c>
      <c r="H346" s="29" t="n">
        <v>14858.16</v>
      </c>
    </row>
    <row r="347">
      <c r="A347" s="27" t="n">
        <v>46539</v>
      </c>
      <c r="B347" s="28" t="inlineStr">
        <is>
          <t>Food To Go</t>
        </is>
      </c>
      <c r="C347" s="28" t="inlineStr">
        <is>
          <t>Forecast</t>
        </is>
      </c>
      <c r="D347" s="29" t="n">
        <v>15416.75</v>
      </c>
      <c r="E347" s="29" t="n"/>
      <c r="F347" s="30" t="n"/>
      <c r="G347" s="29" t="n">
        <v>14569.64</v>
      </c>
      <c r="H347" s="29" t="n">
        <v>16263.86</v>
      </c>
    </row>
    <row r="348">
      <c r="A348" s="27" t="n">
        <v>46539</v>
      </c>
      <c r="B348" s="28" t="inlineStr">
        <is>
          <t>Frozen</t>
        </is>
      </c>
      <c r="C348" s="28" t="inlineStr">
        <is>
          <t>Forecast</t>
        </is>
      </c>
      <c r="D348" s="29" t="n">
        <v>5981.77</v>
      </c>
      <c r="E348" s="29" t="n"/>
      <c r="F348" s="30" t="n"/>
      <c r="G348" s="29" t="n">
        <v>5653.08</v>
      </c>
      <c r="H348" s="29" t="n">
        <v>6310.45</v>
      </c>
    </row>
    <row r="349">
      <c r="A349" s="27" t="n">
        <v>46539</v>
      </c>
      <c r="B349" s="28" t="inlineStr">
        <is>
          <t>Grocery</t>
        </is>
      </c>
      <c r="C349" s="28" t="inlineStr">
        <is>
          <t>Forecast</t>
        </is>
      </c>
      <c r="D349" s="29" t="n">
        <v>9206.469999999999</v>
      </c>
      <c r="E349" s="29" t="n"/>
      <c r="F349" s="30" t="n"/>
      <c r="G349" s="29" t="n">
        <v>8700.6</v>
      </c>
      <c r="H349" s="29" t="n">
        <v>9712.34</v>
      </c>
    </row>
    <row r="350">
      <c r="A350" s="27" t="n">
        <v>46539</v>
      </c>
      <c r="B350" s="28" t="inlineStr">
        <is>
          <t>Health &amp; Beauty</t>
        </is>
      </c>
      <c r="C350" s="28" t="inlineStr">
        <is>
          <t>Forecast</t>
        </is>
      </c>
      <c r="D350" s="29" t="n">
        <v>1381.92</v>
      </c>
      <c r="E350" s="29" t="n"/>
      <c r="F350" s="30" t="n"/>
      <c r="G350" s="29" t="n">
        <v>1305.99</v>
      </c>
      <c r="H350" s="29" t="n">
        <v>1457.85</v>
      </c>
    </row>
    <row r="351">
      <c r="A351" s="27" t="n">
        <v>46539</v>
      </c>
      <c r="B351" s="28" t="inlineStr">
        <is>
          <t>Household</t>
        </is>
      </c>
      <c r="C351" s="28" t="inlineStr">
        <is>
          <t>Forecast</t>
        </is>
      </c>
      <c r="D351" s="29" t="n">
        <v>2420.74</v>
      </c>
      <c r="E351" s="29" t="n"/>
      <c r="F351" s="30" t="n"/>
      <c r="G351" s="29" t="n">
        <v>2287.72</v>
      </c>
      <c r="H351" s="29" t="n">
        <v>2553.75</v>
      </c>
    </row>
    <row r="352">
      <c r="A352" s="27" t="n">
        <v>46539</v>
      </c>
      <c r="B352" s="28" t="inlineStr">
        <is>
          <t>Produce</t>
        </is>
      </c>
      <c r="C352" s="28" t="inlineStr">
        <is>
          <t>Forecast</t>
        </is>
      </c>
      <c r="D352" s="29" t="n">
        <v>1808.68</v>
      </c>
      <c r="E352" s="29" t="n"/>
      <c r="F352" s="30" t="n"/>
      <c r="G352" s="29" t="n">
        <v>1709.3</v>
      </c>
      <c r="H352" s="29" t="n">
        <v>1908.06</v>
      </c>
    </row>
    <row r="353">
      <c r="A353" s="27" t="n">
        <v>46539</v>
      </c>
      <c r="B353" s="28" t="inlineStr">
        <is>
          <t>Snacks &amp; Confectionery</t>
        </is>
      </c>
      <c r="C353" s="28" t="inlineStr">
        <is>
          <t>Forecast</t>
        </is>
      </c>
      <c r="D353" s="29" t="n">
        <v>9263.43</v>
      </c>
      <c r="E353" s="29" t="n"/>
      <c r="F353" s="30" t="n"/>
      <c r="G353" s="29" t="n">
        <v>8754.43</v>
      </c>
      <c r="H353" s="29" t="n">
        <v>9772.43</v>
      </c>
    </row>
    <row r="354">
      <c r="A354" s="27" t="n">
        <v>46569</v>
      </c>
      <c r="B354" s="28" t="inlineStr">
        <is>
          <t>Bakery</t>
        </is>
      </c>
      <c r="C354" s="28" t="inlineStr">
        <is>
          <t>Forecast</t>
        </is>
      </c>
      <c r="D354" s="29" t="n">
        <v>5483.85</v>
      </c>
      <c r="E354" s="29" t="n"/>
      <c r="F354" s="30" t="n"/>
      <c r="G354" s="29" t="n">
        <v>5182.52</v>
      </c>
      <c r="H354" s="29" t="n">
        <v>5785.17</v>
      </c>
    </row>
    <row r="355">
      <c r="A355" s="27" t="n">
        <v>46569</v>
      </c>
      <c r="B355" s="28" t="inlineStr">
        <is>
          <t>Beer &amp; Wine</t>
        </is>
      </c>
      <c r="C355" s="28" t="inlineStr">
        <is>
          <t>Forecast</t>
        </is>
      </c>
      <c r="D355" s="29" t="n">
        <v>8418.129999999999</v>
      </c>
      <c r="E355" s="29" t="n"/>
      <c r="F355" s="30" t="n"/>
      <c r="G355" s="29" t="n">
        <v>7955.57</v>
      </c>
      <c r="H355" s="29" t="n">
        <v>8880.68</v>
      </c>
    </row>
    <row r="356">
      <c r="A356" s="27" t="n">
        <v>46569</v>
      </c>
      <c r="B356" s="28" t="inlineStr">
        <is>
          <t>Beverages</t>
        </is>
      </c>
      <c r="C356" s="28" t="inlineStr">
        <is>
          <t>Forecast</t>
        </is>
      </c>
      <c r="D356" s="29" t="n">
        <v>10625.33</v>
      </c>
      <c r="E356" s="29" t="n"/>
      <c r="F356" s="30" t="n"/>
      <c r="G356" s="29" t="n">
        <v>10041.5</v>
      </c>
      <c r="H356" s="29" t="n">
        <v>11209.16</v>
      </c>
    </row>
    <row r="357">
      <c r="A357" s="27" t="n">
        <v>46569</v>
      </c>
      <c r="B357" s="28" t="inlineStr">
        <is>
          <t>Dairy</t>
        </is>
      </c>
      <c r="C357" s="28" t="inlineStr">
        <is>
          <t>Forecast</t>
        </is>
      </c>
      <c r="D357" s="29" t="n">
        <v>14869.97</v>
      </c>
      <c r="E357" s="29" t="n"/>
      <c r="F357" s="30" t="n"/>
      <c r="G357" s="29" t="n">
        <v>14052.9</v>
      </c>
      <c r="H357" s="29" t="n">
        <v>15687.03</v>
      </c>
    </row>
    <row r="358">
      <c r="A358" s="27" t="n">
        <v>46569</v>
      </c>
      <c r="B358" s="28" t="inlineStr">
        <is>
          <t>Food To Go</t>
        </is>
      </c>
      <c r="C358" s="28" t="inlineStr">
        <is>
          <t>Forecast</t>
        </is>
      </c>
      <c r="D358" s="29" t="n">
        <v>15131.52</v>
      </c>
      <c r="E358" s="29" t="n"/>
      <c r="F358" s="30" t="n"/>
      <c r="G358" s="29" t="n">
        <v>14300.08</v>
      </c>
      <c r="H358" s="29" t="n">
        <v>15962.96</v>
      </c>
    </row>
    <row r="359">
      <c r="A359" s="27" t="n">
        <v>46569</v>
      </c>
      <c r="B359" s="28" t="inlineStr">
        <is>
          <t>Frozen</t>
        </is>
      </c>
      <c r="C359" s="28" t="inlineStr">
        <is>
          <t>Forecast</t>
        </is>
      </c>
      <c r="D359" s="29" t="n">
        <v>6479.61</v>
      </c>
      <c r="E359" s="29" t="n"/>
      <c r="F359" s="30" t="n"/>
      <c r="G359" s="29" t="n">
        <v>6123.58</v>
      </c>
      <c r="H359" s="29" t="n">
        <v>6835.65</v>
      </c>
    </row>
    <row r="360">
      <c r="A360" s="27" t="n">
        <v>46569</v>
      </c>
      <c r="B360" s="28" t="inlineStr">
        <is>
          <t>Grocery</t>
        </is>
      </c>
      <c r="C360" s="28" t="inlineStr">
        <is>
          <t>Forecast</t>
        </is>
      </c>
      <c r="D360" s="29" t="n">
        <v>9580.030000000001</v>
      </c>
      <c r="E360" s="29" t="n"/>
      <c r="F360" s="30" t="n"/>
      <c r="G360" s="29" t="n">
        <v>9053.629999999999</v>
      </c>
      <c r="H360" s="29" t="n">
        <v>10106.43</v>
      </c>
    </row>
    <row r="361">
      <c r="A361" s="27" t="n">
        <v>46569</v>
      </c>
      <c r="B361" s="28" t="inlineStr">
        <is>
          <t>Health &amp; Beauty</t>
        </is>
      </c>
      <c r="C361" s="28" t="inlineStr">
        <is>
          <t>Forecast</t>
        </is>
      </c>
      <c r="D361" s="29" t="n">
        <v>1522.38</v>
      </c>
      <c r="E361" s="29" t="n"/>
      <c r="F361" s="30" t="n"/>
      <c r="G361" s="29" t="n">
        <v>1438.73</v>
      </c>
      <c r="H361" s="29" t="n">
        <v>1606.03</v>
      </c>
    </row>
    <row r="362">
      <c r="A362" s="27" t="n">
        <v>46569</v>
      </c>
      <c r="B362" s="28" t="inlineStr">
        <is>
          <t>Household</t>
        </is>
      </c>
      <c r="C362" s="28" t="inlineStr">
        <is>
          <t>Forecast</t>
        </is>
      </c>
      <c r="D362" s="29" t="n">
        <v>2302.04</v>
      </c>
      <c r="E362" s="29" t="n"/>
      <c r="F362" s="30" t="n"/>
      <c r="G362" s="29" t="n">
        <v>2175.55</v>
      </c>
      <c r="H362" s="29" t="n">
        <v>2428.53</v>
      </c>
    </row>
    <row r="363">
      <c r="A363" s="27" t="n">
        <v>46569</v>
      </c>
      <c r="B363" s="28" t="inlineStr">
        <is>
          <t>Produce</t>
        </is>
      </c>
      <c r="C363" s="28" t="inlineStr">
        <is>
          <t>Forecast</t>
        </is>
      </c>
      <c r="D363" s="29" t="n">
        <v>1964.61</v>
      </c>
      <c r="E363" s="29" t="n"/>
      <c r="F363" s="30" t="n"/>
      <c r="G363" s="29" t="n">
        <v>1856.66</v>
      </c>
      <c r="H363" s="29" t="n">
        <v>2072.57</v>
      </c>
    </row>
    <row r="364">
      <c r="A364" s="27" t="n">
        <v>46569</v>
      </c>
      <c r="B364" s="28" t="inlineStr">
        <is>
          <t>Snacks &amp; Confectionery</t>
        </is>
      </c>
      <c r="C364" s="28" t="inlineStr">
        <is>
          <t>Forecast</t>
        </is>
      </c>
      <c r="D364" s="29" t="n">
        <v>9354.09</v>
      </c>
      <c r="E364" s="29" t="n"/>
      <c r="F364" s="30" t="n"/>
      <c r="G364" s="29" t="n">
        <v>8840.110000000001</v>
      </c>
      <c r="H364" s="29" t="n">
        <v>9868.07</v>
      </c>
    </row>
    <row r="365">
      <c r="A365" s="27" t="n">
        <v>46600</v>
      </c>
      <c r="B365" s="28" t="inlineStr">
        <is>
          <t>Bakery</t>
        </is>
      </c>
      <c r="C365" s="28" t="inlineStr">
        <is>
          <t>Forecast</t>
        </is>
      </c>
      <c r="D365" s="29" t="n">
        <v>4728.22</v>
      </c>
      <c r="E365" s="29" t="n"/>
      <c r="F365" s="30" t="n"/>
      <c r="G365" s="29" t="n">
        <v>4468.41</v>
      </c>
      <c r="H365" s="29" t="n">
        <v>4988.02</v>
      </c>
    </row>
    <row r="366">
      <c r="A366" s="27" t="n">
        <v>46600</v>
      </c>
      <c r="B366" s="28" t="inlineStr">
        <is>
          <t>Beer &amp; Wine</t>
        </is>
      </c>
      <c r="C366" s="28" t="inlineStr">
        <is>
          <t>Forecast</t>
        </is>
      </c>
      <c r="D366" s="29" t="n">
        <v>9182.85</v>
      </c>
      <c r="E366" s="29" t="n"/>
      <c r="F366" s="30" t="n"/>
      <c r="G366" s="29" t="n">
        <v>8678.27</v>
      </c>
      <c r="H366" s="29" t="n">
        <v>9687.42</v>
      </c>
    </row>
    <row r="367">
      <c r="A367" s="27" t="n">
        <v>46600</v>
      </c>
      <c r="B367" s="28" t="inlineStr">
        <is>
          <t>Beverages</t>
        </is>
      </c>
      <c r="C367" s="28" t="inlineStr">
        <is>
          <t>Forecast</t>
        </is>
      </c>
      <c r="D367" s="29" t="n">
        <v>11140.96</v>
      </c>
      <c r="E367" s="29" t="n"/>
      <c r="F367" s="30" t="n"/>
      <c r="G367" s="29" t="n">
        <v>10528.79</v>
      </c>
      <c r="H367" s="29" t="n">
        <v>11753.13</v>
      </c>
    </row>
    <row r="368">
      <c r="A368" s="27" t="n">
        <v>46600</v>
      </c>
      <c r="B368" s="28" t="inlineStr">
        <is>
          <t>Dairy</t>
        </is>
      </c>
      <c r="C368" s="28" t="inlineStr">
        <is>
          <t>Forecast</t>
        </is>
      </c>
      <c r="D368" s="29" t="n">
        <v>14333.38</v>
      </c>
      <c r="E368" s="29" t="n"/>
      <c r="F368" s="30" t="n"/>
      <c r="G368" s="29" t="n">
        <v>13545.79</v>
      </c>
      <c r="H368" s="29" t="n">
        <v>15120.96</v>
      </c>
    </row>
    <row r="369">
      <c r="A369" s="27" t="n">
        <v>46600</v>
      </c>
      <c r="B369" s="28" t="inlineStr">
        <is>
          <t>Food To Go</t>
        </is>
      </c>
      <c r="C369" s="28" t="inlineStr">
        <is>
          <t>Forecast</t>
        </is>
      </c>
      <c r="D369" s="29" t="n">
        <v>15483.65</v>
      </c>
      <c r="E369" s="29" t="n"/>
      <c r="F369" s="30" t="n"/>
      <c r="G369" s="29" t="n">
        <v>14632.87</v>
      </c>
      <c r="H369" s="29" t="n">
        <v>16334.44</v>
      </c>
    </row>
    <row r="370">
      <c r="A370" s="27" t="n">
        <v>46600</v>
      </c>
      <c r="B370" s="28" t="inlineStr">
        <is>
          <t>Frozen</t>
        </is>
      </c>
      <c r="C370" s="28" t="inlineStr">
        <is>
          <t>Forecast</t>
        </is>
      </c>
      <c r="D370" s="29" t="n">
        <v>6683.63</v>
      </c>
      <c r="E370" s="29" t="n"/>
      <c r="F370" s="30" t="n"/>
      <c r="G370" s="29" t="n">
        <v>6316.38</v>
      </c>
      <c r="H370" s="29" t="n">
        <v>7050.87</v>
      </c>
    </row>
    <row r="371">
      <c r="A371" s="27" t="n">
        <v>46600</v>
      </c>
      <c r="B371" s="28" t="inlineStr">
        <is>
          <t>Grocery</t>
        </is>
      </c>
      <c r="C371" s="28" t="inlineStr">
        <is>
          <t>Forecast</t>
        </is>
      </c>
      <c r="D371" s="29" t="n">
        <v>9813.799999999999</v>
      </c>
      <c r="E371" s="29" t="n"/>
      <c r="F371" s="30" t="n"/>
      <c r="G371" s="29" t="n">
        <v>9274.549999999999</v>
      </c>
      <c r="H371" s="29" t="n">
        <v>10353.04</v>
      </c>
    </row>
    <row r="372">
      <c r="A372" s="27" t="n">
        <v>46600</v>
      </c>
      <c r="B372" s="28" t="inlineStr">
        <is>
          <t>Health &amp; Beauty</t>
        </is>
      </c>
      <c r="C372" s="28" t="inlineStr">
        <is>
          <t>Forecast</t>
        </is>
      </c>
      <c r="D372" s="29" t="n">
        <v>1474.52</v>
      </c>
      <c r="E372" s="29" t="n"/>
      <c r="F372" s="30" t="n"/>
      <c r="G372" s="29" t="n">
        <v>1393.5</v>
      </c>
      <c r="H372" s="29" t="n">
        <v>1555.54</v>
      </c>
    </row>
    <row r="373">
      <c r="A373" s="27" t="n">
        <v>46600</v>
      </c>
      <c r="B373" s="28" t="inlineStr">
        <is>
          <t>Household</t>
        </is>
      </c>
      <c r="C373" s="28" t="inlineStr">
        <is>
          <t>Forecast</t>
        </is>
      </c>
      <c r="D373" s="29" t="n">
        <v>2373.51</v>
      </c>
      <c r="E373" s="29" t="n"/>
      <c r="F373" s="30" t="n"/>
      <c r="G373" s="29" t="n">
        <v>2243.1</v>
      </c>
      <c r="H373" s="29" t="n">
        <v>2503.93</v>
      </c>
    </row>
    <row r="374">
      <c r="A374" s="27" t="n">
        <v>46600</v>
      </c>
      <c r="B374" s="28" t="inlineStr">
        <is>
          <t>Produce</t>
        </is>
      </c>
      <c r="C374" s="28" t="inlineStr">
        <is>
          <t>Forecast</t>
        </is>
      </c>
      <c r="D374" s="29" t="n">
        <v>1894.89</v>
      </c>
      <c r="E374" s="29" t="n"/>
      <c r="F374" s="30" t="n"/>
      <c r="G374" s="29" t="n">
        <v>1790.77</v>
      </c>
      <c r="H374" s="29" t="n">
        <v>1999.01</v>
      </c>
    </row>
    <row r="375">
      <c r="A375" s="27" t="n">
        <v>46600</v>
      </c>
      <c r="B375" s="28" t="inlineStr">
        <is>
          <t>Snacks &amp; Confectionery</t>
        </is>
      </c>
      <c r="C375" s="28" t="inlineStr">
        <is>
          <t>Forecast</t>
        </is>
      </c>
      <c r="D375" s="29" t="n">
        <v>9404.860000000001</v>
      </c>
      <c r="E375" s="29" t="n"/>
      <c r="F375" s="30" t="n"/>
      <c r="G375" s="29" t="n">
        <v>8888.08</v>
      </c>
      <c r="H375" s="29" t="n">
        <v>9921.629999999999</v>
      </c>
    </row>
    <row r="376">
      <c r="A376" s="27" t="n">
        <v>46631</v>
      </c>
      <c r="B376" s="28" t="inlineStr">
        <is>
          <t>Bakery</t>
        </is>
      </c>
      <c r="C376" s="28" t="inlineStr">
        <is>
          <t>Forecast</t>
        </is>
      </c>
      <c r="D376" s="29" t="n">
        <v>5043.2</v>
      </c>
      <c r="E376" s="29" t="n"/>
      <c r="F376" s="30" t="n"/>
      <c r="G376" s="29" t="n">
        <v>4766.09</v>
      </c>
      <c r="H376" s="29" t="n">
        <v>5320.31</v>
      </c>
    </row>
    <row r="377">
      <c r="A377" s="27" t="n">
        <v>46631</v>
      </c>
      <c r="B377" s="28" t="inlineStr">
        <is>
          <t>Beer &amp; Wine</t>
        </is>
      </c>
      <c r="C377" s="28" t="inlineStr">
        <is>
          <t>Forecast</t>
        </is>
      </c>
      <c r="D377" s="29" t="n">
        <v>9397.129999999999</v>
      </c>
      <c r="E377" s="29" t="n"/>
      <c r="F377" s="30" t="n"/>
      <c r="G377" s="29" t="n">
        <v>8880.780000000001</v>
      </c>
      <c r="H377" s="29" t="n">
        <v>9913.48</v>
      </c>
    </row>
    <row r="378">
      <c r="A378" s="27" t="n">
        <v>46631</v>
      </c>
      <c r="B378" s="28" t="inlineStr">
        <is>
          <t>Beverages</t>
        </is>
      </c>
      <c r="C378" s="28" t="inlineStr">
        <is>
          <t>Forecast</t>
        </is>
      </c>
      <c r="D378" s="29" t="n">
        <v>11908.91</v>
      </c>
      <c r="E378" s="29" t="n"/>
      <c r="F378" s="30" t="n"/>
      <c r="G378" s="29" t="n">
        <v>11254.55</v>
      </c>
      <c r="H378" s="29" t="n">
        <v>12563.28</v>
      </c>
    </row>
    <row r="379">
      <c r="A379" s="27" t="n">
        <v>46631</v>
      </c>
      <c r="B379" s="28" t="inlineStr">
        <is>
          <t>Dairy</t>
        </is>
      </c>
      <c r="C379" s="28" t="inlineStr">
        <is>
          <t>Forecast</t>
        </is>
      </c>
      <c r="D379" s="29" t="n">
        <v>14061</v>
      </c>
      <c r="E379" s="29" t="n"/>
      <c r="F379" s="30" t="n"/>
      <c r="G379" s="29" t="n">
        <v>13288.39</v>
      </c>
      <c r="H379" s="29" t="n">
        <v>14833.62</v>
      </c>
    </row>
    <row r="380">
      <c r="A380" s="27" t="n">
        <v>46631</v>
      </c>
      <c r="B380" s="28" t="inlineStr">
        <is>
          <t>Food To Go</t>
        </is>
      </c>
      <c r="C380" s="28" t="inlineStr">
        <is>
          <t>Forecast</t>
        </is>
      </c>
      <c r="D380" s="29" t="n">
        <v>15304.64</v>
      </c>
      <c r="E380" s="29" t="n"/>
      <c r="F380" s="30" t="n"/>
      <c r="G380" s="29" t="n">
        <v>14463.69</v>
      </c>
      <c r="H380" s="29" t="n">
        <v>16145.59</v>
      </c>
    </row>
    <row r="381">
      <c r="A381" s="27" t="n">
        <v>46631</v>
      </c>
      <c r="B381" s="28" t="inlineStr">
        <is>
          <t>Frozen</t>
        </is>
      </c>
      <c r="C381" s="28" t="inlineStr">
        <is>
          <t>Forecast</t>
        </is>
      </c>
      <c r="D381" s="29" t="n">
        <v>6620.45</v>
      </c>
      <c r="E381" s="29" t="n"/>
      <c r="F381" s="30" t="n"/>
      <c r="G381" s="29" t="n">
        <v>6256.68</v>
      </c>
      <c r="H381" s="29" t="n">
        <v>6984.23</v>
      </c>
    </row>
    <row r="382">
      <c r="A382" s="27" t="n">
        <v>46631</v>
      </c>
      <c r="B382" s="28" t="inlineStr">
        <is>
          <t>Grocery</t>
        </is>
      </c>
      <c r="C382" s="28" t="inlineStr">
        <is>
          <t>Forecast</t>
        </is>
      </c>
      <c r="D382" s="29" t="n">
        <v>9872.209999999999</v>
      </c>
      <c r="E382" s="29" t="n"/>
      <c r="F382" s="30" t="n"/>
      <c r="G382" s="29" t="n">
        <v>9329.76</v>
      </c>
      <c r="H382" s="29" t="n">
        <v>10414.67</v>
      </c>
    </row>
    <row r="383">
      <c r="A383" s="27" t="n">
        <v>46631</v>
      </c>
      <c r="B383" s="28" t="inlineStr">
        <is>
          <t>Health &amp; Beauty</t>
        </is>
      </c>
      <c r="C383" s="28" t="inlineStr">
        <is>
          <t>Forecast</t>
        </is>
      </c>
      <c r="D383" s="29" t="n">
        <v>1613.87</v>
      </c>
      <c r="E383" s="29" t="n"/>
      <c r="F383" s="30" t="n"/>
      <c r="G383" s="29" t="n">
        <v>1525.19</v>
      </c>
      <c r="H383" s="29" t="n">
        <v>1702.55</v>
      </c>
    </row>
    <row r="384">
      <c r="A384" s="27" t="n">
        <v>46631</v>
      </c>
      <c r="B384" s="28" t="inlineStr">
        <is>
          <t>Household</t>
        </is>
      </c>
      <c r="C384" s="28" t="inlineStr">
        <is>
          <t>Forecast</t>
        </is>
      </c>
      <c r="D384" s="29" t="n">
        <v>2399.18</v>
      </c>
      <c r="E384" s="29" t="n"/>
      <c r="F384" s="30" t="n"/>
      <c r="G384" s="29" t="n">
        <v>2267.35</v>
      </c>
      <c r="H384" s="29" t="n">
        <v>2531</v>
      </c>
    </row>
    <row r="385">
      <c r="A385" s="27" t="n">
        <v>46631</v>
      </c>
      <c r="B385" s="28" t="inlineStr">
        <is>
          <t>Produce</t>
        </is>
      </c>
      <c r="C385" s="28" t="inlineStr">
        <is>
          <t>Forecast</t>
        </is>
      </c>
      <c r="D385" s="29" t="n">
        <v>2024.71</v>
      </c>
      <c r="E385" s="29" t="n"/>
      <c r="F385" s="30" t="n"/>
      <c r="G385" s="29" t="n">
        <v>1913.46</v>
      </c>
      <c r="H385" s="29" t="n">
        <v>2135.96</v>
      </c>
    </row>
    <row r="386">
      <c r="A386" s="27" t="n">
        <v>46631</v>
      </c>
      <c r="B386" s="28" t="inlineStr">
        <is>
          <t>Snacks &amp; Confectionery</t>
        </is>
      </c>
      <c r="C386" s="28" t="inlineStr">
        <is>
          <t>Forecast</t>
        </is>
      </c>
      <c r="D386" s="29" t="n">
        <v>9533.51</v>
      </c>
      <c r="E386" s="29" t="n"/>
      <c r="F386" s="30" t="n"/>
      <c r="G386" s="29" t="n">
        <v>9009.67</v>
      </c>
      <c r="H386" s="29" t="n">
        <v>10057.35</v>
      </c>
    </row>
    <row r="387">
      <c r="A387" s="27" t="n">
        <v>46661</v>
      </c>
      <c r="B387" s="28" t="inlineStr">
        <is>
          <t>Bakery</t>
        </is>
      </c>
      <c r="C387" s="28" t="inlineStr">
        <is>
          <t>Forecast</t>
        </is>
      </c>
      <c r="D387" s="29" t="n">
        <v>5073.85</v>
      </c>
      <c r="E387" s="29" t="n"/>
      <c r="F387" s="30" t="n"/>
      <c r="G387" s="29" t="n">
        <v>4795.05</v>
      </c>
      <c r="H387" s="29" t="n">
        <v>5352.64</v>
      </c>
    </row>
    <row r="388">
      <c r="A388" s="27" t="n">
        <v>46661</v>
      </c>
      <c r="B388" s="28" t="inlineStr">
        <is>
          <t>Beer &amp; Wine</t>
        </is>
      </c>
      <c r="C388" s="28" t="inlineStr">
        <is>
          <t>Forecast</t>
        </is>
      </c>
      <c r="D388" s="29" t="n">
        <v>10552.84</v>
      </c>
      <c r="E388" s="29" t="n"/>
      <c r="F388" s="30" t="n"/>
      <c r="G388" s="29" t="n">
        <v>9972.99</v>
      </c>
      <c r="H388" s="29" t="n">
        <v>11132.69</v>
      </c>
    </row>
    <row r="389">
      <c r="A389" s="27" t="n">
        <v>46661</v>
      </c>
      <c r="B389" s="28" t="inlineStr">
        <is>
          <t>Beverages</t>
        </is>
      </c>
      <c r="C389" s="28" t="inlineStr">
        <is>
          <t>Forecast</t>
        </is>
      </c>
      <c r="D389" s="29" t="n">
        <v>14357.54</v>
      </c>
      <c r="E389" s="29" t="n"/>
      <c r="F389" s="30" t="n"/>
      <c r="G389" s="29" t="n">
        <v>13568.63</v>
      </c>
      <c r="H389" s="29" t="n">
        <v>15146.45</v>
      </c>
    </row>
    <row r="390">
      <c r="A390" s="27" t="n">
        <v>46661</v>
      </c>
      <c r="B390" s="28" t="inlineStr">
        <is>
          <t>Dairy</t>
        </is>
      </c>
      <c r="C390" s="28" t="inlineStr">
        <is>
          <t>Forecast</t>
        </is>
      </c>
      <c r="D390" s="29" t="n">
        <v>14415.84</v>
      </c>
      <c r="E390" s="29" t="n"/>
      <c r="F390" s="30" t="n"/>
      <c r="G390" s="29" t="n">
        <v>13623.73</v>
      </c>
      <c r="H390" s="29" t="n">
        <v>15207.96</v>
      </c>
    </row>
    <row r="391">
      <c r="A391" s="27" t="n">
        <v>46661</v>
      </c>
      <c r="B391" s="28" t="inlineStr">
        <is>
          <t>Food To Go</t>
        </is>
      </c>
      <c r="C391" s="28" t="inlineStr">
        <is>
          <t>Forecast</t>
        </is>
      </c>
      <c r="D391" s="29" t="n">
        <v>15742.03</v>
      </c>
      <c r="E391" s="29" t="n"/>
      <c r="F391" s="30" t="n"/>
      <c r="G391" s="29" t="n">
        <v>14877.04</v>
      </c>
      <c r="H391" s="29" t="n">
        <v>16607.01</v>
      </c>
    </row>
    <row r="392">
      <c r="A392" s="27" t="n">
        <v>46661</v>
      </c>
      <c r="B392" s="28" t="inlineStr">
        <is>
          <t>Frozen</t>
        </is>
      </c>
      <c r="C392" s="28" t="inlineStr">
        <is>
          <t>Forecast</t>
        </is>
      </c>
      <c r="D392" s="29" t="n">
        <v>6851.25</v>
      </c>
      <c r="E392" s="29" t="n"/>
      <c r="F392" s="30" t="n"/>
      <c r="G392" s="29" t="n">
        <v>6474.79</v>
      </c>
      <c r="H392" s="29" t="n">
        <v>7227.71</v>
      </c>
    </row>
    <row r="393">
      <c r="A393" s="27" t="n">
        <v>46661</v>
      </c>
      <c r="B393" s="28" t="inlineStr">
        <is>
          <t>Grocery</t>
        </is>
      </c>
      <c r="C393" s="28" t="inlineStr">
        <is>
          <t>Forecast</t>
        </is>
      </c>
      <c r="D393" s="29" t="n">
        <v>8862.700000000001</v>
      </c>
      <c r="E393" s="29" t="n"/>
      <c r="F393" s="30" t="n"/>
      <c r="G393" s="29" t="n">
        <v>8375.709999999999</v>
      </c>
      <c r="H393" s="29" t="n">
        <v>9349.68</v>
      </c>
    </row>
    <row r="394">
      <c r="A394" s="27" t="n">
        <v>46661</v>
      </c>
      <c r="B394" s="28" t="inlineStr">
        <is>
          <t>Health &amp; Beauty</t>
        </is>
      </c>
      <c r="C394" s="28" t="inlineStr">
        <is>
          <t>Forecast</t>
        </is>
      </c>
      <c r="D394" s="29" t="n">
        <v>1503.58</v>
      </c>
      <c r="E394" s="29" t="n"/>
      <c r="F394" s="30" t="n"/>
      <c r="G394" s="29" t="n">
        <v>1420.96</v>
      </c>
      <c r="H394" s="29" t="n">
        <v>1586.2</v>
      </c>
    </row>
    <row r="395">
      <c r="A395" s="27" t="n">
        <v>46661</v>
      </c>
      <c r="B395" s="28" t="inlineStr">
        <is>
          <t>Household</t>
        </is>
      </c>
      <c r="C395" s="28" t="inlineStr">
        <is>
          <t>Forecast</t>
        </is>
      </c>
      <c r="D395" s="29" t="n">
        <v>2547.41</v>
      </c>
      <c r="E395" s="29" t="n"/>
      <c r="F395" s="30" t="n"/>
      <c r="G395" s="29" t="n">
        <v>2407.44</v>
      </c>
      <c r="H395" s="29" t="n">
        <v>2687.38</v>
      </c>
    </row>
    <row r="396">
      <c r="A396" s="27" t="n">
        <v>46661</v>
      </c>
      <c r="B396" s="28" t="inlineStr">
        <is>
          <t>Produce</t>
        </is>
      </c>
      <c r="C396" s="28" t="inlineStr">
        <is>
          <t>Forecast</t>
        </is>
      </c>
      <c r="D396" s="29" t="n">
        <v>2298.6</v>
      </c>
      <c r="E396" s="29" t="n"/>
      <c r="F396" s="30" t="n"/>
      <c r="G396" s="29" t="n">
        <v>2172.3</v>
      </c>
      <c r="H396" s="29" t="n">
        <v>2424.9</v>
      </c>
    </row>
    <row r="397">
      <c r="A397" s="27" t="n">
        <v>46661</v>
      </c>
      <c r="B397" s="28" t="inlineStr">
        <is>
          <t>Snacks &amp; Confectionery</t>
        </is>
      </c>
      <c r="C397" s="28" t="inlineStr">
        <is>
          <t>Forecast</t>
        </is>
      </c>
      <c r="D397" s="29" t="n">
        <v>9577.98</v>
      </c>
      <c r="E397" s="29" t="n"/>
      <c r="F397" s="30" t="n"/>
      <c r="G397" s="29" t="n">
        <v>9051.700000000001</v>
      </c>
      <c r="H397" s="29" t="n">
        <v>10104.27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9AA5B1"/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7" customWidth="1" min="3" max="3"/>
    <col width="13" customWidth="1" min="4" max="4"/>
    <col width="14" customWidth="1" min="5" max="5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3" t="inlineStr">
        <is>
          <t>Lookup tables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4" t="inlineStr">
        <is>
          <t>Reference data used by INDEX-MATCH formulas in the Model sheet.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B5" s="13" t="inlineStr">
        <is>
          <t>targets</t>
        </is>
      </c>
      <c r="M5" s="13" t="inlineStr">
        <is>
          <t>Category list</t>
        </is>
      </c>
    </row>
    <row r="6" ht="28" customHeight="1">
      <c r="B6" s="14" t="inlineStr">
        <is>
          <t>category</t>
        </is>
      </c>
      <c r="C6" s="14" t="inlineStr">
        <is>
          <t>gm_target_pct</t>
        </is>
      </c>
      <c r="D6" s="14" t="inlineStr">
        <is>
          <t>owner</t>
        </is>
      </c>
      <c r="E6" s="14" t="inlineStr">
        <is>
          <t>short_life</t>
        </is>
      </c>
      <c r="M6" s="28" t="inlineStr">
        <is>
          <t>All</t>
        </is>
      </c>
    </row>
    <row r="7">
      <c r="B7" s="31" t="inlineStr">
        <is>
          <t>Bakery</t>
        </is>
      </c>
      <c r="C7" s="17" t="n">
        <v>0.382</v>
      </c>
      <c r="D7" s="31" t="inlineStr">
        <is>
          <t>Store Manager</t>
        </is>
      </c>
      <c r="E7" s="31" t="inlineStr">
        <is>
          <t>Yes</t>
        </is>
      </c>
      <c r="M7" s="28" t="inlineStr">
        <is>
          <t>Bakery</t>
        </is>
      </c>
    </row>
    <row r="8">
      <c r="B8" s="31" t="inlineStr">
        <is>
          <t>Beer &amp; Wine</t>
        </is>
      </c>
      <c r="C8" s="17" t="n">
        <v>0.338</v>
      </c>
      <c r="D8" s="31" t="inlineStr">
        <is>
          <t>Licence Manager</t>
        </is>
      </c>
      <c r="E8" s="31" t="inlineStr">
        <is>
          <t>No</t>
        </is>
      </c>
      <c r="M8" s="28" t="inlineStr">
        <is>
          <t>Beer &amp; Wine</t>
        </is>
      </c>
    </row>
    <row r="9">
      <c r="B9" s="31" t="inlineStr">
        <is>
          <t>Beverages</t>
        </is>
      </c>
      <c r="C9" s="17" t="n">
        <v>0.51</v>
      </c>
      <c r="D9" s="31" t="inlineStr">
        <is>
          <t>Duty Manager</t>
        </is>
      </c>
      <c r="E9" s="31" t="inlineStr">
        <is>
          <t>No</t>
        </is>
      </c>
      <c r="M9" s="28" t="inlineStr">
        <is>
          <t>Beverages</t>
        </is>
      </c>
    </row>
    <row r="10">
      <c r="B10" s="31" t="inlineStr">
        <is>
          <t>Dairy</t>
        </is>
      </c>
      <c r="C10" s="17" t="n">
        <v>0.278</v>
      </c>
      <c r="D10" s="31" t="inlineStr">
        <is>
          <t>Duty Manager</t>
        </is>
      </c>
      <c r="E10" s="31" t="inlineStr">
        <is>
          <t>Yes</t>
        </is>
      </c>
      <c r="M10" s="28" t="inlineStr">
        <is>
          <t>Dairy</t>
        </is>
      </c>
    </row>
    <row r="11">
      <c r="B11" s="31" t="inlineStr">
        <is>
          <t>Food To Go</t>
        </is>
      </c>
      <c r="C11" s="17" t="n">
        <v>0.478</v>
      </c>
      <c r="D11" s="31" t="inlineStr">
        <is>
          <t>Store Manager</t>
        </is>
      </c>
      <c r="E11" s="31" t="inlineStr">
        <is>
          <t>Yes</t>
        </is>
      </c>
      <c r="M11" s="28" t="inlineStr">
        <is>
          <t>Food To Go</t>
        </is>
      </c>
    </row>
    <row r="12">
      <c r="B12" s="31" t="inlineStr">
        <is>
          <t>Frozen</t>
        </is>
      </c>
      <c r="C12" s="17" t="n">
        <v>0.436</v>
      </c>
      <c r="D12" s="31" t="inlineStr">
        <is>
          <t>Duty Manager</t>
        </is>
      </c>
      <c r="E12" s="31" t="inlineStr">
        <is>
          <t>No</t>
        </is>
      </c>
      <c r="M12" s="28" t="inlineStr">
        <is>
          <t>Frozen</t>
        </is>
      </c>
    </row>
    <row r="13">
      <c r="B13" s="31" t="inlineStr">
        <is>
          <t>Grocery</t>
        </is>
      </c>
      <c r="C13" s="17" t="n">
        <v>0.348</v>
      </c>
      <c r="D13" s="31" t="inlineStr">
        <is>
          <t>Duty Manager</t>
        </is>
      </c>
      <c r="E13" s="31" t="inlineStr">
        <is>
          <t>No</t>
        </is>
      </c>
      <c r="M13" s="28" t="inlineStr">
        <is>
          <t>Grocery</t>
        </is>
      </c>
    </row>
    <row r="14">
      <c r="B14" s="31" t="inlineStr">
        <is>
          <t>Health &amp; Beauty</t>
        </is>
      </c>
      <c r="C14" s="17" t="n">
        <v>0.501</v>
      </c>
      <c r="D14" s="31" t="inlineStr">
        <is>
          <t>Store Manager</t>
        </is>
      </c>
      <c r="E14" s="31" t="inlineStr">
        <is>
          <t>No</t>
        </is>
      </c>
      <c r="M14" s="28" t="inlineStr">
        <is>
          <t>Health &amp; Beauty</t>
        </is>
      </c>
    </row>
    <row r="15">
      <c r="B15" s="31" t="inlineStr">
        <is>
          <t>Household</t>
        </is>
      </c>
      <c r="C15" s="17" t="n">
        <v>0.412</v>
      </c>
      <c r="D15" s="31" t="inlineStr">
        <is>
          <t>Duty Manager</t>
        </is>
      </c>
      <c r="E15" s="31" t="inlineStr">
        <is>
          <t>No</t>
        </is>
      </c>
      <c r="M15" s="28" t="inlineStr">
        <is>
          <t>Household</t>
        </is>
      </c>
    </row>
    <row r="16">
      <c r="B16" s="31" t="inlineStr">
        <is>
          <t>Produce</t>
        </is>
      </c>
      <c r="C16" s="17" t="n">
        <v>0.431</v>
      </c>
      <c r="D16" s="31" t="inlineStr">
        <is>
          <t>Duty Manager</t>
        </is>
      </c>
      <c r="E16" s="31" t="inlineStr">
        <is>
          <t>Yes</t>
        </is>
      </c>
      <c r="M16" s="28" t="inlineStr">
        <is>
          <t>Produce</t>
        </is>
      </c>
    </row>
    <row r="17">
      <c r="B17" s="31" t="inlineStr">
        <is>
          <t>Snacks &amp; Confectionery</t>
        </is>
      </c>
      <c r="C17" s="17" t="n">
        <v>0.443</v>
      </c>
      <c r="D17" s="31" t="inlineStr">
        <is>
          <t>Duty Manager</t>
        </is>
      </c>
      <c r="E17" s="31" t="inlineStr">
        <is>
          <t>No</t>
        </is>
      </c>
      <c r="M17" s="28" t="inlineStr">
        <is>
          <t>Snacks &amp; Confectionery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5B1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70" customWidth="1" min="4" max="4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Assumptions</t>
        </is>
      </c>
      <c r="C2" s="1" t="n"/>
      <c r="D2" s="1" t="n"/>
      <c r="E2" s="1" t="n"/>
      <c r="F2" s="1" t="n"/>
    </row>
    <row r="3">
      <c r="A3" s="1" t="n"/>
      <c r="B3" s="4" t="inlineStr">
        <is>
          <t>Blue cells are inputs: change them and every sheet recalculates.</t>
        </is>
      </c>
      <c r="C3" s="1" t="n"/>
      <c r="D3" s="1" t="n"/>
      <c r="E3" s="1" t="n"/>
      <c r="F3" s="1" t="n"/>
    </row>
    <row r="5" ht="28" customHeight="1">
      <c r="B5" s="14" t="inlineStr">
        <is>
          <t>Input</t>
        </is>
      </c>
      <c r="C5" s="14" t="inlineStr">
        <is>
          <t>Value</t>
        </is>
      </c>
      <c r="D5" s="14" t="inlineStr">
        <is>
          <t>Why / source</t>
        </is>
      </c>
    </row>
    <row r="6">
      <c r="B6" s="31" t="inlineStr">
        <is>
          <t>Growth target vs last year</t>
        </is>
      </c>
      <c r="C6" s="32" t="n">
        <v>0.04</v>
      </c>
      <c r="D6" s="33" t="inlineStr">
        <is>
          <t>config.yaml › budget.growth_vs_last_year_pct</t>
        </is>
      </c>
    </row>
    <row r="7">
      <c r="B7" s="31" t="inlineStr">
        <is>
          <t>Plan starts (first month)</t>
        </is>
      </c>
      <c r="C7" s="34" t="n">
        <v>46327</v>
      </c>
      <c r="D7" s="33" t="inlineStr">
        <is>
          <t>First whole month after the data date</t>
        </is>
      </c>
    </row>
    <row r="8">
      <c r="B8" s="31" t="inlineStr">
        <is>
          <t>Months in plan</t>
        </is>
      </c>
      <c r="C8" s="35" t="n">
        <v>3</v>
      </c>
      <c r="D8" s="33" t="inlineStr">
        <is>
          <t>1-12. KPI tiles and the category plan use this window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5B1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0" customWidth="1" min="3" max="3"/>
  </cols>
  <sheetData>
    <row r="1">
      <c r="A1" s="1" t="n"/>
      <c r="B1" s="2" t="inlineStr">
        <is>
          <t>SHELLY</t>
        </is>
      </c>
      <c r="C1" s="1" t="n"/>
      <c r="D1" s="1" t="n"/>
      <c r="E1" s="1" t="n"/>
      <c r="F1" s="1" t="n"/>
    </row>
    <row r="2" ht="26" customHeight="1">
      <c r="A2" s="1" t="n"/>
      <c r="B2" s="3" t="inlineStr">
        <is>
          <t>Notes, method and sign-off</t>
        </is>
      </c>
      <c r="C2" s="1" t="n"/>
      <c r="D2" s="1" t="n"/>
      <c r="E2" s="1" t="n"/>
      <c r="F2" s="1" t="n"/>
    </row>
    <row r="3">
      <c r="A3" s="1" t="n"/>
      <c r="B3" s="4" t="inlineStr">
        <is>
          <t>How the numbers were made, what each column means, and who approved it.</t>
        </is>
      </c>
      <c r="C3" s="1" t="n"/>
      <c r="D3" s="1" t="n"/>
      <c r="E3" s="1" t="n"/>
      <c r="F3" s="1" t="n"/>
    </row>
    <row r="5">
      <c r="B5" s="13" t="inlineStr">
        <is>
          <t>About this workbook</t>
        </is>
      </c>
    </row>
    <row r="6">
      <c r="C6" s="36" t="inlineStr">
        <is>
          <t>Store: Demo Neighbourhood Store (Eden Terrace format).  Data to 11 Oct 2026.  Shelly v1.19.0.</t>
        </is>
      </c>
    </row>
    <row r="7">
      <c r="C7" s="36" t="inlineStr">
        <is>
          <t>Synthetic demo data.</t>
        </is>
      </c>
    </row>
    <row r="8">
      <c r="C8" s="36" t="inlineStr">
        <is>
          <t>Change the blue Category cell on the Dashboard, or any blue input on Assumptions: every formula follows.</t>
        </is>
      </c>
    </row>
    <row r="10">
      <c r="B10" s="13" t="inlineStr">
        <is>
          <t>Method</t>
        </is>
      </c>
    </row>
    <row r="11">
      <c r="C11" s="36" t="inlineStr">
        <is>
          <t>Budget = last year's same month × (1 + growth target).</t>
        </is>
      </c>
    </row>
    <row r="12">
      <c r="C12" s="36" t="inlineStr">
        <is>
          <t>Forecast = last year's same month × recent 12-week trend (capped ±15%), backtested; Low/High = 80% range.</t>
        </is>
      </c>
    </row>
    <row r="13">
      <c r="C13" s="36" t="inlineStr">
        <is>
          <t>Outlook rows = the current part-month (actual month-to-date + forecast for the rest).</t>
        </is>
      </c>
    </row>
    <row r="15">
      <c r="B15" s="13" t="inlineStr">
        <is>
          <t>Data dictionary (Raw sheet)</t>
        </is>
      </c>
    </row>
    <row r="16">
      <c r="B16" s="31" t="inlineStr">
        <is>
          <t>Month</t>
        </is>
      </c>
      <c r="C16" s="31" t="inlineStr">
        <is>
          <t>First day of the month</t>
        </is>
      </c>
    </row>
    <row r="17">
      <c r="B17" s="31" t="inlineStr">
        <is>
          <t>Category</t>
        </is>
      </c>
      <c r="C17" s="31" t="inlineStr">
        <is>
          <t>Product category</t>
        </is>
      </c>
    </row>
    <row r="18">
      <c r="B18" s="31" t="inlineStr">
        <is>
          <t>Type</t>
        </is>
      </c>
      <c r="C18" s="31" t="inlineStr">
        <is>
          <t>Actual = history; Forecast = Shelly's plan months; Outlook = current month</t>
        </is>
      </c>
    </row>
    <row r="19">
      <c r="B19" s="31" t="inlineStr">
        <is>
          <t>Sales</t>
        </is>
      </c>
      <c r="C19" s="31" t="inlineStr">
        <is>
          <t>Net sales excl. GST ($)</t>
        </is>
      </c>
    </row>
    <row r="20">
      <c r="B20" s="31" t="inlineStr">
        <is>
          <t>Gross margin</t>
        </is>
      </c>
      <c r="C20" s="31" t="inlineStr">
        <is>
          <t>Sales − cost of goods ($), actuals only</t>
        </is>
      </c>
    </row>
    <row r="21">
      <c r="B21" s="31" t="inlineStr">
        <is>
          <t>Units</t>
        </is>
      </c>
      <c r="C21" s="31" t="inlineStr">
        <is>
          <t>Units sold (actuals)</t>
        </is>
      </c>
    </row>
    <row r="22">
      <c r="B22" s="31" t="inlineStr">
        <is>
          <t>Low / High</t>
        </is>
      </c>
      <c r="C22" s="31" t="inlineStr">
        <is>
          <t>80% forecast range ($)</t>
        </is>
      </c>
    </row>
    <row r="24">
      <c r="B24" s="13" t="inlineStr">
        <is>
          <t>Sign-off</t>
        </is>
      </c>
    </row>
    <row r="25">
      <c r="B25" s="28" t="inlineStr">
        <is>
          <t>Growth target and budget approved</t>
        </is>
      </c>
      <c r="C25" s="7" t="inlineStr">
        <is>
          <t>Name: ____________   Date: ________   ☐ Approved  ☐ Changes needed</t>
        </is>
      </c>
    </row>
    <row r="26">
      <c r="B26" s="28" t="inlineStr">
        <is>
          <t>Category owners briefed on their numbers</t>
        </is>
      </c>
      <c r="C26" s="7" t="inlineStr">
        <is>
          <t>Name: ____________   Date: ________   ☐ Approved  ☐ Changes needed</t>
        </is>
      </c>
    </row>
    <row r="28">
      <c r="B28" s="7" t="inlineStr">
        <is>
          <t>Generated by Shelly on 11 Oct 2026 21:20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2026-10-11T21:20:47Z</dcterms:created>
  <dcterms:modified xsi:type="dcterms:W3CDTF">2026-10-11T21:20:47Z</dcterms:modified>
</cp:coreProperties>
</file>