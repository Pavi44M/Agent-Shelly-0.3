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Actions" sheetId="7" state="visible" r:id="rId7"/>
    <sheet name="OEE by line 4 weeks pct" sheetId="8" state="visible" r:id="rId8"/>
    <sheet name="Scrap" sheetId="9" state="visible" r:id="rId9"/>
    <sheet name="Schedule adherence" sheetId="10" state="visible" r:id="rId10"/>
    <sheet name="Notes" sheetId="11" state="visible" r:id="rId11"/>
  </sheets>
  <definedNames>
    <definedName name="SelCat">Dashboard!$B$6</definedName>
    <definedName name="CatCrit">IF(Dashboard!$B$6="All","*",Dashboard!$B$6)</definedName>
    <definedName name="_xlnm._FilterDatabase" localSheetId="6" hidden="1">'Actions'!$B$5:$G$6</definedName>
    <definedName name="_xlnm._FilterDatabase" localSheetId="7" hidden="1">'OEE by line 4 weeks pct'!$B$5:$F$8</definedName>
    <definedName name="_xlnm._FilterDatabase" localSheetId="8" hidden="1">'Scrap'!$B$5:$F$8</definedName>
    <definedName name="_xlnm._FilterDatabase" localSheetId="9" hidden="1">'Schedule adherence'!$B$5:$E$8</definedName>
  </definedNames>
  <calcPr calcId="124519" fullCalcOnLoad="1"/>
  <pivotCaches>
    <pivotCache cacheId="1" r:id="rId12"/>
  </pivotCaches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 mmm yyyy"/>
    <numFmt numFmtId="166" formatCode="#,##0;(#,##0);&quot;-&quot;"/>
    <numFmt numFmtId="167" formatCode="0.0%;(0.0%);&quot;-&quot;"/>
    <numFmt numFmtId="168" formatCode="$#,##0;($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1"/>
    </font>
    <font>
      <name val="Arial"/>
      <i val="1"/>
      <color rgb="006B7686"/>
      <sz val="9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bottom style="thin">
        <color rgb="00D9DE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166" fontId="12" fillId="6" borderId="0" applyAlignment="1" pivotButton="0" quotePrefix="0" xfId="0">
      <alignment horizontal="left"/>
    </xf>
    <xf numFmtId="167" fontId="12" fillId="6" borderId="0" applyAlignment="1" pivotButton="0" quotePrefix="0" xfId="0">
      <alignment horizontal="left"/>
    </xf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2" pivotButton="0" quotePrefix="0" xfId="0"/>
    <xf numFmtId="166" fontId="2" fillId="0" borderId="2" pivotButton="0" quotePrefix="0" xfId="0"/>
    <xf numFmtId="167" fontId="2" fillId="0" borderId="2" pivotButton="0" quotePrefix="0" xfId="0"/>
    <xf numFmtId="0" fontId="11" fillId="5" borderId="0" pivotButton="0" quotePrefix="0" xfId="0"/>
    <xf numFmtId="166" fontId="11" fillId="5" borderId="0" pivotButton="0" quotePrefix="0" xfId="0"/>
    <xf numFmtId="167" fontId="11" fillId="5" borderId="0" pivotButton="0" quotePrefix="0" xfId="0"/>
    <xf numFmtId="165" fontId="2" fillId="0" borderId="2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2" fillId="0" borderId="2" applyAlignment="1" pivotButton="0" quotePrefix="0" xfId="0">
      <alignment vertical="top" wrapText="1"/>
    </xf>
    <xf numFmtId="168" fontId="2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pivotCacheDefinition" Target="/xl/pivotCache/pivotCacheDefinition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Downtime min by line</a:t>
            </a:r>
          </a:p>
        </rich>
      </tx>
    </title>
    <plotArea>
      <barChart>
        <barDir val="col"/>
        <grouping val="clustered"/>
        <ser>
          <idx val="0"/>
          <order val="0"/>
          <tx>
            <v>Downtime min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'Model'!$B$8:$B$10</f>
            </numRef>
          </cat>
          <val>
            <numRef>
              <f>'Model'!$F$8:$F$10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units</a:t>
            </a:r>
          </a:p>
        </rich>
      </tx>
    </title>
    <plotArea>
      <lineChart>
        <grouping val="standard"/>
        <ser>
          <idx val="0"/>
          <order val="0"/>
          <tx>
            <v>Units</v>
          </tx>
          <spPr>
            <a:ln w="22000">
              <a:solidFill>
                <a:srgbClr val="2A8F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'Model'!$B$17:$B$21</f>
            </numRef>
          </cat>
          <val>
            <numRef>
              <f>'Model'!$C$17:$C$21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72" r:id="rId1">
  <cacheSource type="worksheet">
    <worksheetSource ref="A1:I73" sheet="Raw"/>
  </cacheSource>
  <cacheFields count="9">
    <cacheField name="Date" uniqueList="1" numFmtId="0" sqlType="0" hierarchy="0" level="0" databaseField="1">
      <sharedItems count="24">
        <s v="2026-08-29"/>
        <s v="2026-08-31"/>
        <s v="2026-09-01"/>
        <s v="2026-09-02"/>
        <s v="2026-09-03"/>
        <s v="2026-09-04"/>
        <s v="2026-09-05"/>
        <s v="2026-09-07"/>
        <s v="2026-09-08"/>
        <s v="2026-09-09"/>
        <s v="2026-09-10"/>
        <s v="2026-09-11"/>
        <s v="2026-09-12"/>
        <s v="2026-09-14"/>
        <s v="2026-09-15"/>
        <s v="2026-09-16"/>
        <s v="2026-09-17"/>
        <s v="2026-09-18"/>
        <s v="2026-09-19"/>
        <s v="2026-09-21"/>
        <s v="2026-09-22"/>
        <s v="2026-09-23"/>
        <s v="2026-09-24"/>
        <s v="2026-09-25"/>
      </sharedItems>
    </cacheField>
    <cacheField name="Week" uniqueList="1" numFmtId="0" sqlType="0" hierarchy="0" level="0" databaseField="1">
      <sharedItems count="5">
        <s v="2026-08-24"/>
        <s v="2026-08-31"/>
        <s v="2026-09-07"/>
        <s v="2026-09-14"/>
        <s v="2026-09-21"/>
      </sharedItems>
    </cacheField>
    <cacheField name="Line" uniqueList="1" numFmtId="0" sqlType="0" hierarchy="0" level="0" databaseField="1">
      <sharedItems count="3">
        <s v="Line 1"/>
        <s v="Line 2"/>
        <s v="Line 3"/>
      </sharedItems>
    </cacheField>
    <cacheField name="Planned min" uniqueList="1" numFmtId="0" sqlType="0" hierarchy="0" level="0" databaseField="1">
      <sharedItems count="0" containsInteger="1" containsNumber="1" containsSemiMixedTypes="0" containsString="0" minValue="450" maxValue="450"/>
    </cacheField>
    <cacheField name="Downtime min" uniqueList="1" numFmtId="0" sqlType="0" hierarchy="0" level="0" databaseField="1">
      <sharedItems count="0" containsInteger="1" containsNumber="1" containsSemiMixedTypes="0" containsString="0" minValue="6" maxValue="93"/>
    </cacheField>
    <cacheField name="Units" uniqueList="1" numFmtId="0" sqlType="0" hierarchy="0" level="0" databaseField="1">
      <sharedItems count="0" containsInteger="1" containsNumber="1" containsSemiMixedTypes="0" containsString="0" minValue="12963" maxValue="32079"/>
    </cacheField>
    <cacheField name="Good units" uniqueList="1" numFmtId="0" sqlType="0" hierarchy="0" level="0" databaseField="1">
      <sharedItems count="0" containsInteger="1" containsNumber="1" containsSemiMixedTypes="0" containsString="0" minValue="12653" maxValue="29818"/>
    </cacheField>
    <cacheField name="Scrap units" uniqueList="1" numFmtId="0" sqlType="0" hierarchy="0" level="0" databaseField="1">
      <sharedItems count="0" containsInteger="1" containsNumber="1" containsSemiMixedTypes="0" containsString="0" minValue="3" maxValue="2565"/>
    </cacheField>
    <cacheField name="Scheduled units" uniqueList="1" numFmtId="0" sqlType="0" hierarchy="0" level="0" databaseField="1">
      <sharedItems count="0" containsInteger="1" containsNumber="1" containsSemiMixedTypes="0" containsString="0" minValue="16200" maxValue="2880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72" r:id="rId1">
  <cacheSource type="worksheet">
    <worksheetSource ref="A1:I73" sheet="Raw"/>
  </cacheSource>
  <cacheFields count="9">
    <cacheField name="Date" uniqueList="1" numFmtId="0" sqlType="0" hierarchy="0" level="0" databaseField="1">
      <sharedItems count="24">
        <s v="2026-08-29"/>
        <s v="2026-08-31"/>
        <s v="2026-09-01"/>
        <s v="2026-09-02"/>
        <s v="2026-09-03"/>
        <s v="2026-09-04"/>
        <s v="2026-09-05"/>
        <s v="2026-09-07"/>
        <s v="2026-09-08"/>
        <s v="2026-09-09"/>
        <s v="2026-09-10"/>
        <s v="2026-09-11"/>
        <s v="2026-09-12"/>
        <s v="2026-09-14"/>
        <s v="2026-09-15"/>
        <s v="2026-09-16"/>
        <s v="2026-09-17"/>
        <s v="2026-09-18"/>
        <s v="2026-09-19"/>
        <s v="2026-09-21"/>
        <s v="2026-09-22"/>
        <s v="2026-09-23"/>
        <s v="2026-09-24"/>
        <s v="2026-09-25"/>
      </sharedItems>
    </cacheField>
    <cacheField name="Week" uniqueList="1" numFmtId="0" sqlType="0" hierarchy="0" level="0" databaseField="1">
      <sharedItems count="5">
        <s v="2026-08-24"/>
        <s v="2026-08-31"/>
        <s v="2026-09-07"/>
        <s v="2026-09-14"/>
        <s v="2026-09-21"/>
      </sharedItems>
    </cacheField>
    <cacheField name="Line" uniqueList="1" numFmtId="0" sqlType="0" hierarchy="0" level="0" databaseField="1">
      <sharedItems count="3">
        <s v="Line 1"/>
        <s v="Line 2"/>
        <s v="Line 3"/>
      </sharedItems>
    </cacheField>
    <cacheField name="Planned min" uniqueList="1" numFmtId="0" sqlType="0" hierarchy="0" level="0" databaseField="1">
      <sharedItems count="0" containsInteger="1" containsNumber="1" containsSemiMixedTypes="0" containsString="0" minValue="450" maxValue="450"/>
    </cacheField>
    <cacheField name="Downtime min" uniqueList="1" numFmtId="0" sqlType="0" hierarchy="0" level="0" databaseField="1">
      <sharedItems count="0" containsInteger="1" containsNumber="1" containsSemiMixedTypes="0" containsString="0" minValue="6" maxValue="93"/>
    </cacheField>
    <cacheField name="Units" uniqueList="1" numFmtId="0" sqlType="0" hierarchy="0" level="0" databaseField="1">
      <sharedItems count="0" containsInteger="1" containsNumber="1" containsSemiMixedTypes="0" containsString="0" minValue="12963" maxValue="32079"/>
    </cacheField>
    <cacheField name="Good units" uniqueList="1" numFmtId="0" sqlType="0" hierarchy="0" level="0" databaseField="1">
      <sharedItems count="0" containsInteger="1" containsNumber="1" containsSemiMixedTypes="0" containsString="0" minValue="12653" maxValue="29818"/>
    </cacheField>
    <cacheField name="Scrap units" uniqueList="1" numFmtId="0" sqlType="0" hierarchy="0" level="0" databaseField="1">
      <sharedItems count="0" containsInteger="1" containsNumber="1" containsSemiMixedTypes="0" containsString="0" minValue="3" maxValue="2565"/>
    </cacheField>
    <cacheField name="Scheduled units" uniqueList="1" numFmtId="0" sqlType="0" hierarchy="0" level="0" databaseField="1">
      <sharedItems count="0" containsInteger="1" containsNumber="1" containsSemiMixedTypes="0" containsString="0" minValue="16200" maxValue="28800"/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x v="0"/>
    <x v="0"/>
    <n v="450"/>
    <n v="25"/>
    <n v="23371"/>
    <n v="22961"/>
    <n v="410"/>
    <n v="21600"/>
  </r>
  <r>
    <x v="0"/>
    <x v="0"/>
    <x v="1"/>
    <n v="450"/>
    <n v="75"/>
    <n v="13315"/>
    <n v="12900"/>
    <n v="415"/>
    <n v="16200"/>
  </r>
  <r>
    <x v="0"/>
    <x v="0"/>
    <x v="2"/>
    <n v="450"/>
    <n v="23"/>
    <n v="26884"/>
    <n v="24800"/>
    <n v="2084"/>
    <n v="28800"/>
  </r>
  <r>
    <x v="1"/>
    <x v="1"/>
    <x v="0"/>
    <n v="450"/>
    <n v="55"/>
    <n v="21134"/>
    <n v="20971"/>
    <n v="163"/>
    <n v="21600"/>
  </r>
  <r>
    <x v="1"/>
    <x v="1"/>
    <x v="1"/>
    <n v="450"/>
    <n v="59"/>
    <n v="16659"/>
    <n v="16125"/>
    <n v="534"/>
    <n v="16200"/>
  </r>
  <r>
    <x v="1"/>
    <x v="1"/>
    <x v="2"/>
    <n v="450"/>
    <n v="9"/>
    <n v="29857"/>
    <n v="28114"/>
    <n v="1743"/>
    <n v="28800"/>
  </r>
  <r>
    <x v="2"/>
    <x v="1"/>
    <x v="0"/>
    <n v="450"/>
    <n v="27"/>
    <n v="20037"/>
    <n v="19779"/>
    <n v="258"/>
    <n v="21600"/>
  </r>
  <r>
    <x v="2"/>
    <x v="1"/>
    <x v="1"/>
    <n v="450"/>
    <n v="77"/>
    <n v="15617"/>
    <n v="15240"/>
    <n v="377"/>
    <n v="16200"/>
  </r>
  <r>
    <x v="2"/>
    <x v="1"/>
    <x v="2"/>
    <n v="450"/>
    <n v="35"/>
    <n v="30813"/>
    <n v="29162"/>
    <n v="1651"/>
    <n v="28800"/>
  </r>
  <r>
    <x v="3"/>
    <x v="1"/>
    <x v="0"/>
    <n v="450"/>
    <n v="32"/>
    <n v="23285"/>
    <n v="22859"/>
    <n v="426"/>
    <n v="21600"/>
  </r>
  <r>
    <x v="3"/>
    <x v="1"/>
    <x v="1"/>
    <n v="450"/>
    <n v="55"/>
    <n v="13884"/>
    <n v="13472"/>
    <n v="412"/>
    <n v="16200"/>
  </r>
  <r>
    <x v="3"/>
    <x v="1"/>
    <x v="2"/>
    <n v="450"/>
    <n v="26"/>
    <n v="27606"/>
    <n v="25782"/>
    <n v="1824"/>
    <n v="28800"/>
  </r>
  <r>
    <x v="4"/>
    <x v="1"/>
    <x v="0"/>
    <n v="450"/>
    <n v="22"/>
    <n v="21416"/>
    <n v="20939"/>
    <n v="477"/>
    <n v="21600"/>
  </r>
  <r>
    <x v="4"/>
    <x v="1"/>
    <x v="1"/>
    <n v="450"/>
    <n v="57"/>
    <n v="15154"/>
    <n v="14590"/>
    <n v="564"/>
    <n v="16200"/>
  </r>
  <r>
    <x v="4"/>
    <x v="1"/>
    <x v="2"/>
    <n v="450"/>
    <n v="6"/>
    <n v="29634"/>
    <n v="27886"/>
    <n v="1748"/>
    <n v="28800"/>
  </r>
  <r>
    <x v="5"/>
    <x v="1"/>
    <x v="0"/>
    <n v="450"/>
    <n v="35"/>
    <n v="21544"/>
    <n v="21541"/>
    <n v="3"/>
    <n v="21600"/>
  </r>
  <r>
    <x v="5"/>
    <x v="1"/>
    <x v="1"/>
    <n v="450"/>
    <n v="67"/>
    <n v="16169"/>
    <n v="15528"/>
    <n v="641"/>
    <n v="16200"/>
  </r>
  <r>
    <x v="5"/>
    <x v="1"/>
    <x v="2"/>
    <n v="450"/>
    <n v="16"/>
    <n v="29264"/>
    <n v="27537"/>
    <n v="1727"/>
    <n v="28800"/>
  </r>
  <r>
    <x v="6"/>
    <x v="1"/>
    <x v="0"/>
    <n v="450"/>
    <n v="31"/>
    <n v="23609"/>
    <n v="22794"/>
    <n v="815"/>
    <n v="21600"/>
  </r>
  <r>
    <x v="6"/>
    <x v="1"/>
    <x v="1"/>
    <n v="450"/>
    <n v="77"/>
    <n v="15215"/>
    <n v="14660"/>
    <n v="555"/>
    <n v="16200"/>
  </r>
  <r>
    <x v="6"/>
    <x v="1"/>
    <x v="2"/>
    <n v="450"/>
    <n v="40"/>
    <n v="28160"/>
    <n v="26359"/>
    <n v="1801"/>
    <n v="28800"/>
  </r>
  <r>
    <x v="7"/>
    <x v="2"/>
    <x v="0"/>
    <n v="450"/>
    <n v="34"/>
    <n v="19915"/>
    <n v="19595"/>
    <n v="320"/>
    <n v="21600"/>
  </r>
  <r>
    <x v="7"/>
    <x v="2"/>
    <x v="1"/>
    <n v="450"/>
    <n v="72"/>
    <n v="14346"/>
    <n v="13828"/>
    <n v="518"/>
    <n v="16200"/>
  </r>
  <r>
    <x v="7"/>
    <x v="2"/>
    <x v="2"/>
    <n v="450"/>
    <n v="26"/>
    <n v="28734"/>
    <n v="26652"/>
    <n v="2082"/>
    <n v="28800"/>
  </r>
  <r>
    <x v="8"/>
    <x v="2"/>
    <x v="0"/>
    <n v="450"/>
    <n v="36"/>
    <n v="22374"/>
    <n v="21726"/>
    <n v="648"/>
    <n v="21600"/>
  </r>
  <r>
    <x v="8"/>
    <x v="2"/>
    <x v="1"/>
    <n v="450"/>
    <n v="54"/>
    <n v="16885"/>
    <n v="16594"/>
    <n v="291"/>
    <n v="16200"/>
  </r>
  <r>
    <x v="8"/>
    <x v="2"/>
    <x v="2"/>
    <n v="450"/>
    <n v="42"/>
    <n v="26332"/>
    <n v="24744"/>
    <n v="1588"/>
    <n v="28800"/>
  </r>
  <r>
    <x v="9"/>
    <x v="2"/>
    <x v="0"/>
    <n v="450"/>
    <n v="21"/>
    <n v="21814"/>
    <n v="21607"/>
    <n v="207"/>
    <n v="21600"/>
  </r>
  <r>
    <x v="9"/>
    <x v="2"/>
    <x v="1"/>
    <n v="450"/>
    <n v="55"/>
    <n v="16772"/>
    <n v="16469"/>
    <n v="303"/>
    <n v="16200"/>
  </r>
  <r>
    <x v="9"/>
    <x v="2"/>
    <x v="2"/>
    <n v="450"/>
    <n v="26"/>
    <n v="26454"/>
    <n v="24720"/>
    <n v="1734"/>
    <n v="28800"/>
  </r>
  <r>
    <x v="10"/>
    <x v="2"/>
    <x v="0"/>
    <n v="450"/>
    <n v="34"/>
    <n v="23416"/>
    <n v="23068"/>
    <n v="348"/>
    <n v="21600"/>
  </r>
  <r>
    <x v="10"/>
    <x v="2"/>
    <x v="1"/>
    <n v="450"/>
    <n v="55"/>
    <n v="16857"/>
    <n v="16385"/>
    <n v="472"/>
    <n v="16200"/>
  </r>
  <r>
    <x v="10"/>
    <x v="2"/>
    <x v="2"/>
    <n v="450"/>
    <n v="26"/>
    <n v="27379"/>
    <n v="25589"/>
    <n v="1790"/>
    <n v="28800"/>
  </r>
  <r>
    <x v="11"/>
    <x v="2"/>
    <x v="0"/>
    <n v="450"/>
    <n v="29"/>
    <n v="23373"/>
    <n v="23027"/>
    <n v="346"/>
    <n v="21600"/>
  </r>
  <r>
    <x v="11"/>
    <x v="2"/>
    <x v="1"/>
    <n v="450"/>
    <n v="72"/>
    <n v="14795"/>
    <n v="14336"/>
    <n v="459"/>
    <n v="16200"/>
  </r>
  <r>
    <x v="11"/>
    <x v="2"/>
    <x v="2"/>
    <n v="450"/>
    <n v="53"/>
    <n v="27772"/>
    <n v="26265"/>
    <n v="1507"/>
    <n v="28800"/>
  </r>
  <r>
    <x v="12"/>
    <x v="2"/>
    <x v="0"/>
    <n v="450"/>
    <n v="56"/>
    <n v="19569"/>
    <n v="19361"/>
    <n v="208"/>
    <n v="21600"/>
  </r>
  <r>
    <x v="12"/>
    <x v="2"/>
    <x v="1"/>
    <n v="450"/>
    <n v="81"/>
    <n v="12963"/>
    <n v="12653"/>
    <n v="310"/>
    <n v="16200"/>
  </r>
  <r>
    <x v="12"/>
    <x v="2"/>
    <x v="2"/>
    <n v="450"/>
    <n v="22"/>
    <n v="32079"/>
    <n v="29818"/>
    <n v="2261"/>
    <n v="28800"/>
  </r>
  <r>
    <x v="13"/>
    <x v="3"/>
    <x v="0"/>
    <n v="450"/>
    <n v="48"/>
    <n v="20687"/>
    <n v="20186"/>
    <n v="501"/>
    <n v="21600"/>
  </r>
  <r>
    <x v="13"/>
    <x v="3"/>
    <x v="1"/>
    <n v="450"/>
    <n v="93"/>
    <n v="13470"/>
    <n v="13031"/>
    <n v="439"/>
    <n v="16200"/>
  </r>
  <r>
    <x v="13"/>
    <x v="3"/>
    <x v="2"/>
    <n v="450"/>
    <n v="26"/>
    <n v="29860"/>
    <n v="28076"/>
    <n v="1784"/>
    <n v="28800"/>
  </r>
  <r>
    <x v="14"/>
    <x v="3"/>
    <x v="0"/>
    <n v="450"/>
    <n v="35"/>
    <n v="22355"/>
    <n v="22026"/>
    <n v="329"/>
    <n v="21600"/>
  </r>
  <r>
    <x v="14"/>
    <x v="3"/>
    <x v="1"/>
    <n v="450"/>
    <n v="71"/>
    <n v="13428"/>
    <n v="12985"/>
    <n v="443"/>
    <n v="16200"/>
  </r>
  <r>
    <x v="14"/>
    <x v="3"/>
    <x v="2"/>
    <n v="450"/>
    <n v="40"/>
    <n v="26689"/>
    <n v="24690"/>
    <n v="1999"/>
    <n v="28800"/>
  </r>
  <r>
    <x v="15"/>
    <x v="3"/>
    <x v="0"/>
    <n v="450"/>
    <n v="57"/>
    <n v="20805"/>
    <n v="20361"/>
    <n v="444"/>
    <n v="21600"/>
  </r>
  <r>
    <x v="15"/>
    <x v="3"/>
    <x v="1"/>
    <n v="450"/>
    <n v="79"/>
    <n v="14080"/>
    <n v="13705"/>
    <n v="375"/>
    <n v="16200"/>
  </r>
  <r>
    <x v="15"/>
    <x v="3"/>
    <x v="2"/>
    <n v="450"/>
    <n v="40"/>
    <n v="29997"/>
    <n v="27432"/>
    <n v="2565"/>
    <n v="28800"/>
  </r>
  <r>
    <x v="16"/>
    <x v="3"/>
    <x v="0"/>
    <n v="450"/>
    <n v="35"/>
    <n v="22406"/>
    <n v="21521"/>
    <n v="885"/>
    <n v="21600"/>
  </r>
  <r>
    <x v="16"/>
    <x v="3"/>
    <x v="1"/>
    <n v="450"/>
    <n v="83"/>
    <n v="13525"/>
    <n v="12933"/>
    <n v="592"/>
    <n v="16200"/>
  </r>
  <r>
    <x v="16"/>
    <x v="3"/>
    <x v="2"/>
    <n v="450"/>
    <n v="30"/>
    <n v="30323"/>
    <n v="28327"/>
    <n v="1996"/>
    <n v="28800"/>
  </r>
  <r>
    <x v="17"/>
    <x v="3"/>
    <x v="0"/>
    <n v="450"/>
    <n v="29"/>
    <n v="21830"/>
    <n v="21566"/>
    <n v="264"/>
    <n v="21600"/>
  </r>
  <r>
    <x v="17"/>
    <x v="3"/>
    <x v="1"/>
    <n v="450"/>
    <n v="67"/>
    <n v="14997"/>
    <n v="14603"/>
    <n v="394"/>
    <n v="16200"/>
  </r>
  <r>
    <x v="17"/>
    <x v="3"/>
    <x v="2"/>
    <n v="450"/>
    <n v="19"/>
    <n v="27010"/>
    <n v="24828"/>
    <n v="2182"/>
    <n v="28800"/>
  </r>
  <r>
    <x v="18"/>
    <x v="3"/>
    <x v="0"/>
    <n v="450"/>
    <n v="42"/>
    <n v="21557"/>
    <n v="21373"/>
    <n v="184"/>
    <n v="21600"/>
  </r>
  <r>
    <x v="18"/>
    <x v="3"/>
    <x v="1"/>
    <n v="450"/>
    <n v="71"/>
    <n v="14918"/>
    <n v="14564"/>
    <n v="354"/>
    <n v="16200"/>
  </r>
  <r>
    <x v="18"/>
    <x v="3"/>
    <x v="2"/>
    <n v="450"/>
    <n v="10"/>
    <n v="28951"/>
    <n v="26659"/>
    <n v="2292"/>
    <n v="28800"/>
  </r>
  <r>
    <x v="19"/>
    <x v="4"/>
    <x v="0"/>
    <n v="450"/>
    <n v="23"/>
    <n v="20800"/>
    <n v="20104"/>
    <n v="696"/>
    <n v="21600"/>
  </r>
  <r>
    <x v="19"/>
    <x v="4"/>
    <x v="1"/>
    <n v="450"/>
    <n v="41"/>
    <n v="17331"/>
    <n v="16878"/>
    <n v="453"/>
    <n v="16200"/>
  </r>
  <r>
    <x v="19"/>
    <x v="4"/>
    <x v="2"/>
    <n v="450"/>
    <n v="38"/>
    <n v="27188"/>
    <n v="25347"/>
    <n v="1841"/>
    <n v="28800"/>
  </r>
  <r>
    <x v="20"/>
    <x v="4"/>
    <x v="0"/>
    <n v="450"/>
    <n v="34"/>
    <n v="20501"/>
    <n v="19648"/>
    <n v="853"/>
    <n v="21600"/>
  </r>
  <r>
    <x v="20"/>
    <x v="4"/>
    <x v="1"/>
    <n v="450"/>
    <n v="64"/>
    <n v="15597"/>
    <n v="14709"/>
    <n v="888"/>
    <n v="16200"/>
  </r>
  <r>
    <x v="20"/>
    <x v="4"/>
    <x v="2"/>
    <n v="450"/>
    <n v="18"/>
    <n v="30922"/>
    <n v="28746"/>
    <n v="2176"/>
    <n v="28800"/>
  </r>
  <r>
    <x v="21"/>
    <x v="4"/>
    <x v="0"/>
    <n v="450"/>
    <n v="41"/>
    <n v="21042"/>
    <n v="20538"/>
    <n v="504"/>
    <n v="21600"/>
  </r>
  <r>
    <x v="21"/>
    <x v="4"/>
    <x v="1"/>
    <n v="450"/>
    <n v="60"/>
    <n v="16460"/>
    <n v="15925"/>
    <n v="535"/>
    <n v="16200"/>
  </r>
  <r>
    <x v="21"/>
    <x v="4"/>
    <x v="2"/>
    <n v="450"/>
    <n v="53"/>
    <n v="26160"/>
    <n v="24678"/>
    <n v="1482"/>
    <n v="28800"/>
  </r>
  <r>
    <x v="22"/>
    <x v="4"/>
    <x v="0"/>
    <n v="450"/>
    <n v="22"/>
    <n v="20413"/>
    <n v="20114"/>
    <n v="299"/>
    <n v="21600"/>
  </r>
  <r>
    <x v="22"/>
    <x v="4"/>
    <x v="1"/>
    <n v="450"/>
    <n v="45"/>
    <n v="14769"/>
    <n v="14325"/>
    <n v="444"/>
    <n v="16200"/>
  </r>
  <r>
    <x v="22"/>
    <x v="4"/>
    <x v="2"/>
    <n v="450"/>
    <n v="44"/>
    <n v="26502"/>
    <n v="24470"/>
    <n v="2032"/>
    <n v="28800"/>
  </r>
  <r>
    <x v="23"/>
    <x v="4"/>
    <x v="0"/>
    <n v="450"/>
    <n v="45"/>
    <n v="23032"/>
    <n v="22614"/>
    <n v="418"/>
    <n v="21600"/>
  </r>
  <r>
    <x v="23"/>
    <x v="4"/>
    <x v="1"/>
    <n v="450"/>
    <n v="91"/>
    <n v="14271"/>
    <n v="13720"/>
    <n v="551"/>
    <n v="16200"/>
  </r>
  <r>
    <x v="23"/>
    <x v="4"/>
    <x v="2"/>
    <n v="450"/>
    <n v="34"/>
    <n v="30791"/>
    <n v="28678"/>
    <n v="2113"/>
    <n v="28800"/>
  </r>
</pivotCacheRecords>
</file>

<file path=xl/pivotCache/pivotCacheRecords2.xml><?xml version="1.0" encoding="utf-8"?>
<pivotCacheRecords xmlns="http://schemas.openxmlformats.org/spreadsheetml/2006/main" count="72">
  <r>
    <x v="0"/>
    <x v="0"/>
    <x v="0"/>
    <n v="450"/>
    <n v="25"/>
    <n v="23371"/>
    <n v="22961"/>
    <n v="410"/>
    <n v="21600"/>
  </r>
  <r>
    <x v="0"/>
    <x v="0"/>
    <x v="1"/>
    <n v="450"/>
    <n v="75"/>
    <n v="13315"/>
    <n v="12900"/>
    <n v="415"/>
    <n v="16200"/>
  </r>
  <r>
    <x v="0"/>
    <x v="0"/>
    <x v="2"/>
    <n v="450"/>
    <n v="23"/>
    <n v="26884"/>
    <n v="24800"/>
    <n v="2084"/>
    <n v="28800"/>
  </r>
  <r>
    <x v="1"/>
    <x v="1"/>
    <x v="0"/>
    <n v="450"/>
    <n v="55"/>
    <n v="21134"/>
    <n v="20971"/>
    <n v="163"/>
    <n v="21600"/>
  </r>
  <r>
    <x v="1"/>
    <x v="1"/>
    <x v="1"/>
    <n v="450"/>
    <n v="59"/>
    <n v="16659"/>
    <n v="16125"/>
    <n v="534"/>
    <n v="16200"/>
  </r>
  <r>
    <x v="1"/>
    <x v="1"/>
    <x v="2"/>
    <n v="450"/>
    <n v="9"/>
    <n v="29857"/>
    <n v="28114"/>
    <n v="1743"/>
    <n v="28800"/>
  </r>
  <r>
    <x v="2"/>
    <x v="1"/>
    <x v="0"/>
    <n v="450"/>
    <n v="27"/>
    <n v="20037"/>
    <n v="19779"/>
    <n v="258"/>
    <n v="21600"/>
  </r>
  <r>
    <x v="2"/>
    <x v="1"/>
    <x v="1"/>
    <n v="450"/>
    <n v="77"/>
    <n v="15617"/>
    <n v="15240"/>
    <n v="377"/>
    <n v="16200"/>
  </r>
  <r>
    <x v="2"/>
    <x v="1"/>
    <x v="2"/>
    <n v="450"/>
    <n v="35"/>
    <n v="30813"/>
    <n v="29162"/>
    <n v="1651"/>
    <n v="28800"/>
  </r>
  <r>
    <x v="3"/>
    <x v="1"/>
    <x v="0"/>
    <n v="450"/>
    <n v="32"/>
    <n v="23285"/>
    <n v="22859"/>
    <n v="426"/>
    <n v="21600"/>
  </r>
  <r>
    <x v="3"/>
    <x v="1"/>
    <x v="1"/>
    <n v="450"/>
    <n v="55"/>
    <n v="13884"/>
    <n v="13472"/>
    <n v="412"/>
    <n v="16200"/>
  </r>
  <r>
    <x v="3"/>
    <x v="1"/>
    <x v="2"/>
    <n v="450"/>
    <n v="26"/>
    <n v="27606"/>
    <n v="25782"/>
    <n v="1824"/>
    <n v="28800"/>
  </r>
  <r>
    <x v="4"/>
    <x v="1"/>
    <x v="0"/>
    <n v="450"/>
    <n v="22"/>
    <n v="21416"/>
    <n v="20939"/>
    <n v="477"/>
    <n v="21600"/>
  </r>
  <r>
    <x v="4"/>
    <x v="1"/>
    <x v="1"/>
    <n v="450"/>
    <n v="57"/>
    <n v="15154"/>
    <n v="14590"/>
    <n v="564"/>
    <n v="16200"/>
  </r>
  <r>
    <x v="4"/>
    <x v="1"/>
    <x v="2"/>
    <n v="450"/>
    <n v="6"/>
    <n v="29634"/>
    <n v="27886"/>
    <n v="1748"/>
    <n v="28800"/>
  </r>
  <r>
    <x v="5"/>
    <x v="1"/>
    <x v="0"/>
    <n v="450"/>
    <n v="35"/>
    <n v="21544"/>
    <n v="21541"/>
    <n v="3"/>
    <n v="21600"/>
  </r>
  <r>
    <x v="5"/>
    <x v="1"/>
    <x v="1"/>
    <n v="450"/>
    <n v="67"/>
    <n v="16169"/>
    <n v="15528"/>
    <n v="641"/>
    <n v="16200"/>
  </r>
  <r>
    <x v="5"/>
    <x v="1"/>
    <x v="2"/>
    <n v="450"/>
    <n v="16"/>
    <n v="29264"/>
    <n v="27537"/>
    <n v="1727"/>
    <n v="28800"/>
  </r>
  <r>
    <x v="6"/>
    <x v="1"/>
    <x v="0"/>
    <n v="450"/>
    <n v="31"/>
    <n v="23609"/>
    <n v="22794"/>
    <n v="815"/>
    <n v="21600"/>
  </r>
  <r>
    <x v="6"/>
    <x v="1"/>
    <x v="1"/>
    <n v="450"/>
    <n v="77"/>
    <n v="15215"/>
    <n v="14660"/>
    <n v="555"/>
    <n v="16200"/>
  </r>
  <r>
    <x v="6"/>
    <x v="1"/>
    <x v="2"/>
    <n v="450"/>
    <n v="40"/>
    <n v="28160"/>
    <n v="26359"/>
    <n v="1801"/>
    <n v="28800"/>
  </r>
  <r>
    <x v="7"/>
    <x v="2"/>
    <x v="0"/>
    <n v="450"/>
    <n v="34"/>
    <n v="19915"/>
    <n v="19595"/>
    <n v="320"/>
    <n v="21600"/>
  </r>
  <r>
    <x v="7"/>
    <x v="2"/>
    <x v="1"/>
    <n v="450"/>
    <n v="72"/>
    <n v="14346"/>
    <n v="13828"/>
    <n v="518"/>
    <n v="16200"/>
  </r>
  <r>
    <x v="7"/>
    <x v="2"/>
    <x v="2"/>
    <n v="450"/>
    <n v="26"/>
    <n v="28734"/>
    <n v="26652"/>
    <n v="2082"/>
    <n v="28800"/>
  </r>
  <r>
    <x v="8"/>
    <x v="2"/>
    <x v="0"/>
    <n v="450"/>
    <n v="36"/>
    <n v="22374"/>
    <n v="21726"/>
    <n v="648"/>
    <n v="21600"/>
  </r>
  <r>
    <x v="8"/>
    <x v="2"/>
    <x v="1"/>
    <n v="450"/>
    <n v="54"/>
    <n v="16885"/>
    <n v="16594"/>
    <n v="291"/>
    <n v="16200"/>
  </r>
  <r>
    <x v="8"/>
    <x v="2"/>
    <x v="2"/>
    <n v="450"/>
    <n v="42"/>
    <n v="26332"/>
    <n v="24744"/>
    <n v="1588"/>
    <n v="28800"/>
  </r>
  <r>
    <x v="9"/>
    <x v="2"/>
    <x v="0"/>
    <n v="450"/>
    <n v="21"/>
    <n v="21814"/>
    <n v="21607"/>
    <n v="207"/>
    <n v="21600"/>
  </r>
  <r>
    <x v="9"/>
    <x v="2"/>
    <x v="1"/>
    <n v="450"/>
    <n v="55"/>
    <n v="16772"/>
    <n v="16469"/>
    <n v="303"/>
    <n v="16200"/>
  </r>
  <r>
    <x v="9"/>
    <x v="2"/>
    <x v="2"/>
    <n v="450"/>
    <n v="26"/>
    <n v="26454"/>
    <n v="24720"/>
    <n v="1734"/>
    <n v="28800"/>
  </r>
  <r>
    <x v="10"/>
    <x v="2"/>
    <x v="0"/>
    <n v="450"/>
    <n v="34"/>
    <n v="23416"/>
    <n v="23068"/>
    <n v="348"/>
    <n v="21600"/>
  </r>
  <r>
    <x v="10"/>
    <x v="2"/>
    <x v="1"/>
    <n v="450"/>
    <n v="55"/>
    <n v="16857"/>
    <n v="16385"/>
    <n v="472"/>
    <n v="16200"/>
  </r>
  <r>
    <x v="10"/>
    <x v="2"/>
    <x v="2"/>
    <n v="450"/>
    <n v="26"/>
    <n v="27379"/>
    <n v="25589"/>
    <n v="1790"/>
    <n v="28800"/>
  </r>
  <r>
    <x v="11"/>
    <x v="2"/>
    <x v="0"/>
    <n v="450"/>
    <n v="29"/>
    <n v="23373"/>
    <n v="23027"/>
    <n v="346"/>
    <n v="21600"/>
  </r>
  <r>
    <x v="11"/>
    <x v="2"/>
    <x v="1"/>
    <n v="450"/>
    <n v="72"/>
    <n v="14795"/>
    <n v="14336"/>
    <n v="459"/>
    <n v="16200"/>
  </r>
  <r>
    <x v="11"/>
    <x v="2"/>
    <x v="2"/>
    <n v="450"/>
    <n v="53"/>
    <n v="27772"/>
    <n v="26265"/>
    <n v="1507"/>
    <n v="28800"/>
  </r>
  <r>
    <x v="12"/>
    <x v="2"/>
    <x v="0"/>
    <n v="450"/>
    <n v="56"/>
    <n v="19569"/>
    <n v="19361"/>
    <n v="208"/>
    <n v="21600"/>
  </r>
  <r>
    <x v="12"/>
    <x v="2"/>
    <x v="1"/>
    <n v="450"/>
    <n v="81"/>
    <n v="12963"/>
    <n v="12653"/>
    <n v="310"/>
    <n v="16200"/>
  </r>
  <r>
    <x v="12"/>
    <x v="2"/>
    <x v="2"/>
    <n v="450"/>
    <n v="22"/>
    <n v="32079"/>
    <n v="29818"/>
    <n v="2261"/>
    <n v="28800"/>
  </r>
  <r>
    <x v="13"/>
    <x v="3"/>
    <x v="0"/>
    <n v="450"/>
    <n v="48"/>
    <n v="20687"/>
    <n v="20186"/>
    <n v="501"/>
    <n v="21600"/>
  </r>
  <r>
    <x v="13"/>
    <x v="3"/>
    <x v="1"/>
    <n v="450"/>
    <n v="93"/>
    <n v="13470"/>
    <n v="13031"/>
    <n v="439"/>
    <n v="16200"/>
  </r>
  <r>
    <x v="13"/>
    <x v="3"/>
    <x v="2"/>
    <n v="450"/>
    <n v="26"/>
    <n v="29860"/>
    <n v="28076"/>
    <n v="1784"/>
    <n v="28800"/>
  </r>
  <r>
    <x v="14"/>
    <x v="3"/>
    <x v="0"/>
    <n v="450"/>
    <n v="35"/>
    <n v="22355"/>
    <n v="22026"/>
    <n v="329"/>
    <n v="21600"/>
  </r>
  <r>
    <x v="14"/>
    <x v="3"/>
    <x v="1"/>
    <n v="450"/>
    <n v="71"/>
    <n v="13428"/>
    <n v="12985"/>
    <n v="443"/>
    <n v="16200"/>
  </r>
  <r>
    <x v="14"/>
    <x v="3"/>
    <x v="2"/>
    <n v="450"/>
    <n v="40"/>
    <n v="26689"/>
    <n v="24690"/>
    <n v="1999"/>
    <n v="28800"/>
  </r>
  <r>
    <x v="15"/>
    <x v="3"/>
    <x v="0"/>
    <n v="450"/>
    <n v="57"/>
    <n v="20805"/>
    <n v="20361"/>
    <n v="444"/>
    <n v="21600"/>
  </r>
  <r>
    <x v="15"/>
    <x v="3"/>
    <x v="1"/>
    <n v="450"/>
    <n v="79"/>
    <n v="14080"/>
    <n v="13705"/>
    <n v="375"/>
    <n v="16200"/>
  </r>
  <r>
    <x v="15"/>
    <x v="3"/>
    <x v="2"/>
    <n v="450"/>
    <n v="40"/>
    <n v="29997"/>
    <n v="27432"/>
    <n v="2565"/>
    <n v="28800"/>
  </r>
  <r>
    <x v="16"/>
    <x v="3"/>
    <x v="0"/>
    <n v="450"/>
    <n v="35"/>
    <n v="22406"/>
    <n v="21521"/>
    <n v="885"/>
    <n v="21600"/>
  </r>
  <r>
    <x v="16"/>
    <x v="3"/>
    <x v="1"/>
    <n v="450"/>
    <n v="83"/>
    <n v="13525"/>
    <n v="12933"/>
    <n v="592"/>
    <n v="16200"/>
  </r>
  <r>
    <x v="16"/>
    <x v="3"/>
    <x v="2"/>
    <n v="450"/>
    <n v="30"/>
    <n v="30323"/>
    <n v="28327"/>
    <n v="1996"/>
    <n v="28800"/>
  </r>
  <r>
    <x v="17"/>
    <x v="3"/>
    <x v="0"/>
    <n v="450"/>
    <n v="29"/>
    <n v="21830"/>
    <n v="21566"/>
    <n v="264"/>
    <n v="21600"/>
  </r>
  <r>
    <x v="17"/>
    <x v="3"/>
    <x v="1"/>
    <n v="450"/>
    <n v="67"/>
    <n v="14997"/>
    <n v="14603"/>
    <n v="394"/>
    <n v="16200"/>
  </r>
  <r>
    <x v="17"/>
    <x v="3"/>
    <x v="2"/>
    <n v="450"/>
    <n v="19"/>
    <n v="27010"/>
    <n v="24828"/>
    <n v="2182"/>
    <n v="28800"/>
  </r>
  <r>
    <x v="18"/>
    <x v="3"/>
    <x v="0"/>
    <n v="450"/>
    <n v="42"/>
    <n v="21557"/>
    <n v="21373"/>
    <n v="184"/>
    <n v="21600"/>
  </r>
  <r>
    <x v="18"/>
    <x v="3"/>
    <x v="1"/>
    <n v="450"/>
    <n v="71"/>
    <n v="14918"/>
    <n v="14564"/>
    <n v="354"/>
    <n v="16200"/>
  </r>
  <r>
    <x v="18"/>
    <x v="3"/>
    <x v="2"/>
    <n v="450"/>
    <n v="10"/>
    <n v="28951"/>
    <n v="26659"/>
    <n v="2292"/>
    <n v="28800"/>
  </r>
  <r>
    <x v="19"/>
    <x v="4"/>
    <x v="0"/>
    <n v="450"/>
    <n v="23"/>
    <n v="20800"/>
    <n v="20104"/>
    <n v="696"/>
    <n v="21600"/>
  </r>
  <r>
    <x v="19"/>
    <x v="4"/>
    <x v="1"/>
    <n v="450"/>
    <n v="41"/>
    <n v="17331"/>
    <n v="16878"/>
    <n v="453"/>
    <n v="16200"/>
  </r>
  <r>
    <x v="19"/>
    <x v="4"/>
    <x v="2"/>
    <n v="450"/>
    <n v="38"/>
    <n v="27188"/>
    <n v="25347"/>
    <n v="1841"/>
    <n v="28800"/>
  </r>
  <r>
    <x v="20"/>
    <x v="4"/>
    <x v="0"/>
    <n v="450"/>
    <n v="34"/>
    <n v="20501"/>
    <n v="19648"/>
    <n v="853"/>
    <n v="21600"/>
  </r>
  <r>
    <x v="20"/>
    <x v="4"/>
    <x v="1"/>
    <n v="450"/>
    <n v="64"/>
    <n v="15597"/>
    <n v="14709"/>
    <n v="888"/>
    <n v="16200"/>
  </r>
  <r>
    <x v="20"/>
    <x v="4"/>
    <x v="2"/>
    <n v="450"/>
    <n v="18"/>
    <n v="30922"/>
    <n v="28746"/>
    <n v="2176"/>
    <n v="28800"/>
  </r>
  <r>
    <x v="21"/>
    <x v="4"/>
    <x v="0"/>
    <n v="450"/>
    <n v="41"/>
    <n v="21042"/>
    <n v="20538"/>
    <n v="504"/>
    <n v="21600"/>
  </r>
  <r>
    <x v="21"/>
    <x v="4"/>
    <x v="1"/>
    <n v="450"/>
    <n v="60"/>
    <n v="16460"/>
    <n v="15925"/>
    <n v="535"/>
    <n v="16200"/>
  </r>
  <r>
    <x v="21"/>
    <x v="4"/>
    <x v="2"/>
    <n v="450"/>
    <n v="53"/>
    <n v="26160"/>
    <n v="24678"/>
    <n v="1482"/>
    <n v="28800"/>
  </r>
  <r>
    <x v="22"/>
    <x v="4"/>
    <x v="0"/>
    <n v="450"/>
    <n v="22"/>
    <n v="20413"/>
    <n v="20114"/>
    <n v="299"/>
    <n v="21600"/>
  </r>
  <r>
    <x v="22"/>
    <x v="4"/>
    <x v="1"/>
    <n v="450"/>
    <n v="45"/>
    <n v="14769"/>
    <n v="14325"/>
    <n v="444"/>
    <n v="16200"/>
  </r>
  <r>
    <x v="22"/>
    <x v="4"/>
    <x v="2"/>
    <n v="450"/>
    <n v="44"/>
    <n v="26502"/>
    <n v="24470"/>
    <n v="2032"/>
    <n v="28800"/>
  </r>
  <r>
    <x v="23"/>
    <x v="4"/>
    <x v="0"/>
    <n v="450"/>
    <n v="45"/>
    <n v="23032"/>
    <n v="22614"/>
    <n v="418"/>
    <n v="21600"/>
  </r>
  <r>
    <x v="23"/>
    <x v="4"/>
    <x v="1"/>
    <n v="450"/>
    <n v="91"/>
    <n v="14271"/>
    <n v="13720"/>
    <n v="551"/>
    <n v="16200"/>
  </r>
  <r>
    <x v="23"/>
    <x v="4"/>
    <x v="2"/>
    <n v="450"/>
    <n v="34"/>
    <n v="30791"/>
    <n v="28678"/>
    <n v="2113"/>
    <n v="288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B10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Downtime min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5:B21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Units" fld="5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I73" headerRowCount="1">
  <autoFilter ref="A1:I73"/>
  <tableColumns count="9">
    <tableColumn id="1" name="Date"/>
    <tableColumn id="2" name="Week"/>
    <tableColumn id="3" name="Line"/>
    <tableColumn id="4" name="Planned min"/>
    <tableColumn id="5" name="Downtime min"/>
    <tableColumn id="6" name="Units"/>
    <tableColumn id="7" name="Good units"/>
    <tableColumn id="8" name="Scrap units"/>
    <tableColumn id="9" name="Scheduled uni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Production report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data · industry pack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Line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UNITS</t>
        </is>
      </c>
      <c r="D9" s="9" t="n"/>
      <c r="E9" s="8" t="inlineStr">
        <is>
          <t>GOOD UNITS</t>
        </is>
      </c>
      <c r="G9" s="9" t="n"/>
      <c r="H9" s="8" t="inlineStr">
        <is>
          <t>SCRAP UNITS</t>
        </is>
      </c>
      <c r="J9" s="9" t="n"/>
      <c r="K9" s="8" t="inlineStr">
        <is>
          <t>DOWNTIME MIN</t>
        </is>
      </c>
      <c r="M9" s="9" t="n"/>
    </row>
    <row r="10">
      <c r="B10" s="10">
        <f>SUMIFS(Raw!$F$2:$F$73,Raw!$C$2:$C$73,CatCrit)</f>
        <v>1567123</v>
      </c>
      <c r="D10" s="9" t="n"/>
      <c r="E10" s="10">
        <f>SUMIFS(Raw!$G$2:$G$73,Raw!$C$2:$C$73,CatCrit)</f>
        <v>1499796</v>
      </c>
      <c r="G10" s="9" t="n"/>
      <c r="H10" s="10">
        <f>SUMIFS(Raw!$H$2:$H$73,Raw!$C$2:$C$73,CatCrit)</f>
        <v>67327</v>
      </c>
      <c r="J10" s="9" t="n"/>
      <c r="K10" s="10">
        <f>SUMIFS(Raw!$E$2:$E$73,Raw!$C$2:$C$73,CatCrit)</f>
        <v>3171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  <row r="13">
      <c r="B13" s="8" t="inlineStr">
        <is>
          <t>SCRAP %</t>
        </is>
      </c>
      <c r="D13" s="9" t="n"/>
      <c r="E13" s="8" t="inlineStr">
        <is>
          <t>AVAILABILITY</t>
        </is>
      </c>
      <c r="G13" s="9" t="n"/>
      <c r="H13" s="8" t="inlineStr">
        <is>
          <t>ADHERENCE</t>
        </is>
      </c>
      <c r="J13" s="9" t="n"/>
    </row>
    <row r="14">
      <c r="B14" s="11">
        <f>IFERROR(SUMIFS(Raw!$H$2:$H$73,Raw!$C$2:$C$73,CatCrit)/SUMIFS(Raw!$F$2:$F$73,Raw!$C$2:$C$73,CatCrit),0)</f>
        <v>0.0429621669773209</v>
      </c>
      <c r="D14" s="9" t="n"/>
      <c r="E14" s="11">
        <f>IFERROR(1-SUMIFS(Raw!$E$2:$E$73,Raw!$C$2:$C$73,CatCrit)/SUMIFS(Raw!$D$2:$D$73,Raw!$C$2:$C$73,CatCrit),0)</f>
        <v>0.90212962962963</v>
      </c>
      <c r="G14" s="9" t="n"/>
      <c r="H14" s="11">
        <f>IFERROR(SUMIFS(Raw!$G$2:$G$73,Raw!$C$2:$C$73,CatCrit)/SUMIFS(Raw!$I$2:$I$73,Raw!$C$2:$C$73,CatCrit),0)</f>
        <v>0.938310810810811</v>
      </c>
      <c r="J14" s="9" t="n"/>
    </row>
    <row r="15">
      <c r="B15" s="9" t="n"/>
      <c r="D15" s="9" t="n"/>
      <c r="E15" s="9" t="n"/>
      <c r="G15" s="9" t="n"/>
      <c r="H15" s="9" t="n"/>
      <c r="J15" s="9" t="n"/>
    </row>
  </sheetData>
  <mergeCells count="21">
    <mergeCell ref="H10:I10"/>
    <mergeCell ref="K9:L9"/>
    <mergeCell ref="E14:F14"/>
    <mergeCell ref="H9:I9"/>
    <mergeCell ref="K11:L11"/>
    <mergeCell ref="B11:C11"/>
    <mergeCell ref="E10:F10"/>
    <mergeCell ref="B14:C14"/>
    <mergeCell ref="E13:F13"/>
    <mergeCell ref="E9:F9"/>
    <mergeCell ref="B13:C13"/>
    <mergeCell ref="H11:I11"/>
    <mergeCell ref="E15:F15"/>
    <mergeCell ref="B10:C10"/>
    <mergeCell ref="E11:F11"/>
    <mergeCell ref="B9:C9"/>
    <mergeCell ref="H13:I13"/>
    <mergeCell ref="B15:C15"/>
    <mergeCell ref="K10:L10"/>
    <mergeCell ref="H15:I15"/>
    <mergeCell ref="H14:I14"/>
  </mergeCells>
  <dataValidations count="1">
    <dataValidation sqref="B6" showDropDown="0" showInputMessage="0" showErrorMessage="0" allowBlank="0" promptTitle="Line" prompt="Pick a line or All" type="list">
      <formula1>=Lookup!$M$6:$M$9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2" t="inlineStr">
        <is>
          <t>By line</t>
        </is>
      </c>
    </row>
    <row r="7" ht="28" customHeight="1">
      <c r="B7" s="13" t="inlineStr">
        <is>
          <t>Line</t>
        </is>
      </c>
      <c r="C7" s="13" t="inlineStr">
        <is>
          <t>Units</t>
        </is>
      </c>
      <c r="D7" s="13" t="inlineStr">
        <is>
          <t>Good units</t>
        </is>
      </c>
      <c r="E7" s="13" t="inlineStr">
        <is>
          <t>Scrap units</t>
        </is>
      </c>
      <c r="F7" s="13" t="inlineStr">
        <is>
          <t>Downtime min</t>
        </is>
      </c>
      <c r="G7" s="13" t="inlineStr">
        <is>
          <t>Scrap %</t>
        </is>
      </c>
      <c r="H7" s="13" t="inlineStr">
        <is>
          <t>Availability</t>
        </is>
      </c>
      <c r="I7" s="13" t="inlineStr">
        <is>
          <t>Adherence</t>
        </is>
      </c>
    </row>
    <row r="8">
      <c r="B8" s="14" t="inlineStr">
        <is>
          <t>Line 1</t>
        </is>
      </c>
      <c r="C8" s="15">
        <f>SUMIFS(Raw!$F$2:$F$73,Raw!$C$2:$C$73,$B8)</f>
        <v>520285</v>
      </c>
      <c r="D8" s="15">
        <f>SUMIFS(Raw!$G$2:$G$73,Raw!$C$2:$C$73,$B8)</f>
        <v>510279</v>
      </c>
      <c r="E8" s="15">
        <f>SUMIFS(Raw!$H$2:$H$73,Raw!$C$2:$C$73,$B8)</f>
        <v>10006</v>
      </c>
      <c r="F8" s="15">
        <f>SUMIFS(Raw!$E$2:$E$73,Raw!$C$2:$C$73,$B8)</f>
        <v>848</v>
      </c>
      <c r="G8" s="16">
        <f>IFERROR(SUMIFS(Raw!$H$2:$H$73,Raw!$C$2:$C$73,$B8)/SUMIFS(Raw!$F$2:$F$73,Raw!$C$2:$C$73,$B8),0)</f>
        <v>0.0192317672045129</v>
      </c>
      <c r="H8" s="16">
        <f>IFERROR(1-SUMIFS(Raw!$E$2:$E$73,Raw!$C$2:$C$73,$B8)/SUMIFS(Raw!$D$2:$D$73,Raw!$C$2:$C$73,$B8),0)</f>
        <v>0.921481481481482</v>
      </c>
      <c r="I8" s="16">
        <f>IFERROR(SUMIFS(Raw!$G$2:$G$73,Raw!$C$2:$C$73,$B8)/SUMIFS(Raw!$I$2:$I$73,Raw!$C$2:$C$73,$B8),0)</f>
        <v>0.984334490740741</v>
      </c>
    </row>
    <row r="9">
      <c r="B9" s="14" t="inlineStr">
        <is>
          <t>Line 2</t>
        </is>
      </c>
      <c r="C9" s="15">
        <f>SUMIFS(Raw!$F$2:$F$73,Raw!$C$2:$C$73,$B9)</f>
        <v>361477</v>
      </c>
      <c r="D9" s="15">
        <f>SUMIFS(Raw!$G$2:$G$73,Raw!$C$2:$C$73,$B9)</f>
        <v>350158</v>
      </c>
      <c r="E9" s="15">
        <f>SUMIFS(Raw!$H$2:$H$73,Raw!$C$2:$C$73,$B9)</f>
        <v>11319</v>
      </c>
      <c r="F9" s="15">
        <f>SUMIFS(Raw!$E$2:$E$73,Raw!$C$2:$C$73,$B9)</f>
        <v>1621</v>
      </c>
      <c r="G9" s="16">
        <f>IFERROR(SUMIFS(Raw!$H$2:$H$73,Raw!$C$2:$C$73,$B9)/SUMIFS(Raw!$F$2:$F$73,Raw!$C$2:$C$73,$B9),0)</f>
        <v>0.0313131955836748</v>
      </c>
      <c r="H9" s="16">
        <f>IFERROR(1-SUMIFS(Raw!$E$2:$E$73,Raw!$C$2:$C$73,$B9)/SUMIFS(Raw!$D$2:$D$73,Raw!$C$2:$C$73,$B9),0)</f>
        <v>0.849907407407407</v>
      </c>
      <c r="I9" s="16">
        <f>IFERROR(SUMIFS(Raw!$G$2:$G$73,Raw!$C$2:$C$73,$B9)/SUMIFS(Raw!$I$2:$I$73,Raw!$C$2:$C$73,$B9),0)</f>
        <v>0.900612139917696</v>
      </c>
    </row>
    <row r="10">
      <c r="B10" s="14" t="inlineStr">
        <is>
          <t>Line 3</t>
        </is>
      </c>
      <c r="C10" s="15">
        <f>SUMIFS(Raw!$F$2:$F$73,Raw!$C$2:$C$73,$B10)</f>
        <v>685361</v>
      </c>
      <c r="D10" s="15">
        <f>SUMIFS(Raw!$G$2:$G$73,Raw!$C$2:$C$73,$B10)</f>
        <v>639359</v>
      </c>
      <c r="E10" s="15">
        <f>SUMIFS(Raw!$H$2:$H$73,Raw!$C$2:$C$73,$B10)</f>
        <v>46002</v>
      </c>
      <c r="F10" s="15">
        <f>SUMIFS(Raw!$E$2:$E$73,Raw!$C$2:$C$73,$B10)</f>
        <v>702</v>
      </c>
      <c r="G10" s="16">
        <f>IFERROR(SUMIFS(Raw!$H$2:$H$73,Raw!$C$2:$C$73,$B10)/SUMIFS(Raw!$F$2:$F$73,Raw!$C$2:$C$73,$B10),0)</f>
        <v>0.0671208312115805</v>
      </c>
      <c r="H10" s="16">
        <f>IFERROR(1-SUMIFS(Raw!$E$2:$E$73,Raw!$C$2:$C$73,$B10)/SUMIFS(Raw!$D$2:$D$73,Raw!$C$2:$C$73,$B10),0)</f>
        <v>0.935</v>
      </c>
      <c r="I10" s="16">
        <f>IFERROR(SUMIFS(Raw!$G$2:$G$73,Raw!$C$2:$C$73,$B10)/SUMIFS(Raw!$I$2:$I$73,Raw!$C$2:$C$73,$B10),0)</f>
        <v>0.924998553240741</v>
      </c>
    </row>
    <row r="11">
      <c r="B11" s="17" t="inlineStr">
        <is>
          <t>Total</t>
        </is>
      </c>
      <c r="C11" s="18">
        <f>SUM(C8:C10)</f>
        <v>1567123</v>
      </c>
      <c r="D11" s="18">
        <f>SUM(D8:D10)</f>
        <v>1499796</v>
      </c>
      <c r="E11" s="18">
        <f>SUM(E8:E10)</f>
        <v>67327</v>
      </c>
      <c r="F11" s="18">
        <f>SUM(F8:F10)</f>
        <v>3171</v>
      </c>
      <c r="G11" s="19" t="n"/>
      <c r="H11" s="19" t="n"/>
      <c r="I11" s="19" t="n"/>
    </row>
    <row r="14">
      <c r="B14" s="12" t="inlineStr">
        <is>
          <t>By week (follows the selector)</t>
        </is>
      </c>
    </row>
    <row r="16" ht="28" customHeight="1">
      <c r="B16" s="13" t="inlineStr">
        <is>
          <t>Week</t>
        </is>
      </c>
      <c r="C16" s="13" t="inlineStr">
        <is>
          <t>Units</t>
        </is>
      </c>
      <c r="D16" s="13" t="inlineStr">
        <is>
          <t>Good units</t>
        </is>
      </c>
      <c r="E16" s="13" t="inlineStr">
        <is>
          <t>Scrap units</t>
        </is>
      </c>
      <c r="F16" s="13" t="inlineStr">
        <is>
          <t>Downtime min</t>
        </is>
      </c>
    </row>
    <row r="17">
      <c r="B17" s="20" t="n">
        <v>46258</v>
      </c>
      <c r="C17" s="15">
        <f>SUMIFS(Raw!$F$2:$F$73,Raw!$C$2:$C$73,CatCrit,Raw!$B$2:$B$73,$B17)</f>
        <v>63570</v>
      </c>
      <c r="D17" s="15">
        <f>SUMIFS(Raw!$G$2:$G$73,Raw!$C$2:$C$73,CatCrit,Raw!$B$2:$B$73,$B17)</f>
        <v>60661</v>
      </c>
      <c r="E17" s="15">
        <f>SUMIFS(Raw!$H$2:$H$73,Raw!$C$2:$C$73,CatCrit,Raw!$B$2:$B$73,$B17)</f>
        <v>2909</v>
      </c>
      <c r="F17" s="15">
        <f>SUMIFS(Raw!$E$2:$E$73,Raw!$C$2:$C$73,CatCrit,Raw!$B$2:$B$73,$B17)</f>
        <v>123</v>
      </c>
    </row>
    <row r="18">
      <c r="B18" s="20" t="n">
        <v>46265</v>
      </c>
      <c r="C18" s="15">
        <f>SUMIFS(Raw!$F$2:$F$73,Raw!$C$2:$C$73,CatCrit,Raw!$B$2:$B$73,$B18)</f>
        <v>399057</v>
      </c>
      <c r="D18" s="15">
        <f>SUMIFS(Raw!$G$2:$G$73,Raw!$C$2:$C$73,CatCrit,Raw!$B$2:$B$73,$B18)</f>
        <v>383338</v>
      </c>
      <c r="E18" s="15">
        <f>SUMIFS(Raw!$H$2:$H$73,Raw!$C$2:$C$73,CatCrit,Raw!$B$2:$B$73,$B18)</f>
        <v>15719</v>
      </c>
      <c r="F18" s="15">
        <f>SUMIFS(Raw!$E$2:$E$73,Raw!$C$2:$C$73,CatCrit,Raw!$B$2:$B$73,$B18)</f>
        <v>726</v>
      </c>
    </row>
    <row r="19">
      <c r="B19" s="20" t="n">
        <v>46272</v>
      </c>
      <c r="C19" s="15">
        <f>SUMIFS(Raw!$F$2:$F$73,Raw!$C$2:$C$73,CatCrit,Raw!$B$2:$B$73,$B19)</f>
        <v>391829</v>
      </c>
      <c r="D19" s="15">
        <f>SUMIFS(Raw!$G$2:$G$73,Raw!$C$2:$C$73,CatCrit,Raw!$B$2:$B$73,$B19)</f>
        <v>376437</v>
      </c>
      <c r="E19" s="15">
        <f>SUMIFS(Raw!$H$2:$H$73,Raw!$C$2:$C$73,CatCrit,Raw!$B$2:$B$73,$B19)</f>
        <v>15392</v>
      </c>
      <c r="F19" s="15">
        <f>SUMIFS(Raw!$E$2:$E$73,Raw!$C$2:$C$73,CatCrit,Raw!$B$2:$B$73,$B19)</f>
        <v>794</v>
      </c>
    </row>
    <row r="20">
      <c r="B20" s="20" t="n">
        <v>46279</v>
      </c>
      <c r="C20" s="15">
        <f>SUMIFS(Raw!$F$2:$F$73,Raw!$C$2:$C$73,CatCrit,Raw!$B$2:$B$73,$B20)</f>
        <v>386888</v>
      </c>
      <c r="D20" s="15">
        <f>SUMIFS(Raw!$G$2:$G$73,Raw!$C$2:$C$73,CatCrit,Raw!$B$2:$B$73,$B20)</f>
        <v>368866</v>
      </c>
      <c r="E20" s="15">
        <f>SUMIFS(Raw!$H$2:$H$73,Raw!$C$2:$C$73,CatCrit,Raw!$B$2:$B$73,$B20)</f>
        <v>18022</v>
      </c>
      <c r="F20" s="15">
        <f>SUMIFS(Raw!$E$2:$E$73,Raw!$C$2:$C$73,CatCrit,Raw!$B$2:$B$73,$B20)</f>
        <v>875</v>
      </c>
    </row>
    <row r="21">
      <c r="B21" s="20" t="n">
        <v>46286</v>
      </c>
      <c r="C21" s="15">
        <f>SUMIFS(Raw!$F$2:$F$73,Raw!$C$2:$C$73,CatCrit,Raw!$B$2:$B$73,$B21)</f>
        <v>325779</v>
      </c>
      <c r="D21" s="15">
        <f>SUMIFS(Raw!$G$2:$G$73,Raw!$C$2:$C$73,CatCrit,Raw!$B$2:$B$73,$B21)</f>
        <v>310494</v>
      </c>
      <c r="E21" s="15">
        <f>SUMIFS(Raw!$H$2:$H$73,Raw!$C$2:$C$73,CatCrit,Raw!$B$2:$B$73,$B21)</f>
        <v>15285</v>
      </c>
      <c r="F21" s="15">
        <f>SUMIFS(Raw!$E$2:$E$73,Raw!$C$2:$C$73,CatCrit,Raw!$B$2:$B$73,$B21)</f>
        <v>653</v>
      </c>
    </row>
    <row r="22">
      <c r="B22" s="17" t="inlineStr">
        <is>
          <t>Total</t>
        </is>
      </c>
      <c r="C22" s="18">
        <f>SUM(C17:C21)</f>
        <v>1567123</v>
      </c>
      <c r="D22" s="18">
        <f>SUM(D17:D21)</f>
        <v>1499796</v>
      </c>
      <c r="E22" s="18">
        <f>SUM(E17:E21)</f>
        <v>67327</v>
      </c>
      <c r="F22" s="18">
        <f>SUM(F17:F21)</f>
        <v>3171</v>
      </c>
    </row>
  </sheetData>
  <conditionalFormatting sqref="F8:F10">
    <cfRule type="dataBar" priority="1">
      <dataBar>
        <cfvo type="min"/>
        <cfvo type="max"/>
        <color rgb="0063B6D8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2" t="inlineStr">
        <is>
          <t>Downtime min by line and week</t>
        </is>
      </c>
    </row>
    <row r="6">
      <c r="A6" t="inlineStr">
        <is>
          <t>Row Labels</t>
        </is>
      </c>
      <c r="B6" t="inlineStr">
        <is>
          <t>Downtime min</t>
        </is>
      </c>
    </row>
    <row r="7">
      <c r="A7" t="inlineStr">
        <is>
          <t>Line 1</t>
        </is>
      </c>
      <c r="B7" s="21" t="n">
        <v>848</v>
      </c>
    </row>
    <row r="8">
      <c r="A8" t="inlineStr">
        <is>
          <t>Line 2</t>
        </is>
      </c>
      <c r="B8" s="21" t="n">
        <v>1621</v>
      </c>
    </row>
    <row r="9">
      <c r="A9" t="inlineStr">
        <is>
          <t>Line 3</t>
        </is>
      </c>
      <c r="B9" s="21" t="n">
        <v>702</v>
      </c>
    </row>
    <row r="10">
      <c r="A10" t="inlineStr">
        <is>
          <t>Grand Total</t>
        </is>
      </c>
      <c r="B10" s="21" t="n">
        <v>3171</v>
      </c>
    </row>
    <row r="14">
      <c r="A14" s="12" t="inlineStr">
        <is>
          <t>Units by week</t>
        </is>
      </c>
    </row>
    <row r="15">
      <c r="A15" t="inlineStr">
        <is>
          <t>Row Labels</t>
        </is>
      </c>
      <c r="B15" t="inlineStr">
        <is>
          <t>Units</t>
        </is>
      </c>
    </row>
    <row r="16">
      <c r="A16" t="inlineStr">
        <is>
          <t>2026-08-24</t>
        </is>
      </c>
      <c r="B16" s="21" t="n">
        <v>63570</v>
      </c>
    </row>
    <row r="17">
      <c r="A17" t="inlineStr">
        <is>
          <t>2026-08-31</t>
        </is>
      </c>
      <c r="B17" s="21" t="n">
        <v>399057</v>
      </c>
    </row>
    <row r="18">
      <c r="A18" t="inlineStr">
        <is>
          <t>2026-09-07</t>
        </is>
      </c>
      <c r="B18" s="21" t="n">
        <v>391829</v>
      </c>
    </row>
    <row r="19">
      <c r="A19" t="inlineStr">
        <is>
          <t>2026-09-14</t>
        </is>
      </c>
      <c r="B19" s="21" t="n">
        <v>386888</v>
      </c>
    </row>
    <row r="20">
      <c r="A20" t="inlineStr">
        <is>
          <t>2026-09-21</t>
        </is>
      </c>
      <c r="B20" s="21" t="n">
        <v>325779</v>
      </c>
    </row>
    <row r="21">
      <c r="A21" t="inlineStr">
        <is>
          <t>Grand Total</t>
        </is>
      </c>
      <c r="B21" s="21" t="n">
        <v>1567123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2" customWidth="1" min="6" max="6"/>
    <col width="14" customWidth="1" min="7" max="7"/>
    <col width="15" customWidth="1" min="8" max="8"/>
    <col width="19" customWidth="1" min="9" max="9"/>
  </cols>
  <sheetData>
    <row r="1">
      <c r="A1" s="22" t="inlineStr">
        <is>
          <t>Date</t>
        </is>
      </c>
      <c r="B1" s="22" t="inlineStr">
        <is>
          <t>Week</t>
        </is>
      </c>
      <c r="C1" s="22" t="inlineStr">
        <is>
          <t>Line</t>
        </is>
      </c>
      <c r="D1" s="22" t="inlineStr">
        <is>
          <t>Planned min</t>
        </is>
      </c>
      <c r="E1" s="22" t="inlineStr">
        <is>
          <t>Downtime min</t>
        </is>
      </c>
      <c r="F1" s="22" t="inlineStr">
        <is>
          <t>Units</t>
        </is>
      </c>
      <c r="G1" s="22" t="inlineStr">
        <is>
          <t>Good units</t>
        </is>
      </c>
      <c r="H1" s="22" t="inlineStr">
        <is>
          <t>Scrap units</t>
        </is>
      </c>
      <c r="I1" s="22" t="inlineStr">
        <is>
          <t>Scheduled units</t>
        </is>
      </c>
    </row>
    <row r="2">
      <c r="A2" s="23" t="n">
        <v>46263</v>
      </c>
      <c r="B2" s="23" t="n">
        <v>46258</v>
      </c>
      <c r="C2" s="24" t="inlineStr">
        <is>
          <t>Line 1</t>
        </is>
      </c>
      <c r="D2" s="24" t="n">
        <v>450</v>
      </c>
      <c r="E2" s="24" t="n">
        <v>25</v>
      </c>
      <c r="F2" s="24" t="n">
        <v>23371</v>
      </c>
      <c r="G2" s="24" t="n">
        <v>22961</v>
      </c>
      <c r="H2" s="24" t="n">
        <v>410</v>
      </c>
      <c r="I2" s="24" t="n">
        <v>21600</v>
      </c>
    </row>
    <row r="3">
      <c r="A3" s="23" t="n">
        <v>46263</v>
      </c>
      <c r="B3" s="23" t="n">
        <v>46258</v>
      </c>
      <c r="C3" s="24" t="inlineStr">
        <is>
          <t>Line 2</t>
        </is>
      </c>
      <c r="D3" s="24" t="n">
        <v>450</v>
      </c>
      <c r="E3" s="24" t="n">
        <v>75</v>
      </c>
      <c r="F3" s="24" t="n">
        <v>13315</v>
      </c>
      <c r="G3" s="24" t="n">
        <v>12900</v>
      </c>
      <c r="H3" s="24" t="n">
        <v>415</v>
      </c>
      <c r="I3" s="24" t="n">
        <v>16200</v>
      </c>
    </row>
    <row r="4">
      <c r="A4" s="23" t="n">
        <v>46263</v>
      </c>
      <c r="B4" s="23" t="n">
        <v>46258</v>
      </c>
      <c r="C4" s="24" t="inlineStr">
        <is>
          <t>Line 3</t>
        </is>
      </c>
      <c r="D4" s="24" t="n">
        <v>450</v>
      </c>
      <c r="E4" s="24" t="n">
        <v>23</v>
      </c>
      <c r="F4" s="24" t="n">
        <v>26884</v>
      </c>
      <c r="G4" s="24" t="n">
        <v>24800</v>
      </c>
      <c r="H4" s="24" t="n">
        <v>2084</v>
      </c>
      <c r="I4" s="24" t="n">
        <v>28800</v>
      </c>
    </row>
    <row r="5">
      <c r="A5" s="23" t="n">
        <v>46265</v>
      </c>
      <c r="B5" s="23" t="n">
        <v>46265</v>
      </c>
      <c r="C5" s="24" t="inlineStr">
        <is>
          <t>Line 1</t>
        </is>
      </c>
      <c r="D5" s="24" t="n">
        <v>450</v>
      </c>
      <c r="E5" s="24" t="n">
        <v>55</v>
      </c>
      <c r="F5" s="24" t="n">
        <v>21134</v>
      </c>
      <c r="G5" s="24" t="n">
        <v>20971</v>
      </c>
      <c r="H5" s="24" t="n">
        <v>163</v>
      </c>
      <c r="I5" s="24" t="n">
        <v>21600</v>
      </c>
    </row>
    <row r="6">
      <c r="A6" s="23" t="n">
        <v>46265</v>
      </c>
      <c r="B6" s="23" t="n">
        <v>46265</v>
      </c>
      <c r="C6" s="24" t="inlineStr">
        <is>
          <t>Line 2</t>
        </is>
      </c>
      <c r="D6" s="24" t="n">
        <v>450</v>
      </c>
      <c r="E6" s="24" t="n">
        <v>59</v>
      </c>
      <c r="F6" s="24" t="n">
        <v>16659</v>
      </c>
      <c r="G6" s="24" t="n">
        <v>16125</v>
      </c>
      <c r="H6" s="24" t="n">
        <v>534</v>
      </c>
      <c r="I6" s="24" t="n">
        <v>16200</v>
      </c>
    </row>
    <row r="7">
      <c r="A7" s="23" t="n">
        <v>46265</v>
      </c>
      <c r="B7" s="23" t="n">
        <v>46265</v>
      </c>
      <c r="C7" s="24" t="inlineStr">
        <is>
          <t>Line 3</t>
        </is>
      </c>
      <c r="D7" s="24" t="n">
        <v>450</v>
      </c>
      <c r="E7" s="24" t="n">
        <v>9</v>
      </c>
      <c r="F7" s="24" t="n">
        <v>29857</v>
      </c>
      <c r="G7" s="24" t="n">
        <v>28114</v>
      </c>
      <c r="H7" s="24" t="n">
        <v>1743</v>
      </c>
      <c r="I7" s="24" t="n">
        <v>28800</v>
      </c>
    </row>
    <row r="8">
      <c r="A8" s="23" t="n">
        <v>46266</v>
      </c>
      <c r="B8" s="23" t="n">
        <v>46265</v>
      </c>
      <c r="C8" s="24" t="inlineStr">
        <is>
          <t>Line 1</t>
        </is>
      </c>
      <c r="D8" s="24" t="n">
        <v>450</v>
      </c>
      <c r="E8" s="24" t="n">
        <v>27</v>
      </c>
      <c r="F8" s="24" t="n">
        <v>20037</v>
      </c>
      <c r="G8" s="24" t="n">
        <v>19779</v>
      </c>
      <c r="H8" s="24" t="n">
        <v>258</v>
      </c>
      <c r="I8" s="24" t="n">
        <v>21600</v>
      </c>
    </row>
    <row r="9">
      <c r="A9" s="23" t="n">
        <v>46266</v>
      </c>
      <c r="B9" s="23" t="n">
        <v>46265</v>
      </c>
      <c r="C9" s="24" t="inlineStr">
        <is>
          <t>Line 2</t>
        </is>
      </c>
      <c r="D9" s="24" t="n">
        <v>450</v>
      </c>
      <c r="E9" s="24" t="n">
        <v>77</v>
      </c>
      <c r="F9" s="24" t="n">
        <v>15617</v>
      </c>
      <c r="G9" s="24" t="n">
        <v>15240</v>
      </c>
      <c r="H9" s="24" t="n">
        <v>377</v>
      </c>
      <c r="I9" s="24" t="n">
        <v>16200</v>
      </c>
    </row>
    <row r="10">
      <c r="A10" s="23" t="n">
        <v>46266</v>
      </c>
      <c r="B10" s="23" t="n">
        <v>46265</v>
      </c>
      <c r="C10" s="24" t="inlineStr">
        <is>
          <t>Line 3</t>
        </is>
      </c>
      <c r="D10" s="24" t="n">
        <v>450</v>
      </c>
      <c r="E10" s="24" t="n">
        <v>35</v>
      </c>
      <c r="F10" s="24" t="n">
        <v>30813</v>
      </c>
      <c r="G10" s="24" t="n">
        <v>29162</v>
      </c>
      <c r="H10" s="24" t="n">
        <v>1651</v>
      </c>
      <c r="I10" s="24" t="n">
        <v>28800</v>
      </c>
    </row>
    <row r="11">
      <c r="A11" s="23" t="n">
        <v>46267</v>
      </c>
      <c r="B11" s="23" t="n">
        <v>46265</v>
      </c>
      <c r="C11" s="24" t="inlineStr">
        <is>
          <t>Line 1</t>
        </is>
      </c>
      <c r="D11" s="24" t="n">
        <v>450</v>
      </c>
      <c r="E11" s="24" t="n">
        <v>32</v>
      </c>
      <c r="F11" s="24" t="n">
        <v>23285</v>
      </c>
      <c r="G11" s="24" t="n">
        <v>22859</v>
      </c>
      <c r="H11" s="24" t="n">
        <v>426</v>
      </c>
      <c r="I11" s="24" t="n">
        <v>21600</v>
      </c>
    </row>
    <row r="12">
      <c r="A12" s="23" t="n">
        <v>46267</v>
      </c>
      <c r="B12" s="23" t="n">
        <v>46265</v>
      </c>
      <c r="C12" s="24" t="inlineStr">
        <is>
          <t>Line 2</t>
        </is>
      </c>
      <c r="D12" s="24" t="n">
        <v>450</v>
      </c>
      <c r="E12" s="24" t="n">
        <v>55</v>
      </c>
      <c r="F12" s="24" t="n">
        <v>13884</v>
      </c>
      <c r="G12" s="24" t="n">
        <v>13472</v>
      </c>
      <c r="H12" s="24" t="n">
        <v>412</v>
      </c>
      <c r="I12" s="24" t="n">
        <v>16200</v>
      </c>
    </row>
    <row r="13">
      <c r="A13" s="23" t="n">
        <v>46267</v>
      </c>
      <c r="B13" s="23" t="n">
        <v>46265</v>
      </c>
      <c r="C13" s="24" t="inlineStr">
        <is>
          <t>Line 3</t>
        </is>
      </c>
      <c r="D13" s="24" t="n">
        <v>450</v>
      </c>
      <c r="E13" s="24" t="n">
        <v>26</v>
      </c>
      <c r="F13" s="24" t="n">
        <v>27606</v>
      </c>
      <c r="G13" s="24" t="n">
        <v>25782</v>
      </c>
      <c r="H13" s="24" t="n">
        <v>1824</v>
      </c>
      <c r="I13" s="24" t="n">
        <v>28800</v>
      </c>
    </row>
    <row r="14">
      <c r="A14" s="23" t="n">
        <v>46268</v>
      </c>
      <c r="B14" s="23" t="n">
        <v>46265</v>
      </c>
      <c r="C14" s="24" t="inlineStr">
        <is>
          <t>Line 1</t>
        </is>
      </c>
      <c r="D14" s="24" t="n">
        <v>450</v>
      </c>
      <c r="E14" s="24" t="n">
        <v>22</v>
      </c>
      <c r="F14" s="24" t="n">
        <v>21416</v>
      </c>
      <c r="G14" s="24" t="n">
        <v>20939</v>
      </c>
      <c r="H14" s="24" t="n">
        <v>477</v>
      </c>
      <c r="I14" s="24" t="n">
        <v>21600</v>
      </c>
    </row>
    <row r="15">
      <c r="A15" s="23" t="n">
        <v>46268</v>
      </c>
      <c r="B15" s="23" t="n">
        <v>46265</v>
      </c>
      <c r="C15" s="24" t="inlineStr">
        <is>
          <t>Line 2</t>
        </is>
      </c>
      <c r="D15" s="24" t="n">
        <v>450</v>
      </c>
      <c r="E15" s="24" t="n">
        <v>57</v>
      </c>
      <c r="F15" s="24" t="n">
        <v>15154</v>
      </c>
      <c r="G15" s="24" t="n">
        <v>14590</v>
      </c>
      <c r="H15" s="24" t="n">
        <v>564</v>
      </c>
      <c r="I15" s="24" t="n">
        <v>16200</v>
      </c>
    </row>
    <row r="16">
      <c r="A16" s="23" t="n">
        <v>46268</v>
      </c>
      <c r="B16" s="23" t="n">
        <v>46265</v>
      </c>
      <c r="C16" s="24" t="inlineStr">
        <is>
          <t>Line 3</t>
        </is>
      </c>
      <c r="D16" s="24" t="n">
        <v>450</v>
      </c>
      <c r="E16" s="24" t="n">
        <v>6</v>
      </c>
      <c r="F16" s="24" t="n">
        <v>29634</v>
      </c>
      <c r="G16" s="24" t="n">
        <v>27886</v>
      </c>
      <c r="H16" s="24" t="n">
        <v>1748</v>
      </c>
      <c r="I16" s="24" t="n">
        <v>28800</v>
      </c>
    </row>
    <row r="17">
      <c r="A17" s="23" t="n">
        <v>46269</v>
      </c>
      <c r="B17" s="23" t="n">
        <v>46265</v>
      </c>
      <c r="C17" s="24" t="inlineStr">
        <is>
          <t>Line 1</t>
        </is>
      </c>
      <c r="D17" s="24" t="n">
        <v>450</v>
      </c>
      <c r="E17" s="24" t="n">
        <v>35</v>
      </c>
      <c r="F17" s="24" t="n">
        <v>21544</v>
      </c>
      <c r="G17" s="24" t="n">
        <v>21541</v>
      </c>
      <c r="H17" s="24" t="n">
        <v>3</v>
      </c>
      <c r="I17" s="24" t="n">
        <v>21600</v>
      </c>
    </row>
    <row r="18">
      <c r="A18" s="23" t="n">
        <v>46269</v>
      </c>
      <c r="B18" s="23" t="n">
        <v>46265</v>
      </c>
      <c r="C18" s="24" t="inlineStr">
        <is>
          <t>Line 2</t>
        </is>
      </c>
      <c r="D18" s="24" t="n">
        <v>450</v>
      </c>
      <c r="E18" s="24" t="n">
        <v>67</v>
      </c>
      <c r="F18" s="24" t="n">
        <v>16169</v>
      </c>
      <c r="G18" s="24" t="n">
        <v>15528</v>
      </c>
      <c r="H18" s="24" t="n">
        <v>641</v>
      </c>
      <c r="I18" s="24" t="n">
        <v>16200</v>
      </c>
    </row>
    <row r="19">
      <c r="A19" s="23" t="n">
        <v>46269</v>
      </c>
      <c r="B19" s="23" t="n">
        <v>46265</v>
      </c>
      <c r="C19" s="24" t="inlineStr">
        <is>
          <t>Line 3</t>
        </is>
      </c>
      <c r="D19" s="24" t="n">
        <v>450</v>
      </c>
      <c r="E19" s="24" t="n">
        <v>16</v>
      </c>
      <c r="F19" s="24" t="n">
        <v>29264</v>
      </c>
      <c r="G19" s="24" t="n">
        <v>27537</v>
      </c>
      <c r="H19" s="24" t="n">
        <v>1727</v>
      </c>
      <c r="I19" s="24" t="n">
        <v>28800</v>
      </c>
    </row>
    <row r="20">
      <c r="A20" s="23" t="n">
        <v>46270</v>
      </c>
      <c r="B20" s="23" t="n">
        <v>46265</v>
      </c>
      <c r="C20" s="24" t="inlineStr">
        <is>
          <t>Line 1</t>
        </is>
      </c>
      <c r="D20" s="24" t="n">
        <v>450</v>
      </c>
      <c r="E20" s="24" t="n">
        <v>31</v>
      </c>
      <c r="F20" s="24" t="n">
        <v>23609</v>
      </c>
      <c r="G20" s="24" t="n">
        <v>22794</v>
      </c>
      <c r="H20" s="24" t="n">
        <v>815</v>
      </c>
      <c r="I20" s="24" t="n">
        <v>21600</v>
      </c>
    </row>
    <row r="21">
      <c r="A21" s="23" t="n">
        <v>46270</v>
      </c>
      <c r="B21" s="23" t="n">
        <v>46265</v>
      </c>
      <c r="C21" s="24" t="inlineStr">
        <is>
          <t>Line 2</t>
        </is>
      </c>
      <c r="D21" s="24" t="n">
        <v>450</v>
      </c>
      <c r="E21" s="24" t="n">
        <v>77</v>
      </c>
      <c r="F21" s="24" t="n">
        <v>15215</v>
      </c>
      <c r="G21" s="24" t="n">
        <v>14660</v>
      </c>
      <c r="H21" s="24" t="n">
        <v>555</v>
      </c>
      <c r="I21" s="24" t="n">
        <v>16200</v>
      </c>
    </row>
    <row r="22">
      <c r="A22" s="23" t="n">
        <v>46270</v>
      </c>
      <c r="B22" s="23" t="n">
        <v>46265</v>
      </c>
      <c r="C22" s="24" t="inlineStr">
        <is>
          <t>Line 3</t>
        </is>
      </c>
      <c r="D22" s="24" t="n">
        <v>450</v>
      </c>
      <c r="E22" s="24" t="n">
        <v>40</v>
      </c>
      <c r="F22" s="24" t="n">
        <v>28160</v>
      </c>
      <c r="G22" s="24" t="n">
        <v>26359</v>
      </c>
      <c r="H22" s="24" t="n">
        <v>1801</v>
      </c>
      <c r="I22" s="24" t="n">
        <v>28800</v>
      </c>
    </row>
    <row r="23">
      <c r="A23" s="23" t="n">
        <v>46272</v>
      </c>
      <c r="B23" s="23" t="n">
        <v>46272</v>
      </c>
      <c r="C23" s="24" t="inlineStr">
        <is>
          <t>Line 1</t>
        </is>
      </c>
      <c r="D23" s="24" t="n">
        <v>450</v>
      </c>
      <c r="E23" s="24" t="n">
        <v>34</v>
      </c>
      <c r="F23" s="24" t="n">
        <v>19915</v>
      </c>
      <c r="G23" s="24" t="n">
        <v>19595</v>
      </c>
      <c r="H23" s="24" t="n">
        <v>320</v>
      </c>
      <c r="I23" s="24" t="n">
        <v>21600</v>
      </c>
    </row>
    <row r="24">
      <c r="A24" s="23" t="n">
        <v>46272</v>
      </c>
      <c r="B24" s="23" t="n">
        <v>46272</v>
      </c>
      <c r="C24" s="24" t="inlineStr">
        <is>
          <t>Line 2</t>
        </is>
      </c>
      <c r="D24" s="24" t="n">
        <v>450</v>
      </c>
      <c r="E24" s="24" t="n">
        <v>72</v>
      </c>
      <c r="F24" s="24" t="n">
        <v>14346</v>
      </c>
      <c r="G24" s="24" t="n">
        <v>13828</v>
      </c>
      <c r="H24" s="24" t="n">
        <v>518</v>
      </c>
      <c r="I24" s="24" t="n">
        <v>16200</v>
      </c>
    </row>
    <row r="25">
      <c r="A25" s="23" t="n">
        <v>46272</v>
      </c>
      <c r="B25" s="23" t="n">
        <v>46272</v>
      </c>
      <c r="C25" s="24" t="inlineStr">
        <is>
          <t>Line 3</t>
        </is>
      </c>
      <c r="D25" s="24" t="n">
        <v>450</v>
      </c>
      <c r="E25" s="24" t="n">
        <v>26</v>
      </c>
      <c r="F25" s="24" t="n">
        <v>28734</v>
      </c>
      <c r="G25" s="24" t="n">
        <v>26652</v>
      </c>
      <c r="H25" s="24" t="n">
        <v>2082</v>
      </c>
      <c r="I25" s="24" t="n">
        <v>28800</v>
      </c>
    </row>
    <row r="26">
      <c r="A26" s="23" t="n">
        <v>46273</v>
      </c>
      <c r="B26" s="23" t="n">
        <v>46272</v>
      </c>
      <c r="C26" s="24" t="inlineStr">
        <is>
          <t>Line 1</t>
        </is>
      </c>
      <c r="D26" s="24" t="n">
        <v>450</v>
      </c>
      <c r="E26" s="24" t="n">
        <v>36</v>
      </c>
      <c r="F26" s="24" t="n">
        <v>22374</v>
      </c>
      <c r="G26" s="24" t="n">
        <v>21726</v>
      </c>
      <c r="H26" s="24" t="n">
        <v>648</v>
      </c>
      <c r="I26" s="24" t="n">
        <v>21600</v>
      </c>
    </row>
    <row r="27">
      <c r="A27" s="23" t="n">
        <v>46273</v>
      </c>
      <c r="B27" s="23" t="n">
        <v>46272</v>
      </c>
      <c r="C27" s="24" t="inlineStr">
        <is>
          <t>Line 2</t>
        </is>
      </c>
      <c r="D27" s="24" t="n">
        <v>450</v>
      </c>
      <c r="E27" s="24" t="n">
        <v>54</v>
      </c>
      <c r="F27" s="24" t="n">
        <v>16885</v>
      </c>
      <c r="G27" s="24" t="n">
        <v>16594</v>
      </c>
      <c r="H27" s="24" t="n">
        <v>291</v>
      </c>
      <c r="I27" s="24" t="n">
        <v>16200</v>
      </c>
    </row>
    <row r="28">
      <c r="A28" s="23" t="n">
        <v>46273</v>
      </c>
      <c r="B28" s="23" t="n">
        <v>46272</v>
      </c>
      <c r="C28" s="24" t="inlineStr">
        <is>
          <t>Line 3</t>
        </is>
      </c>
      <c r="D28" s="24" t="n">
        <v>450</v>
      </c>
      <c r="E28" s="24" t="n">
        <v>42</v>
      </c>
      <c r="F28" s="24" t="n">
        <v>26332</v>
      </c>
      <c r="G28" s="24" t="n">
        <v>24744</v>
      </c>
      <c r="H28" s="24" t="n">
        <v>1588</v>
      </c>
      <c r="I28" s="24" t="n">
        <v>28800</v>
      </c>
    </row>
    <row r="29">
      <c r="A29" s="23" t="n">
        <v>46274</v>
      </c>
      <c r="B29" s="23" t="n">
        <v>46272</v>
      </c>
      <c r="C29" s="24" t="inlineStr">
        <is>
          <t>Line 1</t>
        </is>
      </c>
      <c r="D29" s="24" t="n">
        <v>450</v>
      </c>
      <c r="E29" s="24" t="n">
        <v>21</v>
      </c>
      <c r="F29" s="24" t="n">
        <v>21814</v>
      </c>
      <c r="G29" s="24" t="n">
        <v>21607</v>
      </c>
      <c r="H29" s="24" t="n">
        <v>207</v>
      </c>
      <c r="I29" s="24" t="n">
        <v>21600</v>
      </c>
    </row>
    <row r="30">
      <c r="A30" s="23" t="n">
        <v>46274</v>
      </c>
      <c r="B30" s="23" t="n">
        <v>46272</v>
      </c>
      <c r="C30" s="24" t="inlineStr">
        <is>
          <t>Line 2</t>
        </is>
      </c>
      <c r="D30" s="24" t="n">
        <v>450</v>
      </c>
      <c r="E30" s="24" t="n">
        <v>55</v>
      </c>
      <c r="F30" s="24" t="n">
        <v>16772</v>
      </c>
      <c r="G30" s="24" t="n">
        <v>16469</v>
      </c>
      <c r="H30" s="24" t="n">
        <v>303</v>
      </c>
      <c r="I30" s="24" t="n">
        <v>16200</v>
      </c>
    </row>
    <row r="31">
      <c r="A31" s="23" t="n">
        <v>46274</v>
      </c>
      <c r="B31" s="23" t="n">
        <v>46272</v>
      </c>
      <c r="C31" s="24" t="inlineStr">
        <is>
          <t>Line 3</t>
        </is>
      </c>
      <c r="D31" s="24" t="n">
        <v>450</v>
      </c>
      <c r="E31" s="24" t="n">
        <v>26</v>
      </c>
      <c r="F31" s="24" t="n">
        <v>26454</v>
      </c>
      <c r="G31" s="24" t="n">
        <v>24720</v>
      </c>
      <c r="H31" s="24" t="n">
        <v>1734</v>
      </c>
      <c r="I31" s="24" t="n">
        <v>28800</v>
      </c>
    </row>
    <row r="32">
      <c r="A32" s="23" t="n">
        <v>46275</v>
      </c>
      <c r="B32" s="23" t="n">
        <v>46272</v>
      </c>
      <c r="C32" s="24" t="inlineStr">
        <is>
          <t>Line 1</t>
        </is>
      </c>
      <c r="D32" s="24" t="n">
        <v>450</v>
      </c>
      <c r="E32" s="24" t="n">
        <v>34</v>
      </c>
      <c r="F32" s="24" t="n">
        <v>23416</v>
      </c>
      <c r="G32" s="24" t="n">
        <v>23068</v>
      </c>
      <c r="H32" s="24" t="n">
        <v>348</v>
      </c>
      <c r="I32" s="24" t="n">
        <v>21600</v>
      </c>
    </row>
    <row r="33">
      <c r="A33" s="23" t="n">
        <v>46275</v>
      </c>
      <c r="B33" s="23" t="n">
        <v>46272</v>
      </c>
      <c r="C33" s="24" t="inlineStr">
        <is>
          <t>Line 2</t>
        </is>
      </c>
      <c r="D33" s="24" t="n">
        <v>450</v>
      </c>
      <c r="E33" s="24" t="n">
        <v>55</v>
      </c>
      <c r="F33" s="24" t="n">
        <v>16857</v>
      </c>
      <c r="G33" s="24" t="n">
        <v>16385</v>
      </c>
      <c r="H33" s="24" t="n">
        <v>472</v>
      </c>
      <c r="I33" s="24" t="n">
        <v>16200</v>
      </c>
    </row>
    <row r="34">
      <c r="A34" s="23" t="n">
        <v>46275</v>
      </c>
      <c r="B34" s="23" t="n">
        <v>46272</v>
      </c>
      <c r="C34" s="24" t="inlineStr">
        <is>
          <t>Line 3</t>
        </is>
      </c>
      <c r="D34" s="24" t="n">
        <v>450</v>
      </c>
      <c r="E34" s="24" t="n">
        <v>26</v>
      </c>
      <c r="F34" s="24" t="n">
        <v>27379</v>
      </c>
      <c r="G34" s="24" t="n">
        <v>25589</v>
      </c>
      <c r="H34" s="24" t="n">
        <v>1790</v>
      </c>
      <c r="I34" s="24" t="n">
        <v>28800</v>
      </c>
    </row>
    <row r="35">
      <c r="A35" s="23" t="n">
        <v>46276</v>
      </c>
      <c r="B35" s="23" t="n">
        <v>46272</v>
      </c>
      <c r="C35" s="24" t="inlineStr">
        <is>
          <t>Line 1</t>
        </is>
      </c>
      <c r="D35" s="24" t="n">
        <v>450</v>
      </c>
      <c r="E35" s="24" t="n">
        <v>29</v>
      </c>
      <c r="F35" s="24" t="n">
        <v>23373</v>
      </c>
      <c r="G35" s="24" t="n">
        <v>23027</v>
      </c>
      <c r="H35" s="24" t="n">
        <v>346</v>
      </c>
      <c r="I35" s="24" t="n">
        <v>21600</v>
      </c>
    </row>
    <row r="36">
      <c r="A36" s="23" t="n">
        <v>46276</v>
      </c>
      <c r="B36" s="23" t="n">
        <v>46272</v>
      </c>
      <c r="C36" s="24" t="inlineStr">
        <is>
          <t>Line 2</t>
        </is>
      </c>
      <c r="D36" s="24" t="n">
        <v>450</v>
      </c>
      <c r="E36" s="24" t="n">
        <v>72</v>
      </c>
      <c r="F36" s="24" t="n">
        <v>14795</v>
      </c>
      <c r="G36" s="24" t="n">
        <v>14336</v>
      </c>
      <c r="H36" s="24" t="n">
        <v>459</v>
      </c>
      <c r="I36" s="24" t="n">
        <v>16200</v>
      </c>
    </row>
    <row r="37">
      <c r="A37" s="23" t="n">
        <v>46276</v>
      </c>
      <c r="B37" s="23" t="n">
        <v>46272</v>
      </c>
      <c r="C37" s="24" t="inlineStr">
        <is>
          <t>Line 3</t>
        </is>
      </c>
      <c r="D37" s="24" t="n">
        <v>450</v>
      </c>
      <c r="E37" s="24" t="n">
        <v>53</v>
      </c>
      <c r="F37" s="24" t="n">
        <v>27772</v>
      </c>
      <c r="G37" s="24" t="n">
        <v>26265</v>
      </c>
      <c r="H37" s="24" t="n">
        <v>1507</v>
      </c>
      <c r="I37" s="24" t="n">
        <v>28800</v>
      </c>
    </row>
    <row r="38">
      <c r="A38" s="23" t="n">
        <v>46277</v>
      </c>
      <c r="B38" s="23" t="n">
        <v>46272</v>
      </c>
      <c r="C38" s="24" t="inlineStr">
        <is>
          <t>Line 1</t>
        </is>
      </c>
      <c r="D38" s="24" t="n">
        <v>450</v>
      </c>
      <c r="E38" s="24" t="n">
        <v>56</v>
      </c>
      <c r="F38" s="24" t="n">
        <v>19569</v>
      </c>
      <c r="G38" s="24" t="n">
        <v>19361</v>
      </c>
      <c r="H38" s="24" t="n">
        <v>208</v>
      </c>
      <c r="I38" s="24" t="n">
        <v>21600</v>
      </c>
    </row>
    <row r="39">
      <c r="A39" s="23" t="n">
        <v>46277</v>
      </c>
      <c r="B39" s="23" t="n">
        <v>46272</v>
      </c>
      <c r="C39" s="24" t="inlineStr">
        <is>
          <t>Line 2</t>
        </is>
      </c>
      <c r="D39" s="24" t="n">
        <v>450</v>
      </c>
      <c r="E39" s="24" t="n">
        <v>81</v>
      </c>
      <c r="F39" s="24" t="n">
        <v>12963</v>
      </c>
      <c r="G39" s="24" t="n">
        <v>12653</v>
      </c>
      <c r="H39" s="24" t="n">
        <v>310</v>
      </c>
      <c r="I39" s="24" t="n">
        <v>16200</v>
      </c>
    </row>
    <row r="40">
      <c r="A40" s="23" t="n">
        <v>46277</v>
      </c>
      <c r="B40" s="23" t="n">
        <v>46272</v>
      </c>
      <c r="C40" s="24" t="inlineStr">
        <is>
          <t>Line 3</t>
        </is>
      </c>
      <c r="D40" s="24" t="n">
        <v>450</v>
      </c>
      <c r="E40" s="24" t="n">
        <v>22</v>
      </c>
      <c r="F40" s="24" t="n">
        <v>32079</v>
      </c>
      <c r="G40" s="24" t="n">
        <v>29818</v>
      </c>
      <c r="H40" s="24" t="n">
        <v>2261</v>
      </c>
      <c r="I40" s="24" t="n">
        <v>28800</v>
      </c>
    </row>
    <row r="41">
      <c r="A41" s="23" t="n">
        <v>46279</v>
      </c>
      <c r="B41" s="23" t="n">
        <v>46279</v>
      </c>
      <c r="C41" s="24" t="inlineStr">
        <is>
          <t>Line 1</t>
        </is>
      </c>
      <c r="D41" s="24" t="n">
        <v>450</v>
      </c>
      <c r="E41" s="24" t="n">
        <v>48</v>
      </c>
      <c r="F41" s="24" t="n">
        <v>20687</v>
      </c>
      <c r="G41" s="24" t="n">
        <v>20186</v>
      </c>
      <c r="H41" s="24" t="n">
        <v>501</v>
      </c>
      <c r="I41" s="24" t="n">
        <v>21600</v>
      </c>
    </row>
    <row r="42">
      <c r="A42" s="23" t="n">
        <v>46279</v>
      </c>
      <c r="B42" s="23" t="n">
        <v>46279</v>
      </c>
      <c r="C42" s="24" t="inlineStr">
        <is>
          <t>Line 2</t>
        </is>
      </c>
      <c r="D42" s="24" t="n">
        <v>450</v>
      </c>
      <c r="E42" s="24" t="n">
        <v>93</v>
      </c>
      <c r="F42" s="24" t="n">
        <v>13470</v>
      </c>
      <c r="G42" s="24" t="n">
        <v>13031</v>
      </c>
      <c r="H42" s="24" t="n">
        <v>439</v>
      </c>
      <c r="I42" s="24" t="n">
        <v>16200</v>
      </c>
    </row>
    <row r="43">
      <c r="A43" s="23" t="n">
        <v>46279</v>
      </c>
      <c r="B43" s="23" t="n">
        <v>46279</v>
      </c>
      <c r="C43" s="24" t="inlineStr">
        <is>
          <t>Line 3</t>
        </is>
      </c>
      <c r="D43" s="24" t="n">
        <v>450</v>
      </c>
      <c r="E43" s="24" t="n">
        <v>26</v>
      </c>
      <c r="F43" s="24" t="n">
        <v>29860</v>
      </c>
      <c r="G43" s="24" t="n">
        <v>28076</v>
      </c>
      <c r="H43" s="24" t="n">
        <v>1784</v>
      </c>
      <c r="I43" s="24" t="n">
        <v>28800</v>
      </c>
    </row>
    <row r="44">
      <c r="A44" s="23" t="n">
        <v>46280</v>
      </c>
      <c r="B44" s="23" t="n">
        <v>46279</v>
      </c>
      <c r="C44" s="24" t="inlineStr">
        <is>
          <t>Line 1</t>
        </is>
      </c>
      <c r="D44" s="24" t="n">
        <v>450</v>
      </c>
      <c r="E44" s="24" t="n">
        <v>35</v>
      </c>
      <c r="F44" s="24" t="n">
        <v>22355</v>
      </c>
      <c r="G44" s="24" t="n">
        <v>22026</v>
      </c>
      <c r="H44" s="24" t="n">
        <v>329</v>
      </c>
      <c r="I44" s="24" t="n">
        <v>21600</v>
      </c>
    </row>
    <row r="45">
      <c r="A45" s="23" t="n">
        <v>46280</v>
      </c>
      <c r="B45" s="23" t="n">
        <v>46279</v>
      </c>
      <c r="C45" s="24" t="inlineStr">
        <is>
          <t>Line 2</t>
        </is>
      </c>
      <c r="D45" s="24" t="n">
        <v>450</v>
      </c>
      <c r="E45" s="24" t="n">
        <v>71</v>
      </c>
      <c r="F45" s="24" t="n">
        <v>13428</v>
      </c>
      <c r="G45" s="24" t="n">
        <v>12985</v>
      </c>
      <c r="H45" s="24" t="n">
        <v>443</v>
      </c>
      <c r="I45" s="24" t="n">
        <v>16200</v>
      </c>
    </row>
    <row r="46">
      <c r="A46" s="23" t="n">
        <v>46280</v>
      </c>
      <c r="B46" s="23" t="n">
        <v>46279</v>
      </c>
      <c r="C46" s="24" t="inlineStr">
        <is>
          <t>Line 3</t>
        </is>
      </c>
      <c r="D46" s="24" t="n">
        <v>450</v>
      </c>
      <c r="E46" s="24" t="n">
        <v>40</v>
      </c>
      <c r="F46" s="24" t="n">
        <v>26689</v>
      </c>
      <c r="G46" s="24" t="n">
        <v>24690</v>
      </c>
      <c r="H46" s="24" t="n">
        <v>1999</v>
      </c>
      <c r="I46" s="24" t="n">
        <v>28800</v>
      </c>
    </row>
    <row r="47">
      <c r="A47" s="23" t="n">
        <v>46281</v>
      </c>
      <c r="B47" s="23" t="n">
        <v>46279</v>
      </c>
      <c r="C47" s="24" t="inlineStr">
        <is>
          <t>Line 1</t>
        </is>
      </c>
      <c r="D47" s="24" t="n">
        <v>450</v>
      </c>
      <c r="E47" s="24" t="n">
        <v>57</v>
      </c>
      <c r="F47" s="24" t="n">
        <v>20805</v>
      </c>
      <c r="G47" s="24" t="n">
        <v>20361</v>
      </c>
      <c r="H47" s="24" t="n">
        <v>444</v>
      </c>
      <c r="I47" s="24" t="n">
        <v>21600</v>
      </c>
    </row>
    <row r="48">
      <c r="A48" s="23" t="n">
        <v>46281</v>
      </c>
      <c r="B48" s="23" t="n">
        <v>46279</v>
      </c>
      <c r="C48" s="24" t="inlineStr">
        <is>
          <t>Line 2</t>
        </is>
      </c>
      <c r="D48" s="24" t="n">
        <v>450</v>
      </c>
      <c r="E48" s="24" t="n">
        <v>79</v>
      </c>
      <c r="F48" s="24" t="n">
        <v>14080</v>
      </c>
      <c r="G48" s="24" t="n">
        <v>13705</v>
      </c>
      <c r="H48" s="24" t="n">
        <v>375</v>
      </c>
      <c r="I48" s="24" t="n">
        <v>16200</v>
      </c>
    </row>
    <row r="49">
      <c r="A49" s="23" t="n">
        <v>46281</v>
      </c>
      <c r="B49" s="23" t="n">
        <v>46279</v>
      </c>
      <c r="C49" s="24" t="inlineStr">
        <is>
          <t>Line 3</t>
        </is>
      </c>
      <c r="D49" s="24" t="n">
        <v>450</v>
      </c>
      <c r="E49" s="24" t="n">
        <v>40</v>
      </c>
      <c r="F49" s="24" t="n">
        <v>29997</v>
      </c>
      <c r="G49" s="24" t="n">
        <v>27432</v>
      </c>
      <c r="H49" s="24" t="n">
        <v>2565</v>
      </c>
      <c r="I49" s="24" t="n">
        <v>28800</v>
      </c>
    </row>
    <row r="50">
      <c r="A50" s="23" t="n">
        <v>46282</v>
      </c>
      <c r="B50" s="23" t="n">
        <v>46279</v>
      </c>
      <c r="C50" s="24" t="inlineStr">
        <is>
          <t>Line 1</t>
        </is>
      </c>
      <c r="D50" s="24" t="n">
        <v>450</v>
      </c>
      <c r="E50" s="24" t="n">
        <v>35</v>
      </c>
      <c r="F50" s="24" t="n">
        <v>22406</v>
      </c>
      <c r="G50" s="24" t="n">
        <v>21521</v>
      </c>
      <c r="H50" s="24" t="n">
        <v>885</v>
      </c>
      <c r="I50" s="24" t="n">
        <v>21600</v>
      </c>
    </row>
    <row r="51">
      <c r="A51" s="23" t="n">
        <v>46282</v>
      </c>
      <c r="B51" s="23" t="n">
        <v>46279</v>
      </c>
      <c r="C51" s="24" t="inlineStr">
        <is>
          <t>Line 2</t>
        </is>
      </c>
      <c r="D51" s="24" t="n">
        <v>450</v>
      </c>
      <c r="E51" s="24" t="n">
        <v>83</v>
      </c>
      <c r="F51" s="24" t="n">
        <v>13525</v>
      </c>
      <c r="G51" s="24" t="n">
        <v>12933</v>
      </c>
      <c r="H51" s="24" t="n">
        <v>592</v>
      </c>
      <c r="I51" s="24" t="n">
        <v>16200</v>
      </c>
    </row>
    <row r="52">
      <c r="A52" s="23" t="n">
        <v>46282</v>
      </c>
      <c r="B52" s="23" t="n">
        <v>46279</v>
      </c>
      <c r="C52" s="24" t="inlineStr">
        <is>
          <t>Line 3</t>
        </is>
      </c>
      <c r="D52" s="24" t="n">
        <v>450</v>
      </c>
      <c r="E52" s="24" t="n">
        <v>30</v>
      </c>
      <c r="F52" s="24" t="n">
        <v>30323</v>
      </c>
      <c r="G52" s="24" t="n">
        <v>28327</v>
      </c>
      <c r="H52" s="24" t="n">
        <v>1996</v>
      </c>
      <c r="I52" s="24" t="n">
        <v>28800</v>
      </c>
    </row>
    <row r="53">
      <c r="A53" s="23" t="n">
        <v>46283</v>
      </c>
      <c r="B53" s="23" t="n">
        <v>46279</v>
      </c>
      <c r="C53" s="24" t="inlineStr">
        <is>
          <t>Line 1</t>
        </is>
      </c>
      <c r="D53" s="24" t="n">
        <v>450</v>
      </c>
      <c r="E53" s="24" t="n">
        <v>29</v>
      </c>
      <c r="F53" s="24" t="n">
        <v>21830</v>
      </c>
      <c r="G53" s="24" t="n">
        <v>21566</v>
      </c>
      <c r="H53" s="24" t="n">
        <v>264</v>
      </c>
      <c r="I53" s="24" t="n">
        <v>21600</v>
      </c>
    </row>
    <row r="54">
      <c r="A54" s="23" t="n">
        <v>46283</v>
      </c>
      <c r="B54" s="23" t="n">
        <v>46279</v>
      </c>
      <c r="C54" s="24" t="inlineStr">
        <is>
          <t>Line 2</t>
        </is>
      </c>
      <c r="D54" s="24" t="n">
        <v>450</v>
      </c>
      <c r="E54" s="24" t="n">
        <v>67</v>
      </c>
      <c r="F54" s="24" t="n">
        <v>14997</v>
      </c>
      <c r="G54" s="24" t="n">
        <v>14603</v>
      </c>
      <c r="H54" s="24" t="n">
        <v>394</v>
      </c>
      <c r="I54" s="24" t="n">
        <v>16200</v>
      </c>
    </row>
    <row r="55">
      <c r="A55" s="23" t="n">
        <v>46283</v>
      </c>
      <c r="B55" s="23" t="n">
        <v>46279</v>
      </c>
      <c r="C55" s="24" t="inlineStr">
        <is>
          <t>Line 3</t>
        </is>
      </c>
      <c r="D55" s="24" t="n">
        <v>450</v>
      </c>
      <c r="E55" s="24" t="n">
        <v>19</v>
      </c>
      <c r="F55" s="24" t="n">
        <v>27010</v>
      </c>
      <c r="G55" s="24" t="n">
        <v>24828</v>
      </c>
      <c r="H55" s="24" t="n">
        <v>2182</v>
      </c>
      <c r="I55" s="24" t="n">
        <v>28800</v>
      </c>
    </row>
    <row r="56">
      <c r="A56" s="23" t="n">
        <v>46284</v>
      </c>
      <c r="B56" s="23" t="n">
        <v>46279</v>
      </c>
      <c r="C56" s="24" t="inlineStr">
        <is>
          <t>Line 1</t>
        </is>
      </c>
      <c r="D56" s="24" t="n">
        <v>450</v>
      </c>
      <c r="E56" s="24" t="n">
        <v>42</v>
      </c>
      <c r="F56" s="24" t="n">
        <v>21557</v>
      </c>
      <c r="G56" s="24" t="n">
        <v>21373</v>
      </c>
      <c r="H56" s="24" t="n">
        <v>184</v>
      </c>
      <c r="I56" s="24" t="n">
        <v>21600</v>
      </c>
    </row>
    <row r="57">
      <c r="A57" s="23" t="n">
        <v>46284</v>
      </c>
      <c r="B57" s="23" t="n">
        <v>46279</v>
      </c>
      <c r="C57" s="24" t="inlineStr">
        <is>
          <t>Line 2</t>
        </is>
      </c>
      <c r="D57" s="24" t="n">
        <v>450</v>
      </c>
      <c r="E57" s="24" t="n">
        <v>71</v>
      </c>
      <c r="F57" s="24" t="n">
        <v>14918</v>
      </c>
      <c r="G57" s="24" t="n">
        <v>14564</v>
      </c>
      <c r="H57" s="24" t="n">
        <v>354</v>
      </c>
      <c r="I57" s="24" t="n">
        <v>16200</v>
      </c>
    </row>
    <row r="58">
      <c r="A58" s="23" t="n">
        <v>46284</v>
      </c>
      <c r="B58" s="23" t="n">
        <v>46279</v>
      </c>
      <c r="C58" s="24" t="inlineStr">
        <is>
          <t>Line 3</t>
        </is>
      </c>
      <c r="D58" s="24" t="n">
        <v>450</v>
      </c>
      <c r="E58" s="24" t="n">
        <v>10</v>
      </c>
      <c r="F58" s="24" t="n">
        <v>28951</v>
      </c>
      <c r="G58" s="24" t="n">
        <v>26659</v>
      </c>
      <c r="H58" s="24" t="n">
        <v>2292</v>
      </c>
      <c r="I58" s="24" t="n">
        <v>28800</v>
      </c>
    </row>
    <row r="59">
      <c r="A59" s="23" t="n">
        <v>46286</v>
      </c>
      <c r="B59" s="23" t="n">
        <v>46286</v>
      </c>
      <c r="C59" s="24" t="inlineStr">
        <is>
          <t>Line 1</t>
        </is>
      </c>
      <c r="D59" s="24" t="n">
        <v>450</v>
      </c>
      <c r="E59" s="24" t="n">
        <v>23</v>
      </c>
      <c r="F59" s="24" t="n">
        <v>20800</v>
      </c>
      <c r="G59" s="24" t="n">
        <v>20104</v>
      </c>
      <c r="H59" s="24" t="n">
        <v>696</v>
      </c>
      <c r="I59" s="24" t="n">
        <v>21600</v>
      </c>
    </row>
    <row r="60">
      <c r="A60" s="23" t="n">
        <v>46286</v>
      </c>
      <c r="B60" s="23" t="n">
        <v>46286</v>
      </c>
      <c r="C60" s="24" t="inlineStr">
        <is>
          <t>Line 2</t>
        </is>
      </c>
      <c r="D60" s="24" t="n">
        <v>450</v>
      </c>
      <c r="E60" s="24" t="n">
        <v>41</v>
      </c>
      <c r="F60" s="24" t="n">
        <v>17331</v>
      </c>
      <c r="G60" s="24" t="n">
        <v>16878</v>
      </c>
      <c r="H60" s="24" t="n">
        <v>453</v>
      </c>
      <c r="I60" s="24" t="n">
        <v>16200</v>
      </c>
    </row>
    <row r="61">
      <c r="A61" s="23" t="n">
        <v>46286</v>
      </c>
      <c r="B61" s="23" t="n">
        <v>46286</v>
      </c>
      <c r="C61" s="24" t="inlineStr">
        <is>
          <t>Line 3</t>
        </is>
      </c>
      <c r="D61" s="24" t="n">
        <v>450</v>
      </c>
      <c r="E61" s="24" t="n">
        <v>38</v>
      </c>
      <c r="F61" s="24" t="n">
        <v>27188</v>
      </c>
      <c r="G61" s="24" t="n">
        <v>25347</v>
      </c>
      <c r="H61" s="24" t="n">
        <v>1841</v>
      </c>
      <c r="I61" s="24" t="n">
        <v>28800</v>
      </c>
    </row>
    <row r="62">
      <c r="A62" s="23" t="n">
        <v>46287</v>
      </c>
      <c r="B62" s="23" t="n">
        <v>46286</v>
      </c>
      <c r="C62" s="24" t="inlineStr">
        <is>
          <t>Line 1</t>
        </is>
      </c>
      <c r="D62" s="24" t="n">
        <v>450</v>
      </c>
      <c r="E62" s="24" t="n">
        <v>34</v>
      </c>
      <c r="F62" s="24" t="n">
        <v>20501</v>
      </c>
      <c r="G62" s="24" t="n">
        <v>19648</v>
      </c>
      <c r="H62" s="24" t="n">
        <v>853</v>
      </c>
      <c r="I62" s="24" t="n">
        <v>21600</v>
      </c>
    </row>
    <row r="63">
      <c r="A63" s="23" t="n">
        <v>46287</v>
      </c>
      <c r="B63" s="23" t="n">
        <v>46286</v>
      </c>
      <c r="C63" s="24" t="inlineStr">
        <is>
          <t>Line 2</t>
        </is>
      </c>
      <c r="D63" s="24" t="n">
        <v>450</v>
      </c>
      <c r="E63" s="24" t="n">
        <v>64</v>
      </c>
      <c r="F63" s="24" t="n">
        <v>15597</v>
      </c>
      <c r="G63" s="24" t="n">
        <v>14709</v>
      </c>
      <c r="H63" s="24" t="n">
        <v>888</v>
      </c>
      <c r="I63" s="24" t="n">
        <v>16200</v>
      </c>
    </row>
    <row r="64">
      <c r="A64" s="23" t="n">
        <v>46287</v>
      </c>
      <c r="B64" s="23" t="n">
        <v>46286</v>
      </c>
      <c r="C64" s="24" t="inlineStr">
        <is>
          <t>Line 3</t>
        </is>
      </c>
      <c r="D64" s="24" t="n">
        <v>450</v>
      </c>
      <c r="E64" s="24" t="n">
        <v>18</v>
      </c>
      <c r="F64" s="24" t="n">
        <v>30922</v>
      </c>
      <c r="G64" s="24" t="n">
        <v>28746</v>
      </c>
      <c r="H64" s="24" t="n">
        <v>2176</v>
      </c>
      <c r="I64" s="24" t="n">
        <v>28800</v>
      </c>
    </row>
    <row r="65">
      <c r="A65" s="23" t="n">
        <v>46288</v>
      </c>
      <c r="B65" s="23" t="n">
        <v>46286</v>
      </c>
      <c r="C65" s="24" t="inlineStr">
        <is>
          <t>Line 1</t>
        </is>
      </c>
      <c r="D65" s="24" t="n">
        <v>450</v>
      </c>
      <c r="E65" s="24" t="n">
        <v>41</v>
      </c>
      <c r="F65" s="24" t="n">
        <v>21042</v>
      </c>
      <c r="G65" s="24" t="n">
        <v>20538</v>
      </c>
      <c r="H65" s="24" t="n">
        <v>504</v>
      </c>
      <c r="I65" s="24" t="n">
        <v>21600</v>
      </c>
    </row>
    <row r="66">
      <c r="A66" s="23" t="n">
        <v>46288</v>
      </c>
      <c r="B66" s="23" t="n">
        <v>46286</v>
      </c>
      <c r="C66" s="24" t="inlineStr">
        <is>
          <t>Line 2</t>
        </is>
      </c>
      <c r="D66" s="24" t="n">
        <v>450</v>
      </c>
      <c r="E66" s="24" t="n">
        <v>60</v>
      </c>
      <c r="F66" s="24" t="n">
        <v>16460</v>
      </c>
      <c r="G66" s="24" t="n">
        <v>15925</v>
      </c>
      <c r="H66" s="24" t="n">
        <v>535</v>
      </c>
      <c r="I66" s="24" t="n">
        <v>16200</v>
      </c>
    </row>
    <row r="67">
      <c r="A67" s="23" t="n">
        <v>46288</v>
      </c>
      <c r="B67" s="23" t="n">
        <v>46286</v>
      </c>
      <c r="C67" s="24" t="inlineStr">
        <is>
          <t>Line 3</t>
        </is>
      </c>
      <c r="D67" s="24" t="n">
        <v>450</v>
      </c>
      <c r="E67" s="24" t="n">
        <v>53</v>
      </c>
      <c r="F67" s="24" t="n">
        <v>26160</v>
      </c>
      <c r="G67" s="24" t="n">
        <v>24678</v>
      </c>
      <c r="H67" s="24" t="n">
        <v>1482</v>
      </c>
      <c r="I67" s="24" t="n">
        <v>28800</v>
      </c>
    </row>
    <row r="68">
      <c r="A68" s="23" t="n">
        <v>46289</v>
      </c>
      <c r="B68" s="23" t="n">
        <v>46286</v>
      </c>
      <c r="C68" s="24" t="inlineStr">
        <is>
          <t>Line 1</t>
        </is>
      </c>
      <c r="D68" s="24" t="n">
        <v>450</v>
      </c>
      <c r="E68" s="24" t="n">
        <v>22</v>
      </c>
      <c r="F68" s="24" t="n">
        <v>20413</v>
      </c>
      <c r="G68" s="24" t="n">
        <v>20114</v>
      </c>
      <c r="H68" s="24" t="n">
        <v>299</v>
      </c>
      <c r="I68" s="24" t="n">
        <v>21600</v>
      </c>
    </row>
    <row r="69">
      <c r="A69" s="23" t="n">
        <v>46289</v>
      </c>
      <c r="B69" s="23" t="n">
        <v>46286</v>
      </c>
      <c r="C69" s="24" t="inlineStr">
        <is>
          <t>Line 2</t>
        </is>
      </c>
      <c r="D69" s="24" t="n">
        <v>450</v>
      </c>
      <c r="E69" s="24" t="n">
        <v>45</v>
      </c>
      <c r="F69" s="24" t="n">
        <v>14769</v>
      </c>
      <c r="G69" s="24" t="n">
        <v>14325</v>
      </c>
      <c r="H69" s="24" t="n">
        <v>444</v>
      </c>
      <c r="I69" s="24" t="n">
        <v>16200</v>
      </c>
    </row>
    <row r="70">
      <c r="A70" s="23" t="n">
        <v>46289</v>
      </c>
      <c r="B70" s="23" t="n">
        <v>46286</v>
      </c>
      <c r="C70" s="24" t="inlineStr">
        <is>
          <t>Line 3</t>
        </is>
      </c>
      <c r="D70" s="24" t="n">
        <v>450</v>
      </c>
      <c r="E70" s="24" t="n">
        <v>44</v>
      </c>
      <c r="F70" s="24" t="n">
        <v>26502</v>
      </c>
      <c r="G70" s="24" t="n">
        <v>24470</v>
      </c>
      <c r="H70" s="24" t="n">
        <v>2032</v>
      </c>
      <c r="I70" s="24" t="n">
        <v>28800</v>
      </c>
    </row>
    <row r="71">
      <c r="A71" s="23" t="n">
        <v>46290</v>
      </c>
      <c r="B71" s="23" t="n">
        <v>46286</v>
      </c>
      <c r="C71" s="24" t="inlineStr">
        <is>
          <t>Line 1</t>
        </is>
      </c>
      <c r="D71" s="24" t="n">
        <v>450</v>
      </c>
      <c r="E71" s="24" t="n">
        <v>45</v>
      </c>
      <c r="F71" s="24" t="n">
        <v>23032</v>
      </c>
      <c r="G71" s="24" t="n">
        <v>22614</v>
      </c>
      <c r="H71" s="24" t="n">
        <v>418</v>
      </c>
      <c r="I71" s="24" t="n">
        <v>21600</v>
      </c>
    </row>
    <row r="72">
      <c r="A72" s="23" t="n">
        <v>46290</v>
      </c>
      <c r="B72" s="23" t="n">
        <v>46286</v>
      </c>
      <c r="C72" s="24" t="inlineStr">
        <is>
          <t>Line 2</t>
        </is>
      </c>
      <c r="D72" s="24" t="n">
        <v>450</v>
      </c>
      <c r="E72" s="24" t="n">
        <v>91</v>
      </c>
      <c r="F72" s="24" t="n">
        <v>14271</v>
      </c>
      <c r="G72" s="24" t="n">
        <v>13720</v>
      </c>
      <c r="H72" s="24" t="n">
        <v>551</v>
      </c>
      <c r="I72" s="24" t="n">
        <v>16200</v>
      </c>
    </row>
    <row r="73">
      <c r="A73" s="23" t="n">
        <v>46290</v>
      </c>
      <c r="B73" s="23" t="n">
        <v>46286</v>
      </c>
      <c r="C73" s="24" t="inlineStr">
        <is>
          <t>Line 3</t>
        </is>
      </c>
      <c r="D73" s="24" t="n">
        <v>450</v>
      </c>
      <c r="E73" s="24" t="n">
        <v>34</v>
      </c>
      <c r="F73" s="24" t="n">
        <v>30791</v>
      </c>
      <c r="G73" s="24" t="n">
        <v>28678</v>
      </c>
      <c r="H73" s="24" t="n">
        <v>2113</v>
      </c>
      <c r="I73" s="24" t="n">
        <v>28800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M5" s="12" t="inlineStr">
        <is>
          <t>Line list</t>
        </is>
      </c>
    </row>
    <row r="6">
      <c r="M6" s="24" t="inlineStr">
        <is>
          <t>All</t>
        </is>
      </c>
    </row>
    <row r="7">
      <c r="M7" s="24" t="inlineStr">
        <is>
          <t>Line 1</t>
        </is>
      </c>
    </row>
    <row r="8">
      <c r="M8" s="24" t="inlineStr">
        <is>
          <t>Line 2</t>
        </is>
      </c>
    </row>
    <row r="9">
      <c r="M9" s="24" t="inlineStr">
        <is>
          <t>Line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3" t="inlineStr">
        <is>
          <t>Input</t>
        </is>
      </c>
      <c r="C5" s="13" t="inlineStr">
        <is>
          <t>Value</t>
        </is>
      </c>
      <c r="D5" s="13" t="inlineStr">
        <is>
          <t>Why / 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G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Actions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3" t="inlineStr">
        <is>
          <t>Priority</t>
        </is>
      </c>
      <c r="C5" s="13" t="inlineStr">
        <is>
          <t>Area</t>
        </is>
      </c>
      <c r="D5" s="13" t="inlineStr">
        <is>
          <t>Action</t>
        </is>
      </c>
      <c r="E5" s="13" t="inlineStr">
        <is>
          <t>Why</t>
        </is>
      </c>
      <c r="F5" s="13" t="inlineStr">
        <is>
          <t>Impact $/week</t>
        </is>
      </c>
      <c r="G5" s="13" t="inlineStr">
        <is>
          <t>Owner</t>
        </is>
      </c>
    </row>
    <row r="6">
      <c r="B6" s="25" t="inlineStr">
        <is>
          <t>P2</t>
        </is>
      </c>
      <c r="C6" s="25" t="inlineStr">
        <is>
          <t>Quality</t>
        </is>
      </c>
      <c r="D6" s="25" t="inlineStr">
        <is>
          <t>Line 3: root-cause scrap at 6.7% ($16,101 in 4 weeks)</t>
        </is>
      </c>
      <c r="E6" s="25" t="inlineStr">
        <is>
          <t>above the 5% threshold; start with changeovers and first-off checks</t>
        </is>
      </c>
      <c r="F6" s="26" t="n">
        <v>-4025</v>
      </c>
      <c r="G6" s="25" t="inlineStr">
        <is>
          <t>Quality Lead</t>
        </is>
      </c>
    </row>
  </sheetData>
  <autoFilter ref="B5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6" customWidth="1" min="3" max="3"/>
    <col width="15" customWidth="1" min="4" max="4"/>
    <col width="13" customWidth="1" min="5" max="5"/>
    <col width="13" customWidth="1" min="6" max="6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OEE by line 4 weeks pct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3" t="inlineStr">
        <is>
          <t>line</t>
        </is>
      </c>
      <c r="C5" s="13" t="inlineStr">
        <is>
          <t>availability</t>
        </is>
      </c>
      <c r="D5" s="13" t="inlineStr">
        <is>
          <t>performance</t>
        </is>
      </c>
      <c r="E5" s="13" t="inlineStr">
        <is>
          <t>quality</t>
        </is>
      </c>
      <c r="F5" s="13" t="inlineStr">
        <is>
          <t>oee</t>
        </is>
      </c>
    </row>
    <row r="6">
      <c r="B6" s="25" t="inlineStr">
        <is>
          <t>Line 1</t>
        </is>
      </c>
      <c r="C6" s="25" t="n">
        <v>92.09999999999999</v>
      </c>
      <c r="D6" s="25" t="n">
        <v>87.09999999999999</v>
      </c>
      <c r="E6" s="25" t="n">
        <v>98.09999999999999</v>
      </c>
      <c r="F6" s="25" t="n">
        <v>78.7</v>
      </c>
    </row>
    <row r="7">
      <c r="B7" s="25" t="inlineStr">
        <is>
          <t>Line 2</t>
        </is>
      </c>
      <c r="C7" s="25" t="n">
        <v>85</v>
      </c>
      <c r="D7" s="25" t="n">
        <v>87.5</v>
      </c>
      <c r="E7" s="25" t="n">
        <v>96.90000000000001</v>
      </c>
      <c r="F7" s="25" t="n">
        <v>72</v>
      </c>
    </row>
    <row r="8">
      <c r="B8" s="25" t="inlineStr">
        <is>
          <t>Line 3</t>
        </is>
      </c>
      <c r="C8" s="25" t="n">
        <v>93.5</v>
      </c>
      <c r="D8" s="25" t="n">
        <v>84.8</v>
      </c>
      <c r="E8" s="25" t="n">
        <v>93.3</v>
      </c>
      <c r="F8" s="25" t="n">
        <v>74</v>
      </c>
    </row>
  </sheetData>
  <autoFilter ref="B5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5B1"/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Scrap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3" t="inlineStr">
        <is>
          <t>line</t>
        </is>
      </c>
      <c r="C5" s="13" t="inlineStr">
        <is>
          <t>units</t>
        </is>
      </c>
      <c r="D5" s="13" t="inlineStr">
        <is>
          <t>good</t>
        </is>
      </c>
      <c r="E5" s="13" t="inlineStr">
        <is>
          <t>scrap_pct</t>
        </is>
      </c>
      <c r="F5" s="13" t="inlineStr">
        <is>
          <t>scrap_cost_4w</t>
        </is>
      </c>
    </row>
    <row r="6">
      <c r="B6" s="25" t="inlineStr">
        <is>
          <t>Line 1</t>
        </is>
      </c>
      <c r="C6" s="25" t="n">
        <v>520285</v>
      </c>
      <c r="D6" s="25" t="n">
        <v>510279</v>
      </c>
      <c r="E6" s="25" t="n">
        <v>1.9</v>
      </c>
      <c r="F6" s="26" t="n">
        <v>3502.1</v>
      </c>
    </row>
    <row r="7">
      <c r="B7" s="25" t="inlineStr">
        <is>
          <t>Line 2</t>
        </is>
      </c>
      <c r="C7" s="25" t="n">
        <v>361477</v>
      </c>
      <c r="D7" s="25" t="n">
        <v>350158</v>
      </c>
      <c r="E7" s="25" t="n">
        <v>3.1</v>
      </c>
      <c r="F7" s="26" t="n">
        <v>3961.6</v>
      </c>
    </row>
    <row r="8">
      <c r="B8" s="25" t="inlineStr">
        <is>
          <t>Line 3</t>
        </is>
      </c>
      <c r="C8" s="25" t="n">
        <v>685361</v>
      </c>
      <c r="D8" s="25" t="n">
        <v>639359</v>
      </c>
      <c r="E8" s="25" t="n">
        <v>6.7</v>
      </c>
      <c r="F8" s="26" t="n">
        <v>16100.7</v>
      </c>
    </row>
  </sheetData>
  <autoFilter ref="B5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5B1"/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7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Schedule adherence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3" t="inlineStr">
        <is>
          <t>line</t>
        </is>
      </c>
      <c r="C5" s="13" t="inlineStr">
        <is>
          <t>good</t>
        </is>
      </c>
      <c r="D5" s="13" t="inlineStr">
        <is>
          <t>sched</t>
        </is>
      </c>
      <c r="E5" s="13" t="inlineStr">
        <is>
          <t>adherence_pct</t>
        </is>
      </c>
    </row>
    <row r="6">
      <c r="B6" s="25" t="inlineStr">
        <is>
          <t>Line 1</t>
        </is>
      </c>
      <c r="C6" s="25" t="n">
        <v>510279</v>
      </c>
      <c r="D6" s="25" t="n">
        <v>518400</v>
      </c>
      <c r="E6" s="25" t="n">
        <v>98.40000000000001</v>
      </c>
    </row>
    <row r="7">
      <c r="B7" s="25" t="inlineStr">
        <is>
          <t>Line 2</t>
        </is>
      </c>
      <c r="C7" s="25" t="n">
        <v>350158</v>
      </c>
      <c r="D7" s="25" t="n">
        <v>388800</v>
      </c>
      <c r="E7" s="25" t="n">
        <v>90.09999999999999</v>
      </c>
    </row>
    <row r="8">
      <c r="B8" s="25" t="inlineStr">
        <is>
          <t>Line 3</t>
        </is>
      </c>
      <c r="C8" s="25" t="n">
        <v>639359</v>
      </c>
      <c r="D8" s="25" t="n">
        <v>691200</v>
      </c>
      <c r="E8" s="25" t="n">
        <v>92.5</v>
      </c>
    </row>
  </sheetData>
  <autoFilter ref="B5:E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2" t="inlineStr">
        <is>
          <t>About this workbook</t>
        </is>
      </c>
    </row>
    <row r="6">
      <c r="C6" s="27" t="inlineStr">
        <is>
          <t>Industry pack demo. Replace Raw with your own export (same column names) and the Model, KPIs and pivots follow.</t>
        </is>
      </c>
    </row>
    <row r="7">
      <c r="C7" s="27" t="inlineStr">
        <is>
          <t>Analysis sheets hold Shelly's skill results; Actions lists findings for your confirmation.</t>
        </is>
      </c>
    </row>
    <row r="9">
      <c r="B9" s="12" t="inlineStr">
        <is>
          <t>Data dictionary (Raw sheet)</t>
        </is>
      </c>
    </row>
    <row r="10">
      <c r="B10" s="28" t="inlineStr">
        <is>
          <t>Date</t>
        </is>
      </c>
      <c r="C10" s="28" t="inlineStr"/>
    </row>
    <row r="11">
      <c r="B11" s="28" t="inlineStr">
        <is>
          <t>Week</t>
        </is>
      </c>
      <c r="C11" s="28" t="inlineStr"/>
    </row>
    <row r="12">
      <c r="B12" s="28" t="inlineStr">
        <is>
          <t>Line</t>
        </is>
      </c>
      <c r="C12" s="28" t="inlineStr"/>
    </row>
    <row r="13">
      <c r="B13" s="28" t="inlineStr">
        <is>
          <t>Planned min</t>
        </is>
      </c>
      <c r="C13" s="28" t="inlineStr"/>
    </row>
    <row r="14">
      <c r="B14" s="28" t="inlineStr">
        <is>
          <t>Downtime min</t>
        </is>
      </c>
      <c r="C14" s="28" t="inlineStr"/>
    </row>
    <row r="15">
      <c r="B15" s="28" t="inlineStr">
        <is>
          <t>Units</t>
        </is>
      </c>
      <c r="C15" s="28" t="inlineStr"/>
    </row>
    <row r="16">
      <c r="B16" s="28" t="inlineStr">
        <is>
          <t>Good units</t>
        </is>
      </c>
      <c r="C16" s="28" t="inlineStr"/>
    </row>
    <row r="17">
      <c r="B17" s="28" t="inlineStr">
        <is>
          <t>Scrap units</t>
        </is>
      </c>
      <c r="C17" s="28" t="inlineStr"/>
    </row>
    <row r="18">
      <c r="B18" s="28" t="inlineStr">
        <is>
          <t>Scheduled units</t>
        </is>
      </c>
      <c r="C18" s="28" t="inlineStr"/>
    </row>
    <row r="20">
      <c r="B20" s="12" t="inlineStr">
        <is>
          <t>Sign-off</t>
        </is>
      </c>
    </row>
    <row r="21">
      <c r="B21" s="24" t="inlineStr">
        <is>
          <t>Findings reviewed</t>
        </is>
      </c>
      <c r="C21" s="7" t="inlineStr">
        <is>
          <t>Name: ____________   Date: ________   ☐ Approved  ☐ Changes needed</t>
        </is>
      </c>
    </row>
    <row r="23">
      <c r="B23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2026-10-11T21:21:28Z</dcterms:created>
  <dcterms:modified xsi:type="dcterms:W3CDTF">2026-10-11T21:21:28Z</dcterms:modified>
</cp:coreProperties>
</file>